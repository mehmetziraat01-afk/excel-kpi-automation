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tasancak365-my.sharepoint.com/personal/ggenc_atasancak_com_tr/Documents/Masaüstü/ATASANCAK SÜRÜ YÖNETİM/SABAH SÜT PERFORMANS/"/>
    </mc:Choice>
  </mc:AlternateContent>
  <xr:revisionPtr revIDLastSave="783" documentId="6_{D2D2AB96-CF52-4CCC-A2B2-214F437D5655}" xr6:coauthVersionLast="47" xr6:coauthVersionMax="47" xr10:uidLastSave="{A0940E7A-8EAE-4300-8008-F5467DCF3B8A}"/>
  <bookViews>
    <workbookView xWindow="-120" yWindow="-120" windowWidth="29040" windowHeight="15840" xr2:uid="{00000000-000D-0000-FFFF-FFFF00000000}"/>
  </bookViews>
  <sheets>
    <sheet name="YieldByGrou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14" i="3" l="1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26" i="3"/>
  <c r="F6025" i="3"/>
  <c r="F6031" i="3"/>
  <c r="F6033" i="3"/>
  <c r="F6032" i="3"/>
  <c r="F6028" i="3"/>
  <c r="F6029" i="3"/>
  <c r="F6027" i="3"/>
  <c r="F6030" i="3"/>
  <c r="F6024" i="3"/>
  <c r="F6021" i="3"/>
  <c r="F6022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897" i="3"/>
  <c r="F5898" i="3"/>
  <c r="F5899" i="3"/>
  <c r="F5900" i="3"/>
  <c r="F5889" i="3"/>
  <c r="F5890" i="3"/>
  <c r="F5891" i="3"/>
  <c r="F5892" i="3"/>
  <c r="F5893" i="3"/>
  <c r="F5894" i="3"/>
  <c r="F5895" i="3"/>
  <c r="F589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16" i="3"/>
  <c r="F5805" i="3"/>
  <c r="F5806" i="3"/>
  <c r="F5807" i="3"/>
  <c r="F5808" i="3"/>
  <c r="F5809" i="3"/>
  <c r="F5810" i="3"/>
  <c r="F5811" i="3"/>
  <c r="F5812" i="3"/>
  <c r="F5813" i="3"/>
  <c r="F5814" i="3"/>
  <c r="F5815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O5699" i="3"/>
  <c r="O5696" i="3"/>
  <c r="O5687" i="3"/>
  <c r="O5688" i="3"/>
  <c r="O5689" i="3"/>
  <c r="O5690" i="3"/>
  <c r="O5692" i="3"/>
  <c r="O5695" i="3"/>
  <c r="O568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43" i="3"/>
  <c r="F5544" i="3"/>
  <c r="F5545" i="3"/>
  <c r="F5546" i="3"/>
  <c r="F5547" i="3"/>
  <c r="F5551" i="3"/>
  <c r="F5552" i="3"/>
  <c r="F5541" i="3"/>
  <c r="F5542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76" i="3"/>
  <c r="F5265" i="3"/>
  <c r="F5266" i="3"/>
  <c r="F5267" i="3"/>
  <c r="F5268" i="3"/>
  <c r="F5269" i="3"/>
  <c r="F5270" i="3"/>
  <c r="F5271" i="3"/>
  <c r="F5272" i="3"/>
  <c r="F5273" i="3"/>
  <c r="F5274" i="3"/>
  <c r="F5275" i="3"/>
  <c r="F5256" i="3"/>
  <c r="F5253" i="3"/>
  <c r="F5254" i="3"/>
  <c r="F5255" i="3"/>
  <c r="F5257" i="3"/>
  <c r="F5258" i="3"/>
  <c r="F5259" i="3"/>
  <c r="F5260" i="3"/>
  <c r="F5261" i="3"/>
  <c r="F5262" i="3"/>
  <c r="F5263" i="3"/>
  <c r="F5264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66" i="3"/>
  <c r="F4761" i="3" l="1"/>
  <c r="F4762" i="3"/>
  <c r="F4763" i="3"/>
  <c r="F4764" i="3"/>
  <c r="F4765" i="3"/>
  <c r="F4767" i="3"/>
  <c r="F4768" i="3"/>
  <c r="F4769" i="3"/>
  <c r="F4770" i="3"/>
  <c r="F4771" i="3"/>
  <c r="F4772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198" i="3"/>
  <c r="F4197" i="3"/>
  <c r="F4199" i="3"/>
  <c r="F4200" i="3"/>
  <c r="F4201" i="3"/>
  <c r="F4202" i="3"/>
  <c r="F4203" i="3"/>
  <c r="F4204" i="3"/>
  <c r="F4205" i="3"/>
  <c r="F4206" i="3"/>
  <c r="F4207" i="3"/>
  <c r="F4208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50" i="3"/>
  <c r="F4149" i="3"/>
  <c r="F4151" i="3"/>
  <c r="F4152" i="3"/>
  <c r="F4153" i="3"/>
  <c r="F4154" i="3"/>
  <c r="F4155" i="3"/>
  <c r="F4156" i="3"/>
  <c r="F4157" i="3"/>
  <c r="F4158" i="3"/>
  <c r="F4159" i="3"/>
  <c r="F4160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42" i="3"/>
  <c r="F4041" i="3"/>
  <c r="F4043" i="3"/>
  <c r="F4044" i="3"/>
  <c r="F4045" i="3"/>
  <c r="F4046" i="3"/>
  <c r="F4047" i="3"/>
  <c r="F4048" i="3"/>
  <c r="F4049" i="3"/>
  <c r="F4050" i="3"/>
  <c r="F4051" i="3"/>
  <c r="F4052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20" i="3"/>
  <c r="F3630" i="3"/>
  <c r="F3629" i="3"/>
  <c r="F3628" i="3"/>
  <c r="F3626" i="3"/>
  <c r="F3625" i="3"/>
  <c r="F3624" i="3"/>
  <c r="F3623" i="3"/>
  <c r="F3622" i="3"/>
  <c r="F3631" i="3"/>
  <c r="F3627" i="3"/>
  <c r="F3621" i="3"/>
  <c r="F3611" i="3"/>
  <c r="F3612" i="3"/>
  <c r="F3613" i="3"/>
  <c r="F3614" i="3"/>
  <c r="F3615" i="3"/>
  <c r="F3616" i="3"/>
  <c r="F3617" i="3"/>
  <c r="F3618" i="3"/>
  <c r="F3619" i="3"/>
  <c r="F3609" i="3" l="1"/>
  <c r="F3610" i="3"/>
  <c r="F3598" i="3"/>
  <c r="F3599" i="3"/>
  <c r="F3600" i="3"/>
  <c r="F3601" i="3"/>
  <c r="F3602" i="3"/>
  <c r="F3603" i="3"/>
  <c r="F3604" i="3"/>
  <c r="F3605" i="3"/>
  <c r="F3606" i="3"/>
  <c r="F3607" i="3"/>
  <c r="F3608" i="3"/>
  <c r="F3587" i="3"/>
  <c r="F3588" i="3"/>
  <c r="F3589" i="3"/>
  <c r="F3590" i="3"/>
  <c r="F3591" i="3"/>
  <c r="F3592" i="3"/>
  <c r="F3593" i="3"/>
  <c r="F3594" i="3"/>
  <c r="F3595" i="3"/>
  <c r="F3596" i="3"/>
  <c r="F3597" i="3"/>
  <c r="F3576" i="3"/>
  <c r="F3577" i="3"/>
  <c r="F3578" i="3"/>
  <c r="F3579" i="3"/>
  <c r="F3580" i="3"/>
  <c r="F3581" i="3"/>
  <c r="F3582" i="3"/>
  <c r="F3583" i="3"/>
  <c r="F3584" i="3"/>
  <c r="F3585" i="3"/>
  <c r="F3586" i="3"/>
  <c r="F3565" i="3"/>
  <c r="F3566" i="3"/>
  <c r="F3567" i="3"/>
  <c r="F3568" i="3"/>
  <c r="F3569" i="3"/>
  <c r="F3570" i="3"/>
  <c r="F3571" i="3"/>
  <c r="F3572" i="3"/>
  <c r="F3573" i="3"/>
  <c r="F3574" i="3"/>
  <c r="F3575" i="3"/>
  <c r="F3554" i="3"/>
  <c r="F3555" i="3"/>
  <c r="F3556" i="3"/>
  <c r="F3557" i="3"/>
  <c r="F3558" i="3"/>
  <c r="F3559" i="3"/>
  <c r="F3560" i="3"/>
  <c r="F3561" i="3"/>
  <c r="F3562" i="3"/>
  <c r="F3563" i="3"/>
  <c r="F3564" i="3"/>
  <c r="F3543" i="3"/>
  <c r="F3544" i="3"/>
  <c r="F3545" i="3"/>
  <c r="F3546" i="3"/>
  <c r="F3547" i="3"/>
  <c r="F3548" i="3"/>
  <c r="F3549" i="3"/>
  <c r="F3550" i="3"/>
  <c r="F3551" i="3"/>
  <c r="F3552" i="3"/>
  <c r="F3553" i="3"/>
  <c r="F3532" i="3"/>
  <c r="F3533" i="3"/>
  <c r="F3534" i="3"/>
  <c r="F3535" i="3"/>
  <c r="F3536" i="3"/>
  <c r="F3537" i="3"/>
  <c r="F3538" i="3"/>
  <c r="F3539" i="3"/>
  <c r="F3540" i="3"/>
  <c r="F3541" i="3"/>
  <c r="F3542" i="3"/>
  <c r="F3521" i="3"/>
  <c r="F3522" i="3"/>
  <c r="F3523" i="3"/>
  <c r="F3524" i="3"/>
  <c r="F3525" i="3"/>
  <c r="F3526" i="3"/>
  <c r="F3527" i="3"/>
  <c r="F3528" i="3"/>
  <c r="F3529" i="3"/>
  <c r="F3530" i="3"/>
  <c r="F3531" i="3"/>
  <c r="F3510" i="3"/>
  <c r="F3511" i="3"/>
  <c r="F3512" i="3"/>
  <c r="F3513" i="3"/>
  <c r="F3514" i="3"/>
  <c r="F3515" i="3"/>
  <c r="F3516" i="3"/>
  <c r="F3517" i="3"/>
  <c r="F3518" i="3"/>
  <c r="F3519" i="3"/>
  <c r="F3520" i="3"/>
  <c r="F3499" i="3"/>
  <c r="F3500" i="3"/>
  <c r="F3501" i="3"/>
  <c r="F3502" i="3"/>
  <c r="F3503" i="3"/>
  <c r="F3504" i="3"/>
  <c r="F3505" i="3"/>
  <c r="F3506" i="3"/>
  <c r="F3507" i="3"/>
  <c r="F3508" i="3"/>
  <c r="F3509" i="3"/>
  <c r="F3488" i="3"/>
  <c r="F3489" i="3"/>
  <c r="F3490" i="3"/>
  <c r="F3491" i="3"/>
  <c r="F3492" i="3"/>
  <c r="F3493" i="3"/>
  <c r="F3494" i="3"/>
  <c r="F3495" i="3"/>
  <c r="F3496" i="3"/>
  <c r="F3497" i="3"/>
  <c r="F3498" i="3"/>
  <c r="F3477" i="3"/>
  <c r="F3478" i="3"/>
  <c r="F3479" i="3"/>
  <c r="F3480" i="3"/>
  <c r="F3481" i="3"/>
  <c r="F3482" i="3"/>
  <c r="F3483" i="3"/>
  <c r="F3484" i="3"/>
  <c r="F3485" i="3"/>
  <c r="F3486" i="3"/>
  <c r="F3487" i="3"/>
  <c r="F3466" i="3"/>
  <c r="F3467" i="3"/>
  <c r="F3468" i="3"/>
  <c r="F3469" i="3"/>
  <c r="F3470" i="3"/>
  <c r="F3471" i="3"/>
  <c r="F3472" i="3"/>
  <c r="F3473" i="3"/>
  <c r="F3474" i="3"/>
  <c r="F3475" i="3"/>
  <c r="F3476" i="3"/>
  <c r="F3455" i="3"/>
  <c r="F3456" i="3"/>
  <c r="F3457" i="3"/>
  <c r="F3458" i="3"/>
  <c r="F3459" i="3"/>
  <c r="F3460" i="3"/>
  <c r="F3461" i="3"/>
  <c r="F3462" i="3"/>
  <c r="F3463" i="3"/>
  <c r="F3464" i="3"/>
  <c r="F3465" i="3"/>
  <c r="F3444" i="3"/>
  <c r="F3445" i="3"/>
  <c r="F3446" i="3"/>
  <c r="F3447" i="3"/>
  <c r="F3448" i="3"/>
  <c r="F3449" i="3"/>
  <c r="F3450" i="3"/>
  <c r="F3451" i="3"/>
  <c r="F3452" i="3"/>
  <c r="F3453" i="3"/>
  <c r="F3454" i="3"/>
  <c r="F3433" i="3"/>
  <c r="F3434" i="3"/>
  <c r="F3435" i="3"/>
  <c r="F3436" i="3"/>
  <c r="F3437" i="3"/>
  <c r="F3438" i="3"/>
  <c r="F3439" i="3"/>
  <c r="F3440" i="3"/>
  <c r="F3441" i="3"/>
  <c r="F3442" i="3"/>
  <c r="F3443" i="3"/>
  <c r="F3422" i="3"/>
  <c r="F3423" i="3"/>
  <c r="F3424" i="3"/>
  <c r="F3425" i="3"/>
  <c r="F3426" i="3"/>
  <c r="F3427" i="3"/>
  <c r="F3428" i="3"/>
  <c r="F3429" i="3"/>
  <c r="F3430" i="3"/>
  <c r="F3431" i="3"/>
  <c r="F3432" i="3"/>
  <c r="F3411" i="3"/>
  <c r="F3412" i="3"/>
  <c r="F3413" i="3"/>
  <c r="F3414" i="3"/>
  <c r="F3415" i="3"/>
  <c r="F3416" i="3"/>
  <c r="F3417" i="3"/>
  <c r="F3418" i="3"/>
  <c r="F3419" i="3"/>
  <c r="F3420" i="3"/>
  <c r="F3421" i="3"/>
  <c r="F3400" i="3"/>
  <c r="F3401" i="3"/>
  <c r="F3402" i="3"/>
  <c r="F3403" i="3"/>
  <c r="F3404" i="3"/>
  <c r="F3405" i="3"/>
  <c r="F3406" i="3"/>
  <c r="F3407" i="3"/>
  <c r="F3408" i="3"/>
  <c r="F3409" i="3"/>
  <c r="F3410" i="3"/>
  <c r="F3389" i="3"/>
  <c r="F3390" i="3"/>
  <c r="F3391" i="3"/>
  <c r="F3392" i="3"/>
  <c r="F3393" i="3"/>
  <c r="F3394" i="3"/>
  <c r="F3395" i="3"/>
  <c r="F3396" i="3"/>
  <c r="F3397" i="3"/>
  <c r="F3398" i="3"/>
  <c r="F3399" i="3"/>
  <c r="F3378" i="3"/>
  <c r="F3379" i="3"/>
  <c r="F3380" i="3"/>
  <c r="F3381" i="3"/>
  <c r="F3382" i="3"/>
  <c r="F3383" i="3"/>
  <c r="F3384" i="3"/>
  <c r="F3385" i="3"/>
  <c r="F3386" i="3"/>
  <c r="F3387" i="3"/>
  <c r="F3388" i="3"/>
  <c r="F3367" i="3"/>
  <c r="F3368" i="3"/>
  <c r="F3369" i="3"/>
  <c r="F3370" i="3"/>
  <c r="F3371" i="3"/>
  <c r="F3372" i="3"/>
  <c r="F3373" i="3"/>
  <c r="F3374" i="3"/>
  <c r="F3375" i="3"/>
  <c r="F3376" i="3"/>
  <c r="F3377" i="3"/>
  <c r="F3356" i="3"/>
  <c r="F3357" i="3"/>
  <c r="F3358" i="3"/>
  <c r="F3359" i="3"/>
  <c r="F3360" i="3"/>
  <c r="F3361" i="3"/>
  <c r="F3362" i="3"/>
  <c r="F3363" i="3"/>
  <c r="F3364" i="3"/>
  <c r="F3365" i="3"/>
  <c r="F3366" i="3"/>
  <c r="F3355" i="3"/>
  <c r="F3346" i="3"/>
  <c r="F3345" i="3"/>
  <c r="F3347" i="3"/>
  <c r="F3348" i="3"/>
  <c r="F3349" i="3"/>
  <c r="F3350" i="3"/>
  <c r="F3351" i="3"/>
  <c r="F3352" i="3"/>
  <c r="F3353" i="3"/>
  <c r="F3354" i="3"/>
  <c r="F3334" i="3"/>
  <c r="F3335" i="3"/>
  <c r="F3336" i="3"/>
  <c r="F3337" i="3"/>
  <c r="F3338" i="3"/>
  <c r="F3339" i="3"/>
  <c r="F3340" i="3"/>
  <c r="F3341" i="3"/>
  <c r="F3342" i="3"/>
  <c r="F3343" i="3"/>
  <c r="F3344" i="3"/>
  <c r="F3323" i="3"/>
  <c r="F3324" i="3"/>
  <c r="F3325" i="3"/>
  <c r="F3326" i="3"/>
  <c r="F3327" i="3"/>
  <c r="F3328" i="3"/>
  <c r="F3329" i="3"/>
  <c r="F3330" i="3"/>
  <c r="F3331" i="3"/>
  <c r="F3332" i="3"/>
  <c r="F3333" i="3"/>
  <c r="F3312" i="3"/>
  <c r="F3313" i="3"/>
  <c r="F3314" i="3"/>
  <c r="F3315" i="3"/>
  <c r="F3316" i="3"/>
  <c r="F3317" i="3"/>
  <c r="F3318" i="3"/>
  <c r="F3319" i="3"/>
  <c r="F3320" i="3"/>
  <c r="F3321" i="3"/>
  <c r="F3322" i="3"/>
  <c r="F3301" i="3"/>
  <c r="F3302" i="3"/>
  <c r="F3303" i="3"/>
  <c r="F3304" i="3"/>
  <c r="F3305" i="3"/>
  <c r="F3306" i="3"/>
  <c r="F3307" i="3"/>
  <c r="F3308" i="3"/>
  <c r="F3309" i="3"/>
  <c r="F3310" i="3"/>
  <c r="F3311" i="3"/>
  <c r="F3290" i="3"/>
  <c r="F3291" i="3"/>
  <c r="F3292" i="3"/>
  <c r="F3293" i="3"/>
  <c r="F3294" i="3"/>
  <c r="F3295" i="3"/>
  <c r="F3296" i="3"/>
  <c r="F3297" i="3"/>
  <c r="F3298" i="3"/>
  <c r="F3299" i="3"/>
  <c r="F3300" i="3"/>
  <c r="F3279" i="3"/>
  <c r="F3280" i="3"/>
  <c r="F3281" i="3"/>
  <c r="F3282" i="3"/>
  <c r="F3283" i="3"/>
  <c r="F3284" i="3"/>
  <c r="F3285" i="3"/>
  <c r="F3286" i="3"/>
  <c r="F3287" i="3"/>
  <c r="F3288" i="3"/>
  <c r="F3289" i="3"/>
  <c r="F3268" i="3"/>
  <c r="F3269" i="3"/>
  <c r="F3270" i="3"/>
  <c r="F3271" i="3"/>
  <c r="F3272" i="3"/>
  <c r="F3273" i="3"/>
  <c r="F3274" i="3"/>
  <c r="F3275" i="3"/>
  <c r="F3276" i="3"/>
  <c r="F3277" i="3"/>
  <c r="F3278" i="3"/>
  <c r="F3257" i="3"/>
  <c r="F3258" i="3"/>
  <c r="F3259" i="3"/>
  <c r="F3260" i="3"/>
  <c r="F3261" i="3"/>
  <c r="F3262" i="3"/>
  <c r="F3263" i="3"/>
  <c r="F3264" i="3"/>
  <c r="F3265" i="3"/>
  <c r="F3266" i="3"/>
  <c r="F3267" i="3"/>
  <c r="F3246" i="3"/>
  <c r="F3247" i="3"/>
  <c r="F3248" i="3"/>
  <c r="F3249" i="3"/>
  <c r="F3250" i="3"/>
  <c r="F3251" i="3"/>
  <c r="F3252" i="3"/>
  <c r="F3253" i="3"/>
  <c r="F3254" i="3"/>
  <c r="F3255" i="3"/>
  <c r="F3256" i="3"/>
  <c r="F3235" i="3"/>
  <c r="F3236" i="3"/>
  <c r="F3237" i="3"/>
  <c r="F3238" i="3"/>
  <c r="F3239" i="3"/>
  <c r="F3240" i="3"/>
  <c r="F3241" i="3"/>
  <c r="F3242" i="3"/>
  <c r="F3243" i="3"/>
  <c r="F3244" i="3"/>
  <c r="F3245" i="3"/>
  <c r="F3224" i="3"/>
  <c r="F3225" i="3"/>
  <c r="F3226" i="3"/>
  <c r="F3227" i="3"/>
  <c r="F3228" i="3"/>
  <c r="F3229" i="3"/>
  <c r="F3230" i="3"/>
  <c r="F3231" i="3"/>
  <c r="F3232" i="3"/>
  <c r="F3233" i="3"/>
  <c r="F3234" i="3"/>
  <c r="F3213" i="3"/>
  <c r="F3214" i="3"/>
  <c r="F3215" i="3"/>
  <c r="F3216" i="3"/>
  <c r="F3217" i="3"/>
  <c r="F3218" i="3"/>
  <c r="F3219" i="3"/>
  <c r="F3220" i="3"/>
  <c r="F3221" i="3"/>
  <c r="F3222" i="3"/>
  <c r="F3223" i="3"/>
  <c r="F3202" i="3"/>
  <c r="F3203" i="3"/>
  <c r="F3204" i="3"/>
  <c r="F3205" i="3"/>
  <c r="F3206" i="3"/>
  <c r="F3207" i="3"/>
  <c r="F3208" i="3"/>
  <c r="F3209" i="3"/>
  <c r="F3210" i="3"/>
  <c r="F3211" i="3"/>
  <c r="F3212" i="3"/>
  <c r="F3191" i="3"/>
  <c r="F3192" i="3"/>
  <c r="F3193" i="3"/>
  <c r="F3194" i="3"/>
  <c r="F3195" i="3"/>
  <c r="F3196" i="3"/>
  <c r="F3197" i="3"/>
  <c r="F3198" i="3"/>
  <c r="F3199" i="3"/>
  <c r="F3200" i="3"/>
  <c r="F3201" i="3"/>
  <c r="F3180" i="3"/>
  <c r="F3181" i="3"/>
  <c r="F3182" i="3"/>
  <c r="F3183" i="3"/>
  <c r="F3184" i="3"/>
  <c r="F3185" i="3"/>
  <c r="F3186" i="3"/>
  <c r="F3187" i="3"/>
  <c r="F3188" i="3"/>
  <c r="F3189" i="3"/>
  <c r="F3190" i="3"/>
  <c r="F3170" i="3"/>
  <c r="F3169" i="3"/>
  <c r="F3171" i="3"/>
  <c r="F3172" i="3"/>
  <c r="F3173" i="3"/>
  <c r="F3174" i="3"/>
  <c r="F3175" i="3"/>
  <c r="F3176" i="3"/>
  <c r="F3177" i="3"/>
  <c r="F3178" i="3"/>
  <c r="F3179" i="3"/>
  <c r="F3158" i="3"/>
  <c r="F3159" i="3"/>
  <c r="F3160" i="3"/>
  <c r="F3161" i="3"/>
  <c r="F3162" i="3"/>
  <c r="F3163" i="3"/>
  <c r="F3164" i="3"/>
  <c r="F3165" i="3"/>
  <c r="F3166" i="3"/>
  <c r="F3167" i="3"/>
  <c r="F3168" i="3"/>
  <c r="F3147" i="3"/>
  <c r="F3148" i="3"/>
  <c r="F3149" i="3"/>
  <c r="F3150" i="3"/>
  <c r="F3151" i="3"/>
  <c r="F3152" i="3"/>
  <c r="F3153" i="3"/>
  <c r="F3154" i="3"/>
  <c r="F3155" i="3"/>
  <c r="F3156" i="3"/>
  <c r="F3157" i="3"/>
  <c r="F3136" i="3"/>
  <c r="F3137" i="3"/>
  <c r="F3138" i="3"/>
  <c r="F3139" i="3"/>
  <c r="F3140" i="3"/>
  <c r="F3141" i="3"/>
  <c r="F3142" i="3"/>
  <c r="F3143" i="3"/>
  <c r="F3144" i="3"/>
  <c r="F3145" i="3"/>
  <c r="F3146" i="3"/>
  <c r="F3125" i="3"/>
  <c r="F3126" i="3"/>
  <c r="F3127" i="3"/>
  <c r="F3128" i="3"/>
  <c r="F3129" i="3"/>
  <c r="F3130" i="3"/>
  <c r="F3131" i="3"/>
  <c r="F3132" i="3"/>
  <c r="F3133" i="3"/>
  <c r="F3134" i="3"/>
  <c r="F3135" i="3"/>
  <c r="F3116" i="3"/>
  <c r="F3117" i="3"/>
  <c r="F3118" i="3"/>
  <c r="F3119" i="3"/>
  <c r="F3120" i="3"/>
  <c r="F3121" i="3"/>
  <c r="F3122" i="3"/>
  <c r="F3123" i="3"/>
  <c r="F3124" i="3"/>
  <c r="F3115" i="3"/>
  <c r="F3114" i="3"/>
  <c r="F3103" i="3"/>
  <c r="F3105" i="3"/>
  <c r="F3106" i="3"/>
  <c r="F3107" i="3"/>
  <c r="F3108" i="3"/>
  <c r="F3109" i="3"/>
  <c r="F3110" i="3"/>
  <c r="F3111" i="3"/>
  <c r="F3112" i="3"/>
  <c r="F3113" i="3"/>
  <c r="F3104" i="3"/>
  <c r="F3092" i="3"/>
  <c r="F3093" i="3"/>
  <c r="F3094" i="3"/>
  <c r="F3095" i="3"/>
  <c r="F3096" i="3"/>
  <c r="F3097" i="3"/>
  <c r="F3098" i="3"/>
  <c r="F3099" i="3"/>
  <c r="F3100" i="3"/>
  <c r="F3101" i="3"/>
  <c r="F3102" i="3"/>
  <c r="F3081" i="3"/>
  <c r="F3082" i="3"/>
  <c r="F3083" i="3"/>
  <c r="F3084" i="3"/>
  <c r="F3085" i="3"/>
  <c r="F3086" i="3"/>
  <c r="F3087" i="3"/>
  <c r="F3088" i="3"/>
  <c r="F3089" i="3"/>
  <c r="F3090" i="3"/>
  <c r="F3091" i="3"/>
  <c r="F3070" i="3"/>
  <c r="F3071" i="3"/>
  <c r="F3072" i="3"/>
  <c r="F3073" i="3"/>
  <c r="F3074" i="3"/>
  <c r="F3075" i="3"/>
  <c r="F3076" i="3"/>
  <c r="F3077" i="3"/>
  <c r="F3078" i="3"/>
  <c r="F3079" i="3"/>
  <c r="F3080" i="3"/>
  <c r="F3059" i="3"/>
  <c r="F3060" i="3"/>
  <c r="F3061" i="3"/>
  <c r="F3062" i="3"/>
  <c r="F3063" i="3"/>
  <c r="F3064" i="3"/>
  <c r="F3065" i="3"/>
  <c r="F3066" i="3"/>
  <c r="F3067" i="3"/>
  <c r="F3068" i="3"/>
  <c r="F3069" i="3"/>
  <c r="F3048" i="3"/>
  <c r="F3049" i="3"/>
  <c r="F3050" i="3"/>
  <c r="F3051" i="3"/>
  <c r="F3052" i="3"/>
  <c r="F3053" i="3"/>
  <c r="F3054" i="3"/>
  <c r="F3055" i="3"/>
  <c r="F3056" i="3"/>
  <c r="F3057" i="3"/>
  <c r="F3058" i="3"/>
  <c r="F3037" i="3"/>
  <c r="F3038" i="3"/>
  <c r="F3039" i="3"/>
  <c r="F3040" i="3"/>
  <c r="F3041" i="3"/>
  <c r="F3042" i="3"/>
  <c r="F3043" i="3"/>
  <c r="F3044" i="3"/>
  <c r="F3045" i="3"/>
  <c r="F3046" i="3"/>
  <c r="F3047" i="3"/>
  <c r="F3026" i="3"/>
  <c r="F3027" i="3"/>
  <c r="F3028" i="3"/>
  <c r="F3029" i="3"/>
  <c r="F3030" i="3"/>
  <c r="F3031" i="3"/>
  <c r="F3032" i="3"/>
  <c r="F3033" i="3"/>
  <c r="F3034" i="3"/>
  <c r="F3035" i="3"/>
  <c r="F3036" i="3"/>
  <c r="F3015" i="3"/>
  <c r="F3016" i="3"/>
  <c r="F3017" i="3"/>
  <c r="F3018" i="3"/>
  <c r="F3019" i="3"/>
  <c r="F3020" i="3"/>
  <c r="F3021" i="3"/>
  <c r="F3022" i="3"/>
  <c r="F3023" i="3"/>
  <c r="F3024" i="3"/>
  <c r="F3025" i="3"/>
  <c r="F3004" i="3"/>
  <c r="F3005" i="3"/>
  <c r="F3006" i="3"/>
  <c r="F3007" i="3"/>
  <c r="F3008" i="3"/>
  <c r="F3009" i="3"/>
  <c r="F3010" i="3"/>
  <c r="F3011" i="3"/>
  <c r="F3012" i="3"/>
  <c r="F3013" i="3"/>
  <c r="F3014" i="3"/>
  <c r="F2993" i="3"/>
  <c r="F2995" i="3"/>
  <c r="F2996" i="3"/>
  <c r="F2997" i="3"/>
  <c r="F2998" i="3"/>
  <c r="F2999" i="3"/>
  <c r="F3000" i="3"/>
  <c r="F3001" i="3"/>
  <c r="F3002" i="3"/>
  <c r="F3003" i="3"/>
  <c r="F2994" i="3"/>
  <c r="F2982" i="3"/>
  <c r="F2984" i="3"/>
  <c r="F2985" i="3"/>
  <c r="F2986" i="3"/>
  <c r="F2987" i="3"/>
  <c r="F2988" i="3"/>
  <c r="F2989" i="3"/>
  <c r="F2990" i="3"/>
  <c r="F2991" i="3"/>
  <c r="F2992" i="3"/>
  <c r="F2983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59" i="3"/>
  <c r="F2960" i="3"/>
  <c r="F2961" i="3"/>
  <c r="F2962" i="3"/>
  <c r="F2963" i="3"/>
  <c r="F2964" i="3"/>
  <c r="F2965" i="3"/>
  <c r="F2966" i="3"/>
  <c r="F2967" i="3"/>
  <c r="F2968" i="3"/>
  <c r="F2969" i="3"/>
  <c r="F2948" i="3"/>
  <c r="F2949" i="3"/>
  <c r="F2950" i="3"/>
  <c r="F2951" i="3"/>
  <c r="F2952" i="3"/>
  <c r="F2953" i="3"/>
  <c r="F2954" i="3"/>
  <c r="F2955" i="3"/>
  <c r="F2956" i="3"/>
  <c r="F2957" i="3"/>
  <c r="F2958" i="3"/>
  <c r="F2937" i="3"/>
  <c r="F2938" i="3"/>
  <c r="F2939" i="3"/>
  <c r="F2940" i="3"/>
  <c r="F2941" i="3"/>
  <c r="F2942" i="3"/>
  <c r="F2943" i="3"/>
  <c r="F2944" i="3"/>
  <c r="F2945" i="3"/>
  <c r="F2946" i="3"/>
  <c r="F2947" i="3"/>
  <c r="F2926" i="3"/>
  <c r="F2927" i="3"/>
  <c r="F2928" i="3"/>
  <c r="F2929" i="3"/>
  <c r="F2930" i="3"/>
  <c r="F2931" i="3"/>
  <c r="F2932" i="3"/>
  <c r="F2933" i="3"/>
  <c r="F2934" i="3"/>
  <c r="F2935" i="3"/>
  <c r="F2936" i="3"/>
  <c r="F2915" i="3"/>
  <c r="F2916" i="3"/>
  <c r="F2917" i="3"/>
  <c r="F2918" i="3"/>
  <c r="F2919" i="3"/>
  <c r="F2920" i="3"/>
  <c r="F2921" i="3"/>
  <c r="F2922" i="3"/>
  <c r="F2923" i="3"/>
  <c r="F2924" i="3"/>
  <c r="F2925" i="3"/>
  <c r="F2904" i="3"/>
  <c r="F2905" i="3"/>
  <c r="F2906" i="3"/>
  <c r="F2907" i="3"/>
  <c r="F2908" i="3"/>
  <c r="F2909" i="3"/>
  <c r="F2910" i="3"/>
  <c r="F2911" i="3"/>
  <c r="F2912" i="3"/>
  <c r="F2913" i="3"/>
  <c r="F2914" i="3"/>
  <c r="F2893" i="3"/>
  <c r="F2894" i="3"/>
  <c r="F2895" i="3"/>
  <c r="F2896" i="3"/>
  <c r="F2897" i="3"/>
  <c r="F2898" i="3"/>
  <c r="F2899" i="3"/>
  <c r="F2900" i="3"/>
  <c r="F2901" i="3"/>
  <c r="F2902" i="3"/>
  <c r="F2903" i="3"/>
  <c r="F2882" i="3"/>
  <c r="F2883" i="3"/>
  <c r="F2884" i="3"/>
  <c r="F2885" i="3"/>
  <c r="F2886" i="3"/>
  <c r="F2887" i="3"/>
  <c r="F2888" i="3"/>
  <c r="F2889" i="3"/>
  <c r="F2890" i="3"/>
  <c r="F2891" i="3"/>
  <c r="F2892" i="3"/>
  <c r="F2871" i="3"/>
  <c r="F2872" i="3"/>
  <c r="F2873" i="3"/>
  <c r="F2874" i="3"/>
  <c r="F2875" i="3"/>
  <c r="F2876" i="3"/>
  <c r="F2877" i="3"/>
  <c r="F2878" i="3"/>
  <c r="F2879" i="3"/>
  <c r="F2880" i="3"/>
  <c r="F2881" i="3"/>
  <c r="F2860" i="3"/>
  <c r="F2861" i="3"/>
  <c r="F2862" i="3"/>
  <c r="F2863" i="3"/>
  <c r="F2864" i="3"/>
  <c r="F2865" i="3"/>
  <c r="F2866" i="3"/>
  <c r="F2867" i="3"/>
  <c r="F2868" i="3"/>
  <c r="F2869" i="3"/>
  <c r="F2870" i="3"/>
  <c r="F2849" i="3"/>
  <c r="F2850" i="3"/>
  <c r="F2851" i="3"/>
  <c r="F2852" i="3"/>
  <c r="F2853" i="3"/>
  <c r="F2854" i="3"/>
  <c r="F2855" i="3"/>
  <c r="F2856" i="3"/>
  <c r="F2857" i="3"/>
  <c r="F2858" i="3"/>
  <c r="F2859" i="3"/>
  <c r="F2838" i="3"/>
  <c r="F2839" i="3"/>
  <c r="F2840" i="3"/>
  <c r="F2841" i="3"/>
  <c r="F2842" i="3"/>
  <c r="F2843" i="3"/>
  <c r="F2844" i="3"/>
  <c r="F2845" i="3"/>
  <c r="F2846" i="3"/>
  <c r="F2847" i="3"/>
  <c r="F2848" i="3"/>
  <c r="F2827" i="3"/>
  <c r="F2828" i="3"/>
  <c r="F2829" i="3"/>
  <c r="F2830" i="3"/>
  <c r="F2831" i="3"/>
  <c r="F2832" i="3"/>
  <c r="F2833" i="3"/>
  <c r="F2834" i="3"/>
  <c r="F2835" i="3"/>
  <c r="F2836" i="3"/>
  <c r="F2837" i="3"/>
  <c r="F2816" i="3"/>
  <c r="F2817" i="3"/>
  <c r="F2818" i="3"/>
  <c r="F2819" i="3"/>
  <c r="F2820" i="3"/>
  <c r="F2821" i="3"/>
  <c r="F2822" i="3"/>
  <c r="F2823" i="3"/>
  <c r="F2824" i="3"/>
  <c r="F2825" i="3"/>
  <c r="F2826" i="3"/>
  <c r="F2805" i="3"/>
  <c r="F2806" i="3"/>
  <c r="F2807" i="3"/>
  <c r="F2808" i="3"/>
  <c r="F2809" i="3"/>
  <c r="F2810" i="3"/>
  <c r="F2811" i="3"/>
  <c r="F2812" i="3"/>
  <c r="F2813" i="3"/>
  <c r="F2814" i="3"/>
  <c r="F2815" i="3"/>
  <c r="F2794" i="3"/>
  <c r="F2795" i="3"/>
  <c r="F2796" i="3"/>
  <c r="F2797" i="3"/>
  <c r="F2798" i="3"/>
  <c r="F2799" i="3"/>
  <c r="F2800" i="3"/>
  <c r="F2801" i="3"/>
  <c r="F2802" i="3"/>
  <c r="F2803" i="3"/>
  <c r="F2804" i="3"/>
  <c r="F2783" i="3"/>
  <c r="F2784" i="3"/>
  <c r="F2785" i="3"/>
  <c r="F2786" i="3"/>
  <c r="F2787" i="3"/>
  <c r="F2788" i="3"/>
  <c r="F2789" i="3"/>
  <c r="F2790" i="3"/>
  <c r="F2791" i="3"/>
  <c r="F2792" i="3"/>
  <c r="F2793" i="3"/>
  <c r="F2772" i="3"/>
  <c r="F2773" i="3"/>
  <c r="F2774" i="3"/>
  <c r="F2775" i="3"/>
  <c r="F2776" i="3"/>
  <c r="F2777" i="3"/>
  <c r="F2778" i="3"/>
  <c r="F2779" i="3"/>
  <c r="F2780" i="3"/>
  <c r="F2781" i="3"/>
  <c r="F2782" i="3"/>
  <c r="F2761" i="3"/>
  <c r="F2762" i="3"/>
  <c r="F2763" i="3"/>
  <c r="F2764" i="3"/>
  <c r="F2765" i="3"/>
  <c r="F2766" i="3"/>
  <c r="F2767" i="3"/>
  <c r="F2768" i="3"/>
  <c r="F2769" i="3"/>
  <c r="F2770" i="3"/>
  <c r="F2771" i="3"/>
  <c r="F2750" i="3"/>
  <c r="F2751" i="3"/>
  <c r="F2752" i="3"/>
  <c r="F2753" i="3"/>
  <c r="F2754" i="3"/>
  <c r="F2755" i="3"/>
  <c r="F2756" i="3"/>
  <c r="F2757" i="3"/>
  <c r="F2758" i="3"/>
  <c r="F2759" i="3"/>
  <c r="F2760" i="3"/>
  <c r="F2739" i="3"/>
  <c r="F2740" i="3"/>
  <c r="F2741" i="3"/>
  <c r="F2742" i="3"/>
  <c r="F2743" i="3"/>
  <c r="F2744" i="3"/>
  <c r="F2745" i="3"/>
  <c r="F2746" i="3"/>
  <c r="F2747" i="3"/>
  <c r="F2748" i="3"/>
  <c r="F2749" i="3"/>
  <c r="F2728" i="3"/>
  <c r="F2729" i="3"/>
  <c r="F2730" i="3"/>
  <c r="F2731" i="3"/>
  <c r="F2732" i="3"/>
  <c r="F2733" i="3"/>
  <c r="F2734" i="3"/>
  <c r="F2735" i="3"/>
  <c r="F2736" i="3"/>
  <c r="F2737" i="3"/>
  <c r="F2738" i="3"/>
  <c r="F2717" i="3"/>
  <c r="F2718" i="3"/>
  <c r="F2719" i="3"/>
  <c r="F2720" i="3"/>
  <c r="F2721" i="3"/>
  <c r="F2722" i="3"/>
  <c r="F2723" i="3"/>
  <c r="F2724" i="3"/>
  <c r="F2725" i="3"/>
  <c r="F2726" i="3"/>
  <c r="F2727" i="3"/>
  <c r="F2706" i="3"/>
  <c r="F2707" i="3"/>
  <c r="F2708" i="3"/>
  <c r="F2709" i="3"/>
  <c r="F2710" i="3"/>
  <c r="F2711" i="3"/>
  <c r="F2712" i="3"/>
  <c r="F2713" i="3"/>
  <c r="F2714" i="3"/>
  <c r="F2715" i="3"/>
  <c r="F2716" i="3"/>
  <c r="F2695" i="3"/>
  <c r="F2696" i="3"/>
  <c r="F2697" i="3"/>
  <c r="F2698" i="3"/>
  <c r="F2699" i="3"/>
  <c r="F2700" i="3"/>
  <c r="F2701" i="3"/>
  <c r="F2702" i="3"/>
  <c r="F2703" i="3"/>
  <c r="F2704" i="3"/>
  <c r="F2705" i="3"/>
  <c r="F2684" i="3"/>
  <c r="F2685" i="3"/>
  <c r="F2686" i="3"/>
  <c r="F2687" i="3"/>
  <c r="F2688" i="3"/>
  <c r="F2689" i="3"/>
  <c r="F2690" i="3"/>
  <c r="F2691" i="3"/>
  <c r="F2692" i="3"/>
  <c r="F2693" i="3"/>
  <c r="F2694" i="3"/>
  <c r="F2673" i="3"/>
  <c r="F2674" i="3"/>
  <c r="F2675" i="3"/>
  <c r="F2676" i="3"/>
  <c r="F2677" i="3"/>
  <c r="F2678" i="3"/>
  <c r="F2679" i="3"/>
  <c r="F2680" i="3"/>
  <c r="F2681" i="3"/>
  <c r="F2682" i="3"/>
  <c r="F2683" i="3"/>
  <c r="F2663" i="3"/>
  <c r="F2664" i="3"/>
  <c r="F2665" i="3"/>
  <c r="F2666" i="3"/>
  <c r="F2667" i="3"/>
  <c r="F2668" i="3"/>
  <c r="F2669" i="3"/>
  <c r="F2670" i="3"/>
  <c r="F2671" i="3"/>
  <c r="F2672" i="3"/>
  <c r="F2652" i="3"/>
  <c r="F2653" i="3"/>
  <c r="F2654" i="3"/>
  <c r="F2655" i="3"/>
  <c r="F2656" i="3"/>
  <c r="F2657" i="3"/>
  <c r="F2658" i="3"/>
  <c r="F2659" i="3"/>
  <c r="F2660" i="3"/>
  <c r="F2661" i="3"/>
  <c r="F2662" i="3"/>
  <c r="F2641" i="3"/>
  <c r="F2642" i="3"/>
  <c r="F2643" i="3"/>
  <c r="F2644" i="3"/>
  <c r="F2645" i="3"/>
  <c r="F2646" i="3"/>
  <c r="F2647" i="3"/>
  <c r="F2648" i="3"/>
  <c r="F2649" i="3"/>
  <c r="F2650" i="3"/>
  <c r="F2651" i="3"/>
  <c r="F2630" i="3"/>
  <c r="F2631" i="3"/>
  <c r="F2632" i="3"/>
  <c r="F2633" i="3"/>
  <c r="F2634" i="3"/>
  <c r="F2635" i="3"/>
  <c r="F2636" i="3"/>
  <c r="F2637" i="3"/>
  <c r="F2638" i="3"/>
  <c r="F2639" i="3"/>
  <c r="F2640" i="3"/>
  <c r="F2621" i="3"/>
  <c r="F2622" i="3"/>
  <c r="F2623" i="3"/>
  <c r="F2624" i="3"/>
  <c r="F2625" i="3"/>
  <c r="F2626" i="3"/>
  <c r="F2627" i="3"/>
  <c r="F2628" i="3"/>
  <c r="F2629" i="3"/>
  <c r="F2620" i="3"/>
  <c r="F2619" i="3"/>
  <c r="F2608" i="3"/>
  <c r="F2609" i="3"/>
  <c r="F2610" i="3"/>
  <c r="F2611" i="3"/>
  <c r="F2612" i="3"/>
  <c r="F2613" i="3"/>
  <c r="F2614" i="3"/>
  <c r="F2615" i="3"/>
  <c r="F2616" i="3"/>
  <c r="F2617" i="3"/>
  <c r="F2618" i="3"/>
  <c r="F2597" i="3"/>
  <c r="F2598" i="3"/>
  <c r="F2599" i="3"/>
  <c r="F2600" i="3"/>
  <c r="F2601" i="3"/>
  <c r="F2602" i="3"/>
  <c r="F2603" i="3"/>
  <c r="F2604" i="3"/>
  <c r="F2605" i="3"/>
  <c r="F2606" i="3"/>
  <c r="F2607" i="3"/>
  <c r="F2586" i="3"/>
  <c r="F2587" i="3"/>
  <c r="F2588" i="3"/>
  <c r="F2589" i="3"/>
  <c r="F2590" i="3"/>
  <c r="F2591" i="3"/>
  <c r="F2592" i="3"/>
  <c r="F2593" i="3"/>
  <c r="F2594" i="3"/>
  <c r="F2595" i="3"/>
  <c r="F2596" i="3"/>
  <c r="F2575" i="3"/>
  <c r="F2576" i="3"/>
  <c r="F2577" i="3"/>
  <c r="F2578" i="3"/>
  <c r="F2579" i="3"/>
  <c r="F2580" i="3"/>
  <c r="F2581" i="3"/>
  <c r="F2582" i="3"/>
  <c r="F2583" i="3"/>
  <c r="F2584" i="3"/>
  <c r="F2585" i="3"/>
  <c r="F2564" i="3"/>
  <c r="F2565" i="3"/>
  <c r="F2566" i="3"/>
  <c r="F2567" i="3"/>
  <c r="F2568" i="3"/>
  <c r="F2569" i="3"/>
  <c r="F2570" i="3"/>
  <c r="F2571" i="3"/>
  <c r="F2572" i="3"/>
  <c r="F2573" i="3"/>
  <c r="F2574" i="3"/>
  <c r="F2553" i="3"/>
  <c r="F2554" i="3"/>
  <c r="F2555" i="3"/>
  <c r="F2556" i="3"/>
  <c r="F2557" i="3"/>
  <c r="F2558" i="3"/>
  <c r="F2559" i="3"/>
  <c r="F2560" i="3"/>
  <c r="F2561" i="3"/>
  <c r="F2562" i="3"/>
  <c r="F2563" i="3"/>
  <c r="F2542" i="3"/>
  <c r="F2543" i="3"/>
  <c r="F2544" i="3"/>
  <c r="F2545" i="3"/>
  <c r="F2546" i="3"/>
  <c r="F2547" i="3"/>
  <c r="F2548" i="3"/>
  <c r="F2549" i="3"/>
  <c r="F2550" i="3"/>
  <c r="F2551" i="3"/>
  <c r="F2552" i="3"/>
  <c r="F2531" i="3"/>
  <c r="F2532" i="3"/>
  <c r="F2533" i="3"/>
  <c r="F2534" i="3"/>
  <c r="F2535" i="3"/>
  <c r="F2536" i="3"/>
  <c r="F2537" i="3"/>
  <c r="F2538" i="3"/>
  <c r="F2539" i="3"/>
  <c r="F2540" i="3"/>
  <c r="F2541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284" i="3" l="1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51" i="3"/>
  <c r="F646" i="3"/>
  <c r="F647" i="3"/>
  <c r="F648" i="3"/>
  <c r="F649" i="3"/>
  <c r="F650" i="3"/>
  <c r="F652" i="3"/>
  <c r="F653" i="3"/>
  <c r="F654" i="3"/>
  <c r="F655" i="3"/>
  <c r="F656" i="3"/>
  <c r="F657" i="3"/>
  <c r="F658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72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33" i="3"/>
  <c r="F34" i="3"/>
  <c r="F35" i="3"/>
  <c r="F36" i="3"/>
  <c r="F37" i="3"/>
  <c r="F38" i="3"/>
  <c r="F39" i="3"/>
  <c r="F40" i="3"/>
  <c r="F41" i="3"/>
  <c r="F42" i="3"/>
  <c r="F43" i="3"/>
  <c r="F15" i="3"/>
  <c r="F4" i="3"/>
  <c r="F26" i="3"/>
  <c r="F22" i="3"/>
  <c r="F23" i="3"/>
  <c r="F24" i="3"/>
  <c r="F25" i="3"/>
  <c r="F27" i="3"/>
  <c r="F28" i="3"/>
  <c r="F29" i="3"/>
  <c r="F30" i="3"/>
  <c r="F31" i="3"/>
  <c r="F32" i="3"/>
  <c r="F14" i="3"/>
  <c r="F16" i="3"/>
  <c r="F17" i="3"/>
  <c r="F18" i="3"/>
  <c r="F19" i="3"/>
  <c r="F20" i="3"/>
  <c r="F21" i="3"/>
  <c r="F13" i="3"/>
  <c r="F2" i="3"/>
  <c r="F3" i="3"/>
  <c r="F5" i="3"/>
  <c r="F6" i="3"/>
  <c r="F7" i="3"/>
  <c r="F8" i="3"/>
  <c r="F9" i="3"/>
  <c r="F10" i="3"/>
  <c r="F11" i="3"/>
  <c r="F12" i="3"/>
</calcChain>
</file>

<file path=xl/sharedStrings.xml><?xml version="1.0" encoding="utf-8"?>
<sst xmlns="http://schemas.openxmlformats.org/spreadsheetml/2006/main" count="1614" uniqueCount="17">
  <si>
    <t>Group Number</t>
  </si>
  <si>
    <t xml:space="preserve">Avg. Yield </t>
  </si>
  <si>
    <t>Date</t>
  </si>
  <si>
    <t>Yield Difference</t>
  </si>
  <si>
    <t>Avg. Yield Yesterday</t>
  </si>
  <si>
    <t>Sütun1</t>
  </si>
  <si>
    <t>Milking Cow</t>
  </si>
  <si>
    <t>Total Cows</t>
  </si>
  <si>
    <t>Grup Numarası</t>
  </si>
  <si>
    <t>Toplam İnekler</t>
  </si>
  <si>
    <t>Ort. Verim Dün</t>
  </si>
  <si>
    <t>Avg Yield</t>
  </si>
  <si>
    <t>V1</t>
  </si>
  <si>
    <t>V2</t>
  </si>
  <si>
    <t>V3</t>
  </si>
  <si>
    <t>TOPLAM</t>
  </si>
  <si>
    <t>OKUNMAMA ARIZASI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</si>
</sst>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0.0"/>
    <numFmt numFmtId="166" formatCode="0.0%"/>
    <numFmt numFmtId="167" formatCode="_-* #,##0.00\ _₺_-;\-* #,##0.00\ _₺_-;_-* &quot;-&quot;??\ _₺_-;_-@_-"/>
    <numFmt numFmtId="168" formatCode="[$-F400]h:mm:ss\ AM/PM"/>
    <numFmt numFmtId="169" formatCode="[$-41F]mmmm\ yy;@"/>
    <numFmt numFmtId="170" formatCode="_-* #.##0.00\ _₺_-;\-* #.##0.00\ _₺_-;_-* &quot;-&quot;??\ _₺_-;_-@_-"/>
    <numFmt numFmtId="171" formatCode="dd/mm/yy"/>
  </numFmts>
  <fonts count="5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0"/>
      <name val="Arial"/>
      <family val="2"/>
    </font>
    <font>
      <b/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6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</borders>
  <cellStyleXfs count="3001">
    <xf numFmtId="0" fontId="0" fillId="0" borderId="0"/>
    <xf numFmtId="9" fontId="537" fillId="0" borderId="0" applyFont="0" applyFill="0" applyBorder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6" fillId="5" borderId="4" applyNumberFormat="0" applyAlignment="0" applyProtection="0"/>
    <xf numFmtId="0" fontId="547" fillId="6" borderId="5" applyNumberFormat="0" applyAlignment="0" applyProtection="0"/>
    <xf numFmtId="0" fontId="549" fillId="0" borderId="6" applyNumberFormat="0" applyFill="0" applyAlignment="0" applyProtection="0"/>
    <xf numFmtId="0" fontId="551" fillId="0" borderId="0" applyNumberFormat="0" applyFill="0" applyBorder="0" applyAlignment="0" applyProtection="0"/>
    <xf numFmtId="0" fontId="537" fillId="8" borderId="8" applyNumberFormat="0" applyFont="0" applyAlignment="0" applyProtection="0"/>
    <xf numFmtId="0" fontId="552" fillId="0" borderId="0" applyNumberFormat="0" applyFill="0" applyBorder="0" applyAlignment="0" applyProtection="0"/>
    <xf numFmtId="0" fontId="553" fillId="0" borderId="9" applyNumberFormat="0" applyFill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55" fillId="0" borderId="0"/>
    <xf numFmtId="9" fontId="555" fillId="0" borderId="0" applyFont="0" applyFill="0" applyBorder="0" applyAlignment="0" applyProtection="0"/>
    <xf numFmtId="0" fontId="556" fillId="4" borderId="0" applyNumberFormat="0" applyBorder="0" applyAlignment="0" applyProtection="0"/>
    <xf numFmtId="0" fontId="537" fillId="0" borderId="0"/>
    <xf numFmtId="0" fontId="557" fillId="0" borderId="0"/>
    <xf numFmtId="0" fontId="557" fillId="0" borderId="0"/>
    <xf numFmtId="0" fontId="555" fillId="0" borderId="0"/>
    <xf numFmtId="0" fontId="554" fillId="21" borderId="0" applyNumberFormat="0" applyBorder="0" applyAlignment="0" applyProtection="0"/>
    <xf numFmtId="0" fontId="554" fillId="21" borderId="0" applyNumberFormat="0" applyBorder="0" applyAlignment="0" applyProtection="0"/>
    <xf numFmtId="9" fontId="557" fillId="0" borderId="0" applyFont="0" applyFill="0" applyBorder="0" applyAlignment="0" applyProtection="0"/>
    <xf numFmtId="9" fontId="557" fillId="0" borderId="0" applyFont="0" applyFill="0" applyBorder="0" applyAlignment="0" applyProtection="0"/>
    <xf numFmtId="0" fontId="562" fillId="2" borderId="0" applyNumberFormat="0" applyBorder="0" applyAlignment="0" applyProtection="0"/>
    <xf numFmtId="0" fontId="563" fillId="3" borderId="0" applyNumberFormat="0" applyBorder="0" applyAlignment="0" applyProtection="0"/>
    <xf numFmtId="0" fontId="566" fillId="6" borderId="4" applyNumberFormat="0" applyAlignment="0" applyProtection="0"/>
    <xf numFmtId="0" fontId="568" fillId="7" borderId="7" applyNumberFormat="0" applyAlignment="0" applyProtection="0"/>
    <xf numFmtId="0" fontId="570" fillId="9" borderId="0" applyNumberFormat="0" applyBorder="0" applyAlignment="0" applyProtection="0"/>
    <xf numFmtId="0" fontId="570" fillId="13" borderId="0" applyNumberFormat="0" applyBorder="0" applyAlignment="0" applyProtection="0"/>
    <xf numFmtId="0" fontId="570" fillId="17" borderId="0" applyNumberFormat="0" applyBorder="0" applyAlignment="0" applyProtection="0"/>
    <xf numFmtId="0" fontId="570" fillId="21" borderId="0" applyNumberFormat="0" applyBorder="0" applyAlignment="0" applyProtection="0"/>
    <xf numFmtId="0" fontId="570" fillId="25" borderId="0" applyNumberFormat="0" applyBorder="0" applyAlignment="0" applyProtection="0"/>
    <xf numFmtId="0" fontId="570" fillId="29" borderId="0" applyNumberFormat="0" applyBorder="0" applyAlignment="0" applyProtection="0"/>
    <xf numFmtId="0" fontId="537" fillId="10" borderId="0" applyNumberFormat="0" applyBorder="0" applyAlignment="0" applyProtection="0"/>
    <xf numFmtId="0" fontId="537" fillId="14" borderId="0" applyNumberFormat="0" applyBorder="0" applyAlignment="0" applyProtection="0"/>
    <xf numFmtId="0" fontId="537" fillId="18" borderId="0" applyNumberFormat="0" applyBorder="0" applyAlignment="0" applyProtection="0"/>
    <xf numFmtId="0" fontId="537" fillId="22" borderId="0" applyNumberFormat="0" applyBorder="0" applyAlignment="0" applyProtection="0"/>
    <xf numFmtId="0" fontId="537" fillId="26" borderId="0" applyNumberFormat="0" applyBorder="0" applyAlignment="0" applyProtection="0"/>
    <xf numFmtId="0" fontId="537" fillId="30" borderId="0" applyNumberFormat="0" applyBorder="0" applyAlignment="0" applyProtection="0"/>
    <xf numFmtId="0" fontId="537" fillId="11" borderId="0" applyNumberFormat="0" applyBorder="0" applyAlignment="0" applyProtection="0"/>
    <xf numFmtId="0" fontId="537" fillId="15" borderId="0" applyNumberFormat="0" applyBorder="0" applyAlignment="0" applyProtection="0"/>
    <xf numFmtId="0" fontId="537" fillId="19" borderId="0" applyNumberFormat="0" applyBorder="0" applyAlignment="0" applyProtection="0"/>
    <xf numFmtId="0" fontId="537" fillId="23" borderId="0" applyNumberFormat="0" applyBorder="0" applyAlignment="0" applyProtection="0"/>
    <xf numFmtId="0" fontId="537" fillId="27" borderId="0" applyNumberFormat="0" applyBorder="0" applyAlignment="0" applyProtection="0"/>
    <xf numFmtId="0" fontId="537" fillId="31" borderId="0" applyNumberFormat="0" applyBorder="0" applyAlignment="0" applyProtection="0"/>
    <xf numFmtId="0" fontId="554" fillId="12" borderId="0" applyNumberFormat="0" applyBorder="0" applyAlignment="0" applyProtection="0"/>
    <xf numFmtId="0" fontId="554" fillId="16" borderId="0" applyNumberFormat="0" applyBorder="0" applyAlignment="0" applyProtection="0"/>
    <xf numFmtId="0" fontId="554" fillId="20" borderId="0" applyNumberFormat="0" applyBorder="0" applyAlignment="0" applyProtection="0"/>
    <xf numFmtId="0" fontId="554" fillId="24" borderId="0" applyNumberFormat="0" applyBorder="0" applyAlignment="0" applyProtection="0"/>
    <xf numFmtId="0" fontId="554" fillId="28" borderId="0" applyNumberFormat="0" applyBorder="0" applyAlignment="0" applyProtection="0"/>
    <xf numFmtId="0" fontId="554" fillId="32" borderId="0" applyNumberFormat="0" applyBorder="0" applyAlignment="0" applyProtection="0"/>
    <xf numFmtId="0" fontId="552" fillId="0" borderId="0" applyNumberFormat="0" applyFill="0" applyBorder="0" applyAlignment="0" applyProtection="0"/>
    <xf numFmtId="0" fontId="571" fillId="0" borderId="0" applyNumberFormat="0" applyFill="0" applyBorder="0" applyAlignment="0" applyProtection="0"/>
    <xf numFmtId="0" fontId="549" fillId="0" borderId="6" applyNumberFormat="0" applyFill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7" fillId="6" borderId="5" applyNumberFormat="0" applyAlignment="0" applyProtection="0"/>
    <xf numFmtId="0" fontId="546" fillId="5" borderId="4" applyNumberFormat="0" applyAlignment="0" applyProtection="0"/>
    <xf numFmtId="0" fontId="548" fillId="6" borderId="4" applyNumberFormat="0" applyAlignment="0" applyProtection="0"/>
    <xf numFmtId="0" fontId="550" fillId="7" borderId="7" applyNumberFormat="0" applyAlignment="0" applyProtection="0"/>
    <xf numFmtId="0" fontId="544" fillId="2" borderId="0" applyNumberFormat="0" applyBorder="0" applyAlignment="0" applyProtection="0"/>
    <xf numFmtId="0" fontId="545" fillId="3" borderId="0" applyNumberFormat="0" applyBorder="0" applyAlignment="0" applyProtection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37" fillId="8" borderId="8" applyNumberFormat="0" applyFont="0" applyAlignment="0" applyProtection="0"/>
    <xf numFmtId="0" fontId="572" fillId="4" borderId="0" applyNumberFormat="0" applyBorder="0" applyAlignment="0" applyProtection="0"/>
    <xf numFmtId="0" fontId="553" fillId="0" borderId="9" applyNumberFormat="0" applyFill="0" applyAlignment="0" applyProtection="0"/>
    <xf numFmtId="0" fontId="551" fillId="0" borderId="0" applyNumberFormat="0" applyFill="0" applyBorder="0" applyAlignment="0" applyProtection="0"/>
    <xf numFmtId="0" fontId="554" fillId="9" borderId="0" applyNumberFormat="0" applyBorder="0" applyAlignment="0" applyProtection="0"/>
    <xf numFmtId="0" fontId="554" fillId="13" borderId="0" applyNumberFormat="0" applyBorder="0" applyAlignment="0" applyProtection="0"/>
    <xf numFmtId="0" fontId="554" fillId="17" borderId="0" applyNumberFormat="0" applyBorder="0" applyAlignment="0" applyProtection="0"/>
    <xf numFmtId="0" fontId="554" fillId="25" borderId="0" applyNumberFormat="0" applyBorder="0" applyAlignment="0" applyProtection="0"/>
    <xf numFmtId="0" fontId="554" fillId="29" borderId="0" applyNumberFormat="0" applyBorder="0" applyAlignment="0" applyProtection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168" fontId="555" fillId="0" borderId="0"/>
    <xf numFmtId="168" fontId="537" fillId="10" borderId="0" applyNumberFormat="0" applyBorder="0" applyAlignment="0" applyProtection="0"/>
    <xf numFmtId="168" fontId="537" fillId="14" borderId="0" applyNumberFormat="0" applyBorder="0" applyAlignment="0" applyProtection="0"/>
    <xf numFmtId="168" fontId="537" fillId="18" borderId="0" applyNumberFormat="0" applyBorder="0" applyAlignment="0" applyProtection="0"/>
    <xf numFmtId="168" fontId="537" fillId="22" borderId="0" applyNumberFormat="0" applyBorder="0" applyAlignment="0" applyProtection="0"/>
    <xf numFmtId="168" fontId="537" fillId="26" borderId="0" applyNumberFormat="0" applyBorder="0" applyAlignment="0" applyProtection="0"/>
    <xf numFmtId="168" fontId="537" fillId="30" borderId="0" applyNumberFormat="0" applyBorder="0" applyAlignment="0" applyProtection="0"/>
    <xf numFmtId="168" fontId="537" fillId="11" borderId="0" applyNumberFormat="0" applyBorder="0" applyAlignment="0" applyProtection="0"/>
    <xf numFmtId="168" fontId="537" fillId="15" borderId="0" applyNumberFormat="0" applyBorder="0" applyAlignment="0" applyProtection="0"/>
    <xf numFmtId="168" fontId="537" fillId="19" borderId="0" applyNumberFormat="0" applyBorder="0" applyAlignment="0" applyProtection="0"/>
    <xf numFmtId="168" fontId="537" fillId="23" borderId="0" applyNumberFormat="0" applyBorder="0" applyAlignment="0" applyProtection="0"/>
    <xf numFmtId="168" fontId="537" fillId="27" borderId="0" applyNumberFormat="0" applyBorder="0" applyAlignment="0" applyProtection="0"/>
    <xf numFmtId="168" fontId="537" fillId="31" borderId="0" applyNumberFormat="0" applyBorder="0" applyAlignment="0" applyProtection="0"/>
    <xf numFmtId="168" fontId="554" fillId="12" borderId="0" applyNumberFormat="0" applyBorder="0" applyAlignment="0" applyProtection="0"/>
    <xf numFmtId="168" fontId="554" fillId="16" borderId="0" applyNumberFormat="0" applyBorder="0" applyAlignment="0" applyProtection="0"/>
    <xf numFmtId="168" fontId="554" fillId="20" borderId="0" applyNumberFormat="0" applyBorder="0" applyAlignment="0" applyProtection="0"/>
    <xf numFmtId="168" fontId="554" fillId="24" borderId="0" applyNumberFormat="0" applyBorder="0" applyAlignment="0" applyProtection="0"/>
    <xf numFmtId="168" fontId="554" fillId="28" borderId="0" applyNumberFormat="0" applyBorder="0" applyAlignment="0" applyProtection="0"/>
    <xf numFmtId="168" fontId="554" fillId="32" borderId="0" applyNumberFormat="0" applyBorder="0" applyAlignment="0" applyProtection="0"/>
    <xf numFmtId="168" fontId="552" fillId="0" borderId="0" applyNumberFormat="0" applyFill="0" applyBorder="0" applyAlignment="0" applyProtection="0"/>
    <xf numFmtId="168" fontId="571" fillId="0" borderId="0" applyNumberFormat="0" applyFill="0" applyBorder="0" applyAlignment="0" applyProtection="0"/>
    <xf numFmtId="168" fontId="549" fillId="0" borderId="6" applyNumberFormat="0" applyFill="0" applyAlignment="0" applyProtection="0"/>
    <xf numFmtId="168" fontId="541" fillId="0" borderId="1" applyNumberFormat="0" applyFill="0" applyAlignment="0" applyProtection="0"/>
    <xf numFmtId="168" fontId="542" fillId="0" borderId="2" applyNumberFormat="0" applyFill="0" applyAlignment="0" applyProtection="0"/>
    <xf numFmtId="168" fontId="543" fillId="0" borderId="3" applyNumberFormat="0" applyFill="0" applyAlignment="0" applyProtection="0"/>
    <xf numFmtId="168" fontId="543" fillId="0" borderId="0" applyNumberFormat="0" applyFill="0" applyBorder="0" applyAlignment="0" applyProtection="0"/>
    <xf numFmtId="168" fontId="547" fillId="6" borderId="5" applyNumberFormat="0" applyAlignment="0" applyProtection="0"/>
    <xf numFmtId="168" fontId="546" fillId="5" borderId="4" applyNumberFormat="0" applyAlignment="0" applyProtection="0"/>
    <xf numFmtId="168" fontId="548" fillId="6" borderId="4" applyNumberFormat="0" applyAlignment="0" applyProtection="0"/>
    <xf numFmtId="168" fontId="550" fillId="7" borderId="7" applyNumberFormat="0" applyAlignment="0" applyProtection="0"/>
    <xf numFmtId="168" fontId="544" fillId="2" borderId="0" applyNumberFormat="0" applyBorder="0" applyAlignment="0" applyProtection="0"/>
    <xf numFmtId="168" fontId="545" fillId="3" borderId="0" applyNumberFormat="0" applyBorder="0" applyAlignment="0" applyProtection="0"/>
    <xf numFmtId="168" fontId="53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5" fillId="0" borderId="0"/>
    <xf numFmtId="168" fontId="537" fillId="8" borderId="8" applyNumberFormat="0" applyFont="0" applyAlignment="0" applyProtection="0"/>
    <xf numFmtId="168" fontId="572" fillId="4" borderId="0" applyNumberFormat="0" applyBorder="0" applyAlignment="0" applyProtection="0"/>
    <xf numFmtId="168" fontId="553" fillId="0" borderId="9" applyNumberFormat="0" applyFill="0" applyAlignment="0" applyProtection="0"/>
    <xf numFmtId="168" fontId="551" fillId="0" borderId="0" applyNumberFormat="0" applyFill="0" applyBorder="0" applyAlignment="0" applyProtection="0"/>
    <xf numFmtId="168" fontId="554" fillId="9" borderId="0" applyNumberFormat="0" applyBorder="0" applyAlignment="0" applyProtection="0"/>
    <xf numFmtId="168" fontId="554" fillId="13" borderId="0" applyNumberFormat="0" applyBorder="0" applyAlignment="0" applyProtection="0"/>
    <xf numFmtId="168" fontId="554" fillId="17" borderId="0" applyNumberFormat="0" applyBorder="0" applyAlignment="0" applyProtection="0"/>
    <xf numFmtId="168" fontId="554" fillId="21" borderId="0" applyNumberFormat="0" applyBorder="0" applyAlignment="0" applyProtection="0"/>
    <xf numFmtId="168" fontId="554" fillId="21" borderId="0" applyNumberFormat="0" applyBorder="0" applyAlignment="0" applyProtection="0"/>
    <xf numFmtId="168" fontId="554" fillId="25" borderId="0" applyNumberFormat="0" applyBorder="0" applyAlignment="0" applyProtection="0"/>
    <xf numFmtId="168" fontId="554" fillId="29" borderId="0" applyNumberFormat="0" applyBorder="0" applyAlignment="0" applyProtection="0"/>
    <xf numFmtId="168" fontId="555" fillId="0" borderId="0"/>
    <xf numFmtId="168" fontId="566" fillId="6" borderId="4" applyNumberFormat="0" applyAlignment="0" applyProtection="0"/>
    <xf numFmtId="168" fontId="558" fillId="0" borderId="0" applyNumberFormat="0" applyFill="0" applyBorder="0" applyAlignment="0" applyProtection="0"/>
    <xf numFmtId="168" fontId="559" fillId="0" borderId="1" applyNumberFormat="0" applyFill="0" applyAlignment="0" applyProtection="0"/>
    <xf numFmtId="168" fontId="560" fillId="0" borderId="2" applyNumberFormat="0" applyFill="0" applyAlignment="0" applyProtection="0"/>
    <xf numFmtId="168" fontId="561" fillId="0" borderId="3" applyNumberFormat="0" applyFill="0" applyAlignment="0" applyProtection="0"/>
    <xf numFmtId="168" fontId="561" fillId="0" borderId="0" applyNumberFormat="0" applyFill="0" applyBorder="0" applyAlignment="0" applyProtection="0"/>
    <xf numFmtId="168" fontId="562" fillId="2" borderId="0" applyNumberFormat="0" applyBorder="0" applyAlignment="0" applyProtection="0"/>
    <xf numFmtId="168" fontId="563" fillId="3" borderId="0" applyNumberFormat="0" applyBorder="0" applyAlignment="0" applyProtection="0"/>
    <xf numFmtId="168" fontId="556" fillId="4" borderId="0" applyNumberFormat="0" applyBorder="0" applyAlignment="0" applyProtection="0"/>
    <xf numFmtId="168" fontId="564" fillId="5" borderId="4" applyNumberFormat="0" applyAlignment="0" applyProtection="0"/>
    <xf numFmtId="168" fontId="565" fillId="6" borderId="5" applyNumberFormat="0" applyAlignment="0" applyProtection="0"/>
    <xf numFmtId="168" fontId="567" fillId="0" borderId="6" applyNumberFormat="0" applyFill="0" applyAlignment="0" applyProtection="0"/>
    <xf numFmtId="168" fontId="568" fillId="7" borderId="7" applyNumberFormat="0" applyAlignment="0" applyProtection="0"/>
    <xf numFmtId="168" fontId="539" fillId="0" borderId="0" applyNumberFormat="0" applyFill="0" applyBorder="0" applyAlignment="0" applyProtection="0"/>
    <xf numFmtId="168" fontId="555" fillId="8" borderId="8" applyNumberFormat="0" applyFont="0" applyAlignment="0" applyProtection="0"/>
    <xf numFmtId="168" fontId="569" fillId="0" borderId="0" applyNumberFormat="0" applyFill="0" applyBorder="0" applyAlignment="0" applyProtection="0"/>
    <xf numFmtId="168" fontId="538" fillId="0" borderId="9" applyNumberFormat="0" applyFill="0" applyAlignment="0" applyProtection="0"/>
    <xf numFmtId="168" fontId="570" fillId="9" borderId="0" applyNumberFormat="0" applyBorder="0" applyAlignment="0" applyProtection="0"/>
    <xf numFmtId="168" fontId="555" fillId="10" borderId="0" applyNumberFormat="0" applyBorder="0" applyAlignment="0" applyProtection="0"/>
    <xf numFmtId="168" fontId="555" fillId="11" borderId="0" applyNumberFormat="0" applyBorder="0" applyAlignment="0" applyProtection="0"/>
    <xf numFmtId="168" fontId="570" fillId="12" borderId="0" applyNumberFormat="0" applyBorder="0" applyAlignment="0" applyProtection="0"/>
    <xf numFmtId="168" fontId="570" fillId="13" borderId="0" applyNumberFormat="0" applyBorder="0" applyAlignment="0" applyProtection="0"/>
    <xf numFmtId="168" fontId="555" fillId="14" borderId="0" applyNumberFormat="0" applyBorder="0" applyAlignment="0" applyProtection="0"/>
    <xf numFmtId="168" fontId="555" fillId="15" borderId="0" applyNumberFormat="0" applyBorder="0" applyAlignment="0" applyProtection="0"/>
    <xf numFmtId="168" fontId="570" fillId="16" borderId="0" applyNumberFormat="0" applyBorder="0" applyAlignment="0" applyProtection="0"/>
    <xf numFmtId="168" fontId="570" fillId="17" borderId="0" applyNumberFormat="0" applyBorder="0" applyAlignment="0" applyProtection="0"/>
    <xf numFmtId="168" fontId="555" fillId="18" borderId="0" applyNumberFormat="0" applyBorder="0" applyAlignment="0" applyProtection="0"/>
    <xf numFmtId="168" fontId="555" fillId="19" borderId="0" applyNumberFormat="0" applyBorder="0" applyAlignment="0" applyProtection="0"/>
    <xf numFmtId="168" fontId="570" fillId="20" borderId="0" applyNumberFormat="0" applyBorder="0" applyAlignment="0" applyProtection="0"/>
    <xf numFmtId="168" fontId="570" fillId="21" borderId="0" applyNumberFormat="0" applyBorder="0" applyAlignment="0" applyProtection="0"/>
    <xf numFmtId="168" fontId="555" fillId="22" borderId="0" applyNumberFormat="0" applyBorder="0" applyAlignment="0" applyProtection="0"/>
    <xf numFmtId="168" fontId="555" fillId="23" borderId="0" applyNumberFormat="0" applyBorder="0" applyAlignment="0" applyProtection="0"/>
    <xf numFmtId="168" fontId="570" fillId="24" borderId="0" applyNumberFormat="0" applyBorder="0" applyAlignment="0" applyProtection="0"/>
    <xf numFmtId="168" fontId="570" fillId="25" borderId="0" applyNumberFormat="0" applyBorder="0" applyAlignment="0" applyProtection="0"/>
    <xf numFmtId="168" fontId="555" fillId="26" borderId="0" applyNumberFormat="0" applyBorder="0" applyAlignment="0" applyProtection="0"/>
    <xf numFmtId="168" fontId="555" fillId="27" borderId="0" applyNumberFormat="0" applyBorder="0" applyAlignment="0" applyProtection="0"/>
    <xf numFmtId="168" fontId="570" fillId="28" borderId="0" applyNumberFormat="0" applyBorder="0" applyAlignment="0" applyProtection="0"/>
    <xf numFmtId="168" fontId="570" fillId="29" borderId="0" applyNumberFormat="0" applyBorder="0" applyAlignment="0" applyProtection="0"/>
    <xf numFmtId="168" fontId="555" fillId="30" borderId="0" applyNumberFormat="0" applyBorder="0" applyAlignment="0" applyProtection="0"/>
    <xf numFmtId="168" fontId="555" fillId="31" borderId="0" applyNumberFormat="0" applyBorder="0" applyAlignment="0" applyProtection="0"/>
    <xf numFmtId="168" fontId="570" fillId="32" borderId="0" applyNumberFormat="0" applyBorder="0" applyAlignment="0" applyProtection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55" fillId="0" borderId="0"/>
    <xf numFmtId="0" fontId="555" fillId="0" borderId="0"/>
    <xf numFmtId="0" fontId="554" fillId="21" borderId="0" applyNumberFormat="0" applyBorder="0" applyAlignment="0" applyProtection="0"/>
    <xf numFmtId="0" fontId="562" fillId="2" borderId="0" applyNumberFormat="0" applyBorder="0" applyAlignment="0" applyProtection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37" fillId="10" borderId="0" applyNumberFormat="0" applyBorder="0" applyAlignment="0" applyProtection="0"/>
    <xf numFmtId="0" fontId="537" fillId="14" borderId="0" applyNumberFormat="0" applyBorder="0" applyAlignment="0" applyProtection="0"/>
    <xf numFmtId="0" fontId="537" fillId="18" borderId="0" applyNumberFormat="0" applyBorder="0" applyAlignment="0" applyProtection="0"/>
    <xf numFmtId="0" fontId="537" fillId="22" borderId="0" applyNumberFormat="0" applyBorder="0" applyAlignment="0" applyProtection="0"/>
    <xf numFmtId="0" fontId="537" fillId="26" borderId="0" applyNumberFormat="0" applyBorder="0" applyAlignment="0" applyProtection="0"/>
    <xf numFmtId="0" fontId="537" fillId="30" borderId="0" applyNumberFormat="0" applyBorder="0" applyAlignment="0" applyProtection="0"/>
    <xf numFmtId="0" fontId="537" fillId="11" borderId="0" applyNumberFormat="0" applyBorder="0" applyAlignment="0" applyProtection="0"/>
    <xf numFmtId="0" fontId="537" fillId="15" borderId="0" applyNumberFormat="0" applyBorder="0" applyAlignment="0" applyProtection="0"/>
    <xf numFmtId="0" fontId="537" fillId="19" borderId="0" applyNumberFormat="0" applyBorder="0" applyAlignment="0" applyProtection="0"/>
    <xf numFmtId="0" fontId="537" fillId="23" borderId="0" applyNumberFormat="0" applyBorder="0" applyAlignment="0" applyProtection="0"/>
    <xf numFmtId="0" fontId="537" fillId="27" borderId="0" applyNumberFormat="0" applyBorder="0" applyAlignment="0" applyProtection="0"/>
    <xf numFmtId="0" fontId="537" fillId="31" borderId="0" applyNumberFormat="0" applyBorder="0" applyAlignment="0" applyProtection="0"/>
    <xf numFmtId="0" fontId="554" fillId="12" borderId="0" applyNumberFormat="0" applyBorder="0" applyAlignment="0" applyProtection="0"/>
    <xf numFmtId="0" fontId="554" fillId="16" borderId="0" applyNumberFormat="0" applyBorder="0" applyAlignment="0" applyProtection="0"/>
    <xf numFmtId="0" fontId="554" fillId="20" borderId="0" applyNumberFormat="0" applyBorder="0" applyAlignment="0" applyProtection="0"/>
    <xf numFmtId="0" fontId="554" fillId="24" borderId="0" applyNumberFormat="0" applyBorder="0" applyAlignment="0" applyProtection="0"/>
    <xf numFmtId="0" fontId="554" fillId="28" borderId="0" applyNumberFormat="0" applyBorder="0" applyAlignment="0" applyProtection="0"/>
    <xf numFmtId="0" fontId="554" fillId="32" borderId="0" applyNumberFormat="0" applyBorder="0" applyAlignment="0" applyProtection="0"/>
    <xf numFmtId="0" fontId="552" fillId="0" borderId="0" applyNumberFormat="0" applyFill="0" applyBorder="0" applyAlignment="0" applyProtection="0"/>
    <xf numFmtId="0" fontId="571" fillId="0" borderId="0" applyNumberFormat="0" applyFill="0" applyBorder="0" applyAlignment="0" applyProtection="0"/>
    <xf numFmtId="0" fontId="549" fillId="0" borderId="6" applyNumberFormat="0" applyFill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7" fillId="6" borderId="5" applyNumberFormat="0" applyAlignment="0" applyProtection="0"/>
    <xf numFmtId="0" fontId="546" fillId="5" borderId="4" applyNumberFormat="0" applyAlignment="0" applyProtection="0"/>
    <xf numFmtId="0" fontId="548" fillId="6" borderId="4" applyNumberFormat="0" applyAlignment="0" applyProtection="0"/>
    <xf numFmtId="0" fontId="550" fillId="7" borderId="7" applyNumberFormat="0" applyAlignment="0" applyProtection="0"/>
    <xf numFmtId="0" fontId="544" fillId="2" borderId="0" applyNumberFormat="0" applyBorder="0" applyAlignment="0" applyProtection="0"/>
    <xf numFmtId="0" fontId="545" fillId="3" borderId="0" applyNumberFormat="0" applyBorder="0" applyAlignment="0" applyProtection="0"/>
    <xf numFmtId="0" fontId="53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5" fillId="0" borderId="0"/>
    <xf numFmtId="0" fontId="537" fillId="8" borderId="8" applyNumberFormat="0" applyFont="0" applyAlignment="0" applyProtection="0"/>
    <xf numFmtId="0" fontId="572" fillId="4" borderId="0" applyNumberFormat="0" applyBorder="0" applyAlignment="0" applyProtection="0"/>
    <xf numFmtId="0" fontId="553" fillId="0" borderId="9" applyNumberFormat="0" applyFill="0" applyAlignment="0" applyProtection="0"/>
    <xf numFmtId="0" fontId="551" fillId="0" borderId="0" applyNumberFormat="0" applyFill="0" applyBorder="0" applyAlignment="0" applyProtection="0"/>
    <xf numFmtId="0" fontId="554" fillId="9" borderId="0" applyNumberFormat="0" applyBorder="0" applyAlignment="0" applyProtection="0"/>
    <xf numFmtId="0" fontId="554" fillId="13" borderId="0" applyNumberFormat="0" applyBorder="0" applyAlignment="0" applyProtection="0"/>
    <xf numFmtId="0" fontId="554" fillId="17" borderId="0" applyNumberFormat="0" applyBorder="0" applyAlignment="0" applyProtection="0"/>
    <xf numFmtId="0" fontId="554" fillId="21" borderId="0" applyNumberFormat="0" applyBorder="0" applyAlignment="0" applyProtection="0"/>
    <xf numFmtId="0" fontId="554" fillId="25" borderId="0" applyNumberFormat="0" applyBorder="0" applyAlignment="0" applyProtection="0"/>
    <xf numFmtId="0" fontId="554" fillId="29" borderId="0" applyNumberFormat="0" applyBorder="0" applyAlignment="0" applyProtection="0"/>
    <xf numFmtId="0" fontId="573" fillId="0" borderId="0"/>
    <xf numFmtId="0" fontId="555" fillId="0" borderId="0"/>
    <xf numFmtId="168" fontId="555" fillId="0" borderId="0"/>
    <xf numFmtId="0" fontId="555" fillId="0" borderId="0"/>
    <xf numFmtId="0" fontId="555" fillId="0" borderId="0"/>
    <xf numFmtId="168" fontId="555" fillId="0" borderId="0"/>
    <xf numFmtId="0" fontId="555" fillId="0" borderId="0"/>
    <xf numFmtId="168" fontId="537" fillId="10" borderId="0" applyNumberFormat="0" applyBorder="0" applyAlignment="0" applyProtection="0"/>
    <xf numFmtId="168" fontId="537" fillId="10" borderId="0" applyNumberFormat="0" applyBorder="0" applyAlignment="0" applyProtection="0"/>
    <xf numFmtId="168" fontId="537" fillId="14" borderId="0" applyNumberFormat="0" applyBorder="0" applyAlignment="0" applyProtection="0"/>
    <xf numFmtId="168" fontId="537" fillId="18" borderId="0" applyNumberFormat="0" applyBorder="0" applyAlignment="0" applyProtection="0"/>
    <xf numFmtId="168" fontId="537" fillId="22" borderId="0" applyNumberFormat="0" applyBorder="0" applyAlignment="0" applyProtection="0"/>
    <xf numFmtId="168" fontId="537" fillId="26" borderId="0" applyNumberFormat="0" applyBorder="0" applyAlignment="0" applyProtection="0"/>
    <xf numFmtId="168" fontId="537" fillId="30" borderId="0" applyNumberFormat="0" applyBorder="0" applyAlignment="0" applyProtection="0"/>
    <xf numFmtId="168" fontId="537" fillId="11" borderId="0" applyNumberFormat="0" applyBorder="0" applyAlignment="0" applyProtection="0"/>
    <xf numFmtId="168" fontId="537" fillId="15" borderId="0" applyNumberFormat="0" applyBorder="0" applyAlignment="0" applyProtection="0"/>
    <xf numFmtId="168" fontId="537" fillId="19" borderId="0" applyNumberFormat="0" applyBorder="0" applyAlignment="0" applyProtection="0"/>
    <xf numFmtId="168" fontId="537" fillId="23" borderId="0" applyNumberFormat="0" applyBorder="0" applyAlignment="0" applyProtection="0"/>
    <xf numFmtId="168" fontId="537" fillId="27" borderId="0" applyNumberFormat="0" applyBorder="0" applyAlignment="0" applyProtection="0"/>
    <xf numFmtId="168" fontId="537" fillId="31" borderId="0" applyNumberFormat="0" applyBorder="0" applyAlignment="0" applyProtection="0"/>
    <xf numFmtId="168" fontId="554" fillId="12" borderId="0" applyNumberFormat="0" applyBorder="0" applyAlignment="0" applyProtection="0"/>
    <xf numFmtId="168" fontId="554" fillId="16" borderId="0" applyNumberFormat="0" applyBorder="0" applyAlignment="0" applyProtection="0"/>
    <xf numFmtId="168" fontId="554" fillId="20" borderId="0" applyNumberFormat="0" applyBorder="0" applyAlignment="0" applyProtection="0"/>
    <xf numFmtId="168" fontId="554" fillId="24" borderId="0" applyNumberFormat="0" applyBorder="0" applyAlignment="0" applyProtection="0"/>
    <xf numFmtId="168" fontId="554" fillId="28" borderId="0" applyNumberFormat="0" applyBorder="0" applyAlignment="0" applyProtection="0"/>
    <xf numFmtId="168" fontId="554" fillId="32" borderId="0" applyNumberFormat="0" applyBorder="0" applyAlignment="0" applyProtection="0"/>
    <xf numFmtId="168" fontId="552" fillId="0" borderId="0" applyNumberFormat="0" applyFill="0" applyBorder="0" applyAlignment="0" applyProtection="0"/>
    <xf numFmtId="168" fontId="571" fillId="0" borderId="0" applyNumberFormat="0" applyFill="0" applyBorder="0" applyAlignment="0" applyProtection="0"/>
    <xf numFmtId="168" fontId="549" fillId="0" borderId="6" applyNumberFormat="0" applyFill="0" applyAlignment="0" applyProtection="0"/>
    <xf numFmtId="168" fontId="541" fillId="0" borderId="1" applyNumberFormat="0" applyFill="0" applyAlignment="0" applyProtection="0"/>
    <xf numFmtId="168" fontId="542" fillId="0" borderId="2" applyNumberFormat="0" applyFill="0" applyAlignment="0" applyProtection="0"/>
    <xf numFmtId="168" fontId="543" fillId="0" borderId="3" applyNumberFormat="0" applyFill="0" applyAlignment="0" applyProtection="0"/>
    <xf numFmtId="168" fontId="543" fillId="0" borderId="0" applyNumberFormat="0" applyFill="0" applyBorder="0" applyAlignment="0" applyProtection="0"/>
    <xf numFmtId="168" fontId="547" fillId="6" borderId="5" applyNumberFormat="0" applyAlignment="0" applyProtection="0"/>
    <xf numFmtId="168" fontId="546" fillId="5" borderId="4" applyNumberFormat="0" applyAlignment="0" applyProtection="0"/>
    <xf numFmtId="168" fontId="548" fillId="6" borderId="4" applyNumberFormat="0" applyAlignment="0" applyProtection="0"/>
    <xf numFmtId="168" fontId="550" fillId="7" borderId="7" applyNumberFormat="0" applyAlignment="0" applyProtection="0"/>
    <xf numFmtId="168" fontId="544" fillId="2" borderId="0" applyNumberFormat="0" applyBorder="0" applyAlignment="0" applyProtection="0"/>
    <xf numFmtId="168" fontId="545" fillId="3" borderId="0" applyNumberFormat="0" applyBorder="0" applyAlignment="0" applyProtection="0"/>
    <xf numFmtId="168" fontId="53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5" fillId="0" borderId="0"/>
    <xf numFmtId="168" fontId="537" fillId="8" borderId="8" applyNumberFormat="0" applyFont="0" applyAlignment="0" applyProtection="0"/>
    <xf numFmtId="168" fontId="572" fillId="4" borderId="0" applyNumberFormat="0" applyBorder="0" applyAlignment="0" applyProtection="0"/>
    <xf numFmtId="168" fontId="553" fillId="0" borderId="9" applyNumberFormat="0" applyFill="0" applyAlignment="0" applyProtection="0"/>
    <xf numFmtId="168" fontId="551" fillId="0" borderId="0" applyNumberFormat="0" applyFill="0" applyBorder="0" applyAlignment="0" applyProtection="0"/>
    <xf numFmtId="168" fontId="554" fillId="9" borderId="0" applyNumberFormat="0" applyBorder="0" applyAlignment="0" applyProtection="0"/>
    <xf numFmtId="168" fontId="554" fillId="13" borderId="0" applyNumberFormat="0" applyBorder="0" applyAlignment="0" applyProtection="0"/>
    <xf numFmtId="168" fontId="554" fillId="17" borderId="0" applyNumberFormat="0" applyBorder="0" applyAlignment="0" applyProtection="0"/>
    <xf numFmtId="168" fontId="554" fillId="21" borderId="0" applyNumberFormat="0" applyBorder="0" applyAlignment="0" applyProtection="0"/>
    <xf numFmtId="168" fontId="554" fillId="21" borderId="0" applyNumberFormat="0" applyBorder="0" applyAlignment="0" applyProtection="0"/>
    <xf numFmtId="168" fontId="554" fillId="25" borderId="0" applyNumberFormat="0" applyBorder="0" applyAlignment="0" applyProtection="0"/>
    <xf numFmtId="168" fontId="554" fillId="29" borderId="0" applyNumberFormat="0" applyBorder="0" applyAlignment="0" applyProtection="0"/>
    <xf numFmtId="168" fontId="537" fillId="10" borderId="0" applyNumberFormat="0" applyBorder="0" applyAlignment="0" applyProtection="0"/>
    <xf numFmtId="168" fontId="566" fillId="6" borderId="4" applyNumberFormat="0" applyAlignment="0" applyProtection="0"/>
    <xf numFmtId="168" fontId="558" fillId="0" borderId="0" applyNumberFormat="0" applyFill="0" applyBorder="0" applyAlignment="0" applyProtection="0"/>
    <xf numFmtId="168" fontId="559" fillId="0" borderId="1" applyNumberFormat="0" applyFill="0" applyAlignment="0" applyProtection="0"/>
    <xf numFmtId="168" fontId="560" fillId="0" borderId="2" applyNumberFormat="0" applyFill="0" applyAlignment="0" applyProtection="0"/>
    <xf numFmtId="168" fontId="561" fillId="0" borderId="3" applyNumberFormat="0" applyFill="0" applyAlignment="0" applyProtection="0"/>
    <xf numFmtId="168" fontId="561" fillId="0" borderId="0" applyNumberFormat="0" applyFill="0" applyBorder="0" applyAlignment="0" applyProtection="0"/>
    <xf numFmtId="168" fontId="562" fillId="2" borderId="0" applyNumberFormat="0" applyBorder="0" applyAlignment="0" applyProtection="0"/>
    <xf numFmtId="168" fontId="563" fillId="3" borderId="0" applyNumberFormat="0" applyBorder="0" applyAlignment="0" applyProtection="0"/>
    <xf numFmtId="168" fontId="556" fillId="4" borderId="0" applyNumberFormat="0" applyBorder="0" applyAlignment="0" applyProtection="0"/>
    <xf numFmtId="168" fontId="564" fillId="5" borderId="4" applyNumberFormat="0" applyAlignment="0" applyProtection="0"/>
    <xf numFmtId="168" fontId="565" fillId="6" borderId="5" applyNumberFormat="0" applyAlignment="0" applyProtection="0"/>
    <xf numFmtId="168" fontId="567" fillId="0" borderId="6" applyNumberFormat="0" applyFill="0" applyAlignment="0" applyProtection="0"/>
    <xf numFmtId="168" fontId="568" fillId="7" borderId="7" applyNumberFormat="0" applyAlignment="0" applyProtection="0"/>
    <xf numFmtId="168" fontId="539" fillId="0" borderId="0" applyNumberFormat="0" applyFill="0" applyBorder="0" applyAlignment="0" applyProtection="0"/>
    <xf numFmtId="168" fontId="555" fillId="8" borderId="8" applyNumberFormat="0" applyFont="0" applyAlignment="0" applyProtection="0"/>
    <xf numFmtId="168" fontId="569" fillId="0" borderId="0" applyNumberFormat="0" applyFill="0" applyBorder="0" applyAlignment="0" applyProtection="0"/>
    <xf numFmtId="168" fontId="538" fillId="0" borderId="9" applyNumberFormat="0" applyFill="0" applyAlignment="0" applyProtection="0"/>
    <xf numFmtId="168" fontId="570" fillId="9" borderId="0" applyNumberFormat="0" applyBorder="0" applyAlignment="0" applyProtection="0"/>
    <xf numFmtId="168" fontId="555" fillId="10" borderId="0" applyNumberFormat="0" applyBorder="0" applyAlignment="0" applyProtection="0"/>
    <xf numFmtId="168" fontId="555" fillId="11" borderId="0" applyNumberFormat="0" applyBorder="0" applyAlignment="0" applyProtection="0"/>
    <xf numFmtId="168" fontId="570" fillId="12" borderId="0" applyNumberFormat="0" applyBorder="0" applyAlignment="0" applyProtection="0"/>
    <xf numFmtId="168" fontId="570" fillId="13" borderId="0" applyNumberFormat="0" applyBorder="0" applyAlignment="0" applyProtection="0"/>
    <xf numFmtId="168" fontId="555" fillId="14" borderId="0" applyNumberFormat="0" applyBorder="0" applyAlignment="0" applyProtection="0"/>
    <xf numFmtId="168" fontId="555" fillId="15" borderId="0" applyNumberFormat="0" applyBorder="0" applyAlignment="0" applyProtection="0"/>
    <xf numFmtId="168" fontId="570" fillId="16" borderId="0" applyNumberFormat="0" applyBorder="0" applyAlignment="0" applyProtection="0"/>
    <xf numFmtId="168" fontId="570" fillId="17" borderId="0" applyNumberFormat="0" applyBorder="0" applyAlignment="0" applyProtection="0"/>
    <xf numFmtId="168" fontId="555" fillId="18" borderId="0" applyNumberFormat="0" applyBorder="0" applyAlignment="0" applyProtection="0"/>
    <xf numFmtId="168" fontId="555" fillId="19" borderId="0" applyNumberFormat="0" applyBorder="0" applyAlignment="0" applyProtection="0"/>
    <xf numFmtId="168" fontId="570" fillId="20" borderId="0" applyNumberFormat="0" applyBorder="0" applyAlignment="0" applyProtection="0"/>
    <xf numFmtId="168" fontId="570" fillId="21" borderId="0" applyNumberFormat="0" applyBorder="0" applyAlignment="0" applyProtection="0"/>
    <xf numFmtId="168" fontId="555" fillId="22" borderId="0" applyNumberFormat="0" applyBorder="0" applyAlignment="0" applyProtection="0"/>
    <xf numFmtId="168" fontId="555" fillId="23" borderId="0" applyNumberFormat="0" applyBorder="0" applyAlignment="0" applyProtection="0"/>
    <xf numFmtId="168" fontId="570" fillId="24" borderId="0" applyNumberFormat="0" applyBorder="0" applyAlignment="0" applyProtection="0"/>
    <xf numFmtId="168" fontId="570" fillId="25" borderId="0" applyNumberFormat="0" applyBorder="0" applyAlignment="0" applyProtection="0"/>
    <xf numFmtId="168" fontId="555" fillId="26" borderId="0" applyNumberFormat="0" applyBorder="0" applyAlignment="0" applyProtection="0"/>
    <xf numFmtId="168" fontId="555" fillId="27" borderId="0" applyNumberFormat="0" applyBorder="0" applyAlignment="0" applyProtection="0"/>
    <xf numFmtId="168" fontId="570" fillId="28" borderId="0" applyNumberFormat="0" applyBorder="0" applyAlignment="0" applyProtection="0"/>
    <xf numFmtId="168" fontId="570" fillId="29" borderId="0" applyNumberFormat="0" applyBorder="0" applyAlignment="0" applyProtection="0"/>
    <xf numFmtId="168" fontId="555" fillId="30" borderId="0" applyNumberFormat="0" applyBorder="0" applyAlignment="0" applyProtection="0"/>
    <xf numFmtId="168" fontId="555" fillId="31" borderId="0" applyNumberFormat="0" applyBorder="0" applyAlignment="0" applyProtection="0"/>
    <xf numFmtId="168" fontId="570" fillId="32" borderId="0" applyNumberFormat="0" applyBorder="0" applyAlignment="0" applyProtection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37" fillId="22" borderId="0" applyNumberFormat="0" applyBorder="0" applyAlignment="0" applyProtection="0"/>
    <xf numFmtId="168" fontId="537" fillId="14" borderId="0" applyNumberFormat="0" applyBorder="0" applyAlignment="0" applyProtection="0"/>
    <xf numFmtId="0" fontId="555" fillId="0" borderId="0"/>
    <xf numFmtId="0" fontId="554" fillId="21" borderId="0" applyNumberFormat="0" applyBorder="0" applyAlignment="0" applyProtection="0"/>
    <xf numFmtId="0" fontId="562" fillId="2" borderId="0" applyNumberFormat="0" applyBorder="0" applyAlignment="0" applyProtection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37" fillId="10" borderId="0" applyNumberFormat="0" applyBorder="0" applyAlignment="0" applyProtection="0"/>
    <xf numFmtId="0" fontId="537" fillId="14" borderId="0" applyNumberFormat="0" applyBorder="0" applyAlignment="0" applyProtection="0"/>
    <xf numFmtId="0" fontId="537" fillId="18" borderId="0" applyNumberFormat="0" applyBorder="0" applyAlignment="0" applyProtection="0"/>
    <xf numFmtId="0" fontId="537" fillId="22" borderId="0" applyNumberFormat="0" applyBorder="0" applyAlignment="0" applyProtection="0"/>
    <xf numFmtId="0" fontId="537" fillId="26" borderId="0" applyNumberFormat="0" applyBorder="0" applyAlignment="0" applyProtection="0"/>
    <xf numFmtId="0" fontId="537" fillId="30" borderId="0" applyNumberFormat="0" applyBorder="0" applyAlignment="0" applyProtection="0"/>
    <xf numFmtId="0" fontId="537" fillId="11" borderId="0" applyNumberFormat="0" applyBorder="0" applyAlignment="0" applyProtection="0"/>
    <xf numFmtId="0" fontId="537" fillId="15" borderId="0" applyNumberFormat="0" applyBorder="0" applyAlignment="0" applyProtection="0"/>
    <xf numFmtId="0" fontId="537" fillId="19" borderId="0" applyNumberFormat="0" applyBorder="0" applyAlignment="0" applyProtection="0"/>
    <xf numFmtId="0" fontId="537" fillId="23" borderId="0" applyNumberFormat="0" applyBorder="0" applyAlignment="0" applyProtection="0"/>
    <xf numFmtId="0" fontId="537" fillId="27" borderId="0" applyNumberFormat="0" applyBorder="0" applyAlignment="0" applyProtection="0"/>
    <xf numFmtId="0" fontId="537" fillId="31" borderId="0" applyNumberFormat="0" applyBorder="0" applyAlignment="0" applyProtection="0"/>
    <xf numFmtId="0" fontId="554" fillId="12" borderId="0" applyNumberFormat="0" applyBorder="0" applyAlignment="0" applyProtection="0"/>
    <xf numFmtId="0" fontId="554" fillId="16" borderId="0" applyNumberFormat="0" applyBorder="0" applyAlignment="0" applyProtection="0"/>
    <xf numFmtId="0" fontId="554" fillId="20" borderId="0" applyNumberFormat="0" applyBorder="0" applyAlignment="0" applyProtection="0"/>
    <xf numFmtId="0" fontId="554" fillId="24" borderId="0" applyNumberFormat="0" applyBorder="0" applyAlignment="0" applyProtection="0"/>
    <xf numFmtId="0" fontId="554" fillId="28" borderId="0" applyNumberFormat="0" applyBorder="0" applyAlignment="0" applyProtection="0"/>
    <xf numFmtId="0" fontId="554" fillId="32" borderId="0" applyNumberFormat="0" applyBorder="0" applyAlignment="0" applyProtection="0"/>
    <xf numFmtId="0" fontId="552" fillId="0" borderId="0" applyNumberFormat="0" applyFill="0" applyBorder="0" applyAlignment="0" applyProtection="0"/>
    <xf numFmtId="0" fontId="571" fillId="0" borderId="0" applyNumberFormat="0" applyFill="0" applyBorder="0" applyAlignment="0" applyProtection="0"/>
    <xf numFmtId="0" fontId="549" fillId="0" borderId="6" applyNumberFormat="0" applyFill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7" fillId="6" borderId="5" applyNumberFormat="0" applyAlignment="0" applyProtection="0"/>
    <xf numFmtId="0" fontId="546" fillId="5" borderId="4" applyNumberFormat="0" applyAlignment="0" applyProtection="0"/>
    <xf numFmtId="0" fontId="548" fillId="6" borderId="4" applyNumberFormat="0" applyAlignment="0" applyProtection="0"/>
    <xf numFmtId="0" fontId="550" fillId="7" borderId="7" applyNumberFormat="0" applyAlignment="0" applyProtection="0"/>
    <xf numFmtId="0" fontId="544" fillId="2" borderId="0" applyNumberFormat="0" applyBorder="0" applyAlignment="0" applyProtection="0"/>
    <xf numFmtId="0" fontId="545" fillId="3" borderId="0" applyNumberFormat="0" applyBorder="0" applyAlignment="0" applyProtection="0"/>
    <xf numFmtId="0" fontId="53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5" fillId="0" borderId="0"/>
    <xf numFmtId="0" fontId="537" fillId="8" borderId="8" applyNumberFormat="0" applyFont="0" applyAlignment="0" applyProtection="0"/>
    <xf numFmtId="0" fontId="572" fillId="4" borderId="0" applyNumberFormat="0" applyBorder="0" applyAlignment="0" applyProtection="0"/>
    <xf numFmtId="0" fontId="553" fillId="0" borderId="9" applyNumberFormat="0" applyFill="0" applyAlignment="0" applyProtection="0"/>
    <xf numFmtId="0" fontId="551" fillId="0" borderId="0" applyNumberFormat="0" applyFill="0" applyBorder="0" applyAlignment="0" applyProtection="0"/>
    <xf numFmtId="0" fontId="554" fillId="9" borderId="0" applyNumberFormat="0" applyBorder="0" applyAlignment="0" applyProtection="0"/>
    <xf numFmtId="0" fontId="554" fillId="13" borderId="0" applyNumberFormat="0" applyBorder="0" applyAlignment="0" applyProtection="0"/>
    <xf numFmtId="0" fontId="554" fillId="17" borderId="0" applyNumberFormat="0" applyBorder="0" applyAlignment="0" applyProtection="0"/>
    <xf numFmtId="0" fontId="554" fillId="21" borderId="0" applyNumberFormat="0" applyBorder="0" applyAlignment="0" applyProtection="0"/>
    <xf numFmtId="0" fontId="554" fillId="25" borderId="0" applyNumberFormat="0" applyBorder="0" applyAlignment="0" applyProtection="0"/>
    <xf numFmtId="0" fontId="554" fillId="29" borderId="0" applyNumberFormat="0" applyBorder="0" applyAlignment="0" applyProtection="0"/>
    <xf numFmtId="0" fontId="573" fillId="0" borderId="0"/>
    <xf numFmtId="0" fontId="555" fillId="0" borderId="0"/>
    <xf numFmtId="0" fontId="555" fillId="0" borderId="0"/>
    <xf numFmtId="168" fontId="537" fillId="18" borderId="0" applyNumberFormat="0" applyBorder="0" applyAlignment="0" applyProtection="0"/>
    <xf numFmtId="0" fontId="555" fillId="0" borderId="0"/>
    <xf numFmtId="0" fontId="555" fillId="0" borderId="0"/>
    <xf numFmtId="0" fontId="555" fillId="0" borderId="0"/>
    <xf numFmtId="168" fontId="537" fillId="26" borderId="0" applyNumberFormat="0" applyBorder="0" applyAlignment="0" applyProtection="0"/>
    <xf numFmtId="168" fontId="537" fillId="30" borderId="0" applyNumberFormat="0" applyBorder="0" applyAlignment="0" applyProtection="0"/>
    <xf numFmtId="168" fontId="537" fillId="11" borderId="0" applyNumberFormat="0" applyBorder="0" applyAlignment="0" applyProtection="0"/>
    <xf numFmtId="168" fontId="537" fillId="15" borderId="0" applyNumberFormat="0" applyBorder="0" applyAlignment="0" applyProtection="0"/>
    <xf numFmtId="168" fontId="537" fillId="19" borderId="0" applyNumberFormat="0" applyBorder="0" applyAlignment="0" applyProtection="0"/>
    <xf numFmtId="168" fontId="537" fillId="23" borderId="0" applyNumberFormat="0" applyBorder="0" applyAlignment="0" applyProtection="0"/>
    <xf numFmtId="168" fontId="537" fillId="27" borderId="0" applyNumberFormat="0" applyBorder="0" applyAlignment="0" applyProtection="0"/>
    <xf numFmtId="168" fontId="537" fillId="31" borderId="0" applyNumberFormat="0" applyBorder="0" applyAlignment="0" applyProtection="0"/>
    <xf numFmtId="168" fontId="554" fillId="12" borderId="0" applyNumberFormat="0" applyBorder="0" applyAlignment="0" applyProtection="0"/>
    <xf numFmtId="168" fontId="554" fillId="16" borderId="0" applyNumberFormat="0" applyBorder="0" applyAlignment="0" applyProtection="0"/>
    <xf numFmtId="168" fontId="554" fillId="20" borderId="0" applyNumberFormat="0" applyBorder="0" applyAlignment="0" applyProtection="0"/>
    <xf numFmtId="168" fontId="554" fillId="24" borderId="0" applyNumberFormat="0" applyBorder="0" applyAlignment="0" applyProtection="0"/>
    <xf numFmtId="168" fontId="554" fillId="28" borderId="0" applyNumberFormat="0" applyBorder="0" applyAlignment="0" applyProtection="0"/>
    <xf numFmtId="168" fontId="554" fillId="32" borderId="0" applyNumberFormat="0" applyBorder="0" applyAlignment="0" applyProtection="0"/>
    <xf numFmtId="168" fontId="552" fillId="0" borderId="0" applyNumberFormat="0" applyFill="0" applyBorder="0" applyAlignment="0" applyProtection="0"/>
    <xf numFmtId="168" fontId="571" fillId="0" borderId="0" applyNumberFormat="0" applyFill="0" applyBorder="0" applyAlignment="0" applyProtection="0"/>
    <xf numFmtId="168" fontId="549" fillId="0" borderId="6" applyNumberFormat="0" applyFill="0" applyAlignment="0" applyProtection="0"/>
    <xf numFmtId="168" fontId="541" fillId="0" borderId="1" applyNumberFormat="0" applyFill="0" applyAlignment="0" applyProtection="0"/>
    <xf numFmtId="168" fontId="542" fillId="0" borderId="2" applyNumberFormat="0" applyFill="0" applyAlignment="0" applyProtection="0"/>
    <xf numFmtId="168" fontId="543" fillId="0" borderId="3" applyNumberFormat="0" applyFill="0" applyAlignment="0" applyProtection="0"/>
    <xf numFmtId="168" fontId="543" fillId="0" borderId="0" applyNumberFormat="0" applyFill="0" applyBorder="0" applyAlignment="0" applyProtection="0"/>
    <xf numFmtId="168" fontId="547" fillId="6" borderId="5" applyNumberFormat="0" applyAlignment="0" applyProtection="0"/>
    <xf numFmtId="168" fontId="546" fillId="5" borderId="4" applyNumberFormat="0" applyAlignment="0" applyProtection="0"/>
    <xf numFmtId="168" fontId="548" fillId="6" borderId="4" applyNumberFormat="0" applyAlignment="0" applyProtection="0"/>
    <xf numFmtId="168" fontId="550" fillId="7" borderId="7" applyNumberFormat="0" applyAlignment="0" applyProtection="0"/>
    <xf numFmtId="168" fontId="544" fillId="2" borderId="0" applyNumberFormat="0" applyBorder="0" applyAlignment="0" applyProtection="0"/>
    <xf numFmtId="168" fontId="545" fillId="3" borderId="0" applyNumberFormat="0" applyBorder="0" applyAlignment="0" applyProtection="0"/>
    <xf numFmtId="168" fontId="53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5" fillId="0" borderId="0"/>
    <xf numFmtId="168" fontId="537" fillId="18" borderId="0" applyNumberFormat="0" applyBorder="0" applyAlignment="0" applyProtection="0"/>
    <xf numFmtId="168" fontId="537" fillId="14" borderId="0" applyNumberFormat="0" applyBorder="0" applyAlignment="0" applyProtection="0"/>
    <xf numFmtId="168" fontId="537" fillId="8" borderId="8" applyNumberFormat="0" applyFont="0" applyAlignment="0" applyProtection="0"/>
    <xf numFmtId="168" fontId="572" fillId="4" borderId="0" applyNumberFormat="0" applyBorder="0" applyAlignment="0" applyProtection="0"/>
    <xf numFmtId="168" fontId="553" fillId="0" borderId="9" applyNumberFormat="0" applyFill="0" applyAlignment="0" applyProtection="0"/>
    <xf numFmtId="168" fontId="551" fillId="0" borderId="0" applyNumberFormat="0" applyFill="0" applyBorder="0" applyAlignment="0" applyProtection="0"/>
    <xf numFmtId="168" fontId="554" fillId="9" borderId="0" applyNumberFormat="0" applyBorder="0" applyAlignment="0" applyProtection="0"/>
    <xf numFmtId="168" fontId="554" fillId="13" borderId="0" applyNumberFormat="0" applyBorder="0" applyAlignment="0" applyProtection="0"/>
    <xf numFmtId="168" fontId="554" fillId="17" borderId="0" applyNumberFormat="0" applyBorder="0" applyAlignment="0" applyProtection="0"/>
    <xf numFmtId="168" fontId="554" fillId="21" borderId="0" applyNumberFormat="0" applyBorder="0" applyAlignment="0" applyProtection="0"/>
    <xf numFmtId="168" fontId="554" fillId="21" borderId="0" applyNumberFormat="0" applyBorder="0" applyAlignment="0" applyProtection="0"/>
    <xf numFmtId="168" fontId="554" fillId="25" borderId="0" applyNumberFormat="0" applyBorder="0" applyAlignment="0" applyProtection="0"/>
    <xf numFmtId="168" fontId="554" fillId="29" borderId="0" applyNumberFormat="0" applyBorder="0" applyAlignment="0" applyProtection="0"/>
    <xf numFmtId="168" fontId="566" fillId="6" borderId="4" applyNumberFormat="0" applyAlignment="0" applyProtection="0"/>
    <xf numFmtId="168" fontId="558" fillId="0" borderId="0" applyNumberFormat="0" applyFill="0" applyBorder="0" applyAlignment="0" applyProtection="0"/>
    <xf numFmtId="168" fontId="559" fillId="0" borderId="1" applyNumberFormat="0" applyFill="0" applyAlignment="0" applyProtection="0"/>
    <xf numFmtId="168" fontId="560" fillId="0" borderId="2" applyNumberFormat="0" applyFill="0" applyAlignment="0" applyProtection="0"/>
    <xf numFmtId="168" fontId="561" fillId="0" borderId="3" applyNumberFormat="0" applyFill="0" applyAlignment="0" applyProtection="0"/>
    <xf numFmtId="168" fontId="561" fillId="0" borderId="0" applyNumberFormat="0" applyFill="0" applyBorder="0" applyAlignment="0" applyProtection="0"/>
    <xf numFmtId="168" fontId="562" fillId="2" borderId="0" applyNumberFormat="0" applyBorder="0" applyAlignment="0" applyProtection="0"/>
    <xf numFmtId="168" fontId="563" fillId="3" borderId="0" applyNumberFormat="0" applyBorder="0" applyAlignment="0" applyProtection="0"/>
    <xf numFmtId="168" fontId="556" fillId="4" borderId="0" applyNumberFormat="0" applyBorder="0" applyAlignment="0" applyProtection="0"/>
    <xf numFmtId="168" fontId="564" fillId="5" borderId="4" applyNumberFormat="0" applyAlignment="0" applyProtection="0"/>
    <xf numFmtId="168" fontId="565" fillId="6" borderId="5" applyNumberFormat="0" applyAlignment="0" applyProtection="0"/>
    <xf numFmtId="168" fontId="567" fillId="0" borderId="6" applyNumberFormat="0" applyFill="0" applyAlignment="0" applyProtection="0"/>
    <xf numFmtId="168" fontId="568" fillId="7" borderId="7" applyNumberFormat="0" applyAlignment="0" applyProtection="0"/>
    <xf numFmtId="168" fontId="539" fillId="0" borderId="0" applyNumberFormat="0" applyFill="0" applyBorder="0" applyAlignment="0" applyProtection="0"/>
    <xf numFmtId="168" fontId="555" fillId="8" borderId="8" applyNumberFormat="0" applyFont="0" applyAlignment="0" applyProtection="0"/>
    <xf numFmtId="168" fontId="569" fillId="0" borderId="0" applyNumberFormat="0" applyFill="0" applyBorder="0" applyAlignment="0" applyProtection="0"/>
    <xf numFmtId="168" fontId="538" fillId="0" borderId="9" applyNumberFormat="0" applyFill="0" applyAlignment="0" applyProtection="0"/>
    <xf numFmtId="168" fontId="570" fillId="9" borderId="0" applyNumberFormat="0" applyBorder="0" applyAlignment="0" applyProtection="0"/>
    <xf numFmtId="168" fontId="555" fillId="10" borderId="0" applyNumberFormat="0" applyBorder="0" applyAlignment="0" applyProtection="0"/>
    <xf numFmtId="168" fontId="555" fillId="11" borderId="0" applyNumberFormat="0" applyBorder="0" applyAlignment="0" applyProtection="0"/>
    <xf numFmtId="168" fontId="570" fillId="12" borderId="0" applyNumberFormat="0" applyBorder="0" applyAlignment="0" applyProtection="0"/>
    <xf numFmtId="168" fontId="570" fillId="13" borderId="0" applyNumberFormat="0" applyBorder="0" applyAlignment="0" applyProtection="0"/>
    <xf numFmtId="168" fontId="555" fillId="14" borderId="0" applyNumberFormat="0" applyBorder="0" applyAlignment="0" applyProtection="0"/>
    <xf numFmtId="168" fontId="555" fillId="15" borderId="0" applyNumberFormat="0" applyBorder="0" applyAlignment="0" applyProtection="0"/>
    <xf numFmtId="168" fontId="570" fillId="16" borderId="0" applyNumberFormat="0" applyBorder="0" applyAlignment="0" applyProtection="0"/>
    <xf numFmtId="168" fontId="570" fillId="17" borderId="0" applyNumberFormat="0" applyBorder="0" applyAlignment="0" applyProtection="0"/>
    <xf numFmtId="168" fontId="555" fillId="18" borderId="0" applyNumberFormat="0" applyBorder="0" applyAlignment="0" applyProtection="0"/>
    <xf numFmtId="168" fontId="555" fillId="19" borderId="0" applyNumberFormat="0" applyBorder="0" applyAlignment="0" applyProtection="0"/>
    <xf numFmtId="168" fontId="570" fillId="20" borderId="0" applyNumberFormat="0" applyBorder="0" applyAlignment="0" applyProtection="0"/>
    <xf numFmtId="168" fontId="570" fillId="21" borderId="0" applyNumberFormat="0" applyBorder="0" applyAlignment="0" applyProtection="0"/>
    <xf numFmtId="168" fontId="555" fillId="22" borderId="0" applyNumberFormat="0" applyBorder="0" applyAlignment="0" applyProtection="0"/>
    <xf numFmtId="168" fontId="555" fillId="23" borderId="0" applyNumberFormat="0" applyBorder="0" applyAlignment="0" applyProtection="0"/>
    <xf numFmtId="168" fontId="570" fillId="24" borderId="0" applyNumberFormat="0" applyBorder="0" applyAlignment="0" applyProtection="0"/>
    <xf numFmtId="168" fontId="570" fillId="25" borderId="0" applyNumberFormat="0" applyBorder="0" applyAlignment="0" applyProtection="0"/>
    <xf numFmtId="168" fontId="555" fillId="26" borderId="0" applyNumberFormat="0" applyBorder="0" applyAlignment="0" applyProtection="0"/>
    <xf numFmtId="168" fontId="555" fillId="27" borderId="0" applyNumberFormat="0" applyBorder="0" applyAlignment="0" applyProtection="0"/>
    <xf numFmtId="168" fontId="570" fillId="28" borderId="0" applyNumberFormat="0" applyBorder="0" applyAlignment="0" applyProtection="0"/>
    <xf numFmtId="168" fontId="570" fillId="29" borderId="0" applyNumberFormat="0" applyBorder="0" applyAlignment="0" applyProtection="0"/>
    <xf numFmtId="168" fontId="555" fillId="30" borderId="0" applyNumberFormat="0" applyBorder="0" applyAlignment="0" applyProtection="0"/>
    <xf numFmtId="168" fontId="555" fillId="31" borderId="0" applyNumberFormat="0" applyBorder="0" applyAlignment="0" applyProtection="0"/>
    <xf numFmtId="168" fontId="570" fillId="32" borderId="0" applyNumberFormat="0" applyBorder="0" applyAlignment="0" applyProtection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37" fillId="30" borderId="0" applyNumberFormat="0" applyBorder="0" applyAlignment="0" applyProtection="0"/>
    <xf numFmtId="168" fontId="537" fillId="22" borderId="0" applyNumberFormat="0" applyBorder="0" applyAlignment="0" applyProtection="0"/>
    <xf numFmtId="0" fontId="555" fillId="0" borderId="0"/>
    <xf numFmtId="0" fontId="554" fillId="21" borderId="0" applyNumberFormat="0" applyBorder="0" applyAlignment="0" applyProtection="0"/>
    <xf numFmtId="0" fontId="562" fillId="2" borderId="0" applyNumberFormat="0" applyBorder="0" applyAlignment="0" applyProtection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37" fillId="10" borderId="0" applyNumberFormat="0" applyBorder="0" applyAlignment="0" applyProtection="0"/>
    <xf numFmtId="0" fontId="537" fillId="14" borderId="0" applyNumberFormat="0" applyBorder="0" applyAlignment="0" applyProtection="0"/>
    <xf numFmtId="0" fontId="537" fillId="18" borderId="0" applyNumberFormat="0" applyBorder="0" applyAlignment="0" applyProtection="0"/>
    <xf numFmtId="0" fontId="537" fillId="22" borderId="0" applyNumberFormat="0" applyBorder="0" applyAlignment="0" applyProtection="0"/>
    <xf numFmtId="0" fontId="537" fillId="26" borderId="0" applyNumberFormat="0" applyBorder="0" applyAlignment="0" applyProtection="0"/>
    <xf numFmtId="0" fontId="537" fillId="30" borderId="0" applyNumberFormat="0" applyBorder="0" applyAlignment="0" applyProtection="0"/>
    <xf numFmtId="0" fontId="537" fillId="11" borderId="0" applyNumberFormat="0" applyBorder="0" applyAlignment="0" applyProtection="0"/>
    <xf numFmtId="0" fontId="537" fillId="15" borderId="0" applyNumberFormat="0" applyBorder="0" applyAlignment="0" applyProtection="0"/>
    <xf numFmtId="0" fontId="537" fillId="19" borderId="0" applyNumberFormat="0" applyBorder="0" applyAlignment="0" applyProtection="0"/>
    <xf numFmtId="0" fontId="537" fillId="23" borderId="0" applyNumberFormat="0" applyBorder="0" applyAlignment="0" applyProtection="0"/>
    <xf numFmtId="0" fontId="537" fillId="27" borderId="0" applyNumberFormat="0" applyBorder="0" applyAlignment="0" applyProtection="0"/>
    <xf numFmtId="0" fontId="537" fillId="31" borderId="0" applyNumberFormat="0" applyBorder="0" applyAlignment="0" applyProtection="0"/>
    <xf numFmtId="0" fontId="554" fillId="12" borderId="0" applyNumberFormat="0" applyBorder="0" applyAlignment="0" applyProtection="0"/>
    <xf numFmtId="0" fontId="554" fillId="16" borderId="0" applyNumberFormat="0" applyBorder="0" applyAlignment="0" applyProtection="0"/>
    <xf numFmtId="0" fontId="554" fillId="20" borderId="0" applyNumberFormat="0" applyBorder="0" applyAlignment="0" applyProtection="0"/>
    <xf numFmtId="0" fontId="554" fillId="24" borderId="0" applyNumberFormat="0" applyBorder="0" applyAlignment="0" applyProtection="0"/>
    <xf numFmtId="0" fontId="554" fillId="28" borderId="0" applyNumberFormat="0" applyBorder="0" applyAlignment="0" applyProtection="0"/>
    <xf numFmtId="0" fontId="554" fillId="32" borderId="0" applyNumberFormat="0" applyBorder="0" applyAlignment="0" applyProtection="0"/>
    <xf numFmtId="0" fontId="552" fillId="0" borderId="0" applyNumberFormat="0" applyFill="0" applyBorder="0" applyAlignment="0" applyProtection="0"/>
    <xf numFmtId="0" fontId="571" fillId="0" borderId="0" applyNumberFormat="0" applyFill="0" applyBorder="0" applyAlignment="0" applyProtection="0"/>
    <xf numFmtId="0" fontId="549" fillId="0" borderId="6" applyNumberFormat="0" applyFill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7" fillId="6" borderId="5" applyNumberFormat="0" applyAlignment="0" applyProtection="0"/>
    <xf numFmtId="0" fontId="546" fillId="5" borderId="4" applyNumberFormat="0" applyAlignment="0" applyProtection="0"/>
    <xf numFmtId="0" fontId="548" fillId="6" borderId="4" applyNumberFormat="0" applyAlignment="0" applyProtection="0"/>
    <xf numFmtId="0" fontId="550" fillId="7" borderId="7" applyNumberFormat="0" applyAlignment="0" applyProtection="0"/>
    <xf numFmtId="0" fontId="544" fillId="2" borderId="0" applyNumberFormat="0" applyBorder="0" applyAlignment="0" applyProtection="0"/>
    <xf numFmtId="0" fontId="545" fillId="3" borderId="0" applyNumberFormat="0" applyBorder="0" applyAlignment="0" applyProtection="0"/>
    <xf numFmtId="0" fontId="53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5" fillId="0" borderId="0"/>
    <xf numFmtId="0" fontId="537" fillId="8" borderId="8" applyNumberFormat="0" applyFont="0" applyAlignment="0" applyProtection="0"/>
    <xf numFmtId="0" fontId="572" fillId="4" borderId="0" applyNumberFormat="0" applyBorder="0" applyAlignment="0" applyProtection="0"/>
    <xf numFmtId="0" fontId="553" fillId="0" borderId="9" applyNumberFormat="0" applyFill="0" applyAlignment="0" applyProtection="0"/>
    <xf numFmtId="0" fontId="551" fillId="0" borderId="0" applyNumberFormat="0" applyFill="0" applyBorder="0" applyAlignment="0" applyProtection="0"/>
    <xf numFmtId="0" fontId="554" fillId="9" borderId="0" applyNumberFormat="0" applyBorder="0" applyAlignment="0" applyProtection="0"/>
    <xf numFmtId="0" fontId="554" fillId="13" borderId="0" applyNumberFormat="0" applyBorder="0" applyAlignment="0" applyProtection="0"/>
    <xf numFmtId="0" fontId="554" fillId="17" borderId="0" applyNumberFormat="0" applyBorder="0" applyAlignment="0" applyProtection="0"/>
    <xf numFmtId="0" fontId="554" fillId="21" borderId="0" applyNumberFormat="0" applyBorder="0" applyAlignment="0" applyProtection="0"/>
    <xf numFmtId="0" fontId="554" fillId="25" borderId="0" applyNumberFormat="0" applyBorder="0" applyAlignment="0" applyProtection="0"/>
    <xf numFmtId="0" fontId="554" fillId="29" borderId="0" applyNumberFormat="0" applyBorder="0" applyAlignment="0" applyProtection="0"/>
    <xf numFmtId="0" fontId="573" fillId="0" borderId="0"/>
    <xf numFmtId="0" fontId="555" fillId="0" borderId="0"/>
    <xf numFmtId="0" fontId="555" fillId="0" borderId="0"/>
    <xf numFmtId="168" fontId="537" fillId="26" borderId="0" applyNumberFormat="0" applyBorder="0" applyAlignment="0" applyProtection="0"/>
    <xf numFmtId="0" fontId="555" fillId="0" borderId="0"/>
    <xf numFmtId="0" fontId="555" fillId="0" borderId="0"/>
    <xf numFmtId="0" fontId="555" fillId="0" borderId="0"/>
    <xf numFmtId="168" fontId="537" fillId="11" borderId="0" applyNumberFormat="0" applyBorder="0" applyAlignment="0" applyProtection="0"/>
    <xf numFmtId="168" fontId="537" fillId="15" borderId="0" applyNumberFormat="0" applyBorder="0" applyAlignment="0" applyProtection="0"/>
    <xf numFmtId="168" fontId="537" fillId="19" borderId="0" applyNumberFormat="0" applyBorder="0" applyAlignment="0" applyProtection="0"/>
    <xf numFmtId="168" fontId="537" fillId="23" borderId="0" applyNumberFormat="0" applyBorder="0" applyAlignment="0" applyProtection="0"/>
    <xf numFmtId="168" fontId="537" fillId="27" borderId="0" applyNumberFormat="0" applyBorder="0" applyAlignment="0" applyProtection="0"/>
    <xf numFmtId="168" fontId="537" fillId="31" borderId="0" applyNumberFormat="0" applyBorder="0" applyAlignment="0" applyProtection="0"/>
    <xf numFmtId="168" fontId="554" fillId="12" borderId="0" applyNumberFormat="0" applyBorder="0" applyAlignment="0" applyProtection="0"/>
    <xf numFmtId="168" fontId="554" fillId="16" borderId="0" applyNumberFormat="0" applyBorder="0" applyAlignment="0" applyProtection="0"/>
    <xf numFmtId="168" fontId="554" fillId="20" borderId="0" applyNumberFormat="0" applyBorder="0" applyAlignment="0" applyProtection="0"/>
    <xf numFmtId="168" fontId="554" fillId="24" borderId="0" applyNumberFormat="0" applyBorder="0" applyAlignment="0" applyProtection="0"/>
    <xf numFmtId="168" fontId="554" fillId="28" borderId="0" applyNumberFormat="0" applyBorder="0" applyAlignment="0" applyProtection="0"/>
    <xf numFmtId="168" fontId="554" fillId="32" borderId="0" applyNumberFormat="0" applyBorder="0" applyAlignment="0" applyProtection="0"/>
    <xf numFmtId="168" fontId="552" fillId="0" borderId="0" applyNumberFormat="0" applyFill="0" applyBorder="0" applyAlignment="0" applyProtection="0"/>
    <xf numFmtId="168" fontId="571" fillId="0" borderId="0" applyNumberFormat="0" applyFill="0" applyBorder="0" applyAlignment="0" applyProtection="0"/>
    <xf numFmtId="168" fontId="549" fillId="0" borderId="6" applyNumberFormat="0" applyFill="0" applyAlignment="0" applyProtection="0"/>
    <xf numFmtId="168" fontId="541" fillId="0" borderId="1" applyNumberFormat="0" applyFill="0" applyAlignment="0" applyProtection="0"/>
    <xf numFmtId="168" fontId="542" fillId="0" borderId="2" applyNumberFormat="0" applyFill="0" applyAlignment="0" applyProtection="0"/>
    <xf numFmtId="168" fontId="543" fillId="0" borderId="3" applyNumberFormat="0" applyFill="0" applyAlignment="0" applyProtection="0"/>
    <xf numFmtId="168" fontId="543" fillId="0" borderId="0" applyNumberFormat="0" applyFill="0" applyBorder="0" applyAlignment="0" applyProtection="0"/>
    <xf numFmtId="168" fontId="547" fillId="6" borderId="5" applyNumberFormat="0" applyAlignment="0" applyProtection="0"/>
    <xf numFmtId="168" fontId="546" fillId="5" borderId="4" applyNumberFormat="0" applyAlignment="0" applyProtection="0"/>
    <xf numFmtId="168" fontId="548" fillId="6" borderId="4" applyNumberFormat="0" applyAlignment="0" applyProtection="0"/>
    <xf numFmtId="168" fontId="550" fillId="7" borderId="7" applyNumberFormat="0" applyAlignment="0" applyProtection="0"/>
    <xf numFmtId="168" fontId="544" fillId="2" borderId="0" applyNumberFormat="0" applyBorder="0" applyAlignment="0" applyProtection="0"/>
    <xf numFmtId="168" fontId="545" fillId="3" borderId="0" applyNumberFormat="0" applyBorder="0" applyAlignment="0" applyProtection="0"/>
    <xf numFmtId="168" fontId="53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7" fillId="0" borderId="0"/>
    <xf numFmtId="168" fontId="555" fillId="0" borderId="0"/>
    <xf numFmtId="168" fontId="537" fillId="8" borderId="8" applyNumberFormat="0" applyFont="0" applyAlignment="0" applyProtection="0"/>
    <xf numFmtId="168" fontId="572" fillId="4" borderId="0" applyNumberFormat="0" applyBorder="0" applyAlignment="0" applyProtection="0"/>
    <xf numFmtId="168" fontId="553" fillId="0" borderId="9" applyNumberFormat="0" applyFill="0" applyAlignment="0" applyProtection="0"/>
    <xf numFmtId="168" fontId="551" fillId="0" borderId="0" applyNumberFormat="0" applyFill="0" applyBorder="0" applyAlignment="0" applyProtection="0"/>
    <xf numFmtId="168" fontId="554" fillId="9" borderId="0" applyNumberFormat="0" applyBorder="0" applyAlignment="0" applyProtection="0"/>
    <xf numFmtId="168" fontId="554" fillId="13" borderId="0" applyNumberFormat="0" applyBorder="0" applyAlignment="0" applyProtection="0"/>
    <xf numFmtId="168" fontId="554" fillId="17" borderId="0" applyNumberFormat="0" applyBorder="0" applyAlignment="0" applyProtection="0"/>
    <xf numFmtId="168" fontId="554" fillId="21" borderId="0" applyNumberFormat="0" applyBorder="0" applyAlignment="0" applyProtection="0"/>
    <xf numFmtId="168" fontId="554" fillId="21" borderId="0" applyNumberFormat="0" applyBorder="0" applyAlignment="0" applyProtection="0"/>
    <xf numFmtId="168" fontId="554" fillId="25" borderId="0" applyNumberFormat="0" applyBorder="0" applyAlignment="0" applyProtection="0"/>
    <xf numFmtId="168" fontId="554" fillId="29" borderId="0" applyNumberFormat="0" applyBorder="0" applyAlignment="0" applyProtection="0"/>
    <xf numFmtId="168" fontId="566" fillId="6" borderId="4" applyNumberFormat="0" applyAlignment="0" applyProtection="0"/>
    <xf numFmtId="168" fontId="558" fillId="0" borderId="0" applyNumberFormat="0" applyFill="0" applyBorder="0" applyAlignment="0" applyProtection="0"/>
    <xf numFmtId="168" fontId="559" fillId="0" borderId="1" applyNumberFormat="0" applyFill="0" applyAlignment="0" applyProtection="0"/>
    <xf numFmtId="168" fontId="560" fillId="0" borderId="2" applyNumberFormat="0" applyFill="0" applyAlignment="0" applyProtection="0"/>
    <xf numFmtId="168" fontId="561" fillId="0" borderId="3" applyNumberFormat="0" applyFill="0" applyAlignment="0" applyProtection="0"/>
    <xf numFmtId="168" fontId="561" fillId="0" borderId="0" applyNumberFormat="0" applyFill="0" applyBorder="0" applyAlignment="0" applyProtection="0"/>
    <xf numFmtId="168" fontId="562" fillId="2" borderId="0" applyNumberFormat="0" applyBorder="0" applyAlignment="0" applyProtection="0"/>
    <xf numFmtId="168" fontId="563" fillId="3" borderId="0" applyNumberFormat="0" applyBorder="0" applyAlignment="0" applyProtection="0"/>
    <xf numFmtId="168" fontId="556" fillId="4" borderId="0" applyNumberFormat="0" applyBorder="0" applyAlignment="0" applyProtection="0"/>
    <xf numFmtId="168" fontId="564" fillId="5" borderId="4" applyNumberFormat="0" applyAlignment="0" applyProtection="0"/>
    <xf numFmtId="168" fontId="565" fillId="6" borderId="5" applyNumberFormat="0" applyAlignment="0" applyProtection="0"/>
    <xf numFmtId="168" fontId="567" fillId="0" borderId="6" applyNumberFormat="0" applyFill="0" applyAlignment="0" applyProtection="0"/>
    <xf numFmtId="168" fontId="568" fillId="7" borderId="7" applyNumberFormat="0" applyAlignment="0" applyProtection="0"/>
    <xf numFmtId="168" fontId="539" fillId="0" borderId="0" applyNumberFormat="0" applyFill="0" applyBorder="0" applyAlignment="0" applyProtection="0"/>
    <xf numFmtId="168" fontId="555" fillId="8" borderId="8" applyNumberFormat="0" applyFont="0" applyAlignment="0" applyProtection="0"/>
    <xf numFmtId="168" fontId="569" fillId="0" borderId="0" applyNumberFormat="0" applyFill="0" applyBorder="0" applyAlignment="0" applyProtection="0"/>
    <xf numFmtId="168" fontId="538" fillId="0" borderId="9" applyNumberFormat="0" applyFill="0" applyAlignment="0" applyProtection="0"/>
    <xf numFmtId="168" fontId="570" fillId="9" borderId="0" applyNumberFormat="0" applyBorder="0" applyAlignment="0" applyProtection="0"/>
    <xf numFmtId="168" fontId="555" fillId="10" borderId="0" applyNumberFormat="0" applyBorder="0" applyAlignment="0" applyProtection="0"/>
    <xf numFmtId="168" fontId="555" fillId="11" borderId="0" applyNumberFormat="0" applyBorder="0" applyAlignment="0" applyProtection="0"/>
    <xf numFmtId="168" fontId="570" fillId="12" borderId="0" applyNumberFormat="0" applyBorder="0" applyAlignment="0" applyProtection="0"/>
    <xf numFmtId="168" fontId="570" fillId="13" borderId="0" applyNumberFormat="0" applyBorder="0" applyAlignment="0" applyProtection="0"/>
    <xf numFmtId="168" fontId="555" fillId="14" borderId="0" applyNumberFormat="0" applyBorder="0" applyAlignment="0" applyProtection="0"/>
    <xf numFmtId="168" fontId="555" fillId="15" borderId="0" applyNumberFormat="0" applyBorder="0" applyAlignment="0" applyProtection="0"/>
    <xf numFmtId="168" fontId="570" fillId="16" borderId="0" applyNumberFormat="0" applyBorder="0" applyAlignment="0" applyProtection="0"/>
    <xf numFmtId="168" fontId="570" fillId="17" borderId="0" applyNumberFormat="0" applyBorder="0" applyAlignment="0" applyProtection="0"/>
    <xf numFmtId="168" fontId="555" fillId="18" borderId="0" applyNumberFormat="0" applyBorder="0" applyAlignment="0" applyProtection="0"/>
    <xf numFmtId="168" fontId="555" fillId="19" borderId="0" applyNumberFormat="0" applyBorder="0" applyAlignment="0" applyProtection="0"/>
    <xf numFmtId="168" fontId="570" fillId="20" borderId="0" applyNumberFormat="0" applyBorder="0" applyAlignment="0" applyProtection="0"/>
    <xf numFmtId="168" fontId="570" fillId="21" borderId="0" applyNumberFormat="0" applyBorder="0" applyAlignment="0" applyProtection="0"/>
    <xf numFmtId="168" fontId="555" fillId="22" borderId="0" applyNumberFormat="0" applyBorder="0" applyAlignment="0" applyProtection="0"/>
    <xf numFmtId="168" fontId="555" fillId="23" borderId="0" applyNumberFormat="0" applyBorder="0" applyAlignment="0" applyProtection="0"/>
    <xf numFmtId="168" fontId="570" fillId="24" borderId="0" applyNumberFormat="0" applyBorder="0" applyAlignment="0" applyProtection="0"/>
    <xf numFmtId="168" fontId="570" fillId="25" borderId="0" applyNumberFormat="0" applyBorder="0" applyAlignment="0" applyProtection="0"/>
    <xf numFmtId="168" fontId="555" fillId="26" borderId="0" applyNumberFormat="0" applyBorder="0" applyAlignment="0" applyProtection="0"/>
    <xf numFmtId="168" fontId="555" fillId="27" borderId="0" applyNumberFormat="0" applyBorder="0" applyAlignment="0" applyProtection="0"/>
    <xf numFmtId="168" fontId="570" fillId="28" borderId="0" applyNumberFormat="0" applyBorder="0" applyAlignment="0" applyProtection="0"/>
    <xf numFmtId="168" fontId="570" fillId="29" borderId="0" applyNumberFormat="0" applyBorder="0" applyAlignment="0" applyProtection="0"/>
    <xf numFmtId="168" fontId="555" fillId="30" borderId="0" applyNumberFormat="0" applyBorder="0" applyAlignment="0" applyProtection="0"/>
    <xf numFmtId="168" fontId="555" fillId="31" borderId="0" applyNumberFormat="0" applyBorder="0" applyAlignment="0" applyProtection="0"/>
    <xf numFmtId="168" fontId="570" fillId="32" borderId="0" applyNumberFormat="0" applyBorder="0" applyAlignment="0" applyProtection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168" fontId="573" fillId="0" borderId="0"/>
    <xf numFmtId="0" fontId="555" fillId="0" borderId="0"/>
    <xf numFmtId="0" fontId="554" fillId="21" borderId="0" applyNumberFormat="0" applyBorder="0" applyAlignment="0" applyProtection="0"/>
    <xf numFmtId="0" fontId="562" fillId="2" borderId="0" applyNumberFormat="0" applyBorder="0" applyAlignment="0" applyProtection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37" fillId="10" borderId="0" applyNumberFormat="0" applyBorder="0" applyAlignment="0" applyProtection="0"/>
    <xf numFmtId="0" fontId="537" fillId="14" borderId="0" applyNumberFormat="0" applyBorder="0" applyAlignment="0" applyProtection="0"/>
    <xf numFmtId="0" fontId="537" fillId="18" borderId="0" applyNumberFormat="0" applyBorder="0" applyAlignment="0" applyProtection="0"/>
    <xf numFmtId="0" fontId="537" fillId="22" borderId="0" applyNumberFormat="0" applyBorder="0" applyAlignment="0" applyProtection="0"/>
    <xf numFmtId="0" fontId="537" fillId="26" borderId="0" applyNumberFormat="0" applyBorder="0" applyAlignment="0" applyProtection="0"/>
    <xf numFmtId="0" fontId="537" fillId="30" borderId="0" applyNumberFormat="0" applyBorder="0" applyAlignment="0" applyProtection="0"/>
    <xf numFmtId="0" fontId="537" fillId="11" borderId="0" applyNumberFormat="0" applyBorder="0" applyAlignment="0" applyProtection="0"/>
    <xf numFmtId="0" fontId="537" fillId="15" borderId="0" applyNumberFormat="0" applyBorder="0" applyAlignment="0" applyProtection="0"/>
    <xf numFmtId="0" fontId="537" fillId="19" borderId="0" applyNumberFormat="0" applyBorder="0" applyAlignment="0" applyProtection="0"/>
    <xf numFmtId="0" fontId="537" fillId="23" borderId="0" applyNumberFormat="0" applyBorder="0" applyAlignment="0" applyProtection="0"/>
    <xf numFmtId="0" fontId="537" fillId="27" borderId="0" applyNumberFormat="0" applyBorder="0" applyAlignment="0" applyProtection="0"/>
    <xf numFmtId="0" fontId="537" fillId="31" borderId="0" applyNumberFormat="0" applyBorder="0" applyAlignment="0" applyProtection="0"/>
    <xf numFmtId="0" fontId="554" fillId="12" borderId="0" applyNumberFormat="0" applyBorder="0" applyAlignment="0" applyProtection="0"/>
    <xf numFmtId="0" fontId="554" fillId="16" borderId="0" applyNumberFormat="0" applyBorder="0" applyAlignment="0" applyProtection="0"/>
    <xf numFmtId="0" fontId="554" fillId="20" borderId="0" applyNumberFormat="0" applyBorder="0" applyAlignment="0" applyProtection="0"/>
    <xf numFmtId="0" fontId="554" fillId="24" borderId="0" applyNumberFormat="0" applyBorder="0" applyAlignment="0" applyProtection="0"/>
    <xf numFmtId="0" fontId="554" fillId="28" borderId="0" applyNumberFormat="0" applyBorder="0" applyAlignment="0" applyProtection="0"/>
    <xf numFmtId="0" fontId="554" fillId="32" borderId="0" applyNumberFormat="0" applyBorder="0" applyAlignment="0" applyProtection="0"/>
    <xf numFmtId="0" fontId="552" fillId="0" borderId="0" applyNumberFormat="0" applyFill="0" applyBorder="0" applyAlignment="0" applyProtection="0"/>
    <xf numFmtId="0" fontId="571" fillId="0" borderId="0" applyNumberFormat="0" applyFill="0" applyBorder="0" applyAlignment="0" applyProtection="0"/>
    <xf numFmtId="0" fontId="549" fillId="0" borderId="6" applyNumberFormat="0" applyFill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7" fillId="6" borderId="5" applyNumberFormat="0" applyAlignment="0" applyProtection="0"/>
    <xf numFmtId="0" fontId="546" fillId="5" borderId="4" applyNumberFormat="0" applyAlignment="0" applyProtection="0"/>
    <xf numFmtId="0" fontId="548" fillId="6" borderId="4" applyNumberFormat="0" applyAlignment="0" applyProtection="0"/>
    <xf numFmtId="0" fontId="550" fillId="7" borderId="7" applyNumberFormat="0" applyAlignment="0" applyProtection="0"/>
    <xf numFmtId="0" fontId="544" fillId="2" borderId="0" applyNumberFormat="0" applyBorder="0" applyAlignment="0" applyProtection="0"/>
    <xf numFmtId="0" fontId="545" fillId="3" borderId="0" applyNumberFormat="0" applyBorder="0" applyAlignment="0" applyProtection="0"/>
    <xf numFmtId="0" fontId="53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7" fillId="0" borderId="0"/>
    <xf numFmtId="0" fontId="555" fillId="0" borderId="0"/>
    <xf numFmtId="0" fontId="537" fillId="8" borderId="8" applyNumberFormat="0" applyFont="0" applyAlignment="0" applyProtection="0"/>
    <xf numFmtId="0" fontId="572" fillId="4" borderId="0" applyNumberFormat="0" applyBorder="0" applyAlignment="0" applyProtection="0"/>
    <xf numFmtId="0" fontId="553" fillId="0" borderId="9" applyNumberFormat="0" applyFill="0" applyAlignment="0" applyProtection="0"/>
    <xf numFmtId="0" fontId="551" fillId="0" borderId="0" applyNumberFormat="0" applyFill="0" applyBorder="0" applyAlignment="0" applyProtection="0"/>
    <xf numFmtId="0" fontId="554" fillId="9" borderId="0" applyNumberFormat="0" applyBorder="0" applyAlignment="0" applyProtection="0"/>
    <xf numFmtId="0" fontId="554" fillId="13" borderId="0" applyNumberFormat="0" applyBorder="0" applyAlignment="0" applyProtection="0"/>
    <xf numFmtId="0" fontId="554" fillId="17" borderId="0" applyNumberFormat="0" applyBorder="0" applyAlignment="0" applyProtection="0"/>
    <xf numFmtId="0" fontId="554" fillId="21" borderId="0" applyNumberFormat="0" applyBorder="0" applyAlignment="0" applyProtection="0"/>
    <xf numFmtId="0" fontId="554" fillId="25" borderId="0" applyNumberFormat="0" applyBorder="0" applyAlignment="0" applyProtection="0"/>
    <xf numFmtId="0" fontId="554" fillId="29" borderId="0" applyNumberFormat="0" applyBorder="0" applyAlignment="0" applyProtection="0"/>
    <xf numFmtId="0" fontId="573" fillId="0" borderId="0"/>
    <xf numFmtId="0" fontId="555" fillId="0" borderId="0"/>
    <xf numFmtId="0" fontId="555" fillId="0" borderId="0"/>
    <xf numFmtId="0" fontId="555" fillId="0" borderId="0"/>
    <xf numFmtId="0" fontId="555" fillId="0" borderId="0"/>
    <xf numFmtId="0" fontId="555" fillId="0" borderId="0"/>
    <xf numFmtId="168" fontId="555" fillId="0" borderId="0"/>
    <xf numFmtId="168" fontId="555" fillId="0" borderId="0"/>
    <xf numFmtId="168" fontId="555" fillId="0" borderId="0"/>
    <xf numFmtId="0" fontId="555" fillId="0" borderId="0"/>
    <xf numFmtId="168" fontId="555" fillId="0" borderId="0"/>
    <xf numFmtId="0" fontId="557" fillId="0" borderId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2" fillId="2" borderId="0" applyNumberFormat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57" fillId="0" borderId="0"/>
    <xf numFmtId="0" fontId="573" fillId="0" borderId="0"/>
    <xf numFmtId="168" fontId="555" fillId="0" borderId="0"/>
    <xf numFmtId="168" fontId="555" fillId="0" borderId="0"/>
    <xf numFmtId="168" fontId="555" fillId="0" borderId="0"/>
    <xf numFmtId="0" fontId="573" fillId="0" borderId="0"/>
    <xf numFmtId="168" fontId="555" fillId="0" borderId="0"/>
    <xf numFmtId="0" fontId="573" fillId="0" borderId="0"/>
    <xf numFmtId="0" fontId="573" fillId="0" borderId="0"/>
    <xf numFmtId="0" fontId="573" fillId="0" borderId="0"/>
    <xf numFmtId="0" fontId="573" fillId="0" borderId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2" fillId="2" borderId="0" applyNumberFormat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168" fontId="555" fillId="0" borderId="0"/>
    <xf numFmtId="168" fontId="555" fillId="0" borderId="0"/>
    <xf numFmtId="168" fontId="555" fillId="0" borderId="0"/>
    <xf numFmtId="0" fontId="573" fillId="0" borderId="0"/>
    <xf numFmtId="0" fontId="573" fillId="0" borderId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2" fillId="2" borderId="0" applyNumberFormat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73" fillId="0" borderId="0"/>
    <xf numFmtId="0" fontId="573" fillId="0" borderId="0"/>
    <xf numFmtId="0" fontId="573" fillId="0" borderId="0"/>
    <xf numFmtId="0" fontId="573" fillId="0" borderId="0"/>
    <xf numFmtId="0" fontId="558" fillId="0" borderId="0" applyNumberFormat="0" applyFill="0" applyBorder="0" applyAlignment="0" applyProtection="0"/>
    <xf numFmtId="0" fontId="559" fillId="0" borderId="1" applyNumberFormat="0" applyFill="0" applyAlignment="0" applyProtection="0"/>
    <xf numFmtId="0" fontId="560" fillId="0" borderId="2" applyNumberFormat="0" applyFill="0" applyAlignment="0" applyProtection="0"/>
    <xf numFmtId="0" fontId="561" fillId="0" borderId="3" applyNumberFormat="0" applyFill="0" applyAlignment="0" applyProtection="0"/>
    <xf numFmtId="0" fontId="561" fillId="0" borderId="0" applyNumberFormat="0" applyFill="0" applyBorder="0" applyAlignment="0" applyProtection="0"/>
    <xf numFmtId="0" fontId="562" fillId="2" borderId="0" applyNumberFormat="0" applyBorder="0" applyAlignment="0" applyProtection="0"/>
    <xf numFmtId="0" fontId="563" fillId="3" borderId="0" applyNumberFormat="0" applyBorder="0" applyAlignment="0" applyProtection="0"/>
    <xf numFmtId="0" fontId="556" fillId="4" borderId="0" applyNumberFormat="0" applyBorder="0" applyAlignment="0" applyProtection="0"/>
    <xf numFmtId="0" fontId="564" fillId="5" borderId="4" applyNumberFormat="0" applyAlignment="0" applyProtection="0"/>
    <xf numFmtId="0" fontId="565" fillId="6" borderId="5" applyNumberFormat="0" applyAlignment="0" applyProtection="0"/>
    <xf numFmtId="0" fontId="566" fillId="6" borderId="4" applyNumberFormat="0" applyAlignment="0" applyProtection="0"/>
    <xf numFmtId="0" fontId="567" fillId="0" borderId="6" applyNumberFormat="0" applyFill="0" applyAlignment="0" applyProtection="0"/>
    <xf numFmtId="0" fontId="568" fillId="7" borderId="7" applyNumberFormat="0" applyAlignment="0" applyProtection="0"/>
    <xf numFmtId="0" fontId="539" fillId="0" borderId="0" applyNumberFormat="0" applyFill="0" applyBorder="0" applyAlignment="0" applyProtection="0"/>
    <xf numFmtId="0" fontId="555" fillId="8" borderId="8" applyNumberFormat="0" applyFont="0" applyAlignment="0" applyProtection="0"/>
    <xf numFmtId="0" fontId="569" fillId="0" borderId="0" applyNumberFormat="0" applyFill="0" applyBorder="0" applyAlignment="0" applyProtection="0"/>
    <xf numFmtId="0" fontId="538" fillId="0" borderId="9" applyNumberFormat="0" applyFill="0" applyAlignment="0" applyProtection="0"/>
    <xf numFmtId="0" fontId="570" fillId="9" borderId="0" applyNumberFormat="0" applyBorder="0" applyAlignment="0" applyProtection="0"/>
    <xf numFmtId="0" fontId="555" fillId="10" borderId="0" applyNumberFormat="0" applyBorder="0" applyAlignment="0" applyProtection="0"/>
    <xf numFmtId="0" fontId="555" fillId="11" borderId="0" applyNumberFormat="0" applyBorder="0" applyAlignment="0" applyProtection="0"/>
    <xf numFmtId="0" fontId="570" fillId="12" borderId="0" applyNumberFormat="0" applyBorder="0" applyAlignment="0" applyProtection="0"/>
    <xf numFmtId="0" fontId="570" fillId="13" borderId="0" applyNumberFormat="0" applyBorder="0" applyAlignment="0" applyProtection="0"/>
    <xf numFmtId="0" fontId="555" fillId="14" borderId="0" applyNumberFormat="0" applyBorder="0" applyAlignment="0" applyProtection="0"/>
    <xf numFmtId="0" fontId="555" fillId="15" borderId="0" applyNumberFormat="0" applyBorder="0" applyAlignment="0" applyProtection="0"/>
    <xf numFmtId="0" fontId="570" fillId="16" borderId="0" applyNumberFormat="0" applyBorder="0" applyAlignment="0" applyProtection="0"/>
    <xf numFmtId="0" fontId="570" fillId="17" borderId="0" applyNumberFormat="0" applyBorder="0" applyAlignment="0" applyProtection="0"/>
    <xf numFmtId="0" fontId="555" fillId="18" borderId="0" applyNumberFormat="0" applyBorder="0" applyAlignment="0" applyProtection="0"/>
    <xf numFmtId="0" fontId="555" fillId="19" borderId="0" applyNumberFormat="0" applyBorder="0" applyAlignment="0" applyProtection="0"/>
    <xf numFmtId="0" fontId="570" fillId="20" borderId="0" applyNumberFormat="0" applyBorder="0" applyAlignment="0" applyProtection="0"/>
    <xf numFmtId="0" fontId="570" fillId="21" borderId="0" applyNumberFormat="0" applyBorder="0" applyAlignment="0" applyProtection="0"/>
    <xf numFmtId="0" fontId="555" fillId="22" borderId="0" applyNumberFormat="0" applyBorder="0" applyAlignment="0" applyProtection="0"/>
    <xf numFmtId="0" fontId="555" fillId="23" borderId="0" applyNumberFormat="0" applyBorder="0" applyAlignment="0" applyProtection="0"/>
    <xf numFmtId="0" fontId="570" fillId="24" borderId="0" applyNumberFormat="0" applyBorder="0" applyAlignment="0" applyProtection="0"/>
    <xf numFmtId="0" fontId="570" fillId="25" borderId="0" applyNumberFormat="0" applyBorder="0" applyAlignment="0" applyProtection="0"/>
    <xf numFmtId="0" fontId="555" fillId="26" borderId="0" applyNumberFormat="0" applyBorder="0" applyAlignment="0" applyProtection="0"/>
    <xf numFmtId="0" fontId="555" fillId="27" borderId="0" applyNumberFormat="0" applyBorder="0" applyAlignment="0" applyProtection="0"/>
    <xf numFmtId="0" fontId="570" fillId="28" borderId="0" applyNumberFormat="0" applyBorder="0" applyAlignment="0" applyProtection="0"/>
    <xf numFmtId="0" fontId="570" fillId="29" borderId="0" applyNumberFormat="0" applyBorder="0" applyAlignment="0" applyProtection="0"/>
    <xf numFmtId="0" fontId="555" fillId="30" borderId="0" applyNumberFormat="0" applyBorder="0" applyAlignment="0" applyProtection="0"/>
    <xf numFmtId="0" fontId="555" fillId="31" borderId="0" applyNumberFormat="0" applyBorder="0" applyAlignment="0" applyProtection="0"/>
    <xf numFmtId="0" fontId="570" fillId="32" borderId="0" applyNumberFormat="0" applyBorder="0" applyAlignment="0" applyProtection="0"/>
    <xf numFmtId="0" fontId="573" fillId="0" borderId="0"/>
    <xf numFmtId="0" fontId="555" fillId="0" borderId="0"/>
    <xf numFmtId="0" fontId="573" fillId="0" borderId="0"/>
    <xf numFmtId="0" fontId="573" fillId="0" borderId="0"/>
    <xf numFmtId="0" fontId="573" fillId="0" borderId="0"/>
    <xf numFmtId="169" fontId="555" fillId="0" borderId="0"/>
    <xf numFmtId="169" fontId="537" fillId="10" borderId="0" applyNumberFormat="0" applyBorder="0" applyAlignment="0" applyProtection="0"/>
    <xf numFmtId="169" fontId="537" fillId="14" borderId="0" applyNumberFormat="0" applyBorder="0" applyAlignment="0" applyProtection="0"/>
    <xf numFmtId="169" fontId="537" fillId="18" borderId="0" applyNumberFormat="0" applyBorder="0" applyAlignment="0" applyProtection="0"/>
    <xf numFmtId="169" fontId="537" fillId="22" borderId="0" applyNumberFormat="0" applyBorder="0" applyAlignment="0" applyProtection="0"/>
    <xf numFmtId="169" fontId="537" fillId="26" borderId="0" applyNumberFormat="0" applyBorder="0" applyAlignment="0" applyProtection="0"/>
    <xf numFmtId="169" fontId="537" fillId="3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5" borderId="0" applyNumberFormat="0" applyBorder="0" applyAlignment="0" applyProtection="0"/>
    <xf numFmtId="169" fontId="537" fillId="19" borderId="0" applyNumberFormat="0" applyBorder="0" applyAlignment="0" applyProtection="0"/>
    <xf numFmtId="169" fontId="537" fillId="23" borderId="0" applyNumberFormat="0" applyBorder="0" applyAlignment="0" applyProtection="0"/>
    <xf numFmtId="169" fontId="537" fillId="27" borderId="0" applyNumberFormat="0" applyBorder="0" applyAlignment="0" applyProtection="0"/>
    <xf numFmtId="169" fontId="537" fillId="31" borderId="0" applyNumberFormat="0" applyBorder="0" applyAlignment="0" applyProtection="0"/>
    <xf numFmtId="169" fontId="554" fillId="12" borderId="0" applyNumberFormat="0" applyBorder="0" applyAlignment="0" applyProtection="0"/>
    <xf numFmtId="169" fontId="554" fillId="16" borderId="0" applyNumberFormat="0" applyBorder="0" applyAlignment="0" applyProtection="0"/>
    <xf numFmtId="169" fontId="554" fillId="20" borderId="0" applyNumberFormat="0" applyBorder="0" applyAlignment="0" applyProtection="0"/>
    <xf numFmtId="169" fontId="554" fillId="24" borderId="0" applyNumberFormat="0" applyBorder="0" applyAlignment="0" applyProtection="0"/>
    <xf numFmtId="169" fontId="554" fillId="28" borderId="0" applyNumberFormat="0" applyBorder="0" applyAlignment="0" applyProtection="0"/>
    <xf numFmtId="169" fontId="554" fillId="32" borderId="0" applyNumberFormat="0" applyBorder="0" applyAlignment="0" applyProtection="0"/>
    <xf numFmtId="169" fontId="552" fillId="0" borderId="0" applyNumberFormat="0" applyFill="0" applyBorder="0" applyAlignment="0" applyProtection="0"/>
    <xf numFmtId="169" fontId="571" fillId="0" borderId="0" applyNumberFormat="0" applyFill="0" applyBorder="0" applyAlignment="0" applyProtection="0"/>
    <xf numFmtId="169" fontId="549" fillId="0" borderId="6" applyNumberFormat="0" applyFill="0" applyAlignment="0" applyProtection="0"/>
    <xf numFmtId="169" fontId="541" fillId="0" borderId="1" applyNumberFormat="0" applyFill="0" applyAlignment="0" applyProtection="0"/>
    <xf numFmtId="169" fontId="542" fillId="0" borderId="2" applyNumberFormat="0" applyFill="0" applyAlignment="0" applyProtection="0"/>
    <xf numFmtId="169" fontId="543" fillId="0" borderId="3" applyNumberFormat="0" applyFill="0" applyAlignment="0" applyProtection="0"/>
    <xf numFmtId="169" fontId="543" fillId="0" borderId="0" applyNumberFormat="0" applyFill="0" applyBorder="0" applyAlignment="0" applyProtection="0"/>
    <xf numFmtId="169" fontId="547" fillId="6" borderId="5" applyNumberFormat="0" applyAlignment="0" applyProtection="0"/>
    <xf numFmtId="169" fontId="546" fillId="5" borderId="4" applyNumberFormat="0" applyAlignment="0" applyProtection="0"/>
    <xf numFmtId="169" fontId="548" fillId="6" borderId="4" applyNumberFormat="0" applyAlignment="0" applyProtection="0"/>
    <xf numFmtId="169" fontId="550" fillId="7" borderId="7" applyNumberFormat="0" applyAlignment="0" applyProtection="0"/>
    <xf numFmtId="169" fontId="544" fillId="2" borderId="0" applyNumberFormat="0" applyBorder="0" applyAlignment="0" applyProtection="0"/>
    <xf numFmtId="169" fontId="545" fillId="3" borderId="0" applyNumberFormat="0" applyBorder="0" applyAlignment="0" applyProtection="0"/>
    <xf numFmtId="169" fontId="53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5" fillId="0" borderId="0"/>
    <xf numFmtId="169" fontId="537" fillId="8" borderId="8" applyNumberFormat="0" applyFont="0" applyAlignment="0" applyProtection="0"/>
    <xf numFmtId="169" fontId="572" fillId="4" borderId="0" applyNumberFormat="0" applyBorder="0" applyAlignment="0" applyProtection="0"/>
    <xf numFmtId="169" fontId="553" fillId="0" borderId="9" applyNumberFormat="0" applyFill="0" applyAlignment="0" applyProtection="0"/>
    <xf numFmtId="169" fontId="551" fillId="0" borderId="0" applyNumberFormat="0" applyFill="0" applyBorder="0" applyAlignment="0" applyProtection="0"/>
    <xf numFmtId="169" fontId="554" fillId="9" borderId="0" applyNumberFormat="0" applyBorder="0" applyAlignment="0" applyProtection="0"/>
    <xf numFmtId="169" fontId="554" fillId="13" borderId="0" applyNumberFormat="0" applyBorder="0" applyAlignment="0" applyProtection="0"/>
    <xf numFmtId="169" fontId="554" fillId="17" borderId="0" applyNumberFormat="0" applyBorder="0" applyAlignment="0" applyProtection="0"/>
    <xf numFmtId="169" fontId="554" fillId="21" borderId="0" applyNumberFormat="0" applyBorder="0" applyAlignment="0" applyProtection="0"/>
    <xf numFmtId="169" fontId="554" fillId="21" borderId="0" applyNumberFormat="0" applyBorder="0" applyAlignment="0" applyProtection="0"/>
    <xf numFmtId="169" fontId="554" fillId="25" borderId="0" applyNumberFormat="0" applyBorder="0" applyAlignment="0" applyProtection="0"/>
    <xf numFmtId="169" fontId="554" fillId="29" borderId="0" applyNumberFormat="0" applyBorder="0" applyAlignment="0" applyProtection="0"/>
    <xf numFmtId="169" fontId="555" fillId="0" borderId="0"/>
    <xf numFmtId="169" fontId="566" fillId="6" borderId="4" applyNumberFormat="0" applyAlignment="0" applyProtection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55" fillId="0" borderId="0"/>
    <xf numFmtId="169" fontId="554" fillId="21" borderId="0" applyNumberFormat="0" applyBorder="0" applyAlignment="0" applyProtection="0"/>
    <xf numFmtId="169" fontId="562" fillId="2" borderId="0" applyNumberFormat="0" applyBorder="0" applyAlignment="0" applyProtection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37" fillId="10" borderId="0" applyNumberFormat="0" applyBorder="0" applyAlignment="0" applyProtection="0"/>
    <xf numFmtId="169" fontId="537" fillId="14" borderId="0" applyNumberFormat="0" applyBorder="0" applyAlignment="0" applyProtection="0"/>
    <xf numFmtId="169" fontId="537" fillId="18" borderId="0" applyNumberFormat="0" applyBorder="0" applyAlignment="0" applyProtection="0"/>
    <xf numFmtId="169" fontId="537" fillId="22" borderId="0" applyNumberFormat="0" applyBorder="0" applyAlignment="0" applyProtection="0"/>
    <xf numFmtId="169" fontId="537" fillId="26" borderId="0" applyNumberFormat="0" applyBorder="0" applyAlignment="0" applyProtection="0"/>
    <xf numFmtId="169" fontId="537" fillId="3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5" borderId="0" applyNumberFormat="0" applyBorder="0" applyAlignment="0" applyProtection="0"/>
    <xf numFmtId="169" fontId="537" fillId="19" borderId="0" applyNumberFormat="0" applyBorder="0" applyAlignment="0" applyProtection="0"/>
    <xf numFmtId="169" fontId="537" fillId="23" borderId="0" applyNumberFormat="0" applyBorder="0" applyAlignment="0" applyProtection="0"/>
    <xf numFmtId="169" fontId="537" fillId="27" borderId="0" applyNumberFormat="0" applyBorder="0" applyAlignment="0" applyProtection="0"/>
    <xf numFmtId="169" fontId="537" fillId="31" borderId="0" applyNumberFormat="0" applyBorder="0" applyAlignment="0" applyProtection="0"/>
    <xf numFmtId="169" fontId="554" fillId="12" borderId="0" applyNumberFormat="0" applyBorder="0" applyAlignment="0" applyProtection="0"/>
    <xf numFmtId="169" fontId="554" fillId="16" borderId="0" applyNumberFormat="0" applyBorder="0" applyAlignment="0" applyProtection="0"/>
    <xf numFmtId="169" fontId="554" fillId="20" borderId="0" applyNumberFormat="0" applyBorder="0" applyAlignment="0" applyProtection="0"/>
    <xf numFmtId="169" fontId="554" fillId="24" borderId="0" applyNumberFormat="0" applyBorder="0" applyAlignment="0" applyProtection="0"/>
    <xf numFmtId="169" fontId="554" fillId="28" borderId="0" applyNumberFormat="0" applyBorder="0" applyAlignment="0" applyProtection="0"/>
    <xf numFmtId="169" fontId="554" fillId="32" borderId="0" applyNumberFormat="0" applyBorder="0" applyAlignment="0" applyProtection="0"/>
    <xf numFmtId="169" fontId="552" fillId="0" borderId="0" applyNumberFormat="0" applyFill="0" applyBorder="0" applyAlignment="0" applyProtection="0"/>
    <xf numFmtId="169" fontId="571" fillId="0" borderId="0" applyNumberFormat="0" applyFill="0" applyBorder="0" applyAlignment="0" applyProtection="0"/>
    <xf numFmtId="169" fontId="549" fillId="0" borderId="6" applyNumberFormat="0" applyFill="0" applyAlignment="0" applyProtection="0"/>
    <xf numFmtId="169" fontId="541" fillId="0" borderId="1" applyNumberFormat="0" applyFill="0" applyAlignment="0" applyProtection="0"/>
    <xf numFmtId="169" fontId="542" fillId="0" borderId="2" applyNumberFormat="0" applyFill="0" applyAlignment="0" applyProtection="0"/>
    <xf numFmtId="169" fontId="543" fillId="0" borderId="3" applyNumberFormat="0" applyFill="0" applyAlignment="0" applyProtection="0"/>
    <xf numFmtId="169" fontId="543" fillId="0" borderId="0" applyNumberFormat="0" applyFill="0" applyBorder="0" applyAlignment="0" applyProtection="0"/>
    <xf numFmtId="169" fontId="547" fillId="6" borderId="5" applyNumberFormat="0" applyAlignment="0" applyProtection="0"/>
    <xf numFmtId="169" fontId="546" fillId="5" borderId="4" applyNumberFormat="0" applyAlignment="0" applyProtection="0"/>
    <xf numFmtId="169" fontId="548" fillId="6" borderId="4" applyNumberFormat="0" applyAlignment="0" applyProtection="0"/>
    <xf numFmtId="169" fontId="550" fillId="7" borderId="7" applyNumberFormat="0" applyAlignment="0" applyProtection="0"/>
    <xf numFmtId="169" fontId="544" fillId="2" borderId="0" applyNumberFormat="0" applyBorder="0" applyAlignment="0" applyProtection="0"/>
    <xf numFmtId="169" fontId="545" fillId="3" borderId="0" applyNumberFormat="0" applyBorder="0" applyAlignment="0" applyProtection="0"/>
    <xf numFmtId="169" fontId="53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7" fillId="0" borderId="0"/>
    <xf numFmtId="169" fontId="555" fillId="0" borderId="0"/>
    <xf numFmtId="169" fontId="537" fillId="8" borderId="8" applyNumberFormat="0" applyFont="0" applyAlignment="0" applyProtection="0"/>
    <xf numFmtId="169" fontId="572" fillId="4" borderId="0" applyNumberFormat="0" applyBorder="0" applyAlignment="0" applyProtection="0"/>
    <xf numFmtId="169" fontId="553" fillId="0" borderId="9" applyNumberFormat="0" applyFill="0" applyAlignment="0" applyProtection="0"/>
    <xf numFmtId="169" fontId="551" fillId="0" borderId="0" applyNumberFormat="0" applyFill="0" applyBorder="0" applyAlignment="0" applyProtection="0"/>
    <xf numFmtId="169" fontId="554" fillId="9" borderId="0" applyNumberFormat="0" applyBorder="0" applyAlignment="0" applyProtection="0"/>
    <xf numFmtId="169" fontId="554" fillId="13" borderId="0" applyNumberFormat="0" applyBorder="0" applyAlignment="0" applyProtection="0"/>
    <xf numFmtId="169" fontId="554" fillId="17" borderId="0" applyNumberFormat="0" applyBorder="0" applyAlignment="0" applyProtection="0"/>
    <xf numFmtId="169" fontId="554" fillId="21" borderId="0" applyNumberFormat="0" applyBorder="0" applyAlignment="0" applyProtection="0"/>
    <xf numFmtId="169" fontId="554" fillId="25" borderId="0" applyNumberFormat="0" applyBorder="0" applyAlignment="0" applyProtection="0"/>
    <xf numFmtId="169" fontId="554" fillId="29" borderId="0" applyNumberFormat="0" applyBorder="0" applyAlignment="0" applyProtection="0"/>
    <xf numFmtId="169" fontId="573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7" fillId="0" borderId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57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73" fillId="0" borderId="0"/>
    <xf numFmtId="169" fontId="573" fillId="0" borderId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73" fillId="0" borderId="0"/>
    <xf numFmtId="169" fontId="555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57" fillId="0" borderId="0"/>
    <xf numFmtId="169" fontId="557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73" fillId="0" borderId="0"/>
    <xf numFmtId="169" fontId="555" fillId="0" borderId="0"/>
    <xf numFmtId="169" fontId="555" fillId="0" borderId="0"/>
    <xf numFmtId="164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73" fillId="0" borderId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73" fillId="0" borderId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6" fillId="6" borderId="4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9" fontId="573" fillId="0" borderId="0"/>
    <xf numFmtId="167" fontId="555" fillId="0" borderId="0" applyFont="0" applyFill="0" applyBorder="0" applyAlignment="0" applyProtection="0"/>
    <xf numFmtId="169" fontId="537" fillId="0" borderId="0"/>
    <xf numFmtId="169" fontId="571" fillId="0" borderId="0" applyNumberFormat="0" applyFill="0" applyBorder="0" applyAlignment="0" applyProtection="0"/>
    <xf numFmtId="169" fontId="541" fillId="0" borderId="1" applyNumberFormat="0" applyFill="0" applyAlignment="0" applyProtection="0"/>
    <xf numFmtId="169" fontId="542" fillId="0" borderId="2" applyNumberFormat="0" applyFill="0" applyAlignment="0" applyProtection="0"/>
    <xf numFmtId="169" fontId="543" fillId="0" borderId="3" applyNumberFormat="0" applyFill="0" applyAlignment="0" applyProtection="0"/>
    <xf numFmtId="169" fontId="543" fillId="0" borderId="0" applyNumberFormat="0" applyFill="0" applyBorder="0" applyAlignment="0" applyProtection="0"/>
    <xf numFmtId="169" fontId="544" fillId="2" borderId="0" applyNumberFormat="0" applyBorder="0" applyAlignment="0" applyProtection="0"/>
    <xf numFmtId="169" fontId="545" fillId="3" borderId="0" applyNumberFormat="0" applyBorder="0" applyAlignment="0" applyProtection="0"/>
    <xf numFmtId="169" fontId="572" fillId="4" borderId="0" applyNumberFormat="0" applyBorder="0" applyAlignment="0" applyProtection="0"/>
    <xf numFmtId="169" fontId="546" fillId="5" borderId="4" applyNumberFormat="0" applyAlignment="0" applyProtection="0"/>
    <xf numFmtId="169" fontId="547" fillId="6" borderId="5" applyNumberFormat="0" applyAlignment="0" applyProtection="0"/>
    <xf numFmtId="169" fontId="548" fillId="6" borderId="4" applyNumberFormat="0" applyAlignment="0" applyProtection="0"/>
    <xf numFmtId="169" fontId="549" fillId="0" borderId="6" applyNumberFormat="0" applyFill="0" applyAlignment="0" applyProtection="0"/>
    <xf numFmtId="169" fontId="550" fillId="7" borderId="7" applyNumberFormat="0" applyAlignment="0" applyProtection="0"/>
    <xf numFmtId="169" fontId="551" fillId="0" borderId="0" applyNumberFormat="0" applyFill="0" applyBorder="0" applyAlignment="0" applyProtection="0"/>
    <xf numFmtId="169" fontId="537" fillId="8" borderId="8" applyNumberFormat="0" applyFont="0" applyAlignment="0" applyProtection="0"/>
    <xf numFmtId="169" fontId="552" fillId="0" borderId="0" applyNumberFormat="0" applyFill="0" applyBorder="0" applyAlignment="0" applyProtection="0"/>
    <xf numFmtId="169" fontId="553" fillId="0" borderId="9" applyNumberFormat="0" applyFill="0" applyAlignment="0" applyProtection="0"/>
    <xf numFmtId="169" fontId="554" fillId="9" borderId="0" applyNumberFormat="0" applyBorder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54" fillId="12" borderId="0" applyNumberFormat="0" applyBorder="0" applyAlignment="0" applyProtection="0"/>
    <xf numFmtId="169" fontId="554" fillId="13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54" fillId="16" borderId="0" applyNumberFormat="0" applyBorder="0" applyAlignment="0" applyProtection="0"/>
    <xf numFmtId="169" fontId="554" fillId="17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54" fillId="20" borderId="0" applyNumberFormat="0" applyBorder="0" applyAlignment="0" applyProtection="0"/>
    <xf numFmtId="169" fontId="554" fillId="21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54" fillId="24" borderId="0" applyNumberFormat="0" applyBorder="0" applyAlignment="0" applyProtection="0"/>
    <xf numFmtId="169" fontId="554" fillId="25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54" fillId="28" borderId="0" applyNumberFormat="0" applyBorder="0" applyAlignment="0" applyProtection="0"/>
    <xf numFmtId="169" fontId="554" fillId="29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54" fillId="32" borderId="0" applyNumberFormat="0" applyBorder="0" applyAlignment="0" applyProtection="0"/>
    <xf numFmtId="169" fontId="537" fillId="0" borderId="0"/>
    <xf numFmtId="169" fontId="540" fillId="0" borderId="0" applyNumberFormat="0" applyFill="0" applyBorder="0" applyAlignment="0" applyProtection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37" fillId="0" borderId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37" fillId="0" borderId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37" fillId="0" borderId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37" fillId="0" borderId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37" fillId="0" borderId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169" fontId="537" fillId="0" borderId="0"/>
    <xf numFmtId="169" fontId="537" fillId="8" borderId="8" applyNumberFormat="0" applyFont="0" applyAlignment="0" applyProtection="0"/>
    <xf numFmtId="169" fontId="537" fillId="10" borderId="0" applyNumberFormat="0" applyBorder="0" applyAlignment="0" applyProtection="0"/>
    <xf numFmtId="169" fontId="537" fillId="11" borderId="0" applyNumberFormat="0" applyBorder="0" applyAlignment="0" applyProtection="0"/>
    <xf numFmtId="169" fontId="537" fillId="14" borderId="0" applyNumberFormat="0" applyBorder="0" applyAlignment="0" applyProtection="0"/>
    <xf numFmtId="169" fontId="537" fillId="15" borderId="0" applyNumberFormat="0" applyBorder="0" applyAlignment="0" applyProtection="0"/>
    <xf numFmtId="169" fontId="537" fillId="18" borderId="0" applyNumberFormat="0" applyBorder="0" applyAlignment="0" applyProtection="0"/>
    <xf numFmtId="169" fontId="537" fillId="19" borderId="0" applyNumberFormat="0" applyBorder="0" applyAlignment="0" applyProtection="0"/>
    <xf numFmtId="169" fontId="537" fillId="22" borderId="0" applyNumberFormat="0" applyBorder="0" applyAlignment="0" applyProtection="0"/>
    <xf numFmtId="169" fontId="537" fillId="23" borderId="0" applyNumberFormat="0" applyBorder="0" applyAlignment="0" applyProtection="0"/>
    <xf numFmtId="169" fontId="537" fillId="26" borderId="0" applyNumberFormat="0" applyBorder="0" applyAlignment="0" applyProtection="0"/>
    <xf numFmtId="169" fontId="537" fillId="27" borderId="0" applyNumberFormat="0" applyBorder="0" applyAlignment="0" applyProtection="0"/>
    <xf numFmtId="169" fontId="537" fillId="30" borderId="0" applyNumberFormat="0" applyBorder="0" applyAlignment="0" applyProtection="0"/>
    <xf numFmtId="169" fontId="537" fillId="31" borderId="0" applyNumberFormat="0" applyBorder="0" applyAlignment="0" applyProtection="0"/>
    <xf numFmtId="0" fontId="537" fillId="0" borderId="0"/>
    <xf numFmtId="0" fontId="540" fillId="0" borderId="0" applyNumberFormat="0" applyFill="0" applyBorder="0" applyAlignment="0" applyProtection="0"/>
    <xf numFmtId="0" fontId="541" fillId="0" borderId="1" applyNumberFormat="0" applyFill="0" applyAlignment="0" applyProtection="0"/>
    <xf numFmtId="0" fontId="542" fillId="0" borderId="2" applyNumberFormat="0" applyFill="0" applyAlignment="0" applyProtection="0"/>
    <xf numFmtId="0" fontId="543" fillId="0" borderId="3" applyNumberFormat="0" applyFill="0" applyAlignment="0" applyProtection="0"/>
    <xf numFmtId="0" fontId="543" fillId="0" borderId="0" applyNumberFormat="0" applyFill="0" applyBorder="0" applyAlignment="0" applyProtection="0"/>
    <xf numFmtId="0" fontId="544" fillId="2" borderId="0" applyNumberFormat="0" applyBorder="0" applyAlignment="0" applyProtection="0"/>
    <xf numFmtId="0" fontId="545" fillId="3" borderId="0" applyNumberFormat="0" applyBorder="0" applyAlignment="0" applyProtection="0"/>
    <xf numFmtId="0" fontId="572" fillId="4" borderId="0" applyNumberFormat="0" applyBorder="0" applyAlignment="0" applyProtection="0"/>
    <xf numFmtId="0" fontId="546" fillId="5" borderId="4" applyNumberFormat="0" applyAlignment="0" applyProtection="0"/>
    <xf numFmtId="0" fontId="547" fillId="6" borderId="5" applyNumberFormat="0" applyAlignment="0" applyProtection="0"/>
    <xf numFmtId="0" fontId="548" fillId="6" borderId="4" applyNumberFormat="0" applyAlignment="0" applyProtection="0"/>
    <xf numFmtId="0" fontId="549" fillId="0" borderId="6" applyNumberFormat="0" applyFill="0" applyAlignment="0" applyProtection="0"/>
    <xf numFmtId="0" fontId="550" fillId="7" borderId="7" applyNumberFormat="0" applyAlignment="0" applyProtection="0"/>
    <xf numFmtId="0" fontId="551" fillId="0" borderId="0" applyNumberFormat="0" applyFill="0" applyBorder="0" applyAlignment="0" applyProtection="0"/>
    <xf numFmtId="0" fontId="537" fillId="8" borderId="8" applyNumberFormat="0" applyFont="0" applyAlignment="0" applyProtection="0"/>
    <xf numFmtId="0" fontId="552" fillId="0" borderId="0" applyNumberFormat="0" applyFill="0" applyBorder="0" applyAlignment="0" applyProtection="0"/>
    <xf numFmtId="0" fontId="553" fillId="0" borderId="9" applyNumberFormat="0" applyFill="0" applyAlignment="0" applyProtection="0"/>
    <xf numFmtId="0" fontId="554" fillId="9" borderId="0" applyNumberFormat="0" applyBorder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54" fillId="12" borderId="0" applyNumberFormat="0" applyBorder="0" applyAlignment="0" applyProtection="0"/>
    <xf numFmtId="0" fontId="554" fillId="13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54" fillId="16" borderId="0" applyNumberFormat="0" applyBorder="0" applyAlignment="0" applyProtection="0"/>
    <xf numFmtId="0" fontId="554" fillId="17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54" fillId="20" borderId="0" applyNumberFormat="0" applyBorder="0" applyAlignment="0" applyProtection="0"/>
    <xf numFmtId="0" fontId="554" fillId="21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54" fillId="24" borderId="0" applyNumberFormat="0" applyBorder="0" applyAlignment="0" applyProtection="0"/>
    <xf numFmtId="0" fontId="554" fillId="25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54" fillId="28" borderId="0" applyNumberFormat="0" applyBorder="0" applyAlignment="0" applyProtection="0"/>
    <xf numFmtId="0" fontId="554" fillId="29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54" fillId="32" borderId="0" applyNumberFormat="0" applyBorder="0" applyAlignment="0" applyProtection="0"/>
    <xf numFmtId="169" fontId="555" fillId="0" borderId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0" borderId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169" fontId="554" fillId="2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9" fontId="566" fillId="6" borderId="4" applyNumberFormat="0" applyAlignment="0" applyProtection="0"/>
    <xf numFmtId="9" fontId="555" fillId="0" borderId="0" applyFont="0" applyFill="0" applyBorder="0" applyAlignment="0" applyProtection="0"/>
    <xf numFmtId="169" fontId="548" fillId="6" borderId="4" applyNumberFormat="0" applyAlignment="0" applyProtection="0"/>
    <xf numFmtId="169" fontId="558" fillId="0" borderId="0" applyNumberFormat="0" applyFill="0" applyBorder="0" applyAlignment="0" applyProtection="0"/>
    <xf numFmtId="169" fontId="559" fillId="0" borderId="1" applyNumberFormat="0" applyFill="0" applyAlignment="0" applyProtection="0"/>
    <xf numFmtId="169" fontId="560" fillId="0" borderId="2" applyNumberFormat="0" applyFill="0" applyAlignment="0" applyProtection="0"/>
    <xf numFmtId="169" fontId="561" fillId="0" borderId="3" applyNumberFormat="0" applyFill="0" applyAlignment="0" applyProtection="0"/>
    <xf numFmtId="169" fontId="561" fillId="0" borderId="0" applyNumberFormat="0" applyFill="0" applyBorder="0" applyAlignment="0" applyProtection="0"/>
    <xf numFmtId="169" fontId="562" fillId="2" borderId="0" applyNumberFormat="0" applyBorder="0" applyAlignment="0" applyProtection="0"/>
    <xf numFmtId="169" fontId="563" fillId="3" borderId="0" applyNumberFormat="0" applyBorder="0" applyAlignment="0" applyProtection="0"/>
    <xf numFmtId="169" fontId="556" fillId="4" borderId="0" applyNumberFormat="0" applyBorder="0" applyAlignment="0" applyProtection="0"/>
    <xf numFmtId="169" fontId="564" fillId="5" borderId="4" applyNumberFormat="0" applyAlignment="0" applyProtection="0"/>
    <xf numFmtId="169" fontId="565" fillId="6" borderId="5" applyNumberFormat="0" applyAlignment="0" applyProtection="0"/>
    <xf numFmtId="169" fontId="567" fillId="0" borderId="6" applyNumberFormat="0" applyFill="0" applyAlignment="0" applyProtection="0"/>
    <xf numFmtId="169" fontId="568" fillId="7" borderId="7" applyNumberFormat="0" applyAlignment="0" applyProtection="0"/>
    <xf numFmtId="169" fontId="539" fillId="0" borderId="0" applyNumberFormat="0" applyFill="0" applyBorder="0" applyAlignment="0" applyProtection="0"/>
    <xf numFmtId="169" fontId="555" fillId="8" borderId="8" applyNumberFormat="0" applyFont="0" applyAlignment="0" applyProtection="0"/>
    <xf numFmtId="169" fontId="569" fillId="0" borderId="0" applyNumberFormat="0" applyFill="0" applyBorder="0" applyAlignment="0" applyProtection="0"/>
    <xf numFmtId="169" fontId="538" fillId="0" borderId="9" applyNumberFormat="0" applyFill="0" applyAlignment="0" applyProtection="0"/>
    <xf numFmtId="169" fontId="570" fillId="9" borderId="0" applyNumberFormat="0" applyBorder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70" fillId="12" borderId="0" applyNumberFormat="0" applyBorder="0" applyAlignment="0" applyProtection="0"/>
    <xf numFmtId="169" fontId="570" fillId="13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70" fillId="16" borderId="0" applyNumberFormat="0" applyBorder="0" applyAlignment="0" applyProtection="0"/>
    <xf numFmtId="169" fontId="570" fillId="1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70" fillId="20" borderId="0" applyNumberFormat="0" applyBorder="0" applyAlignment="0" applyProtection="0"/>
    <xf numFmtId="169" fontId="570" fillId="21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70" fillId="24" borderId="0" applyNumberFormat="0" applyBorder="0" applyAlignment="0" applyProtection="0"/>
    <xf numFmtId="169" fontId="570" fillId="25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70" fillId="28" borderId="0" applyNumberFormat="0" applyBorder="0" applyAlignment="0" applyProtection="0"/>
    <xf numFmtId="169" fontId="570" fillId="29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70" fillId="32" borderId="0" applyNumberFormat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9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0" fontId="537" fillId="0" borderId="0"/>
    <xf numFmtId="0" fontId="537" fillId="8" borderId="8" applyNumberFormat="0" applyFont="0" applyAlignment="0" applyProtection="0"/>
    <xf numFmtId="0" fontId="537" fillId="10" borderId="0" applyNumberFormat="0" applyBorder="0" applyAlignment="0" applyProtection="0"/>
    <xf numFmtId="0" fontId="537" fillId="11" borderId="0" applyNumberFormat="0" applyBorder="0" applyAlignment="0" applyProtection="0"/>
    <xf numFmtId="0" fontId="537" fillId="14" borderId="0" applyNumberFormat="0" applyBorder="0" applyAlignment="0" applyProtection="0"/>
    <xf numFmtId="0" fontId="537" fillId="15" borderId="0" applyNumberFormat="0" applyBorder="0" applyAlignment="0" applyProtection="0"/>
    <xf numFmtId="0" fontId="537" fillId="18" borderId="0" applyNumberFormat="0" applyBorder="0" applyAlignment="0" applyProtection="0"/>
    <xf numFmtId="0" fontId="537" fillId="19" borderId="0" applyNumberFormat="0" applyBorder="0" applyAlignment="0" applyProtection="0"/>
    <xf numFmtId="0" fontId="537" fillId="22" borderId="0" applyNumberFormat="0" applyBorder="0" applyAlignment="0" applyProtection="0"/>
    <xf numFmtId="0" fontId="537" fillId="23" borderId="0" applyNumberFormat="0" applyBorder="0" applyAlignment="0" applyProtection="0"/>
    <xf numFmtId="0" fontId="537" fillId="26" borderId="0" applyNumberFormat="0" applyBorder="0" applyAlignment="0" applyProtection="0"/>
    <xf numFmtId="0" fontId="537" fillId="27" borderId="0" applyNumberFormat="0" applyBorder="0" applyAlignment="0" applyProtection="0"/>
    <xf numFmtId="0" fontId="537" fillId="30" borderId="0" applyNumberFormat="0" applyBorder="0" applyAlignment="0" applyProtection="0"/>
    <xf numFmtId="0" fontId="537" fillId="31" borderId="0" applyNumberFormat="0" applyBorder="0" applyAlignment="0" applyProtection="0"/>
    <xf numFmtId="9" fontId="537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9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4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0" fontId="554" fillId="12" borderId="0" applyNumberFormat="0" applyBorder="0" applyAlignment="0" applyProtection="0"/>
    <xf numFmtId="0" fontId="554" fillId="16" borderId="0" applyNumberFormat="0" applyBorder="0" applyAlignment="0" applyProtection="0"/>
    <xf numFmtId="0" fontId="554" fillId="20" borderId="0" applyNumberFormat="0" applyBorder="0" applyAlignment="0" applyProtection="0"/>
    <xf numFmtId="0" fontId="554" fillId="24" borderId="0" applyNumberFormat="0" applyBorder="0" applyAlignment="0" applyProtection="0"/>
    <xf numFmtId="0" fontId="554" fillId="28" borderId="0" applyNumberFormat="0" applyBorder="0" applyAlignment="0" applyProtection="0"/>
    <xf numFmtId="0" fontId="554" fillId="32" borderId="0" applyNumberFormat="0" applyBorder="0" applyAlignment="0" applyProtection="0"/>
    <xf numFmtId="0" fontId="571" fillId="0" borderId="0" applyNumberForma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9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4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9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4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7" fontId="555" fillId="0" borderId="0" applyFont="0" applyFill="0" applyBorder="0" applyAlignment="0" applyProtection="0"/>
    <xf numFmtId="169" fontId="555" fillId="27" borderId="0" applyNumberFormat="0" applyBorder="0" applyAlignment="0" applyProtection="0"/>
    <xf numFmtId="169" fontId="555" fillId="15" borderId="0" applyNumberFormat="0" applyBorder="0" applyAlignment="0" applyProtection="0"/>
    <xf numFmtId="169" fontId="555" fillId="23" borderId="0" applyNumberFormat="0" applyBorder="0" applyAlignment="0" applyProtection="0"/>
    <xf numFmtId="169" fontId="555" fillId="8" borderId="8" applyNumberFormat="0" applyFont="0" applyAlignment="0" applyProtection="0"/>
    <xf numFmtId="169" fontId="555" fillId="22" borderId="0" applyNumberFormat="0" applyBorder="0" applyAlignment="0" applyProtection="0"/>
    <xf numFmtId="169" fontId="555" fillId="14" borderId="0" applyNumberFormat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10" borderId="0" applyNumberFormat="0" applyBorder="0" applyAlignment="0" applyProtection="0"/>
    <xf numFmtId="169" fontId="555" fillId="30" borderId="0" applyNumberFormat="0" applyBorder="0" applyAlignment="0" applyProtection="0"/>
    <xf numFmtId="169" fontId="555" fillId="0" borderId="0"/>
    <xf numFmtId="169" fontId="555" fillId="0" borderId="0"/>
    <xf numFmtId="169" fontId="555" fillId="31" borderId="0" applyNumberFormat="0" applyBorder="0" applyAlignment="0" applyProtection="0"/>
    <xf numFmtId="169" fontId="555" fillId="27" borderId="0" applyNumberFormat="0" applyBorder="0" applyAlignment="0" applyProtection="0"/>
    <xf numFmtId="169" fontId="555" fillId="22" borderId="0" applyNumberFormat="0" applyBorder="0" applyAlignment="0" applyProtection="0"/>
    <xf numFmtId="169" fontId="555" fillId="0" borderId="0"/>
    <xf numFmtId="169" fontId="555" fillId="0" borderId="0"/>
    <xf numFmtId="169" fontId="555" fillId="15" borderId="0" applyNumberFormat="0" applyBorder="0" applyAlignment="0" applyProtection="0"/>
    <xf numFmtId="169" fontId="555" fillId="27" borderId="0" applyNumberFormat="0" applyBorder="0" applyAlignment="0" applyProtection="0"/>
    <xf numFmtId="169" fontId="555" fillId="22" borderId="0" applyNumberFormat="0" applyBorder="0" applyAlignment="0" applyProtection="0"/>
    <xf numFmtId="169" fontId="555" fillId="26" borderId="0" applyNumberFormat="0" applyBorder="0" applyAlignment="0" applyProtection="0"/>
    <xf numFmtId="169" fontId="555" fillId="19" borderId="0" applyNumberFormat="0" applyBorder="0" applyAlignment="0" applyProtection="0"/>
    <xf numFmtId="169" fontId="555" fillId="26" borderId="0" applyNumberFormat="0" applyBorder="0" applyAlignment="0" applyProtection="0"/>
    <xf numFmtId="169" fontId="555" fillId="10" borderId="0" applyNumberFormat="0" applyBorder="0" applyAlignment="0" applyProtection="0"/>
    <xf numFmtId="169" fontId="555" fillId="31" borderId="0" applyNumberFormat="0" applyBorder="0" applyAlignment="0" applyProtection="0"/>
    <xf numFmtId="169" fontId="555" fillId="11" borderId="0" applyNumberFormat="0" applyBorder="0" applyAlignment="0" applyProtection="0"/>
    <xf numFmtId="169" fontId="555" fillId="26" borderId="0" applyNumberFormat="0" applyBorder="0" applyAlignment="0" applyProtection="0"/>
    <xf numFmtId="169" fontId="555" fillId="19" borderId="0" applyNumberFormat="0" applyBorder="0" applyAlignment="0" applyProtection="0"/>
    <xf numFmtId="169" fontId="555" fillId="31" borderId="0" applyNumberFormat="0" applyBorder="0" applyAlignment="0" applyProtection="0"/>
    <xf numFmtId="169" fontId="555" fillId="15" borderId="0" applyNumberFormat="0" applyBorder="0" applyAlignment="0" applyProtection="0"/>
    <xf numFmtId="169" fontId="555" fillId="8" borderId="8" applyNumberFormat="0" applyFont="0" applyAlignment="0" applyProtection="0"/>
    <xf numFmtId="169" fontId="555" fillId="18" borderId="0" applyNumberFormat="0" applyBorder="0" applyAlignment="0" applyProtection="0"/>
    <xf numFmtId="169" fontId="555" fillId="8" borderId="8" applyNumberFormat="0" applyFont="0" applyAlignment="0" applyProtection="0"/>
    <xf numFmtId="169" fontId="555" fillId="14" borderId="0" applyNumberFormat="0" applyBorder="0" applyAlignment="0" applyProtection="0"/>
    <xf numFmtId="169" fontId="555" fillId="11" borderId="0" applyNumberFormat="0" applyBorder="0" applyAlignment="0" applyProtection="0"/>
    <xf numFmtId="169" fontId="555" fillId="27" borderId="0" applyNumberFormat="0" applyBorder="0" applyAlignment="0" applyProtection="0"/>
    <xf numFmtId="169" fontId="555" fillId="22" borderId="0" applyNumberFormat="0" applyBorder="0" applyAlignment="0" applyProtection="0"/>
    <xf numFmtId="169" fontId="555" fillId="30" borderId="0" applyNumberFormat="0" applyBorder="0" applyAlignment="0" applyProtection="0"/>
    <xf numFmtId="169" fontId="555" fillId="18" borderId="0" applyNumberFormat="0" applyBorder="0" applyAlignment="0" applyProtection="0"/>
    <xf numFmtId="169" fontId="555" fillId="23" borderId="0" applyNumberFormat="0" applyBorder="0" applyAlignment="0" applyProtection="0"/>
    <xf numFmtId="169" fontId="555" fillId="18" borderId="0" applyNumberFormat="0" applyBorder="0" applyAlignment="0" applyProtection="0"/>
    <xf numFmtId="169" fontId="555" fillId="0" borderId="0"/>
    <xf numFmtId="169" fontId="555" fillId="11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14" borderId="0" applyNumberFormat="0" applyBorder="0" applyAlignment="0" applyProtection="0"/>
    <xf numFmtId="170" fontId="555" fillId="0" borderId="0" applyFont="0" applyFill="0" applyBorder="0" applyAlignment="0" applyProtection="0"/>
    <xf numFmtId="169" fontId="555" fillId="0" borderId="0"/>
    <xf numFmtId="169" fontId="555" fillId="23" borderId="0" applyNumberFormat="0" applyBorder="0" applyAlignment="0" applyProtection="0"/>
    <xf numFmtId="0" fontId="538" fillId="0" borderId="9" applyNumberFormat="0" applyFill="0" applyAlignment="0" applyProtection="0"/>
    <xf numFmtId="0" fontId="561" fillId="0" borderId="3" applyNumberFormat="0" applyFill="0" applyAlignment="0" applyProtection="0"/>
    <xf numFmtId="169" fontId="555" fillId="19" borderId="0" applyNumberFormat="0" applyBorder="0" applyAlignment="0" applyProtection="0"/>
    <xf numFmtId="167" fontId="555" fillId="0" borderId="0" applyFont="0" applyFill="0" applyBorder="0" applyAlignment="0" applyProtection="0"/>
    <xf numFmtId="169" fontId="555" fillId="14" borderId="0" applyNumberFormat="0" applyBorder="0" applyAlignment="0" applyProtection="0"/>
    <xf numFmtId="169" fontId="555" fillId="19" borderId="0" applyNumberFormat="0" applyBorder="0" applyAlignment="0" applyProtection="0"/>
    <xf numFmtId="169" fontId="555" fillId="31" borderId="0" applyNumberFormat="0" applyBorder="0" applyAlignment="0" applyProtection="0"/>
    <xf numFmtId="169" fontId="555" fillId="30" borderId="0" applyNumberFormat="0" applyBorder="0" applyAlignment="0" applyProtection="0"/>
    <xf numFmtId="169" fontId="555" fillId="22" borderId="0" applyNumberFormat="0" applyBorder="0" applyAlignment="0" applyProtection="0"/>
    <xf numFmtId="169" fontId="555" fillId="30" borderId="0" applyNumberFormat="0" applyBorder="0" applyAlignment="0" applyProtection="0"/>
    <xf numFmtId="0" fontId="554" fillId="21" borderId="0" applyNumberFormat="0" applyBorder="0" applyAlignment="0" applyProtection="0"/>
    <xf numFmtId="169" fontId="555" fillId="15" borderId="0" applyNumberFormat="0" applyBorder="0" applyAlignment="0" applyProtection="0"/>
    <xf numFmtId="169" fontId="555" fillId="10" borderId="0" applyNumberFormat="0" applyBorder="0" applyAlignment="0" applyProtection="0"/>
    <xf numFmtId="169" fontId="555" fillId="0" borderId="0"/>
    <xf numFmtId="169" fontId="555" fillId="10" borderId="0" applyNumberFormat="0" applyBorder="0" applyAlignment="0" applyProtection="0"/>
    <xf numFmtId="169" fontId="555" fillId="15" borderId="0" applyNumberFormat="0" applyBorder="0" applyAlignment="0" applyProtection="0"/>
    <xf numFmtId="169" fontId="555" fillId="15" borderId="0" applyNumberFormat="0" applyBorder="0" applyAlignment="0" applyProtection="0"/>
    <xf numFmtId="169" fontId="555" fillId="27" borderId="0" applyNumberFormat="0" applyBorder="0" applyAlignment="0" applyProtection="0"/>
    <xf numFmtId="169" fontId="555" fillId="8" borderId="8" applyNumberFormat="0" applyFont="0" applyAlignment="0" applyProtection="0"/>
    <xf numFmtId="169" fontId="555" fillId="0" borderId="0"/>
    <xf numFmtId="169" fontId="555" fillId="11" borderId="0" applyNumberFormat="0" applyBorder="0" applyAlignment="0" applyProtection="0"/>
    <xf numFmtId="169" fontId="555" fillId="8" borderId="8" applyNumberFormat="0" applyFont="0" applyAlignment="0" applyProtection="0"/>
    <xf numFmtId="169" fontId="555" fillId="31" borderId="0" applyNumberFormat="0" applyBorder="0" applyAlignment="0" applyProtection="0"/>
    <xf numFmtId="169" fontId="555" fillId="11" borderId="0" applyNumberFormat="0" applyBorder="0" applyAlignment="0" applyProtection="0"/>
    <xf numFmtId="169" fontId="555" fillId="23" borderId="0" applyNumberFormat="0" applyBorder="0" applyAlignment="0" applyProtection="0"/>
    <xf numFmtId="169" fontId="555" fillId="3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4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0" fontId="559" fillId="0" borderId="1" applyNumberFormat="0" applyFill="0" applyAlignment="0" applyProtection="0"/>
    <xf numFmtId="169" fontId="555" fillId="18" borderId="0" applyNumberFormat="0" applyBorder="0" applyAlignment="0" applyProtection="0"/>
    <xf numFmtId="169" fontId="555" fillId="22" borderId="0" applyNumberFormat="0" applyBorder="0" applyAlignment="0" applyProtection="0"/>
    <xf numFmtId="169" fontId="555" fillId="10" borderId="0" applyNumberFormat="0" applyBorder="0" applyAlignment="0" applyProtection="0"/>
    <xf numFmtId="169" fontId="555" fillId="30" borderId="0" applyNumberFormat="0" applyBorder="0" applyAlignment="0" applyProtection="0"/>
    <xf numFmtId="169" fontId="555" fillId="23" borderId="0" applyNumberFormat="0" applyBorder="0" applyAlignment="0" applyProtection="0"/>
    <xf numFmtId="169" fontId="555" fillId="0" borderId="0"/>
    <xf numFmtId="169" fontId="555" fillId="15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19" borderId="0" applyNumberFormat="0" applyBorder="0" applyAlignment="0" applyProtection="0"/>
    <xf numFmtId="169" fontId="555" fillId="0" borderId="0"/>
    <xf numFmtId="169" fontId="555" fillId="26" borderId="0" applyNumberFormat="0" applyBorder="0" applyAlignment="0" applyProtection="0"/>
    <xf numFmtId="169" fontId="555" fillId="30" borderId="0" applyNumberFormat="0" applyBorder="0" applyAlignment="0" applyProtection="0"/>
    <xf numFmtId="169" fontId="555" fillId="26" borderId="0" applyNumberFormat="0" applyBorder="0" applyAlignment="0" applyProtection="0"/>
    <xf numFmtId="164" fontId="555" fillId="0" borderId="0" applyFont="0" applyFill="0" applyBorder="0" applyAlignment="0" applyProtection="0"/>
    <xf numFmtId="169" fontId="555" fillId="18" borderId="0" applyNumberFormat="0" applyBorder="0" applyAlignment="0" applyProtection="0"/>
    <xf numFmtId="169" fontId="555" fillId="0" borderId="0"/>
    <xf numFmtId="0" fontId="555" fillId="0" borderId="0"/>
    <xf numFmtId="169" fontId="555" fillId="30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18" borderId="0" applyNumberFormat="0" applyBorder="0" applyAlignment="0" applyProtection="0"/>
    <xf numFmtId="169" fontId="555" fillId="0" borderId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8" borderId="8" applyNumberFormat="0" applyFont="0" applyAlignment="0" applyProtection="0"/>
    <xf numFmtId="169" fontId="555" fillId="0" borderId="0"/>
    <xf numFmtId="169" fontId="555" fillId="14" borderId="0" applyNumberFormat="0" applyBorder="0" applyAlignment="0" applyProtection="0"/>
    <xf numFmtId="169" fontId="555" fillId="11" borderId="0" applyNumberFormat="0" applyBorder="0" applyAlignment="0" applyProtection="0"/>
    <xf numFmtId="169" fontId="555" fillId="23" borderId="0" applyNumberFormat="0" applyBorder="0" applyAlignment="0" applyProtection="0"/>
    <xf numFmtId="169" fontId="555" fillId="0" borderId="0"/>
    <xf numFmtId="169" fontId="555" fillId="0" borderId="0"/>
    <xf numFmtId="169" fontId="555" fillId="10" borderId="0" applyNumberFormat="0" applyBorder="0" applyAlignment="0" applyProtection="0"/>
    <xf numFmtId="169" fontId="555" fillId="8" borderId="8" applyNumberFormat="0" applyFont="0" applyAlignment="0" applyProtection="0"/>
    <xf numFmtId="169" fontId="555" fillId="27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0" fontId="555" fillId="0" borderId="0"/>
    <xf numFmtId="170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4" fontId="555" fillId="0" borderId="0" applyFont="0" applyFill="0" applyBorder="0" applyAlignment="0" applyProtection="0"/>
    <xf numFmtId="169" fontId="555" fillId="0" borderId="0"/>
    <xf numFmtId="167" fontId="555" fillId="0" borderId="0" applyFont="0" applyFill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7" fontId="555" fillId="0" borderId="0" applyFont="0" applyFill="0" applyBorder="0" applyAlignment="0" applyProtection="0"/>
    <xf numFmtId="0" fontId="555" fillId="0" borderId="0"/>
    <xf numFmtId="170" fontId="555" fillId="0" borderId="0" applyFont="0" applyFill="0" applyBorder="0" applyAlignment="0" applyProtection="0"/>
    <xf numFmtId="169" fontId="555" fillId="0" borderId="0"/>
    <xf numFmtId="9" fontId="555" fillId="0" borderId="0" applyFont="0" applyFill="0" applyBorder="0" applyAlignment="0" applyProtection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0" borderId="0"/>
    <xf numFmtId="169" fontId="555" fillId="0" borderId="0"/>
    <xf numFmtId="169" fontId="555" fillId="0" borderId="0"/>
    <xf numFmtId="164" fontId="555" fillId="0" borderId="0" applyFont="0" applyFill="0" applyBorder="0" applyAlignment="0" applyProtection="0"/>
    <xf numFmtId="169" fontId="555" fillId="0" borderId="0"/>
    <xf numFmtId="169" fontId="555" fillId="0" borderId="0"/>
    <xf numFmtId="169" fontId="555" fillId="0" borderId="0"/>
    <xf numFmtId="169" fontId="555" fillId="0" borderId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  <xf numFmtId="169" fontId="555" fillId="8" borderId="8" applyNumberFormat="0" applyFont="0" applyAlignment="0" applyProtection="0"/>
    <xf numFmtId="169" fontId="555" fillId="10" borderId="0" applyNumberFormat="0" applyBorder="0" applyAlignment="0" applyProtection="0"/>
    <xf numFmtId="169" fontId="555" fillId="11" borderId="0" applyNumberFormat="0" applyBorder="0" applyAlignment="0" applyProtection="0"/>
    <xf numFmtId="169" fontId="555" fillId="14" borderId="0" applyNumberFormat="0" applyBorder="0" applyAlignment="0" applyProtection="0"/>
    <xf numFmtId="169" fontId="555" fillId="15" borderId="0" applyNumberFormat="0" applyBorder="0" applyAlignment="0" applyProtection="0"/>
    <xf numFmtId="169" fontId="555" fillId="18" borderId="0" applyNumberFormat="0" applyBorder="0" applyAlignment="0" applyProtection="0"/>
    <xf numFmtId="169" fontId="555" fillId="19" borderId="0" applyNumberFormat="0" applyBorder="0" applyAlignment="0" applyProtection="0"/>
    <xf numFmtId="169" fontId="555" fillId="22" borderId="0" applyNumberFormat="0" applyBorder="0" applyAlignment="0" applyProtection="0"/>
    <xf numFmtId="169" fontId="555" fillId="23" borderId="0" applyNumberFormat="0" applyBorder="0" applyAlignment="0" applyProtection="0"/>
    <xf numFmtId="169" fontId="555" fillId="26" borderId="0" applyNumberFormat="0" applyBorder="0" applyAlignment="0" applyProtection="0"/>
    <xf numFmtId="169" fontId="555" fillId="27" borderId="0" applyNumberFormat="0" applyBorder="0" applyAlignment="0" applyProtection="0"/>
    <xf numFmtId="169" fontId="555" fillId="30" borderId="0" applyNumberFormat="0" applyBorder="0" applyAlignment="0" applyProtection="0"/>
    <xf numFmtId="169" fontId="555" fillId="31" borderId="0" applyNumberFormat="0" applyBorder="0" applyAlignment="0" applyProtection="0"/>
  </cellStyleXfs>
  <cellXfs count="1469">
    <xf numFmtId="0" fontId="0" fillId="0" borderId="0" xfId="0"/>
    <xf numFmtId="0" fontId="555" fillId="0" borderId="0" xfId="0" applyFont="1" applyAlignment="1">
      <alignment horizontal="center"/>
    </xf>
    <xf numFmtId="0" fontId="555" fillId="0" borderId="0" xfId="0" applyFont="1"/>
    <xf numFmtId="14" fontId="555" fillId="0" borderId="0" xfId="0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" fontId="536" fillId="0" borderId="0" xfId="0" applyNumberFormat="1" applyFont="1" applyAlignment="1">
      <alignment horizontal="center"/>
    </xf>
    <xf numFmtId="165" fontId="536" fillId="0" borderId="0" xfId="0" applyNumberFormat="1" applyFont="1" applyAlignment="1">
      <alignment horizontal="center"/>
    </xf>
    <xf numFmtId="1" fontId="535" fillId="0" borderId="0" xfId="0" applyNumberFormat="1" applyFont="1" applyAlignment="1">
      <alignment horizontal="center"/>
    </xf>
    <xf numFmtId="165" fontId="535" fillId="0" borderId="0" xfId="0" applyNumberFormat="1" applyFont="1" applyAlignment="1">
      <alignment horizontal="center"/>
    </xf>
    <xf numFmtId="1" fontId="534" fillId="0" borderId="0" xfId="0" applyNumberFormat="1" applyFont="1" applyAlignment="1">
      <alignment horizontal="center"/>
    </xf>
    <xf numFmtId="165" fontId="534" fillId="0" borderId="0" xfId="0" applyNumberFormat="1" applyFont="1" applyAlignment="1">
      <alignment horizontal="center"/>
    </xf>
    <xf numFmtId="1" fontId="533" fillId="0" borderId="0" xfId="0" applyNumberFormat="1" applyFont="1" applyAlignment="1">
      <alignment horizontal="center"/>
    </xf>
    <xf numFmtId="165" fontId="533" fillId="0" borderId="0" xfId="0" applyNumberFormat="1" applyFont="1" applyAlignment="1">
      <alignment horizontal="center"/>
    </xf>
    <xf numFmtId="166" fontId="533" fillId="0" borderId="0" xfId="1" applyNumberFormat="1" applyFont="1" applyFill="1" applyAlignment="1">
      <alignment horizontal="center"/>
    </xf>
    <xf numFmtId="171" fontId="533" fillId="0" borderId="0" xfId="0" applyNumberFormat="1" applyFont="1" applyAlignment="1">
      <alignment horizontal="center"/>
    </xf>
    <xf numFmtId="1" fontId="532" fillId="0" borderId="0" xfId="0" applyNumberFormat="1" applyFont="1" applyAlignment="1">
      <alignment horizontal="center"/>
    </xf>
    <xf numFmtId="1" fontId="531" fillId="0" borderId="0" xfId="0" applyNumberFormat="1" applyFont="1" applyAlignment="1">
      <alignment horizontal="center"/>
    </xf>
    <xf numFmtId="165" fontId="531" fillId="0" borderId="0" xfId="0" applyNumberFormat="1" applyFont="1" applyAlignment="1">
      <alignment horizontal="center"/>
    </xf>
    <xf numFmtId="171" fontId="531" fillId="0" borderId="0" xfId="0" applyNumberFormat="1" applyFont="1" applyAlignment="1">
      <alignment horizontal="center"/>
    </xf>
    <xf numFmtId="1" fontId="530" fillId="0" borderId="0" xfId="0" applyNumberFormat="1" applyFont="1" applyAlignment="1">
      <alignment horizontal="center"/>
    </xf>
    <xf numFmtId="165" fontId="530" fillId="0" borderId="0" xfId="0" applyNumberFormat="1" applyFont="1" applyAlignment="1">
      <alignment horizontal="center"/>
    </xf>
    <xf numFmtId="166" fontId="530" fillId="0" borderId="0" xfId="1" applyNumberFormat="1" applyFont="1" applyFill="1" applyAlignment="1">
      <alignment horizontal="center"/>
    </xf>
    <xf numFmtId="1" fontId="529" fillId="0" borderId="0" xfId="0" applyNumberFormat="1" applyFont="1" applyAlignment="1">
      <alignment horizontal="center"/>
    </xf>
    <xf numFmtId="165" fontId="529" fillId="0" borderId="0" xfId="0" applyNumberFormat="1" applyFont="1" applyAlignment="1">
      <alignment horizontal="center"/>
    </xf>
    <xf numFmtId="171" fontId="529" fillId="0" borderId="0" xfId="0" applyNumberFormat="1" applyFont="1" applyAlignment="1">
      <alignment horizontal="center"/>
    </xf>
    <xf numFmtId="1" fontId="528" fillId="0" borderId="0" xfId="0" applyNumberFormat="1" applyFont="1" applyAlignment="1">
      <alignment horizontal="center"/>
    </xf>
    <xf numFmtId="165" fontId="528" fillId="0" borderId="0" xfId="0" applyNumberFormat="1" applyFont="1" applyAlignment="1">
      <alignment horizontal="center"/>
    </xf>
    <xf numFmtId="171" fontId="528" fillId="0" borderId="0" xfId="0" applyNumberFormat="1" applyFont="1" applyAlignment="1">
      <alignment horizontal="center"/>
    </xf>
    <xf numFmtId="1" fontId="527" fillId="0" borderId="0" xfId="0" applyNumberFormat="1" applyFont="1" applyAlignment="1">
      <alignment horizontal="center"/>
    </xf>
    <xf numFmtId="165" fontId="527" fillId="0" borderId="0" xfId="0" applyNumberFormat="1" applyFont="1" applyAlignment="1">
      <alignment horizontal="center"/>
    </xf>
    <xf numFmtId="1" fontId="526" fillId="0" borderId="0" xfId="0" applyNumberFormat="1" applyFont="1" applyAlignment="1">
      <alignment horizontal="center"/>
    </xf>
    <xf numFmtId="165" fontId="526" fillId="0" borderId="0" xfId="0" applyNumberFormat="1" applyFont="1" applyAlignment="1">
      <alignment horizontal="center"/>
    </xf>
    <xf numFmtId="1" fontId="525" fillId="0" borderId="0" xfId="0" applyNumberFormat="1" applyFont="1" applyAlignment="1">
      <alignment horizontal="center"/>
    </xf>
    <xf numFmtId="165" fontId="525" fillId="0" borderId="0" xfId="0" applyNumberFormat="1" applyFont="1" applyAlignment="1">
      <alignment horizontal="center"/>
    </xf>
    <xf numFmtId="1" fontId="524" fillId="0" borderId="0" xfId="0" applyNumberFormat="1" applyFont="1" applyAlignment="1">
      <alignment horizontal="center"/>
    </xf>
    <xf numFmtId="165" fontId="524" fillId="0" borderId="0" xfId="0" applyNumberFormat="1" applyFont="1" applyAlignment="1">
      <alignment horizontal="center"/>
    </xf>
    <xf numFmtId="165" fontId="0" fillId="0" borderId="0" xfId="0" applyNumberFormat="1"/>
    <xf numFmtId="165" fontId="0" fillId="0" borderId="0" xfId="1" applyNumberFormat="1" applyFont="1" applyAlignment="1">
      <alignment horizontal="center"/>
    </xf>
    <xf numFmtId="1" fontId="523" fillId="0" borderId="0" xfId="0" applyNumberFormat="1" applyFont="1" applyAlignment="1">
      <alignment horizontal="center"/>
    </xf>
    <xf numFmtId="165" fontId="523" fillId="0" borderId="0" xfId="0" applyNumberFormat="1" applyFont="1" applyAlignment="1">
      <alignment horizontal="center"/>
    </xf>
    <xf numFmtId="171" fontId="523" fillId="0" borderId="0" xfId="0" applyNumberFormat="1" applyFont="1" applyAlignment="1">
      <alignment horizontal="center"/>
    </xf>
    <xf numFmtId="1" fontId="522" fillId="0" borderId="0" xfId="0" applyNumberFormat="1" applyFont="1" applyAlignment="1">
      <alignment horizontal="center"/>
    </xf>
    <xf numFmtId="165" fontId="522" fillId="0" borderId="0" xfId="0" applyNumberFormat="1" applyFont="1" applyAlignment="1">
      <alignment horizontal="center"/>
    </xf>
    <xf numFmtId="171" fontId="522" fillId="0" borderId="0" xfId="0" applyNumberFormat="1" applyFont="1" applyAlignment="1">
      <alignment horizontal="center"/>
    </xf>
    <xf numFmtId="1" fontId="521" fillId="0" borderId="0" xfId="0" applyNumberFormat="1" applyFont="1" applyAlignment="1">
      <alignment horizontal="center"/>
    </xf>
    <xf numFmtId="165" fontId="521" fillId="0" borderId="0" xfId="0" applyNumberFormat="1" applyFont="1" applyAlignment="1">
      <alignment horizontal="center"/>
    </xf>
    <xf numFmtId="171" fontId="521" fillId="0" borderId="0" xfId="0" applyNumberFormat="1" applyFont="1" applyAlignment="1">
      <alignment horizontal="center"/>
    </xf>
    <xf numFmtId="1" fontId="520" fillId="0" borderId="0" xfId="0" applyNumberFormat="1" applyFont="1" applyAlignment="1">
      <alignment horizontal="center"/>
    </xf>
    <xf numFmtId="165" fontId="520" fillId="0" borderId="0" xfId="0" applyNumberFormat="1" applyFont="1" applyAlignment="1">
      <alignment horizontal="center"/>
    </xf>
    <xf numFmtId="171" fontId="520" fillId="0" borderId="0" xfId="0" applyNumberFormat="1" applyFont="1" applyAlignment="1">
      <alignment horizontal="center"/>
    </xf>
    <xf numFmtId="1" fontId="519" fillId="0" borderId="0" xfId="0" applyNumberFormat="1" applyFont="1" applyAlignment="1">
      <alignment horizontal="center"/>
    </xf>
    <xf numFmtId="165" fontId="519" fillId="0" borderId="0" xfId="0" applyNumberFormat="1" applyFont="1" applyAlignment="1">
      <alignment horizontal="center"/>
    </xf>
    <xf numFmtId="171" fontId="519" fillId="0" borderId="0" xfId="0" applyNumberFormat="1" applyFont="1" applyAlignment="1">
      <alignment horizontal="center"/>
    </xf>
    <xf numFmtId="1" fontId="518" fillId="0" borderId="0" xfId="0" applyNumberFormat="1" applyFont="1" applyAlignment="1">
      <alignment horizontal="center"/>
    </xf>
    <xf numFmtId="165" fontId="518" fillId="0" borderId="0" xfId="0" applyNumberFormat="1" applyFont="1" applyAlignment="1">
      <alignment horizontal="center"/>
    </xf>
    <xf numFmtId="1" fontId="517" fillId="0" borderId="0" xfId="0" applyNumberFormat="1" applyFont="1" applyAlignment="1">
      <alignment horizontal="center"/>
    </xf>
    <xf numFmtId="165" fontId="517" fillId="0" borderId="0" xfId="0" applyNumberFormat="1" applyFont="1" applyAlignment="1">
      <alignment horizontal="center"/>
    </xf>
    <xf numFmtId="171" fontId="517" fillId="0" borderId="0" xfId="0" applyNumberFormat="1" applyFont="1" applyAlignment="1">
      <alignment horizontal="center"/>
    </xf>
    <xf numFmtId="1" fontId="516" fillId="0" borderId="0" xfId="0" applyNumberFormat="1" applyFont="1" applyAlignment="1">
      <alignment horizontal="center"/>
    </xf>
    <xf numFmtId="165" fontId="516" fillId="0" borderId="0" xfId="0" applyNumberFormat="1" applyFont="1" applyAlignment="1">
      <alignment horizontal="center"/>
    </xf>
    <xf numFmtId="171" fontId="516" fillId="0" borderId="0" xfId="0" applyNumberFormat="1" applyFont="1" applyAlignment="1">
      <alignment horizontal="center"/>
    </xf>
    <xf numFmtId="1" fontId="515" fillId="0" borderId="0" xfId="0" applyNumberFormat="1" applyFont="1" applyAlignment="1">
      <alignment horizontal="center"/>
    </xf>
    <xf numFmtId="165" fontId="515" fillId="0" borderId="0" xfId="0" applyNumberFormat="1" applyFont="1" applyAlignment="1">
      <alignment horizontal="center"/>
    </xf>
    <xf numFmtId="171" fontId="515" fillId="0" borderId="0" xfId="0" applyNumberFormat="1" applyFont="1" applyAlignment="1">
      <alignment horizontal="center"/>
    </xf>
    <xf numFmtId="1" fontId="514" fillId="0" borderId="0" xfId="0" applyNumberFormat="1" applyFont="1" applyAlignment="1">
      <alignment horizontal="center"/>
    </xf>
    <xf numFmtId="165" fontId="514" fillId="0" borderId="0" xfId="0" applyNumberFormat="1" applyFont="1" applyAlignment="1">
      <alignment horizontal="center"/>
    </xf>
    <xf numFmtId="1" fontId="513" fillId="0" borderId="0" xfId="0" applyNumberFormat="1" applyFont="1" applyAlignment="1">
      <alignment horizontal="center"/>
    </xf>
    <xf numFmtId="165" fontId="513" fillId="0" borderId="0" xfId="0" applyNumberFormat="1" applyFont="1" applyAlignment="1">
      <alignment horizontal="center"/>
    </xf>
    <xf numFmtId="171" fontId="513" fillId="0" borderId="0" xfId="0" applyNumberFormat="1" applyFont="1" applyAlignment="1">
      <alignment horizontal="center"/>
    </xf>
    <xf numFmtId="1" fontId="512" fillId="0" borderId="0" xfId="0" applyNumberFormat="1" applyFont="1" applyAlignment="1">
      <alignment horizontal="center"/>
    </xf>
    <xf numFmtId="165" fontId="512" fillId="0" borderId="0" xfId="0" applyNumberFormat="1" applyFont="1" applyAlignment="1">
      <alignment horizontal="center"/>
    </xf>
    <xf numFmtId="171" fontId="512" fillId="0" borderId="0" xfId="0" applyNumberFormat="1" applyFont="1" applyAlignment="1">
      <alignment horizontal="center"/>
    </xf>
    <xf numFmtId="1" fontId="511" fillId="0" borderId="0" xfId="0" applyNumberFormat="1" applyFont="1" applyAlignment="1">
      <alignment horizontal="center"/>
    </xf>
    <xf numFmtId="165" fontId="511" fillId="0" borderId="0" xfId="0" applyNumberFormat="1" applyFont="1" applyAlignment="1">
      <alignment horizontal="center"/>
    </xf>
    <xf numFmtId="1" fontId="510" fillId="0" borderId="0" xfId="0" applyNumberFormat="1" applyFont="1" applyAlignment="1">
      <alignment horizontal="center"/>
    </xf>
    <xf numFmtId="165" fontId="510" fillId="0" borderId="0" xfId="0" applyNumberFormat="1" applyFont="1" applyAlignment="1">
      <alignment horizontal="center"/>
    </xf>
    <xf numFmtId="171" fontId="510" fillId="0" borderId="0" xfId="0" applyNumberFormat="1" applyFont="1" applyAlignment="1">
      <alignment horizontal="center"/>
    </xf>
    <xf numFmtId="1" fontId="509" fillId="0" borderId="0" xfId="0" applyNumberFormat="1" applyFont="1" applyAlignment="1">
      <alignment horizontal="center"/>
    </xf>
    <xf numFmtId="165" fontId="509" fillId="0" borderId="0" xfId="0" applyNumberFormat="1" applyFont="1" applyAlignment="1">
      <alignment horizontal="center"/>
    </xf>
    <xf numFmtId="171" fontId="509" fillId="0" borderId="0" xfId="0" applyNumberFormat="1" applyFont="1" applyAlignment="1">
      <alignment horizontal="center"/>
    </xf>
    <xf numFmtId="1" fontId="508" fillId="0" borderId="0" xfId="0" applyNumberFormat="1" applyFont="1" applyAlignment="1">
      <alignment horizontal="center"/>
    </xf>
    <xf numFmtId="165" fontId="508" fillId="0" borderId="0" xfId="0" applyNumberFormat="1" applyFont="1" applyAlignment="1">
      <alignment horizontal="center"/>
    </xf>
    <xf numFmtId="171" fontId="508" fillId="0" borderId="0" xfId="0" applyNumberFormat="1" applyFont="1" applyAlignment="1">
      <alignment horizontal="center"/>
    </xf>
    <xf numFmtId="1" fontId="507" fillId="0" borderId="0" xfId="0" applyNumberFormat="1" applyFont="1" applyAlignment="1">
      <alignment horizontal="center"/>
    </xf>
    <xf numFmtId="165" fontId="507" fillId="0" borderId="0" xfId="0" applyNumberFormat="1" applyFont="1" applyAlignment="1">
      <alignment horizontal="center"/>
    </xf>
    <xf numFmtId="171" fontId="507" fillId="0" borderId="0" xfId="0" applyNumberFormat="1" applyFont="1" applyAlignment="1">
      <alignment horizontal="center"/>
    </xf>
    <xf numFmtId="1" fontId="506" fillId="0" borderId="0" xfId="0" applyNumberFormat="1" applyFont="1" applyAlignment="1">
      <alignment horizontal="center"/>
    </xf>
    <xf numFmtId="165" fontId="506" fillId="0" borderId="0" xfId="0" applyNumberFormat="1" applyFont="1" applyAlignment="1">
      <alignment horizontal="center"/>
    </xf>
    <xf numFmtId="1" fontId="505" fillId="0" borderId="0" xfId="0" applyNumberFormat="1" applyFont="1" applyAlignment="1">
      <alignment horizontal="center"/>
    </xf>
    <xf numFmtId="165" fontId="505" fillId="0" borderId="0" xfId="0" applyNumberFormat="1" applyFont="1" applyAlignment="1">
      <alignment horizontal="center"/>
    </xf>
    <xf numFmtId="171" fontId="505" fillId="0" borderId="0" xfId="0" applyNumberFormat="1" applyFont="1" applyAlignment="1">
      <alignment horizontal="center"/>
    </xf>
    <xf numFmtId="1" fontId="504" fillId="0" borderId="0" xfId="0" applyNumberFormat="1" applyFont="1" applyAlignment="1">
      <alignment horizontal="center"/>
    </xf>
    <xf numFmtId="165" fontId="504" fillId="0" borderId="0" xfId="0" applyNumberFormat="1" applyFont="1" applyAlignment="1">
      <alignment horizontal="center"/>
    </xf>
    <xf numFmtId="1" fontId="503" fillId="0" borderId="0" xfId="0" applyNumberFormat="1" applyFont="1" applyAlignment="1">
      <alignment horizontal="center"/>
    </xf>
    <xf numFmtId="165" fontId="503" fillId="0" borderId="0" xfId="0" applyNumberFormat="1" applyFont="1" applyAlignment="1">
      <alignment horizontal="center"/>
    </xf>
    <xf numFmtId="171" fontId="503" fillId="0" borderId="0" xfId="0" applyNumberFormat="1" applyFont="1" applyAlignment="1">
      <alignment horizontal="center"/>
    </xf>
    <xf numFmtId="1" fontId="502" fillId="0" borderId="0" xfId="0" applyNumberFormat="1" applyFont="1" applyAlignment="1">
      <alignment horizontal="center"/>
    </xf>
    <xf numFmtId="165" fontId="502" fillId="0" borderId="0" xfId="0" applyNumberFormat="1" applyFont="1" applyAlignment="1">
      <alignment horizontal="center"/>
    </xf>
    <xf numFmtId="171" fontId="502" fillId="0" borderId="0" xfId="0" applyNumberFormat="1" applyFont="1" applyAlignment="1">
      <alignment horizontal="center"/>
    </xf>
    <xf numFmtId="1" fontId="501" fillId="0" borderId="0" xfId="0" applyNumberFormat="1" applyFont="1" applyAlignment="1">
      <alignment horizontal="center"/>
    </xf>
    <xf numFmtId="165" fontId="501" fillId="0" borderId="0" xfId="0" applyNumberFormat="1" applyFont="1" applyAlignment="1">
      <alignment horizontal="center"/>
    </xf>
    <xf numFmtId="171" fontId="501" fillId="0" borderId="0" xfId="0" applyNumberFormat="1" applyFont="1" applyAlignment="1">
      <alignment horizontal="center"/>
    </xf>
    <xf numFmtId="1" fontId="500" fillId="0" borderId="0" xfId="0" applyNumberFormat="1" applyFont="1" applyAlignment="1">
      <alignment horizontal="center"/>
    </xf>
    <xf numFmtId="165" fontId="500" fillId="0" borderId="0" xfId="0" applyNumberFormat="1" applyFont="1" applyAlignment="1">
      <alignment horizontal="center"/>
    </xf>
    <xf numFmtId="171" fontId="500" fillId="0" borderId="0" xfId="0" applyNumberFormat="1" applyFont="1" applyAlignment="1">
      <alignment horizontal="center"/>
    </xf>
    <xf numFmtId="1" fontId="499" fillId="0" borderId="0" xfId="0" applyNumberFormat="1" applyFont="1" applyAlignment="1">
      <alignment horizontal="center"/>
    </xf>
    <xf numFmtId="165" fontId="499" fillId="0" borderId="0" xfId="0" applyNumberFormat="1" applyFont="1" applyAlignment="1">
      <alignment horizontal="center"/>
    </xf>
    <xf numFmtId="171" fontId="499" fillId="0" borderId="0" xfId="0" applyNumberFormat="1" applyFont="1" applyAlignment="1">
      <alignment horizontal="center"/>
    </xf>
    <xf numFmtId="1" fontId="498" fillId="0" borderId="0" xfId="0" applyNumberFormat="1" applyFont="1" applyAlignment="1">
      <alignment horizontal="center"/>
    </xf>
    <xf numFmtId="165" fontId="498" fillId="0" borderId="0" xfId="0" applyNumberFormat="1" applyFont="1" applyAlignment="1">
      <alignment horizontal="center"/>
    </xf>
    <xf numFmtId="171" fontId="498" fillId="0" borderId="0" xfId="0" applyNumberFormat="1" applyFont="1" applyAlignment="1">
      <alignment horizontal="center"/>
    </xf>
    <xf numFmtId="1" fontId="497" fillId="0" borderId="0" xfId="0" applyNumberFormat="1" applyFont="1" applyAlignment="1">
      <alignment horizontal="center"/>
    </xf>
    <xf numFmtId="165" fontId="497" fillId="0" borderId="0" xfId="0" applyNumberFormat="1" applyFont="1" applyAlignment="1">
      <alignment horizontal="center"/>
    </xf>
    <xf numFmtId="1" fontId="496" fillId="0" borderId="0" xfId="0" applyNumberFormat="1" applyFont="1" applyAlignment="1">
      <alignment horizontal="center"/>
    </xf>
    <xf numFmtId="165" fontId="496" fillId="0" borderId="0" xfId="0" applyNumberFormat="1" applyFont="1" applyAlignment="1">
      <alignment horizontal="center"/>
    </xf>
    <xf numFmtId="1" fontId="495" fillId="0" borderId="0" xfId="0" applyNumberFormat="1" applyFont="1" applyAlignment="1">
      <alignment horizontal="center"/>
    </xf>
    <xf numFmtId="165" fontId="495" fillId="0" borderId="0" xfId="0" applyNumberFormat="1" applyFont="1" applyAlignment="1">
      <alignment horizontal="center"/>
    </xf>
    <xf numFmtId="1" fontId="494" fillId="0" borderId="0" xfId="0" applyNumberFormat="1" applyFont="1" applyAlignment="1">
      <alignment horizontal="center"/>
    </xf>
    <xf numFmtId="165" fontId="494" fillId="0" borderId="0" xfId="0" applyNumberFormat="1" applyFont="1" applyAlignment="1">
      <alignment horizontal="center"/>
    </xf>
    <xf numFmtId="171" fontId="494" fillId="0" borderId="0" xfId="0" applyNumberFormat="1" applyFont="1" applyAlignment="1">
      <alignment horizontal="center"/>
    </xf>
    <xf numFmtId="1" fontId="493" fillId="0" borderId="0" xfId="0" applyNumberFormat="1" applyFont="1" applyAlignment="1">
      <alignment horizontal="center"/>
    </xf>
    <xf numFmtId="165" fontId="493" fillId="0" borderId="0" xfId="0" applyNumberFormat="1" applyFont="1" applyAlignment="1">
      <alignment horizontal="center"/>
    </xf>
    <xf numFmtId="1" fontId="492" fillId="0" borderId="0" xfId="0" applyNumberFormat="1" applyFont="1" applyAlignment="1">
      <alignment horizontal="center"/>
    </xf>
    <xf numFmtId="165" fontId="492" fillId="0" borderId="0" xfId="0" applyNumberFormat="1" applyFont="1" applyAlignment="1">
      <alignment horizontal="center"/>
    </xf>
    <xf numFmtId="1" fontId="491" fillId="0" borderId="0" xfId="0" applyNumberFormat="1" applyFont="1" applyAlignment="1">
      <alignment horizontal="center"/>
    </xf>
    <xf numFmtId="165" fontId="491" fillId="0" borderId="0" xfId="0" applyNumberFormat="1" applyFont="1" applyAlignment="1">
      <alignment horizontal="center"/>
    </xf>
    <xf numFmtId="171" fontId="491" fillId="0" borderId="0" xfId="0" applyNumberFormat="1" applyFont="1" applyAlignment="1">
      <alignment horizontal="center"/>
    </xf>
    <xf numFmtId="1" fontId="490" fillId="0" borderId="0" xfId="0" applyNumberFormat="1" applyFont="1" applyAlignment="1">
      <alignment horizontal="center"/>
    </xf>
    <xf numFmtId="165" fontId="490" fillId="0" borderId="0" xfId="0" applyNumberFormat="1" applyFont="1" applyAlignment="1">
      <alignment horizontal="center"/>
    </xf>
    <xf numFmtId="171" fontId="490" fillId="0" borderId="0" xfId="0" applyNumberFormat="1" applyFont="1" applyAlignment="1">
      <alignment horizontal="center"/>
    </xf>
    <xf numFmtId="1" fontId="489" fillId="0" borderId="0" xfId="0" applyNumberFormat="1" applyFont="1" applyAlignment="1">
      <alignment horizontal="center"/>
    </xf>
    <xf numFmtId="165" fontId="489" fillId="0" borderId="0" xfId="0" applyNumberFormat="1" applyFont="1" applyAlignment="1">
      <alignment horizontal="center"/>
    </xf>
    <xf numFmtId="171" fontId="489" fillId="0" borderId="0" xfId="0" applyNumberFormat="1" applyFont="1" applyAlignment="1">
      <alignment horizontal="center"/>
    </xf>
    <xf numFmtId="1" fontId="488" fillId="0" borderId="0" xfId="0" applyNumberFormat="1" applyFont="1" applyAlignment="1">
      <alignment horizontal="center"/>
    </xf>
    <xf numFmtId="165" fontId="488" fillId="0" borderId="0" xfId="0" applyNumberFormat="1" applyFont="1" applyAlignment="1">
      <alignment horizontal="center"/>
    </xf>
    <xf numFmtId="171" fontId="488" fillId="0" borderId="0" xfId="0" applyNumberFormat="1" applyFont="1" applyAlignment="1">
      <alignment horizontal="center"/>
    </xf>
    <xf numFmtId="1" fontId="487" fillId="0" borderId="0" xfId="0" applyNumberFormat="1" applyFont="1" applyAlignment="1">
      <alignment horizontal="center"/>
    </xf>
    <xf numFmtId="165" fontId="487" fillId="0" borderId="0" xfId="0" applyNumberFormat="1" applyFont="1" applyAlignment="1">
      <alignment horizontal="center"/>
    </xf>
    <xf numFmtId="171" fontId="487" fillId="0" borderId="0" xfId="0" applyNumberFormat="1" applyFont="1" applyAlignment="1">
      <alignment horizontal="center"/>
    </xf>
    <xf numFmtId="1" fontId="486" fillId="0" borderId="0" xfId="0" applyNumberFormat="1" applyFont="1" applyAlignment="1">
      <alignment horizontal="center"/>
    </xf>
    <xf numFmtId="165" fontId="486" fillId="0" borderId="0" xfId="0" applyNumberFormat="1" applyFont="1" applyAlignment="1">
      <alignment horizontal="center"/>
    </xf>
    <xf numFmtId="171" fontId="486" fillId="0" borderId="0" xfId="0" applyNumberFormat="1" applyFont="1" applyAlignment="1">
      <alignment horizontal="center"/>
    </xf>
    <xf numFmtId="1" fontId="485" fillId="0" borderId="0" xfId="0" applyNumberFormat="1" applyFont="1" applyAlignment="1">
      <alignment horizontal="center"/>
    </xf>
    <xf numFmtId="165" fontId="485" fillId="0" borderId="0" xfId="0" applyNumberFormat="1" applyFont="1" applyAlignment="1">
      <alignment horizontal="center"/>
    </xf>
    <xf numFmtId="171" fontId="485" fillId="0" borderId="0" xfId="0" applyNumberFormat="1" applyFont="1" applyAlignment="1">
      <alignment horizontal="center"/>
    </xf>
    <xf numFmtId="1" fontId="484" fillId="0" borderId="0" xfId="0" applyNumberFormat="1" applyFont="1" applyAlignment="1">
      <alignment horizontal="center"/>
    </xf>
    <xf numFmtId="165" fontId="484" fillId="0" borderId="0" xfId="0" applyNumberFormat="1" applyFont="1" applyAlignment="1">
      <alignment horizontal="center"/>
    </xf>
    <xf numFmtId="171" fontId="484" fillId="0" borderId="0" xfId="0" applyNumberFormat="1" applyFont="1" applyAlignment="1">
      <alignment horizontal="center"/>
    </xf>
    <xf numFmtId="1" fontId="483" fillId="0" borderId="0" xfId="0" applyNumberFormat="1" applyFont="1" applyAlignment="1">
      <alignment horizontal="center"/>
    </xf>
    <xf numFmtId="165" fontId="483" fillId="0" borderId="0" xfId="0" applyNumberFormat="1" applyFont="1" applyAlignment="1">
      <alignment horizontal="center"/>
    </xf>
    <xf numFmtId="1" fontId="482" fillId="0" borderId="0" xfId="0" applyNumberFormat="1" applyFont="1" applyAlignment="1">
      <alignment horizontal="center"/>
    </xf>
    <xf numFmtId="165" fontId="482" fillId="0" borderId="0" xfId="0" applyNumberFormat="1" applyFont="1" applyAlignment="1">
      <alignment horizontal="center"/>
    </xf>
    <xf numFmtId="171" fontId="482" fillId="0" borderId="0" xfId="0" applyNumberFormat="1" applyFont="1" applyAlignment="1">
      <alignment horizontal="center"/>
    </xf>
    <xf numFmtId="1" fontId="481" fillId="0" borderId="0" xfId="0" applyNumberFormat="1" applyFont="1" applyAlignment="1">
      <alignment horizontal="center"/>
    </xf>
    <xf numFmtId="165" fontId="481" fillId="0" borderId="0" xfId="0" applyNumberFormat="1" applyFont="1" applyAlignment="1">
      <alignment horizontal="center"/>
    </xf>
    <xf numFmtId="171" fontId="481" fillId="0" borderId="0" xfId="0" applyNumberFormat="1" applyFont="1" applyAlignment="1">
      <alignment horizontal="center"/>
    </xf>
    <xf numFmtId="1" fontId="480" fillId="0" borderId="0" xfId="0" applyNumberFormat="1" applyFont="1" applyAlignment="1">
      <alignment horizontal="center"/>
    </xf>
    <xf numFmtId="165" fontId="480" fillId="0" borderId="0" xfId="0" applyNumberFormat="1" applyFont="1" applyAlignment="1">
      <alignment horizontal="center"/>
    </xf>
    <xf numFmtId="171" fontId="480" fillId="0" borderId="0" xfId="0" applyNumberFormat="1" applyFont="1" applyAlignment="1">
      <alignment horizontal="center"/>
    </xf>
    <xf numFmtId="1" fontId="479" fillId="0" borderId="0" xfId="0" applyNumberFormat="1" applyFont="1" applyAlignment="1">
      <alignment horizontal="center"/>
    </xf>
    <xf numFmtId="165" fontId="479" fillId="0" borderId="0" xfId="0" applyNumberFormat="1" applyFont="1" applyAlignment="1">
      <alignment horizontal="center"/>
    </xf>
    <xf numFmtId="171" fontId="479" fillId="0" borderId="0" xfId="0" applyNumberFormat="1" applyFont="1" applyAlignment="1">
      <alignment horizontal="center"/>
    </xf>
    <xf numFmtId="1" fontId="478" fillId="0" borderId="0" xfId="0" applyNumberFormat="1" applyFont="1" applyAlignment="1">
      <alignment horizontal="center"/>
    </xf>
    <xf numFmtId="165" fontId="478" fillId="0" borderId="0" xfId="0" applyNumberFormat="1" applyFont="1" applyAlignment="1">
      <alignment horizontal="center"/>
    </xf>
    <xf numFmtId="171" fontId="478" fillId="0" borderId="0" xfId="0" applyNumberFormat="1" applyFont="1" applyAlignment="1">
      <alignment horizontal="center"/>
    </xf>
    <xf numFmtId="1" fontId="477" fillId="0" borderId="0" xfId="0" applyNumberFormat="1" applyFont="1" applyAlignment="1">
      <alignment horizontal="center"/>
    </xf>
    <xf numFmtId="165" fontId="477" fillId="0" borderId="0" xfId="0" applyNumberFormat="1" applyFont="1" applyAlignment="1">
      <alignment horizontal="center"/>
    </xf>
    <xf numFmtId="171" fontId="477" fillId="0" borderId="0" xfId="0" applyNumberFormat="1" applyFont="1" applyAlignment="1">
      <alignment horizontal="center"/>
    </xf>
    <xf numFmtId="1" fontId="476" fillId="0" borderId="0" xfId="0" applyNumberFormat="1" applyFont="1" applyAlignment="1">
      <alignment horizontal="center"/>
    </xf>
    <xf numFmtId="165" fontId="476" fillId="0" borderId="0" xfId="0" applyNumberFormat="1" applyFont="1" applyAlignment="1">
      <alignment horizontal="center"/>
    </xf>
    <xf numFmtId="1" fontId="475" fillId="0" borderId="0" xfId="0" applyNumberFormat="1" applyFont="1" applyAlignment="1">
      <alignment horizontal="center"/>
    </xf>
    <xf numFmtId="165" fontId="475" fillId="0" borderId="0" xfId="0" applyNumberFormat="1" applyFont="1" applyAlignment="1">
      <alignment horizontal="center"/>
    </xf>
    <xf numFmtId="171" fontId="475" fillId="0" borderId="0" xfId="0" applyNumberFormat="1" applyFont="1" applyAlignment="1">
      <alignment horizontal="center"/>
    </xf>
    <xf numFmtId="1" fontId="474" fillId="0" borderId="0" xfId="0" applyNumberFormat="1" applyFont="1" applyAlignment="1">
      <alignment horizontal="center"/>
    </xf>
    <xf numFmtId="165" fontId="474" fillId="0" borderId="0" xfId="0" applyNumberFormat="1" applyFont="1" applyAlignment="1">
      <alignment horizontal="center"/>
    </xf>
    <xf numFmtId="171" fontId="474" fillId="0" borderId="0" xfId="0" applyNumberFormat="1" applyFont="1" applyAlignment="1">
      <alignment horizontal="center"/>
    </xf>
    <xf numFmtId="1" fontId="473" fillId="0" borderId="0" xfId="0" applyNumberFormat="1" applyFont="1" applyAlignment="1">
      <alignment horizontal="center"/>
    </xf>
    <xf numFmtId="165" fontId="473" fillId="0" borderId="0" xfId="0" applyNumberFormat="1" applyFont="1" applyAlignment="1">
      <alignment horizontal="center"/>
    </xf>
    <xf numFmtId="171" fontId="473" fillId="0" borderId="0" xfId="0" applyNumberFormat="1" applyFont="1" applyAlignment="1">
      <alignment horizontal="center"/>
    </xf>
    <xf numFmtId="1" fontId="472" fillId="0" borderId="0" xfId="0" applyNumberFormat="1" applyFont="1" applyAlignment="1">
      <alignment horizontal="center"/>
    </xf>
    <xf numFmtId="165" fontId="472" fillId="0" borderId="0" xfId="0" applyNumberFormat="1" applyFont="1" applyAlignment="1">
      <alignment horizontal="center"/>
    </xf>
    <xf numFmtId="171" fontId="472" fillId="0" borderId="0" xfId="0" applyNumberFormat="1" applyFont="1" applyAlignment="1">
      <alignment horizontal="center"/>
    </xf>
    <xf numFmtId="1" fontId="471" fillId="0" borderId="0" xfId="0" applyNumberFormat="1" applyFont="1" applyAlignment="1">
      <alignment horizontal="center"/>
    </xf>
    <xf numFmtId="165" fontId="471" fillId="0" borderId="0" xfId="0" applyNumberFormat="1" applyFont="1" applyAlignment="1">
      <alignment horizontal="center"/>
    </xf>
    <xf numFmtId="171" fontId="471" fillId="0" borderId="0" xfId="0" applyNumberFormat="1" applyFont="1" applyAlignment="1">
      <alignment horizontal="center"/>
    </xf>
    <xf numFmtId="1" fontId="470" fillId="0" borderId="0" xfId="0" applyNumberFormat="1" applyFont="1" applyAlignment="1">
      <alignment horizontal="center"/>
    </xf>
    <xf numFmtId="165" fontId="470" fillId="0" borderId="0" xfId="0" applyNumberFormat="1" applyFont="1" applyAlignment="1">
      <alignment horizontal="center"/>
    </xf>
    <xf numFmtId="171" fontId="470" fillId="0" borderId="0" xfId="0" applyNumberFormat="1" applyFont="1" applyAlignment="1">
      <alignment horizontal="center"/>
    </xf>
    <xf numFmtId="1" fontId="469" fillId="0" borderId="0" xfId="0" applyNumberFormat="1" applyFont="1" applyAlignment="1">
      <alignment horizontal="center"/>
    </xf>
    <xf numFmtId="165" fontId="469" fillId="0" borderId="0" xfId="0" applyNumberFormat="1" applyFont="1" applyAlignment="1">
      <alignment horizontal="center"/>
    </xf>
    <xf numFmtId="1" fontId="468" fillId="0" borderId="0" xfId="0" applyNumberFormat="1" applyFont="1" applyAlignment="1">
      <alignment horizontal="center"/>
    </xf>
    <xf numFmtId="165" fontId="468" fillId="0" borderId="0" xfId="0" applyNumberFormat="1" applyFont="1" applyAlignment="1">
      <alignment horizontal="center"/>
    </xf>
    <xf numFmtId="171" fontId="468" fillId="0" borderId="0" xfId="0" applyNumberFormat="1" applyFont="1" applyAlignment="1">
      <alignment horizontal="center"/>
    </xf>
    <xf numFmtId="1" fontId="467" fillId="0" borderId="0" xfId="0" applyNumberFormat="1" applyFont="1" applyAlignment="1">
      <alignment horizontal="center"/>
    </xf>
    <xf numFmtId="165" fontId="467" fillId="0" borderId="0" xfId="0" applyNumberFormat="1" applyFont="1" applyAlignment="1">
      <alignment horizontal="center"/>
    </xf>
    <xf numFmtId="171" fontId="467" fillId="0" borderId="0" xfId="0" applyNumberFormat="1" applyFont="1" applyAlignment="1">
      <alignment horizontal="center"/>
    </xf>
    <xf numFmtId="1" fontId="466" fillId="0" borderId="0" xfId="0" applyNumberFormat="1" applyFont="1" applyAlignment="1">
      <alignment horizontal="center"/>
    </xf>
    <xf numFmtId="165" fontId="466" fillId="0" borderId="0" xfId="0" applyNumberFormat="1" applyFont="1" applyAlignment="1">
      <alignment horizontal="center"/>
    </xf>
    <xf numFmtId="1" fontId="465" fillId="0" borderId="0" xfId="0" applyNumberFormat="1" applyFont="1" applyAlignment="1">
      <alignment horizontal="center"/>
    </xf>
    <xf numFmtId="165" fontId="465" fillId="0" borderId="0" xfId="0" applyNumberFormat="1" applyFont="1" applyAlignment="1">
      <alignment horizontal="center"/>
    </xf>
    <xf numFmtId="171" fontId="465" fillId="0" borderId="0" xfId="0" applyNumberFormat="1" applyFont="1" applyAlignment="1">
      <alignment horizontal="center"/>
    </xf>
    <xf numFmtId="1" fontId="464" fillId="0" borderId="0" xfId="0" applyNumberFormat="1" applyFont="1" applyAlignment="1">
      <alignment horizontal="center"/>
    </xf>
    <xf numFmtId="165" fontId="464" fillId="0" borderId="0" xfId="0" applyNumberFormat="1" applyFont="1" applyAlignment="1">
      <alignment horizontal="center"/>
    </xf>
    <xf numFmtId="171" fontId="464" fillId="0" borderId="0" xfId="0" applyNumberFormat="1" applyFont="1" applyAlignment="1">
      <alignment horizontal="center"/>
    </xf>
    <xf numFmtId="1" fontId="463" fillId="0" borderId="0" xfId="0" applyNumberFormat="1" applyFont="1" applyAlignment="1">
      <alignment horizontal="center"/>
    </xf>
    <xf numFmtId="165" fontId="463" fillId="0" borderId="0" xfId="0" applyNumberFormat="1" applyFont="1" applyAlignment="1">
      <alignment horizontal="center"/>
    </xf>
    <xf numFmtId="171" fontId="463" fillId="0" borderId="0" xfId="0" applyNumberFormat="1" applyFont="1" applyAlignment="1">
      <alignment horizontal="center"/>
    </xf>
    <xf numFmtId="1" fontId="462" fillId="0" borderId="0" xfId="0" applyNumberFormat="1" applyFont="1" applyAlignment="1">
      <alignment horizontal="center"/>
    </xf>
    <xf numFmtId="165" fontId="462" fillId="0" borderId="0" xfId="0" applyNumberFormat="1" applyFont="1" applyAlignment="1">
      <alignment horizontal="center"/>
    </xf>
    <xf numFmtId="1" fontId="461" fillId="0" borderId="0" xfId="0" applyNumberFormat="1" applyFont="1" applyAlignment="1">
      <alignment horizontal="center"/>
    </xf>
    <xf numFmtId="165" fontId="461" fillId="0" borderId="0" xfId="0" applyNumberFormat="1" applyFont="1" applyAlignment="1">
      <alignment horizontal="center"/>
    </xf>
    <xf numFmtId="1" fontId="460" fillId="0" borderId="0" xfId="0" applyNumberFormat="1" applyFont="1" applyAlignment="1">
      <alignment horizontal="center"/>
    </xf>
    <xf numFmtId="165" fontId="460" fillId="0" borderId="0" xfId="0" applyNumberFormat="1" applyFont="1" applyAlignment="1">
      <alignment horizontal="center"/>
    </xf>
    <xf numFmtId="1" fontId="459" fillId="0" borderId="0" xfId="0" applyNumberFormat="1" applyFont="1" applyAlignment="1">
      <alignment horizontal="center"/>
    </xf>
    <xf numFmtId="165" fontId="459" fillId="0" borderId="0" xfId="0" applyNumberFormat="1" applyFont="1" applyAlignment="1">
      <alignment horizontal="center"/>
    </xf>
    <xf numFmtId="1" fontId="458" fillId="0" borderId="0" xfId="0" applyNumberFormat="1" applyFont="1" applyAlignment="1">
      <alignment horizontal="center"/>
    </xf>
    <xf numFmtId="165" fontId="458" fillId="0" borderId="0" xfId="0" applyNumberFormat="1" applyFont="1" applyAlignment="1">
      <alignment horizontal="center"/>
    </xf>
    <xf numFmtId="1" fontId="457" fillId="0" borderId="0" xfId="0" applyNumberFormat="1" applyFont="1" applyAlignment="1">
      <alignment horizontal="center"/>
    </xf>
    <xf numFmtId="165" fontId="457" fillId="0" borderId="0" xfId="0" applyNumberFormat="1" applyFont="1" applyAlignment="1">
      <alignment horizontal="center"/>
    </xf>
    <xf numFmtId="1" fontId="456" fillId="0" borderId="0" xfId="0" applyNumberFormat="1" applyFont="1" applyAlignment="1">
      <alignment horizontal="center"/>
    </xf>
    <xf numFmtId="165" fontId="456" fillId="0" borderId="0" xfId="0" applyNumberFormat="1" applyFont="1" applyAlignment="1">
      <alignment horizontal="center"/>
    </xf>
    <xf numFmtId="1" fontId="455" fillId="0" borderId="0" xfId="0" applyNumberFormat="1" applyFont="1" applyAlignment="1">
      <alignment horizontal="center"/>
    </xf>
    <xf numFmtId="165" fontId="455" fillId="0" borderId="0" xfId="0" applyNumberFormat="1" applyFont="1" applyAlignment="1">
      <alignment horizontal="center"/>
    </xf>
    <xf numFmtId="1" fontId="454" fillId="0" borderId="0" xfId="0" applyNumberFormat="1" applyFont="1" applyAlignment="1">
      <alignment horizontal="center"/>
    </xf>
    <xf numFmtId="165" fontId="454" fillId="0" borderId="0" xfId="0" applyNumberFormat="1" applyFont="1" applyAlignment="1">
      <alignment horizontal="center"/>
    </xf>
    <xf numFmtId="1" fontId="453" fillId="0" borderId="0" xfId="0" applyNumberFormat="1" applyFont="1" applyAlignment="1">
      <alignment horizontal="center"/>
    </xf>
    <xf numFmtId="165" fontId="453" fillId="0" borderId="0" xfId="0" applyNumberFormat="1" applyFont="1" applyAlignment="1">
      <alignment horizontal="center"/>
    </xf>
    <xf numFmtId="1" fontId="452" fillId="0" borderId="0" xfId="0" applyNumberFormat="1" applyFont="1" applyAlignment="1">
      <alignment horizontal="center"/>
    </xf>
    <xf numFmtId="165" fontId="452" fillId="0" borderId="0" xfId="0" applyNumberFormat="1" applyFont="1" applyAlignment="1">
      <alignment horizontal="center"/>
    </xf>
    <xf numFmtId="1" fontId="451" fillId="0" borderId="0" xfId="0" applyNumberFormat="1" applyFont="1" applyAlignment="1">
      <alignment horizontal="center"/>
    </xf>
    <xf numFmtId="165" fontId="451" fillId="0" borderId="0" xfId="0" applyNumberFormat="1" applyFont="1" applyAlignment="1">
      <alignment horizontal="center"/>
    </xf>
    <xf numFmtId="1" fontId="450" fillId="0" borderId="0" xfId="0" applyNumberFormat="1" applyFont="1" applyAlignment="1">
      <alignment horizontal="center"/>
    </xf>
    <xf numFmtId="165" fontId="450" fillId="0" borderId="0" xfId="0" applyNumberFormat="1" applyFont="1" applyAlignment="1">
      <alignment horizontal="center"/>
    </xf>
    <xf numFmtId="1" fontId="449" fillId="0" borderId="0" xfId="0" applyNumberFormat="1" applyFont="1" applyAlignment="1">
      <alignment horizontal="center"/>
    </xf>
    <xf numFmtId="165" fontId="449" fillId="0" borderId="0" xfId="0" applyNumberFormat="1" applyFont="1" applyAlignment="1">
      <alignment horizontal="center"/>
    </xf>
    <xf numFmtId="1" fontId="448" fillId="0" borderId="0" xfId="0" applyNumberFormat="1" applyFont="1" applyAlignment="1">
      <alignment horizontal="center"/>
    </xf>
    <xf numFmtId="165" fontId="448" fillId="0" borderId="0" xfId="0" applyNumberFormat="1" applyFont="1" applyAlignment="1">
      <alignment horizontal="center"/>
    </xf>
    <xf numFmtId="1" fontId="447" fillId="0" borderId="0" xfId="0" applyNumberFormat="1" applyFont="1" applyAlignment="1">
      <alignment horizontal="center"/>
    </xf>
    <xf numFmtId="165" fontId="447" fillId="0" borderId="0" xfId="0" applyNumberFormat="1" applyFont="1" applyAlignment="1">
      <alignment horizontal="center"/>
    </xf>
    <xf numFmtId="1" fontId="446" fillId="0" borderId="0" xfId="0" applyNumberFormat="1" applyFont="1" applyAlignment="1">
      <alignment horizontal="center"/>
    </xf>
    <xf numFmtId="165" fontId="446" fillId="0" borderId="0" xfId="0" applyNumberFormat="1" applyFont="1" applyAlignment="1">
      <alignment horizontal="center"/>
    </xf>
    <xf numFmtId="171" fontId="446" fillId="0" borderId="0" xfId="0" applyNumberFormat="1" applyFont="1" applyAlignment="1">
      <alignment horizontal="center"/>
    </xf>
    <xf numFmtId="1" fontId="445" fillId="0" borderId="0" xfId="0" applyNumberFormat="1" applyFont="1" applyAlignment="1">
      <alignment horizontal="center"/>
    </xf>
    <xf numFmtId="165" fontId="445" fillId="0" borderId="0" xfId="0" applyNumberFormat="1" applyFont="1" applyAlignment="1">
      <alignment horizontal="center"/>
    </xf>
    <xf numFmtId="1" fontId="444" fillId="0" borderId="0" xfId="0" applyNumberFormat="1" applyFont="1" applyAlignment="1">
      <alignment horizontal="center"/>
    </xf>
    <xf numFmtId="165" fontId="444" fillId="0" borderId="0" xfId="0" applyNumberFormat="1" applyFont="1" applyAlignment="1">
      <alignment horizontal="center"/>
    </xf>
    <xf numFmtId="1" fontId="443" fillId="0" borderId="0" xfId="0" applyNumberFormat="1" applyFont="1" applyAlignment="1">
      <alignment horizontal="center"/>
    </xf>
    <xf numFmtId="165" fontId="443" fillId="0" borderId="0" xfId="0" applyNumberFormat="1" applyFont="1" applyAlignment="1">
      <alignment horizontal="center"/>
    </xf>
    <xf numFmtId="171" fontId="443" fillId="0" borderId="0" xfId="0" applyNumberFormat="1" applyFont="1" applyAlignment="1">
      <alignment horizontal="center"/>
    </xf>
    <xf numFmtId="1" fontId="442" fillId="0" borderId="0" xfId="0" applyNumberFormat="1" applyFont="1" applyAlignment="1">
      <alignment horizontal="center"/>
    </xf>
    <xf numFmtId="165" fontId="442" fillId="0" borderId="0" xfId="0" applyNumberFormat="1" applyFont="1" applyAlignment="1">
      <alignment horizontal="center"/>
    </xf>
    <xf numFmtId="1" fontId="441" fillId="0" borderId="0" xfId="0" applyNumberFormat="1" applyFont="1" applyAlignment="1">
      <alignment horizontal="center"/>
    </xf>
    <xf numFmtId="165" fontId="441" fillId="0" borderId="0" xfId="0" applyNumberFormat="1" applyFont="1" applyAlignment="1">
      <alignment horizontal="center"/>
    </xf>
    <xf numFmtId="1" fontId="440" fillId="0" borderId="0" xfId="0" applyNumberFormat="1" applyFont="1" applyAlignment="1">
      <alignment horizontal="center"/>
    </xf>
    <xf numFmtId="165" fontId="440" fillId="0" borderId="0" xfId="0" applyNumberFormat="1" applyFont="1" applyAlignment="1">
      <alignment horizontal="center"/>
    </xf>
    <xf numFmtId="171" fontId="440" fillId="0" borderId="0" xfId="0" applyNumberFormat="1" applyFont="1" applyAlignment="1">
      <alignment horizontal="center"/>
    </xf>
    <xf numFmtId="1" fontId="439" fillId="0" borderId="0" xfId="0" applyNumberFormat="1" applyFont="1" applyAlignment="1">
      <alignment horizontal="center"/>
    </xf>
    <xf numFmtId="165" fontId="439" fillId="0" borderId="0" xfId="0" applyNumberFormat="1" applyFont="1" applyAlignment="1">
      <alignment horizontal="center"/>
    </xf>
    <xf numFmtId="171" fontId="439" fillId="0" borderId="0" xfId="0" applyNumberFormat="1" applyFont="1" applyAlignment="1">
      <alignment horizontal="center"/>
    </xf>
    <xf numFmtId="1" fontId="438" fillId="0" borderId="0" xfId="0" applyNumberFormat="1" applyFont="1" applyAlignment="1">
      <alignment horizontal="center"/>
    </xf>
    <xf numFmtId="165" fontId="438" fillId="0" borderId="0" xfId="0" applyNumberFormat="1" applyFont="1" applyAlignment="1">
      <alignment horizontal="center"/>
    </xf>
    <xf numFmtId="171" fontId="438" fillId="0" borderId="0" xfId="0" applyNumberFormat="1" applyFont="1" applyAlignment="1">
      <alignment horizontal="center"/>
    </xf>
    <xf numFmtId="1" fontId="437" fillId="0" borderId="0" xfId="0" applyNumberFormat="1" applyFont="1" applyAlignment="1">
      <alignment horizontal="center"/>
    </xf>
    <xf numFmtId="165" fontId="437" fillId="0" borderId="0" xfId="0" applyNumberFormat="1" applyFont="1" applyAlignment="1">
      <alignment horizontal="center"/>
    </xf>
    <xf numFmtId="171" fontId="437" fillId="0" borderId="0" xfId="0" applyNumberFormat="1" applyFont="1" applyAlignment="1">
      <alignment horizontal="center"/>
    </xf>
    <xf numFmtId="1" fontId="436" fillId="0" borderId="0" xfId="0" applyNumberFormat="1" applyFont="1" applyAlignment="1">
      <alignment horizontal="center"/>
    </xf>
    <xf numFmtId="165" fontId="436" fillId="0" borderId="0" xfId="0" applyNumberFormat="1" applyFont="1" applyAlignment="1">
      <alignment horizontal="center"/>
    </xf>
    <xf numFmtId="171" fontId="436" fillId="0" borderId="0" xfId="0" applyNumberFormat="1" applyFont="1" applyAlignment="1">
      <alignment horizontal="center"/>
    </xf>
    <xf numFmtId="1" fontId="435" fillId="0" borderId="0" xfId="0" applyNumberFormat="1" applyFont="1" applyAlignment="1">
      <alignment horizontal="center"/>
    </xf>
    <xf numFmtId="165" fontId="435" fillId="0" borderId="0" xfId="0" applyNumberFormat="1" applyFont="1" applyAlignment="1">
      <alignment horizontal="center"/>
    </xf>
    <xf numFmtId="1" fontId="434" fillId="0" borderId="0" xfId="0" applyNumberFormat="1" applyFont="1" applyAlignment="1">
      <alignment horizontal="center"/>
    </xf>
    <xf numFmtId="165" fontId="434" fillId="0" borderId="0" xfId="0" applyNumberFormat="1" applyFont="1" applyAlignment="1">
      <alignment horizontal="center"/>
    </xf>
    <xf numFmtId="171" fontId="434" fillId="0" borderId="0" xfId="0" applyNumberFormat="1" applyFont="1" applyAlignment="1">
      <alignment horizontal="center"/>
    </xf>
    <xf numFmtId="1" fontId="433" fillId="0" borderId="0" xfId="0" applyNumberFormat="1" applyFont="1" applyAlignment="1">
      <alignment horizontal="center"/>
    </xf>
    <xf numFmtId="165" fontId="433" fillId="0" borderId="0" xfId="0" applyNumberFormat="1" applyFont="1" applyAlignment="1">
      <alignment horizontal="center"/>
    </xf>
    <xf numFmtId="171" fontId="433" fillId="0" borderId="0" xfId="0" applyNumberFormat="1" applyFont="1" applyAlignment="1">
      <alignment horizontal="center"/>
    </xf>
    <xf numFmtId="1" fontId="432" fillId="0" borderId="0" xfId="0" applyNumberFormat="1" applyFont="1" applyAlignment="1">
      <alignment horizontal="center"/>
    </xf>
    <xf numFmtId="165" fontId="432" fillId="0" borderId="0" xfId="0" applyNumberFormat="1" applyFont="1" applyAlignment="1">
      <alignment horizontal="center"/>
    </xf>
    <xf numFmtId="171" fontId="432" fillId="0" borderId="0" xfId="0" applyNumberFormat="1" applyFont="1" applyAlignment="1">
      <alignment horizontal="center"/>
    </xf>
    <xf numFmtId="1" fontId="431" fillId="0" borderId="0" xfId="0" applyNumberFormat="1" applyFont="1" applyAlignment="1">
      <alignment horizontal="center"/>
    </xf>
    <xf numFmtId="165" fontId="431" fillId="0" borderId="0" xfId="0" applyNumberFormat="1" applyFont="1" applyAlignment="1">
      <alignment horizontal="center"/>
    </xf>
    <xf numFmtId="171" fontId="431" fillId="0" borderId="0" xfId="0" applyNumberFormat="1" applyFont="1" applyAlignment="1">
      <alignment horizontal="center"/>
    </xf>
    <xf numFmtId="1" fontId="430" fillId="0" borderId="0" xfId="0" applyNumberFormat="1" applyFont="1" applyAlignment="1">
      <alignment horizontal="center"/>
    </xf>
    <xf numFmtId="165" fontId="430" fillId="0" borderId="0" xfId="0" applyNumberFormat="1" applyFont="1" applyAlignment="1">
      <alignment horizontal="center"/>
    </xf>
    <xf numFmtId="171" fontId="430" fillId="0" borderId="0" xfId="0" applyNumberFormat="1" applyFont="1" applyAlignment="1">
      <alignment horizontal="center"/>
    </xf>
    <xf numFmtId="1" fontId="429" fillId="0" borderId="0" xfId="0" applyNumberFormat="1" applyFont="1" applyAlignment="1">
      <alignment horizontal="center"/>
    </xf>
    <xf numFmtId="165" fontId="429" fillId="0" borderId="0" xfId="0" applyNumberFormat="1" applyFont="1" applyAlignment="1">
      <alignment horizontal="center"/>
    </xf>
    <xf numFmtId="171" fontId="429" fillId="0" borderId="0" xfId="0" applyNumberFormat="1" applyFont="1" applyAlignment="1">
      <alignment horizontal="center"/>
    </xf>
    <xf numFmtId="1" fontId="428" fillId="0" borderId="0" xfId="0" applyNumberFormat="1" applyFont="1" applyAlignment="1">
      <alignment horizontal="center"/>
    </xf>
    <xf numFmtId="165" fontId="428" fillId="0" borderId="0" xfId="0" applyNumberFormat="1" applyFont="1" applyAlignment="1">
      <alignment horizontal="center"/>
    </xf>
    <xf numFmtId="171" fontId="428" fillId="0" borderId="0" xfId="0" applyNumberFormat="1" applyFont="1" applyAlignment="1">
      <alignment horizontal="center"/>
    </xf>
    <xf numFmtId="1" fontId="427" fillId="0" borderId="0" xfId="0" applyNumberFormat="1" applyFont="1" applyAlignment="1">
      <alignment horizontal="center"/>
    </xf>
    <xf numFmtId="165" fontId="427" fillId="0" borderId="0" xfId="0" applyNumberFormat="1" applyFont="1" applyAlignment="1">
      <alignment horizontal="center"/>
    </xf>
    <xf numFmtId="1" fontId="426" fillId="0" borderId="0" xfId="0" applyNumberFormat="1" applyFont="1" applyAlignment="1">
      <alignment horizontal="center"/>
    </xf>
    <xf numFmtId="165" fontId="426" fillId="0" borderId="0" xfId="0" applyNumberFormat="1" applyFont="1" applyAlignment="1">
      <alignment horizontal="center"/>
    </xf>
    <xf numFmtId="171" fontId="426" fillId="0" borderId="0" xfId="0" applyNumberFormat="1" applyFont="1" applyAlignment="1">
      <alignment horizontal="center"/>
    </xf>
    <xf numFmtId="1" fontId="425" fillId="0" borderId="0" xfId="0" applyNumberFormat="1" applyFont="1" applyAlignment="1">
      <alignment horizontal="center"/>
    </xf>
    <xf numFmtId="165" fontId="425" fillId="0" borderId="0" xfId="0" applyNumberFormat="1" applyFont="1" applyAlignment="1">
      <alignment horizontal="center"/>
    </xf>
    <xf numFmtId="171" fontId="425" fillId="0" borderId="0" xfId="0" applyNumberFormat="1" applyFont="1" applyAlignment="1">
      <alignment horizontal="center"/>
    </xf>
    <xf numFmtId="1" fontId="424" fillId="0" borderId="0" xfId="0" applyNumberFormat="1" applyFont="1" applyAlignment="1">
      <alignment horizontal="center"/>
    </xf>
    <xf numFmtId="165" fontId="424" fillId="0" borderId="0" xfId="0" applyNumberFormat="1" applyFont="1" applyAlignment="1">
      <alignment horizontal="center"/>
    </xf>
    <xf numFmtId="171" fontId="424" fillId="0" borderId="0" xfId="0" applyNumberFormat="1" applyFont="1" applyAlignment="1">
      <alignment horizontal="center"/>
    </xf>
    <xf numFmtId="1" fontId="423" fillId="0" borderId="0" xfId="0" applyNumberFormat="1" applyFont="1" applyAlignment="1">
      <alignment horizontal="center"/>
    </xf>
    <xf numFmtId="165" fontId="423" fillId="0" borderId="0" xfId="0" applyNumberFormat="1" applyFont="1" applyAlignment="1">
      <alignment horizontal="center"/>
    </xf>
    <xf numFmtId="1" fontId="422" fillId="0" borderId="0" xfId="0" applyNumberFormat="1" applyFont="1" applyAlignment="1">
      <alignment horizontal="center"/>
    </xf>
    <xf numFmtId="165" fontId="422" fillId="0" borderId="0" xfId="0" applyNumberFormat="1" applyFont="1" applyAlignment="1">
      <alignment horizontal="center"/>
    </xf>
    <xf numFmtId="171" fontId="422" fillId="0" borderId="0" xfId="0" applyNumberFormat="1" applyFont="1" applyAlignment="1">
      <alignment horizontal="center"/>
    </xf>
    <xf numFmtId="1" fontId="421" fillId="0" borderId="0" xfId="0" applyNumberFormat="1" applyFont="1" applyAlignment="1">
      <alignment horizontal="center"/>
    </xf>
    <xf numFmtId="165" fontId="421" fillId="0" borderId="0" xfId="0" applyNumberFormat="1" applyFont="1" applyAlignment="1">
      <alignment horizontal="center"/>
    </xf>
    <xf numFmtId="171" fontId="421" fillId="0" borderId="0" xfId="0" applyNumberFormat="1" applyFont="1" applyAlignment="1">
      <alignment horizontal="center"/>
    </xf>
    <xf numFmtId="1" fontId="420" fillId="0" borderId="0" xfId="0" applyNumberFormat="1" applyFont="1" applyAlignment="1">
      <alignment horizontal="center"/>
    </xf>
    <xf numFmtId="165" fontId="420" fillId="0" borderId="0" xfId="0" applyNumberFormat="1" applyFont="1" applyAlignment="1">
      <alignment horizontal="center"/>
    </xf>
    <xf numFmtId="171" fontId="420" fillId="0" borderId="0" xfId="0" applyNumberFormat="1" applyFont="1" applyAlignment="1">
      <alignment horizontal="center"/>
    </xf>
    <xf numFmtId="1" fontId="419" fillId="0" borderId="0" xfId="0" applyNumberFormat="1" applyFont="1" applyAlignment="1">
      <alignment horizontal="center"/>
    </xf>
    <xf numFmtId="165" fontId="419" fillId="0" borderId="0" xfId="0" applyNumberFormat="1" applyFont="1" applyAlignment="1">
      <alignment horizontal="center"/>
    </xf>
    <xf numFmtId="171" fontId="419" fillId="0" borderId="0" xfId="0" applyNumberFormat="1" applyFont="1" applyAlignment="1">
      <alignment horizontal="center"/>
    </xf>
    <xf numFmtId="1" fontId="418" fillId="0" borderId="0" xfId="0" applyNumberFormat="1" applyFont="1" applyAlignment="1">
      <alignment horizontal="center"/>
    </xf>
    <xf numFmtId="165" fontId="418" fillId="0" borderId="0" xfId="0" applyNumberFormat="1" applyFont="1" applyAlignment="1">
      <alignment horizontal="center"/>
    </xf>
    <xf numFmtId="171" fontId="418" fillId="0" borderId="0" xfId="0" applyNumberFormat="1" applyFont="1" applyAlignment="1">
      <alignment horizontal="center"/>
    </xf>
    <xf numFmtId="1" fontId="417" fillId="0" borderId="0" xfId="0" applyNumberFormat="1" applyFont="1" applyAlignment="1">
      <alignment horizontal="center"/>
    </xf>
    <xf numFmtId="165" fontId="417" fillId="0" borderId="0" xfId="0" applyNumberFormat="1" applyFont="1" applyAlignment="1">
      <alignment horizontal="center"/>
    </xf>
    <xf numFmtId="171" fontId="417" fillId="0" borderId="0" xfId="0" applyNumberFormat="1" applyFont="1" applyAlignment="1">
      <alignment horizontal="center"/>
    </xf>
    <xf numFmtId="1" fontId="416" fillId="0" borderId="0" xfId="0" applyNumberFormat="1" applyFont="1" applyAlignment="1">
      <alignment horizontal="center"/>
    </xf>
    <xf numFmtId="165" fontId="416" fillId="0" borderId="0" xfId="0" applyNumberFormat="1" applyFont="1" applyAlignment="1">
      <alignment horizontal="center"/>
    </xf>
    <xf numFmtId="171" fontId="416" fillId="0" borderId="0" xfId="0" applyNumberFormat="1" applyFont="1" applyAlignment="1">
      <alignment horizontal="center"/>
    </xf>
    <xf numFmtId="1" fontId="415" fillId="0" borderId="0" xfId="0" applyNumberFormat="1" applyFont="1" applyAlignment="1">
      <alignment horizontal="center"/>
    </xf>
    <xf numFmtId="165" fontId="415" fillId="0" borderId="0" xfId="0" applyNumberFormat="1" applyFont="1" applyAlignment="1">
      <alignment horizontal="center"/>
    </xf>
    <xf numFmtId="171" fontId="415" fillId="0" borderId="0" xfId="0" applyNumberFormat="1" applyFont="1" applyAlignment="1">
      <alignment horizontal="center"/>
    </xf>
    <xf numFmtId="1" fontId="414" fillId="0" borderId="0" xfId="0" applyNumberFormat="1" applyFont="1" applyAlignment="1">
      <alignment horizontal="center"/>
    </xf>
    <xf numFmtId="165" fontId="414" fillId="0" borderId="0" xfId="0" applyNumberFormat="1" applyFont="1" applyAlignment="1">
      <alignment horizontal="center"/>
    </xf>
    <xf numFmtId="171" fontId="414" fillId="0" borderId="0" xfId="0" applyNumberFormat="1" applyFont="1" applyAlignment="1">
      <alignment horizontal="center"/>
    </xf>
    <xf numFmtId="1" fontId="413" fillId="0" borderId="0" xfId="0" applyNumberFormat="1" applyFont="1" applyAlignment="1">
      <alignment horizontal="center"/>
    </xf>
    <xf numFmtId="165" fontId="413" fillId="0" borderId="0" xfId="0" applyNumberFormat="1" applyFont="1" applyAlignment="1">
      <alignment horizontal="center"/>
    </xf>
    <xf numFmtId="1" fontId="412" fillId="0" borderId="0" xfId="0" applyNumberFormat="1" applyFont="1" applyAlignment="1">
      <alignment horizontal="center"/>
    </xf>
    <xf numFmtId="165" fontId="412" fillId="0" borderId="0" xfId="0" applyNumberFormat="1" applyFont="1" applyAlignment="1">
      <alignment horizontal="center"/>
    </xf>
    <xf numFmtId="171" fontId="412" fillId="0" borderId="0" xfId="0" applyNumberFormat="1" applyFont="1" applyAlignment="1">
      <alignment horizontal="center"/>
    </xf>
    <xf numFmtId="1" fontId="411" fillId="0" borderId="0" xfId="0" applyNumberFormat="1" applyFont="1" applyAlignment="1">
      <alignment horizontal="center"/>
    </xf>
    <xf numFmtId="165" fontId="411" fillId="0" borderId="0" xfId="0" applyNumberFormat="1" applyFont="1" applyAlignment="1">
      <alignment horizontal="center"/>
    </xf>
    <xf numFmtId="171" fontId="411" fillId="0" borderId="0" xfId="0" applyNumberFormat="1" applyFont="1" applyAlignment="1">
      <alignment horizontal="center"/>
    </xf>
    <xf numFmtId="1" fontId="410" fillId="0" borderId="0" xfId="0" applyNumberFormat="1" applyFont="1" applyAlignment="1">
      <alignment horizontal="center"/>
    </xf>
    <xf numFmtId="165" fontId="410" fillId="0" borderId="0" xfId="0" applyNumberFormat="1" applyFont="1" applyAlignment="1">
      <alignment horizontal="center"/>
    </xf>
    <xf numFmtId="1" fontId="409" fillId="0" borderId="0" xfId="0" applyNumberFormat="1" applyFont="1" applyAlignment="1">
      <alignment horizontal="center"/>
    </xf>
    <xf numFmtId="165" fontId="409" fillId="0" borderId="0" xfId="0" applyNumberFormat="1" applyFont="1" applyAlignment="1">
      <alignment horizontal="center"/>
    </xf>
    <xf numFmtId="171" fontId="409" fillId="0" borderId="0" xfId="0" applyNumberFormat="1" applyFont="1" applyAlignment="1">
      <alignment horizontal="center"/>
    </xf>
    <xf numFmtId="1" fontId="408" fillId="0" borderId="0" xfId="0" applyNumberFormat="1" applyFont="1" applyAlignment="1">
      <alignment horizontal="center"/>
    </xf>
    <xf numFmtId="165" fontId="408" fillId="0" borderId="0" xfId="0" applyNumberFormat="1" applyFont="1" applyAlignment="1">
      <alignment horizontal="center"/>
    </xf>
    <xf numFmtId="171" fontId="408" fillId="0" borderId="0" xfId="0" applyNumberFormat="1" applyFont="1" applyAlignment="1">
      <alignment horizontal="center"/>
    </xf>
    <xf numFmtId="1" fontId="407" fillId="0" borderId="0" xfId="0" applyNumberFormat="1" applyFont="1" applyAlignment="1">
      <alignment horizontal="center"/>
    </xf>
    <xf numFmtId="165" fontId="407" fillId="0" borderId="0" xfId="0" applyNumberFormat="1" applyFont="1" applyAlignment="1">
      <alignment horizontal="center"/>
    </xf>
    <xf numFmtId="171" fontId="407" fillId="0" borderId="0" xfId="0" applyNumberFormat="1" applyFont="1" applyAlignment="1">
      <alignment horizontal="center"/>
    </xf>
    <xf numFmtId="1" fontId="406" fillId="0" borderId="0" xfId="0" applyNumberFormat="1" applyFont="1" applyAlignment="1">
      <alignment horizontal="center"/>
    </xf>
    <xf numFmtId="165" fontId="406" fillId="0" borderId="0" xfId="0" applyNumberFormat="1" applyFont="1" applyAlignment="1">
      <alignment horizontal="center"/>
    </xf>
    <xf numFmtId="1" fontId="405" fillId="0" borderId="0" xfId="0" applyNumberFormat="1" applyFont="1" applyAlignment="1">
      <alignment horizontal="center"/>
    </xf>
    <xf numFmtId="165" fontId="405" fillId="0" borderId="0" xfId="0" applyNumberFormat="1" applyFont="1" applyAlignment="1">
      <alignment horizontal="center"/>
    </xf>
    <xf numFmtId="171" fontId="405" fillId="0" borderId="0" xfId="0" applyNumberFormat="1" applyFont="1" applyAlignment="1">
      <alignment horizontal="center"/>
    </xf>
    <xf numFmtId="1" fontId="404" fillId="0" borderId="0" xfId="0" applyNumberFormat="1" applyFont="1" applyAlignment="1">
      <alignment horizontal="center"/>
    </xf>
    <xf numFmtId="165" fontId="404" fillId="0" borderId="0" xfId="0" applyNumberFormat="1" applyFont="1" applyAlignment="1">
      <alignment horizontal="center"/>
    </xf>
    <xf numFmtId="1" fontId="403" fillId="0" borderId="0" xfId="0" applyNumberFormat="1" applyFont="1" applyAlignment="1">
      <alignment horizontal="center"/>
    </xf>
    <xf numFmtId="165" fontId="403" fillId="0" borderId="0" xfId="0" applyNumberFormat="1" applyFont="1" applyAlignment="1">
      <alignment horizontal="center"/>
    </xf>
    <xf numFmtId="171" fontId="403" fillId="0" borderId="0" xfId="0" applyNumberFormat="1" applyFont="1" applyAlignment="1">
      <alignment horizontal="center"/>
    </xf>
    <xf numFmtId="1" fontId="402" fillId="0" borderId="0" xfId="0" applyNumberFormat="1" applyFont="1" applyAlignment="1">
      <alignment horizontal="center"/>
    </xf>
    <xf numFmtId="165" fontId="402" fillId="0" borderId="0" xfId="0" applyNumberFormat="1" applyFont="1" applyAlignment="1">
      <alignment horizontal="center"/>
    </xf>
    <xf numFmtId="171" fontId="402" fillId="0" borderId="0" xfId="0" applyNumberFormat="1" applyFont="1" applyAlignment="1">
      <alignment horizontal="center"/>
    </xf>
    <xf numFmtId="1" fontId="401" fillId="0" borderId="0" xfId="0" applyNumberFormat="1" applyFont="1" applyAlignment="1">
      <alignment horizontal="center"/>
    </xf>
    <xf numFmtId="165" fontId="401" fillId="0" borderId="0" xfId="0" applyNumberFormat="1" applyFont="1" applyAlignment="1">
      <alignment horizontal="center"/>
    </xf>
    <xf numFmtId="171" fontId="401" fillId="0" borderId="0" xfId="0" applyNumberFormat="1" applyFont="1" applyAlignment="1">
      <alignment horizontal="center"/>
    </xf>
    <xf numFmtId="1" fontId="400" fillId="0" borderId="0" xfId="0" applyNumberFormat="1" applyFont="1" applyAlignment="1">
      <alignment horizontal="center"/>
    </xf>
    <xf numFmtId="165" fontId="400" fillId="0" borderId="0" xfId="0" applyNumberFormat="1" applyFont="1" applyAlignment="1">
      <alignment horizontal="center"/>
    </xf>
    <xf numFmtId="171" fontId="400" fillId="0" borderId="0" xfId="0" applyNumberFormat="1" applyFont="1" applyAlignment="1">
      <alignment horizontal="center"/>
    </xf>
    <xf numFmtId="1" fontId="399" fillId="0" borderId="0" xfId="0" applyNumberFormat="1" applyFont="1" applyAlignment="1">
      <alignment horizontal="center"/>
    </xf>
    <xf numFmtId="165" fontId="399" fillId="0" borderId="0" xfId="0" applyNumberFormat="1" applyFont="1" applyAlignment="1">
      <alignment horizontal="center"/>
    </xf>
    <xf numFmtId="1" fontId="398" fillId="0" borderId="0" xfId="0" applyNumberFormat="1" applyFont="1" applyAlignment="1">
      <alignment horizontal="center"/>
    </xf>
    <xf numFmtId="165" fontId="398" fillId="0" borderId="0" xfId="0" applyNumberFormat="1" applyFont="1" applyAlignment="1">
      <alignment horizontal="center"/>
    </xf>
    <xf numFmtId="171" fontId="398" fillId="0" borderId="0" xfId="0" applyNumberFormat="1" applyFont="1" applyAlignment="1">
      <alignment horizontal="center"/>
    </xf>
    <xf numFmtId="1" fontId="397" fillId="0" borderId="0" xfId="0" applyNumberFormat="1" applyFont="1" applyAlignment="1">
      <alignment horizontal="center"/>
    </xf>
    <xf numFmtId="165" fontId="397" fillId="0" borderId="0" xfId="0" applyNumberFormat="1" applyFont="1" applyAlignment="1">
      <alignment horizontal="center"/>
    </xf>
    <xf numFmtId="1" fontId="396" fillId="0" borderId="0" xfId="0" applyNumberFormat="1" applyFont="1" applyAlignment="1">
      <alignment horizontal="center"/>
    </xf>
    <xf numFmtId="165" fontId="396" fillId="0" borderId="0" xfId="0" applyNumberFormat="1" applyFont="1" applyAlignment="1">
      <alignment horizontal="center"/>
    </xf>
    <xf numFmtId="1" fontId="395" fillId="0" borderId="0" xfId="0" applyNumberFormat="1" applyFont="1" applyAlignment="1">
      <alignment horizontal="center"/>
    </xf>
    <xf numFmtId="165" fontId="395" fillId="0" borderId="0" xfId="0" applyNumberFormat="1" applyFont="1" applyAlignment="1">
      <alignment horizontal="center"/>
    </xf>
    <xf numFmtId="1" fontId="394" fillId="0" borderId="0" xfId="0" applyNumberFormat="1" applyFont="1" applyAlignment="1">
      <alignment horizontal="center"/>
    </xf>
    <xf numFmtId="165" fontId="394" fillId="0" borderId="0" xfId="0" applyNumberFormat="1" applyFont="1" applyAlignment="1">
      <alignment horizontal="center"/>
    </xf>
    <xf numFmtId="1" fontId="393" fillId="0" borderId="0" xfId="0" applyNumberFormat="1" applyFont="1" applyAlignment="1">
      <alignment horizontal="center"/>
    </xf>
    <xf numFmtId="165" fontId="393" fillId="0" borderId="0" xfId="0" applyNumberFormat="1" applyFont="1" applyAlignment="1">
      <alignment horizontal="center"/>
    </xf>
    <xf numFmtId="1" fontId="392" fillId="0" borderId="0" xfId="0" applyNumberFormat="1" applyFont="1" applyAlignment="1">
      <alignment horizontal="center"/>
    </xf>
    <xf numFmtId="165" fontId="392" fillId="0" borderId="0" xfId="0" applyNumberFormat="1" applyFont="1" applyAlignment="1">
      <alignment horizontal="center"/>
    </xf>
    <xf numFmtId="171" fontId="392" fillId="0" borderId="0" xfId="0" applyNumberFormat="1" applyFont="1" applyAlignment="1">
      <alignment horizontal="center"/>
    </xf>
    <xf numFmtId="1" fontId="391" fillId="0" borderId="0" xfId="0" applyNumberFormat="1" applyFont="1" applyAlignment="1">
      <alignment horizontal="center"/>
    </xf>
    <xf numFmtId="165" fontId="391" fillId="0" borderId="0" xfId="0" applyNumberFormat="1" applyFont="1" applyAlignment="1">
      <alignment horizontal="center"/>
    </xf>
    <xf numFmtId="171" fontId="391" fillId="0" borderId="0" xfId="0" applyNumberFormat="1" applyFont="1" applyAlignment="1">
      <alignment horizontal="center"/>
    </xf>
    <xf numFmtId="1" fontId="390" fillId="0" borderId="0" xfId="0" applyNumberFormat="1" applyFont="1" applyAlignment="1">
      <alignment horizontal="center"/>
    </xf>
    <xf numFmtId="165" fontId="390" fillId="0" borderId="0" xfId="0" applyNumberFormat="1" applyFont="1" applyAlignment="1">
      <alignment horizontal="center"/>
    </xf>
    <xf numFmtId="171" fontId="390" fillId="0" borderId="0" xfId="0" applyNumberFormat="1" applyFont="1" applyAlignment="1">
      <alignment horizontal="center"/>
    </xf>
    <xf numFmtId="1" fontId="389" fillId="0" borderId="0" xfId="0" applyNumberFormat="1" applyFont="1" applyAlignment="1">
      <alignment horizontal="center"/>
    </xf>
    <xf numFmtId="165" fontId="389" fillId="0" borderId="0" xfId="0" applyNumberFormat="1" applyFont="1" applyAlignment="1">
      <alignment horizontal="center"/>
    </xf>
    <xf numFmtId="171" fontId="389" fillId="0" borderId="0" xfId="0" applyNumberFormat="1" applyFont="1" applyAlignment="1">
      <alignment horizontal="center"/>
    </xf>
    <xf numFmtId="1" fontId="388" fillId="0" borderId="0" xfId="0" applyNumberFormat="1" applyFont="1" applyAlignment="1">
      <alignment horizontal="center"/>
    </xf>
    <xf numFmtId="165" fontId="388" fillId="0" borderId="0" xfId="0" applyNumberFormat="1" applyFont="1" applyAlignment="1">
      <alignment horizontal="center"/>
    </xf>
    <xf numFmtId="171" fontId="388" fillId="0" borderId="0" xfId="0" applyNumberFormat="1" applyFont="1" applyAlignment="1">
      <alignment horizontal="center"/>
    </xf>
    <xf numFmtId="1" fontId="387" fillId="0" borderId="0" xfId="0" applyNumberFormat="1" applyFont="1" applyAlignment="1">
      <alignment horizontal="center"/>
    </xf>
    <xf numFmtId="165" fontId="387" fillId="0" borderId="0" xfId="0" applyNumberFormat="1" applyFont="1" applyAlignment="1">
      <alignment horizontal="center"/>
    </xf>
    <xf numFmtId="171" fontId="387" fillId="0" borderId="0" xfId="0" applyNumberFormat="1" applyFont="1" applyAlignment="1">
      <alignment horizontal="center"/>
    </xf>
    <xf numFmtId="1" fontId="386" fillId="0" borderId="0" xfId="0" applyNumberFormat="1" applyFont="1" applyAlignment="1">
      <alignment horizontal="center"/>
    </xf>
    <xf numFmtId="165" fontId="386" fillId="0" borderId="0" xfId="0" applyNumberFormat="1" applyFont="1" applyAlignment="1">
      <alignment horizontal="center"/>
    </xf>
    <xf numFmtId="171" fontId="386" fillId="0" borderId="0" xfId="0" applyNumberFormat="1" applyFont="1" applyAlignment="1">
      <alignment horizontal="center"/>
    </xf>
    <xf numFmtId="1" fontId="385" fillId="0" borderId="0" xfId="0" applyNumberFormat="1" applyFont="1" applyAlignment="1">
      <alignment horizontal="center"/>
    </xf>
    <xf numFmtId="165" fontId="385" fillId="0" borderId="0" xfId="0" applyNumberFormat="1" applyFont="1" applyAlignment="1">
      <alignment horizontal="center"/>
    </xf>
    <xf numFmtId="1" fontId="384" fillId="0" borderId="0" xfId="0" applyNumberFormat="1" applyFont="1" applyAlignment="1">
      <alignment horizontal="center"/>
    </xf>
    <xf numFmtId="165" fontId="384" fillId="0" borderId="0" xfId="0" applyNumberFormat="1" applyFont="1" applyAlignment="1">
      <alignment horizontal="center"/>
    </xf>
    <xf numFmtId="171" fontId="384" fillId="0" borderId="0" xfId="0" applyNumberFormat="1" applyFont="1" applyAlignment="1">
      <alignment horizontal="center"/>
    </xf>
    <xf numFmtId="1" fontId="383" fillId="0" borderId="0" xfId="0" applyNumberFormat="1" applyFont="1" applyAlignment="1">
      <alignment horizontal="center"/>
    </xf>
    <xf numFmtId="165" fontId="383" fillId="0" borderId="0" xfId="0" applyNumberFormat="1" applyFont="1" applyAlignment="1">
      <alignment horizontal="center"/>
    </xf>
    <xf numFmtId="171" fontId="383" fillId="0" borderId="0" xfId="0" applyNumberFormat="1" applyFont="1" applyAlignment="1">
      <alignment horizontal="center"/>
    </xf>
    <xf numFmtId="1" fontId="382" fillId="0" borderId="0" xfId="0" applyNumberFormat="1" applyFont="1" applyAlignment="1">
      <alignment horizontal="center"/>
    </xf>
    <xf numFmtId="165" fontId="382" fillId="0" borderId="0" xfId="0" applyNumberFormat="1" applyFont="1" applyAlignment="1">
      <alignment horizontal="center"/>
    </xf>
    <xf numFmtId="171" fontId="382" fillId="0" borderId="0" xfId="0" applyNumberFormat="1" applyFont="1" applyAlignment="1">
      <alignment horizontal="center"/>
    </xf>
    <xf numFmtId="1" fontId="381" fillId="0" borderId="0" xfId="0" applyNumberFormat="1" applyFont="1" applyAlignment="1">
      <alignment horizontal="center"/>
    </xf>
    <xf numFmtId="165" fontId="381" fillId="0" borderId="0" xfId="0" applyNumberFormat="1" applyFont="1" applyAlignment="1">
      <alignment horizontal="center"/>
    </xf>
    <xf numFmtId="171" fontId="381" fillId="0" borderId="0" xfId="0" applyNumberFormat="1" applyFont="1" applyAlignment="1">
      <alignment horizontal="center"/>
    </xf>
    <xf numFmtId="1" fontId="380" fillId="0" borderId="0" xfId="0" applyNumberFormat="1" applyFont="1" applyAlignment="1">
      <alignment horizontal="center"/>
    </xf>
    <xf numFmtId="165" fontId="380" fillId="0" borderId="0" xfId="0" applyNumberFormat="1" applyFont="1" applyAlignment="1">
      <alignment horizontal="center"/>
    </xf>
    <xf numFmtId="171" fontId="380" fillId="0" borderId="0" xfId="0" applyNumberFormat="1" applyFont="1" applyAlignment="1">
      <alignment horizontal="center"/>
    </xf>
    <xf numFmtId="1" fontId="379" fillId="0" borderId="0" xfId="0" applyNumberFormat="1" applyFont="1" applyAlignment="1">
      <alignment horizontal="center"/>
    </xf>
    <xf numFmtId="165" fontId="379" fillId="0" borderId="0" xfId="0" applyNumberFormat="1" applyFont="1" applyAlignment="1">
      <alignment horizontal="center"/>
    </xf>
    <xf numFmtId="171" fontId="379" fillId="0" borderId="0" xfId="0" applyNumberFormat="1" applyFont="1" applyAlignment="1">
      <alignment horizontal="center"/>
    </xf>
    <xf numFmtId="1" fontId="378" fillId="0" borderId="0" xfId="0" applyNumberFormat="1" applyFont="1" applyAlignment="1">
      <alignment horizontal="center"/>
    </xf>
    <xf numFmtId="165" fontId="378" fillId="0" borderId="0" xfId="0" applyNumberFormat="1" applyFont="1" applyAlignment="1">
      <alignment horizontal="center"/>
    </xf>
    <xf numFmtId="1" fontId="377" fillId="0" borderId="0" xfId="0" applyNumberFormat="1" applyFont="1" applyAlignment="1">
      <alignment horizontal="center"/>
    </xf>
    <xf numFmtId="165" fontId="377" fillId="0" borderId="0" xfId="0" applyNumberFormat="1" applyFont="1" applyAlignment="1">
      <alignment horizontal="center"/>
    </xf>
    <xf numFmtId="171" fontId="377" fillId="0" borderId="0" xfId="0" applyNumberFormat="1" applyFont="1" applyAlignment="1">
      <alignment horizontal="center"/>
    </xf>
    <xf numFmtId="1" fontId="376" fillId="0" borderId="0" xfId="0" applyNumberFormat="1" applyFont="1" applyAlignment="1">
      <alignment horizontal="center"/>
    </xf>
    <xf numFmtId="165" fontId="376" fillId="0" borderId="0" xfId="0" applyNumberFormat="1" applyFont="1" applyAlignment="1">
      <alignment horizontal="center"/>
    </xf>
    <xf numFmtId="171" fontId="376" fillId="0" borderId="0" xfId="0" applyNumberFormat="1" applyFont="1" applyAlignment="1">
      <alignment horizontal="center"/>
    </xf>
    <xf numFmtId="1" fontId="375" fillId="0" borderId="0" xfId="0" applyNumberFormat="1" applyFont="1" applyAlignment="1">
      <alignment horizontal="center"/>
    </xf>
    <xf numFmtId="165" fontId="375" fillId="0" borderId="0" xfId="0" applyNumberFormat="1" applyFont="1" applyAlignment="1">
      <alignment horizontal="center"/>
    </xf>
    <xf numFmtId="171" fontId="375" fillId="0" borderId="0" xfId="0" applyNumberFormat="1" applyFont="1" applyAlignment="1">
      <alignment horizontal="center"/>
    </xf>
    <xf numFmtId="1" fontId="374" fillId="0" borderId="0" xfId="0" applyNumberFormat="1" applyFont="1" applyAlignment="1">
      <alignment horizontal="center"/>
    </xf>
    <xf numFmtId="165" fontId="374" fillId="0" borderId="0" xfId="0" applyNumberFormat="1" applyFont="1" applyAlignment="1">
      <alignment horizontal="center"/>
    </xf>
    <xf numFmtId="171" fontId="374" fillId="0" borderId="0" xfId="0" applyNumberFormat="1" applyFont="1" applyAlignment="1">
      <alignment horizontal="center"/>
    </xf>
    <xf numFmtId="1" fontId="373" fillId="0" borderId="0" xfId="0" applyNumberFormat="1" applyFont="1" applyAlignment="1">
      <alignment horizontal="center"/>
    </xf>
    <xf numFmtId="165" fontId="373" fillId="0" borderId="0" xfId="0" applyNumberFormat="1" applyFont="1" applyAlignment="1">
      <alignment horizontal="center"/>
    </xf>
    <xf numFmtId="171" fontId="373" fillId="0" borderId="0" xfId="0" applyNumberFormat="1" applyFont="1" applyAlignment="1">
      <alignment horizontal="center"/>
    </xf>
    <xf numFmtId="1" fontId="372" fillId="0" borderId="0" xfId="0" applyNumberFormat="1" applyFont="1" applyAlignment="1">
      <alignment horizontal="center"/>
    </xf>
    <xf numFmtId="165" fontId="372" fillId="0" borderId="0" xfId="0" applyNumberFormat="1" applyFont="1" applyAlignment="1">
      <alignment horizontal="center"/>
    </xf>
    <xf numFmtId="1" fontId="371" fillId="0" borderId="0" xfId="0" applyNumberFormat="1" applyFont="1" applyAlignment="1">
      <alignment horizontal="center"/>
    </xf>
    <xf numFmtId="165" fontId="371" fillId="0" borderId="0" xfId="0" applyNumberFormat="1" applyFont="1" applyAlignment="1">
      <alignment horizontal="center"/>
    </xf>
    <xf numFmtId="171" fontId="371" fillId="0" borderId="0" xfId="0" applyNumberFormat="1" applyFont="1" applyAlignment="1">
      <alignment horizontal="center"/>
    </xf>
    <xf numFmtId="1" fontId="370" fillId="0" borderId="0" xfId="0" applyNumberFormat="1" applyFont="1" applyAlignment="1">
      <alignment horizontal="center"/>
    </xf>
    <xf numFmtId="165" fontId="370" fillId="0" borderId="0" xfId="0" applyNumberFormat="1" applyFont="1" applyAlignment="1">
      <alignment horizontal="center"/>
    </xf>
    <xf numFmtId="171" fontId="370" fillId="0" borderId="0" xfId="0" applyNumberFormat="1" applyFont="1" applyAlignment="1">
      <alignment horizontal="center"/>
    </xf>
    <xf numFmtId="1" fontId="369" fillId="0" borderId="0" xfId="0" applyNumberFormat="1" applyFont="1" applyAlignment="1">
      <alignment horizontal="center"/>
    </xf>
    <xf numFmtId="165" fontId="369" fillId="0" borderId="0" xfId="0" applyNumberFormat="1" applyFont="1" applyAlignment="1">
      <alignment horizontal="center"/>
    </xf>
    <xf numFmtId="171" fontId="369" fillId="0" borderId="0" xfId="0" applyNumberFormat="1" applyFont="1" applyAlignment="1">
      <alignment horizontal="center"/>
    </xf>
    <xf numFmtId="1" fontId="368" fillId="0" borderId="0" xfId="0" applyNumberFormat="1" applyFont="1" applyAlignment="1">
      <alignment horizontal="center"/>
    </xf>
    <xf numFmtId="165" fontId="368" fillId="0" borderId="0" xfId="0" applyNumberFormat="1" applyFont="1" applyAlignment="1">
      <alignment horizontal="center"/>
    </xf>
    <xf numFmtId="171" fontId="368" fillId="0" borderId="0" xfId="0" applyNumberFormat="1" applyFont="1" applyAlignment="1">
      <alignment horizontal="center"/>
    </xf>
    <xf numFmtId="1" fontId="367" fillId="0" borderId="0" xfId="0" applyNumberFormat="1" applyFont="1" applyAlignment="1">
      <alignment horizontal="center"/>
    </xf>
    <xf numFmtId="165" fontId="367" fillId="0" borderId="0" xfId="0" applyNumberFormat="1" applyFont="1" applyAlignment="1">
      <alignment horizontal="center"/>
    </xf>
    <xf numFmtId="171" fontId="367" fillId="0" borderId="0" xfId="0" applyNumberFormat="1" applyFont="1" applyAlignment="1">
      <alignment horizontal="center"/>
    </xf>
    <xf numFmtId="1" fontId="366" fillId="0" borderId="0" xfId="0" applyNumberFormat="1" applyFont="1" applyAlignment="1">
      <alignment horizontal="center"/>
    </xf>
    <xf numFmtId="165" fontId="366" fillId="0" borderId="0" xfId="0" applyNumberFormat="1" applyFont="1" applyAlignment="1">
      <alignment horizontal="center"/>
    </xf>
    <xf numFmtId="171" fontId="366" fillId="0" borderId="0" xfId="0" applyNumberFormat="1" applyFont="1" applyAlignment="1">
      <alignment horizontal="center"/>
    </xf>
    <xf numFmtId="1" fontId="365" fillId="0" borderId="0" xfId="0" applyNumberFormat="1" applyFont="1" applyAlignment="1">
      <alignment horizontal="center"/>
    </xf>
    <xf numFmtId="165" fontId="365" fillId="0" borderId="0" xfId="0" applyNumberFormat="1" applyFont="1" applyAlignment="1">
      <alignment horizontal="center"/>
    </xf>
    <xf numFmtId="171" fontId="365" fillId="0" borderId="0" xfId="0" applyNumberFormat="1" applyFont="1" applyAlignment="1">
      <alignment horizontal="center"/>
    </xf>
    <xf numFmtId="1" fontId="364" fillId="0" borderId="0" xfId="0" applyNumberFormat="1" applyFont="1" applyAlignment="1">
      <alignment horizontal="center"/>
    </xf>
    <xf numFmtId="165" fontId="364" fillId="0" borderId="0" xfId="0" applyNumberFormat="1" applyFont="1" applyAlignment="1">
      <alignment horizontal="center"/>
    </xf>
    <xf numFmtId="1" fontId="363" fillId="0" borderId="0" xfId="0" applyNumberFormat="1" applyFont="1" applyAlignment="1">
      <alignment horizontal="center"/>
    </xf>
    <xf numFmtId="165" fontId="363" fillId="0" borderId="0" xfId="0" applyNumberFormat="1" applyFont="1" applyAlignment="1">
      <alignment horizontal="center"/>
    </xf>
    <xf numFmtId="171" fontId="363" fillId="0" borderId="0" xfId="0" applyNumberFormat="1" applyFont="1" applyAlignment="1">
      <alignment horizontal="center"/>
    </xf>
    <xf numFmtId="1" fontId="362" fillId="0" borderId="0" xfId="0" applyNumberFormat="1" applyFont="1" applyAlignment="1">
      <alignment horizontal="center"/>
    </xf>
    <xf numFmtId="165" fontId="362" fillId="0" borderId="0" xfId="0" applyNumberFormat="1" applyFont="1" applyAlignment="1">
      <alignment horizontal="center"/>
    </xf>
    <xf numFmtId="171" fontId="362" fillId="0" borderId="0" xfId="0" applyNumberFormat="1" applyFont="1" applyAlignment="1">
      <alignment horizontal="center"/>
    </xf>
    <xf numFmtId="1" fontId="361" fillId="0" borderId="0" xfId="0" applyNumberFormat="1" applyFont="1" applyAlignment="1">
      <alignment horizontal="center"/>
    </xf>
    <xf numFmtId="165" fontId="361" fillId="0" borderId="0" xfId="0" applyNumberFormat="1" applyFont="1" applyAlignment="1">
      <alignment horizontal="center"/>
    </xf>
    <xf numFmtId="171" fontId="361" fillId="0" borderId="0" xfId="0" applyNumberFormat="1" applyFont="1" applyAlignment="1">
      <alignment horizontal="center"/>
    </xf>
    <xf numFmtId="1" fontId="360" fillId="0" borderId="0" xfId="0" applyNumberFormat="1" applyFont="1" applyAlignment="1">
      <alignment horizontal="center"/>
    </xf>
    <xf numFmtId="165" fontId="360" fillId="0" borderId="0" xfId="0" applyNumberFormat="1" applyFont="1" applyAlignment="1">
      <alignment horizontal="center"/>
    </xf>
    <xf numFmtId="171" fontId="360" fillId="0" borderId="0" xfId="0" applyNumberFormat="1" applyFont="1" applyAlignment="1">
      <alignment horizontal="center"/>
    </xf>
    <xf numFmtId="1" fontId="359" fillId="0" borderId="0" xfId="0" applyNumberFormat="1" applyFont="1" applyAlignment="1">
      <alignment horizontal="center"/>
    </xf>
    <xf numFmtId="165" fontId="359" fillId="0" borderId="0" xfId="0" applyNumberFormat="1" applyFont="1" applyAlignment="1">
      <alignment horizontal="center"/>
    </xf>
    <xf numFmtId="1" fontId="358" fillId="0" borderId="0" xfId="0" applyNumberFormat="1" applyFont="1" applyAlignment="1">
      <alignment horizontal="center"/>
    </xf>
    <xf numFmtId="165" fontId="358" fillId="0" borderId="0" xfId="0" applyNumberFormat="1" applyFont="1" applyAlignment="1">
      <alignment horizontal="center"/>
    </xf>
    <xf numFmtId="171" fontId="358" fillId="0" borderId="0" xfId="0" applyNumberFormat="1" applyFont="1" applyAlignment="1">
      <alignment horizontal="center"/>
    </xf>
    <xf numFmtId="1" fontId="357" fillId="0" borderId="0" xfId="0" applyNumberFormat="1" applyFont="1" applyAlignment="1">
      <alignment horizontal="center"/>
    </xf>
    <xf numFmtId="165" fontId="357" fillId="0" borderId="0" xfId="0" applyNumberFormat="1" applyFont="1" applyAlignment="1">
      <alignment horizontal="center"/>
    </xf>
    <xf numFmtId="1" fontId="356" fillId="0" borderId="0" xfId="0" applyNumberFormat="1" applyFont="1" applyAlignment="1">
      <alignment horizontal="center"/>
    </xf>
    <xf numFmtId="165" fontId="356" fillId="0" borderId="0" xfId="0" applyNumberFormat="1" applyFont="1" applyAlignment="1">
      <alignment horizontal="center"/>
    </xf>
    <xf numFmtId="171" fontId="356" fillId="0" borderId="0" xfId="0" applyNumberFormat="1" applyFont="1" applyAlignment="1">
      <alignment horizontal="center"/>
    </xf>
    <xf numFmtId="1" fontId="355" fillId="0" borderId="0" xfId="0" applyNumberFormat="1" applyFont="1" applyAlignment="1">
      <alignment horizontal="center"/>
    </xf>
    <xf numFmtId="165" fontId="355" fillId="0" borderId="0" xfId="0" applyNumberFormat="1" applyFont="1" applyAlignment="1">
      <alignment horizontal="center"/>
    </xf>
    <xf numFmtId="171" fontId="355" fillId="0" borderId="0" xfId="0" applyNumberFormat="1" applyFont="1" applyAlignment="1">
      <alignment horizontal="center"/>
    </xf>
    <xf numFmtId="1" fontId="354" fillId="0" borderId="0" xfId="0" applyNumberFormat="1" applyFont="1" applyAlignment="1">
      <alignment horizontal="center"/>
    </xf>
    <xf numFmtId="165" fontId="354" fillId="0" borderId="0" xfId="0" applyNumberFormat="1" applyFont="1" applyAlignment="1">
      <alignment horizontal="center"/>
    </xf>
    <xf numFmtId="171" fontId="354" fillId="0" borderId="0" xfId="0" applyNumberFormat="1" applyFont="1" applyAlignment="1">
      <alignment horizontal="center"/>
    </xf>
    <xf numFmtId="1" fontId="353" fillId="0" borderId="0" xfId="0" applyNumberFormat="1" applyFont="1" applyAlignment="1">
      <alignment horizontal="center"/>
    </xf>
    <xf numFmtId="165" fontId="353" fillId="0" borderId="0" xfId="0" applyNumberFormat="1" applyFont="1" applyAlignment="1">
      <alignment horizontal="center"/>
    </xf>
    <xf numFmtId="1" fontId="352" fillId="0" borderId="0" xfId="0" applyNumberFormat="1" applyFont="1" applyAlignment="1">
      <alignment horizontal="center"/>
    </xf>
    <xf numFmtId="165" fontId="352" fillId="0" borderId="0" xfId="0" applyNumberFormat="1" applyFont="1" applyAlignment="1">
      <alignment horizontal="center"/>
    </xf>
    <xf numFmtId="171" fontId="352" fillId="0" borderId="0" xfId="0" applyNumberFormat="1" applyFont="1" applyAlignment="1">
      <alignment horizontal="center"/>
    </xf>
    <xf numFmtId="1" fontId="351" fillId="0" borderId="0" xfId="0" applyNumberFormat="1" applyFont="1" applyAlignment="1">
      <alignment horizontal="center"/>
    </xf>
    <xf numFmtId="165" fontId="351" fillId="0" borderId="0" xfId="0" applyNumberFormat="1" applyFont="1" applyAlignment="1">
      <alignment horizontal="center"/>
    </xf>
    <xf numFmtId="1" fontId="350" fillId="0" borderId="0" xfId="0" applyNumberFormat="1" applyFont="1" applyAlignment="1">
      <alignment horizontal="center"/>
    </xf>
    <xf numFmtId="165" fontId="350" fillId="0" borderId="0" xfId="0" applyNumberFormat="1" applyFont="1" applyAlignment="1">
      <alignment horizontal="center"/>
    </xf>
    <xf numFmtId="171" fontId="350" fillId="0" borderId="0" xfId="0" applyNumberFormat="1" applyFont="1" applyAlignment="1">
      <alignment horizontal="center"/>
    </xf>
    <xf numFmtId="1" fontId="349" fillId="0" borderId="0" xfId="0" applyNumberFormat="1" applyFont="1" applyAlignment="1">
      <alignment horizontal="center"/>
    </xf>
    <xf numFmtId="165" fontId="349" fillId="0" borderId="0" xfId="0" applyNumberFormat="1" applyFont="1" applyAlignment="1">
      <alignment horizontal="center"/>
    </xf>
    <xf numFmtId="171" fontId="349" fillId="0" borderId="0" xfId="0" applyNumberFormat="1" applyFont="1" applyAlignment="1">
      <alignment horizontal="center"/>
    </xf>
    <xf numFmtId="1" fontId="348" fillId="0" borderId="0" xfId="0" applyNumberFormat="1" applyFont="1" applyAlignment="1">
      <alignment horizontal="center"/>
    </xf>
    <xf numFmtId="165" fontId="348" fillId="0" borderId="0" xfId="0" applyNumberFormat="1" applyFont="1" applyAlignment="1">
      <alignment horizontal="center"/>
    </xf>
    <xf numFmtId="171" fontId="348" fillId="0" borderId="0" xfId="0" applyNumberFormat="1" applyFont="1" applyAlignment="1">
      <alignment horizontal="center"/>
    </xf>
    <xf numFmtId="1" fontId="347" fillId="0" borderId="0" xfId="0" applyNumberFormat="1" applyFont="1" applyAlignment="1">
      <alignment horizontal="center"/>
    </xf>
    <xf numFmtId="165" fontId="347" fillId="0" borderId="0" xfId="0" applyNumberFormat="1" applyFont="1" applyAlignment="1">
      <alignment horizontal="center"/>
    </xf>
    <xf numFmtId="171" fontId="347" fillId="0" borderId="0" xfId="0" applyNumberFormat="1" applyFont="1" applyAlignment="1">
      <alignment horizontal="center"/>
    </xf>
    <xf numFmtId="1" fontId="346" fillId="0" borderId="0" xfId="0" applyNumberFormat="1" applyFont="1" applyAlignment="1">
      <alignment horizontal="center"/>
    </xf>
    <xf numFmtId="165" fontId="346" fillId="0" borderId="0" xfId="0" applyNumberFormat="1" applyFont="1" applyAlignment="1">
      <alignment horizontal="center"/>
    </xf>
    <xf numFmtId="171" fontId="346" fillId="0" borderId="0" xfId="0" applyNumberFormat="1" applyFont="1" applyAlignment="1">
      <alignment horizontal="center"/>
    </xf>
    <xf numFmtId="1" fontId="345" fillId="0" borderId="0" xfId="0" applyNumberFormat="1" applyFont="1" applyAlignment="1">
      <alignment horizontal="center"/>
    </xf>
    <xf numFmtId="165" fontId="345" fillId="0" borderId="0" xfId="0" applyNumberFormat="1" applyFont="1" applyAlignment="1">
      <alignment horizontal="center"/>
    </xf>
    <xf numFmtId="171" fontId="345" fillId="0" borderId="0" xfId="0" applyNumberFormat="1" applyFont="1" applyAlignment="1">
      <alignment horizontal="center"/>
    </xf>
    <xf numFmtId="1" fontId="344" fillId="0" borderId="0" xfId="0" applyNumberFormat="1" applyFont="1" applyAlignment="1">
      <alignment horizontal="center"/>
    </xf>
    <xf numFmtId="165" fontId="344" fillId="0" borderId="0" xfId="0" applyNumberFormat="1" applyFont="1" applyAlignment="1">
      <alignment horizontal="center"/>
    </xf>
    <xf numFmtId="171" fontId="344" fillId="0" borderId="0" xfId="0" applyNumberFormat="1" applyFont="1" applyAlignment="1">
      <alignment horizontal="center"/>
    </xf>
    <xf numFmtId="1" fontId="343" fillId="0" borderId="0" xfId="0" applyNumberFormat="1" applyFont="1" applyAlignment="1">
      <alignment horizontal="center"/>
    </xf>
    <xf numFmtId="165" fontId="343" fillId="0" borderId="0" xfId="0" applyNumberFormat="1" applyFont="1" applyAlignment="1">
      <alignment horizontal="center"/>
    </xf>
    <xf numFmtId="171" fontId="343" fillId="0" borderId="0" xfId="0" applyNumberFormat="1" applyFont="1" applyAlignment="1">
      <alignment horizontal="center"/>
    </xf>
    <xf numFmtId="1" fontId="342" fillId="0" borderId="0" xfId="0" applyNumberFormat="1" applyFont="1" applyAlignment="1">
      <alignment horizontal="center"/>
    </xf>
    <xf numFmtId="165" fontId="342" fillId="0" borderId="0" xfId="0" applyNumberFormat="1" applyFont="1" applyAlignment="1">
      <alignment horizontal="center"/>
    </xf>
    <xf numFmtId="1" fontId="341" fillId="0" borderId="0" xfId="0" applyNumberFormat="1" applyFont="1" applyAlignment="1">
      <alignment horizontal="center"/>
    </xf>
    <xf numFmtId="165" fontId="341" fillId="0" borderId="0" xfId="0" applyNumberFormat="1" applyFont="1" applyAlignment="1">
      <alignment horizontal="center"/>
    </xf>
    <xf numFmtId="171" fontId="341" fillId="0" borderId="0" xfId="0" applyNumberFormat="1" applyFont="1" applyAlignment="1">
      <alignment horizontal="center"/>
    </xf>
    <xf numFmtId="1" fontId="340" fillId="0" borderId="0" xfId="0" applyNumberFormat="1" applyFont="1" applyAlignment="1">
      <alignment horizontal="center"/>
    </xf>
    <xf numFmtId="165" fontId="340" fillId="0" borderId="0" xfId="0" applyNumberFormat="1" applyFont="1" applyAlignment="1">
      <alignment horizontal="center"/>
    </xf>
    <xf numFmtId="171" fontId="340" fillId="0" borderId="0" xfId="0" applyNumberFormat="1" applyFont="1" applyAlignment="1">
      <alignment horizontal="center"/>
    </xf>
    <xf numFmtId="1" fontId="339" fillId="0" borderId="0" xfId="0" applyNumberFormat="1" applyFont="1" applyAlignment="1">
      <alignment horizontal="center"/>
    </xf>
    <xf numFmtId="165" fontId="339" fillId="0" borderId="0" xfId="0" applyNumberFormat="1" applyFont="1" applyAlignment="1">
      <alignment horizontal="center"/>
    </xf>
    <xf numFmtId="171" fontId="339" fillId="0" borderId="0" xfId="0" applyNumberFormat="1" applyFont="1" applyAlignment="1">
      <alignment horizontal="center"/>
    </xf>
    <xf numFmtId="1" fontId="338" fillId="0" borderId="0" xfId="0" applyNumberFormat="1" applyFont="1" applyAlignment="1">
      <alignment horizontal="center"/>
    </xf>
    <xf numFmtId="165" fontId="338" fillId="0" borderId="0" xfId="0" applyNumberFormat="1" applyFont="1" applyAlignment="1">
      <alignment horizontal="center"/>
    </xf>
    <xf numFmtId="171" fontId="338" fillId="0" borderId="0" xfId="0" applyNumberFormat="1" applyFont="1" applyAlignment="1">
      <alignment horizontal="center"/>
    </xf>
    <xf numFmtId="1" fontId="337" fillId="0" borderId="0" xfId="0" applyNumberFormat="1" applyFont="1" applyAlignment="1">
      <alignment horizontal="center"/>
    </xf>
    <xf numFmtId="165" fontId="337" fillId="0" borderId="0" xfId="0" applyNumberFormat="1" applyFont="1" applyAlignment="1">
      <alignment horizontal="center"/>
    </xf>
    <xf numFmtId="171" fontId="337" fillId="0" borderId="0" xfId="0" applyNumberFormat="1" applyFont="1" applyAlignment="1">
      <alignment horizontal="center"/>
    </xf>
    <xf numFmtId="1" fontId="336" fillId="0" borderId="0" xfId="0" applyNumberFormat="1" applyFont="1" applyAlignment="1">
      <alignment horizontal="center"/>
    </xf>
    <xf numFmtId="165" fontId="336" fillId="0" borderId="0" xfId="0" applyNumberFormat="1" applyFont="1" applyAlignment="1">
      <alignment horizontal="center"/>
    </xf>
    <xf numFmtId="1" fontId="335" fillId="0" borderId="0" xfId="0" applyNumberFormat="1" applyFont="1" applyAlignment="1">
      <alignment horizontal="center"/>
    </xf>
    <xf numFmtId="165" fontId="335" fillId="0" borderId="0" xfId="0" applyNumberFormat="1" applyFont="1" applyAlignment="1">
      <alignment horizontal="center"/>
    </xf>
    <xf numFmtId="171" fontId="335" fillId="0" borderId="0" xfId="0" applyNumberFormat="1" applyFont="1" applyAlignment="1">
      <alignment horizontal="center"/>
    </xf>
    <xf numFmtId="1" fontId="334" fillId="0" borderId="0" xfId="0" applyNumberFormat="1" applyFont="1" applyAlignment="1">
      <alignment horizontal="center"/>
    </xf>
    <xf numFmtId="165" fontId="334" fillId="0" borderId="0" xfId="0" applyNumberFormat="1" applyFont="1" applyAlignment="1">
      <alignment horizontal="center"/>
    </xf>
    <xf numFmtId="171" fontId="334" fillId="0" borderId="0" xfId="0" applyNumberFormat="1" applyFont="1" applyAlignment="1">
      <alignment horizontal="center"/>
    </xf>
    <xf numFmtId="1" fontId="333" fillId="0" borderId="0" xfId="0" applyNumberFormat="1" applyFont="1" applyAlignment="1">
      <alignment horizontal="center"/>
    </xf>
    <xf numFmtId="165" fontId="333" fillId="0" borderId="0" xfId="0" applyNumberFormat="1" applyFont="1" applyAlignment="1">
      <alignment horizontal="center"/>
    </xf>
    <xf numFmtId="171" fontId="333" fillId="0" borderId="0" xfId="0" applyNumberFormat="1" applyFont="1" applyAlignment="1">
      <alignment horizontal="center"/>
    </xf>
    <xf numFmtId="1" fontId="332" fillId="0" borderId="0" xfId="0" applyNumberFormat="1" applyFont="1" applyAlignment="1">
      <alignment horizontal="center"/>
    </xf>
    <xf numFmtId="165" fontId="332" fillId="0" borderId="0" xfId="0" applyNumberFormat="1" applyFont="1" applyAlignment="1">
      <alignment horizontal="center"/>
    </xf>
    <xf numFmtId="171" fontId="332" fillId="0" borderId="0" xfId="0" applyNumberFormat="1" applyFont="1" applyAlignment="1">
      <alignment horizontal="center"/>
    </xf>
    <xf numFmtId="1" fontId="331" fillId="0" borderId="0" xfId="0" applyNumberFormat="1" applyFont="1" applyAlignment="1">
      <alignment horizontal="center"/>
    </xf>
    <xf numFmtId="165" fontId="331" fillId="0" borderId="0" xfId="0" applyNumberFormat="1" applyFont="1" applyAlignment="1">
      <alignment horizontal="center"/>
    </xf>
    <xf numFmtId="171" fontId="331" fillId="0" borderId="0" xfId="0" applyNumberFormat="1" applyFont="1" applyAlignment="1">
      <alignment horizontal="center"/>
    </xf>
    <xf numFmtId="1" fontId="330" fillId="0" borderId="0" xfId="0" applyNumberFormat="1" applyFont="1" applyAlignment="1">
      <alignment horizontal="center"/>
    </xf>
    <xf numFmtId="165" fontId="330" fillId="0" borderId="0" xfId="0" applyNumberFormat="1" applyFont="1" applyAlignment="1">
      <alignment horizontal="center"/>
    </xf>
    <xf numFmtId="171" fontId="330" fillId="0" borderId="0" xfId="0" applyNumberFormat="1" applyFont="1" applyAlignment="1">
      <alignment horizontal="center"/>
    </xf>
    <xf numFmtId="1" fontId="329" fillId="0" borderId="0" xfId="0" applyNumberFormat="1" applyFont="1" applyAlignment="1">
      <alignment horizontal="center"/>
    </xf>
    <xf numFmtId="165" fontId="329" fillId="0" borderId="0" xfId="0" applyNumberFormat="1" applyFont="1" applyAlignment="1">
      <alignment horizontal="center"/>
    </xf>
    <xf numFmtId="171" fontId="329" fillId="0" borderId="0" xfId="0" applyNumberFormat="1" applyFont="1" applyAlignment="1">
      <alignment horizontal="center"/>
    </xf>
    <xf numFmtId="1" fontId="328" fillId="0" borderId="0" xfId="0" applyNumberFormat="1" applyFont="1" applyAlignment="1">
      <alignment horizontal="center"/>
    </xf>
    <xf numFmtId="165" fontId="328" fillId="0" borderId="0" xfId="0" applyNumberFormat="1" applyFont="1" applyAlignment="1">
      <alignment horizontal="center"/>
    </xf>
    <xf numFmtId="171" fontId="328" fillId="0" borderId="0" xfId="0" applyNumberFormat="1" applyFont="1" applyAlignment="1">
      <alignment horizontal="center"/>
    </xf>
    <xf numFmtId="1" fontId="327" fillId="0" borderId="0" xfId="0" applyNumberFormat="1" applyFont="1" applyAlignment="1">
      <alignment horizontal="center"/>
    </xf>
    <xf numFmtId="165" fontId="327" fillId="0" borderId="0" xfId="0" applyNumberFormat="1" applyFont="1" applyAlignment="1">
      <alignment horizontal="center"/>
    </xf>
    <xf numFmtId="171" fontId="327" fillId="0" borderId="0" xfId="0" applyNumberFormat="1" applyFont="1" applyAlignment="1">
      <alignment horizontal="center"/>
    </xf>
    <xf numFmtId="1" fontId="326" fillId="0" borderId="0" xfId="0" applyNumberFormat="1" applyFont="1" applyAlignment="1">
      <alignment horizontal="center"/>
    </xf>
    <xf numFmtId="165" fontId="326" fillId="0" borderId="0" xfId="0" applyNumberFormat="1" applyFont="1" applyAlignment="1">
      <alignment horizontal="center"/>
    </xf>
    <xf numFmtId="1" fontId="325" fillId="0" borderId="0" xfId="0" applyNumberFormat="1" applyFont="1" applyAlignment="1">
      <alignment horizontal="center"/>
    </xf>
    <xf numFmtId="165" fontId="325" fillId="0" borderId="0" xfId="0" applyNumberFormat="1" applyFont="1" applyAlignment="1">
      <alignment horizontal="center"/>
    </xf>
    <xf numFmtId="171" fontId="325" fillId="0" borderId="0" xfId="0" applyNumberFormat="1" applyFont="1" applyAlignment="1">
      <alignment horizontal="center"/>
    </xf>
    <xf numFmtId="1" fontId="324" fillId="0" borderId="0" xfId="0" applyNumberFormat="1" applyFont="1" applyAlignment="1">
      <alignment horizontal="center"/>
    </xf>
    <xf numFmtId="165" fontId="324" fillId="0" borderId="0" xfId="0" applyNumberFormat="1" applyFont="1" applyAlignment="1">
      <alignment horizontal="center"/>
    </xf>
    <xf numFmtId="171" fontId="324" fillId="0" borderId="0" xfId="0" applyNumberFormat="1" applyFont="1" applyAlignment="1">
      <alignment horizontal="center"/>
    </xf>
    <xf numFmtId="1" fontId="323" fillId="0" borderId="0" xfId="0" applyNumberFormat="1" applyFont="1" applyAlignment="1">
      <alignment horizontal="center"/>
    </xf>
    <xf numFmtId="165" fontId="323" fillId="0" borderId="0" xfId="0" applyNumberFormat="1" applyFont="1" applyAlignment="1">
      <alignment horizontal="center"/>
    </xf>
    <xf numFmtId="171" fontId="323" fillId="0" borderId="0" xfId="0" applyNumberFormat="1" applyFont="1" applyAlignment="1">
      <alignment horizontal="center"/>
    </xf>
    <xf numFmtId="1" fontId="322" fillId="0" borderId="0" xfId="0" applyNumberFormat="1" applyFont="1" applyAlignment="1">
      <alignment horizontal="center"/>
    </xf>
    <xf numFmtId="165" fontId="322" fillId="0" borderId="0" xfId="0" applyNumberFormat="1" applyFont="1" applyAlignment="1">
      <alignment horizontal="center"/>
    </xf>
    <xf numFmtId="171" fontId="322" fillId="0" borderId="0" xfId="0" applyNumberFormat="1" applyFont="1" applyAlignment="1">
      <alignment horizontal="center"/>
    </xf>
    <xf numFmtId="1" fontId="321" fillId="0" borderId="0" xfId="0" applyNumberFormat="1" applyFont="1" applyAlignment="1">
      <alignment horizontal="center"/>
    </xf>
    <xf numFmtId="165" fontId="321" fillId="0" borderId="0" xfId="0" applyNumberFormat="1" applyFont="1" applyAlignment="1">
      <alignment horizontal="center"/>
    </xf>
    <xf numFmtId="1" fontId="320" fillId="0" borderId="0" xfId="0" applyNumberFormat="1" applyFont="1" applyAlignment="1">
      <alignment horizontal="center"/>
    </xf>
    <xf numFmtId="165" fontId="320" fillId="0" borderId="0" xfId="0" applyNumberFormat="1" applyFont="1" applyAlignment="1">
      <alignment horizontal="center"/>
    </xf>
    <xf numFmtId="171" fontId="320" fillId="0" borderId="0" xfId="0" applyNumberFormat="1" applyFont="1" applyAlignment="1">
      <alignment horizontal="center"/>
    </xf>
    <xf numFmtId="1" fontId="319" fillId="0" borderId="0" xfId="0" applyNumberFormat="1" applyFont="1" applyAlignment="1">
      <alignment horizontal="center"/>
    </xf>
    <xf numFmtId="165" fontId="319" fillId="0" borderId="0" xfId="0" applyNumberFormat="1" applyFont="1" applyAlignment="1">
      <alignment horizontal="center"/>
    </xf>
    <xf numFmtId="171" fontId="319" fillId="0" borderId="0" xfId="0" applyNumberFormat="1" applyFont="1" applyAlignment="1">
      <alignment horizontal="center"/>
    </xf>
    <xf numFmtId="1" fontId="318" fillId="0" borderId="0" xfId="0" applyNumberFormat="1" applyFont="1" applyAlignment="1">
      <alignment horizontal="center"/>
    </xf>
    <xf numFmtId="165" fontId="318" fillId="0" borderId="0" xfId="0" applyNumberFormat="1" applyFont="1" applyAlignment="1">
      <alignment horizontal="center"/>
    </xf>
    <xf numFmtId="171" fontId="318" fillId="0" borderId="0" xfId="0" applyNumberFormat="1" applyFont="1" applyAlignment="1">
      <alignment horizontal="center"/>
    </xf>
    <xf numFmtId="1" fontId="317" fillId="0" borderId="0" xfId="0" applyNumberFormat="1" applyFont="1" applyAlignment="1">
      <alignment horizontal="center"/>
    </xf>
    <xf numFmtId="165" fontId="317" fillId="0" borderId="0" xfId="0" applyNumberFormat="1" applyFont="1" applyAlignment="1">
      <alignment horizontal="center"/>
    </xf>
    <xf numFmtId="1" fontId="316" fillId="0" borderId="0" xfId="0" applyNumberFormat="1" applyFont="1" applyAlignment="1">
      <alignment horizontal="center"/>
    </xf>
    <xf numFmtId="165" fontId="316" fillId="0" borderId="0" xfId="0" applyNumberFormat="1" applyFont="1" applyAlignment="1">
      <alignment horizontal="center"/>
    </xf>
    <xf numFmtId="171" fontId="316" fillId="0" borderId="0" xfId="0" applyNumberFormat="1" applyFont="1" applyAlignment="1">
      <alignment horizontal="center"/>
    </xf>
    <xf numFmtId="1" fontId="315" fillId="0" borderId="0" xfId="0" applyNumberFormat="1" applyFont="1" applyAlignment="1">
      <alignment horizontal="center"/>
    </xf>
    <xf numFmtId="165" fontId="315" fillId="0" borderId="0" xfId="0" applyNumberFormat="1" applyFont="1" applyAlignment="1">
      <alignment horizontal="center"/>
    </xf>
    <xf numFmtId="171" fontId="315" fillId="0" borderId="0" xfId="0" applyNumberFormat="1" applyFont="1" applyAlignment="1">
      <alignment horizontal="center"/>
    </xf>
    <xf numFmtId="1" fontId="314" fillId="0" borderId="0" xfId="0" applyNumberFormat="1" applyFont="1" applyAlignment="1">
      <alignment horizontal="center"/>
    </xf>
    <xf numFmtId="165" fontId="314" fillId="0" borderId="0" xfId="0" applyNumberFormat="1" applyFont="1" applyAlignment="1">
      <alignment horizontal="center"/>
    </xf>
    <xf numFmtId="171" fontId="314" fillId="0" borderId="0" xfId="0" applyNumberFormat="1" applyFont="1" applyAlignment="1">
      <alignment horizontal="center"/>
    </xf>
    <xf numFmtId="1" fontId="313" fillId="0" borderId="0" xfId="0" applyNumberFormat="1" applyFont="1" applyAlignment="1">
      <alignment horizontal="center"/>
    </xf>
    <xf numFmtId="165" fontId="313" fillId="0" borderId="0" xfId="0" applyNumberFormat="1" applyFont="1" applyAlignment="1">
      <alignment horizontal="center"/>
    </xf>
    <xf numFmtId="1" fontId="312" fillId="0" borderId="0" xfId="0" applyNumberFormat="1" applyFont="1" applyAlignment="1">
      <alignment horizontal="center"/>
    </xf>
    <xf numFmtId="165" fontId="312" fillId="0" borderId="0" xfId="0" applyNumberFormat="1" applyFont="1" applyAlignment="1">
      <alignment horizontal="center"/>
    </xf>
    <xf numFmtId="171" fontId="312" fillId="0" borderId="0" xfId="0" applyNumberFormat="1" applyFont="1" applyAlignment="1">
      <alignment horizontal="center"/>
    </xf>
    <xf numFmtId="1" fontId="311" fillId="0" borderId="0" xfId="0" applyNumberFormat="1" applyFont="1" applyAlignment="1">
      <alignment horizontal="center"/>
    </xf>
    <xf numFmtId="165" fontId="311" fillId="0" borderId="0" xfId="0" applyNumberFormat="1" applyFont="1" applyAlignment="1">
      <alignment horizontal="center"/>
    </xf>
    <xf numFmtId="1" fontId="310" fillId="0" borderId="0" xfId="0" applyNumberFormat="1" applyFont="1" applyAlignment="1">
      <alignment horizontal="center"/>
    </xf>
    <xf numFmtId="165" fontId="310" fillId="0" borderId="0" xfId="0" applyNumberFormat="1" applyFont="1" applyAlignment="1">
      <alignment horizontal="center"/>
    </xf>
    <xf numFmtId="171" fontId="310" fillId="0" borderId="0" xfId="0" applyNumberFormat="1" applyFont="1" applyAlignment="1">
      <alignment horizontal="center"/>
    </xf>
    <xf numFmtId="1" fontId="309" fillId="0" borderId="0" xfId="0" applyNumberFormat="1" applyFont="1" applyAlignment="1">
      <alignment horizontal="center"/>
    </xf>
    <xf numFmtId="165" fontId="309" fillId="0" borderId="0" xfId="0" applyNumberFormat="1" applyFont="1" applyAlignment="1">
      <alignment horizontal="center"/>
    </xf>
    <xf numFmtId="171" fontId="309" fillId="0" borderId="0" xfId="0" applyNumberFormat="1" applyFont="1" applyAlignment="1">
      <alignment horizontal="center"/>
    </xf>
    <xf numFmtId="1" fontId="308" fillId="0" borderId="0" xfId="0" applyNumberFormat="1" applyFont="1" applyAlignment="1">
      <alignment horizontal="center"/>
    </xf>
    <xf numFmtId="165" fontId="308" fillId="0" borderId="0" xfId="0" applyNumberFormat="1" applyFont="1" applyAlignment="1">
      <alignment horizontal="center"/>
    </xf>
    <xf numFmtId="1" fontId="307" fillId="0" borderId="0" xfId="0" applyNumberFormat="1" applyFont="1" applyAlignment="1">
      <alignment horizontal="center"/>
    </xf>
    <xf numFmtId="165" fontId="307" fillId="0" borderId="0" xfId="0" applyNumberFormat="1" applyFont="1" applyAlignment="1">
      <alignment horizontal="center"/>
    </xf>
    <xf numFmtId="171" fontId="307" fillId="0" borderId="0" xfId="0" applyNumberFormat="1" applyFont="1" applyAlignment="1">
      <alignment horizontal="center"/>
    </xf>
    <xf numFmtId="1" fontId="306" fillId="0" borderId="0" xfId="0" applyNumberFormat="1" applyFont="1" applyAlignment="1">
      <alignment horizontal="center"/>
    </xf>
    <xf numFmtId="165" fontId="306" fillId="0" borderId="0" xfId="0" applyNumberFormat="1" applyFont="1" applyAlignment="1">
      <alignment horizontal="center"/>
    </xf>
    <xf numFmtId="171" fontId="306" fillId="0" borderId="0" xfId="0" applyNumberFormat="1" applyFont="1" applyAlignment="1">
      <alignment horizontal="center"/>
    </xf>
    <xf numFmtId="1" fontId="305" fillId="0" borderId="0" xfId="0" applyNumberFormat="1" applyFont="1" applyAlignment="1">
      <alignment horizontal="center"/>
    </xf>
    <xf numFmtId="165" fontId="305" fillId="0" borderId="0" xfId="0" applyNumberFormat="1" applyFont="1" applyAlignment="1">
      <alignment horizontal="center"/>
    </xf>
    <xf numFmtId="171" fontId="305" fillId="0" borderId="0" xfId="0" applyNumberFormat="1" applyFont="1" applyAlignment="1">
      <alignment horizontal="center"/>
    </xf>
    <xf numFmtId="1" fontId="304" fillId="0" borderId="0" xfId="0" applyNumberFormat="1" applyFont="1" applyAlignment="1">
      <alignment horizontal="center"/>
    </xf>
    <xf numFmtId="165" fontId="304" fillId="0" borderId="0" xfId="0" applyNumberFormat="1" applyFont="1" applyAlignment="1">
      <alignment horizontal="center"/>
    </xf>
    <xf numFmtId="171" fontId="304" fillId="0" borderId="0" xfId="0" applyNumberFormat="1" applyFont="1" applyAlignment="1">
      <alignment horizontal="center"/>
    </xf>
    <xf numFmtId="1" fontId="303" fillId="0" borderId="0" xfId="0" applyNumberFormat="1" applyFont="1" applyAlignment="1">
      <alignment horizontal="center"/>
    </xf>
    <xf numFmtId="165" fontId="303" fillId="0" borderId="0" xfId="0" applyNumberFormat="1" applyFont="1" applyAlignment="1">
      <alignment horizontal="center"/>
    </xf>
    <xf numFmtId="171" fontId="303" fillId="0" borderId="0" xfId="0" applyNumberFormat="1" applyFont="1" applyAlignment="1">
      <alignment horizontal="center"/>
    </xf>
    <xf numFmtId="1" fontId="302" fillId="0" borderId="0" xfId="0" applyNumberFormat="1" applyFont="1" applyAlignment="1">
      <alignment horizontal="center"/>
    </xf>
    <xf numFmtId="165" fontId="302" fillId="0" borderId="0" xfId="0" applyNumberFormat="1" applyFont="1" applyAlignment="1">
      <alignment horizontal="center"/>
    </xf>
    <xf numFmtId="171" fontId="302" fillId="0" borderId="0" xfId="0" applyNumberFormat="1" applyFont="1" applyAlignment="1">
      <alignment horizontal="center"/>
    </xf>
    <xf numFmtId="1" fontId="301" fillId="0" borderId="0" xfId="0" applyNumberFormat="1" applyFont="1" applyAlignment="1">
      <alignment horizontal="center"/>
    </xf>
    <xf numFmtId="165" fontId="301" fillId="0" borderId="0" xfId="0" applyNumberFormat="1" applyFont="1" applyAlignment="1">
      <alignment horizontal="center"/>
    </xf>
    <xf numFmtId="171" fontId="301" fillId="0" borderId="0" xfId="0" applyNumberFormat="1" applyFont="1" applyAlignment="1">
      <alignment horizontal="center"/>
    </xf>
    <xf numFmtId="1" fontId="300" fillId="0" borderId="0" xfId="0" applyNumberFormat="1" applyFont="1" applyAlignment="1">
      <alignment horizontal="center"/>
    </xf>
    <xf numFmtId="165" fontId="300" fillId="0" borderId="0" xfId="0" applyNumberFormat="1" applyFont="1" applyAlignment="1">
      <alignment horizontal="center"/>
    </xf>
    <xf numFmtId="1" fontId="299" fillId="0" borderId="0" xfId="0" applyNumberFormat="1" applyFont="1" applyAlignment="1">
      <alignment horizontal="center"/>
    </xf>
    <xf numFmtId="165" fontId="299" fillId="0" borderId="0" xfId="0" applyNumberFormat="1" applyFont="1" applyAlignment="1">
      <alignment horizontal="center"/>
    </xf>
    <xf numFmtId="171" fontId="299" fillId="0" borderId="0" xfId="0" applyNumberFormat="1" applyFont="1" applyAlignment="1">
      <alignment horizontal="center"/>
    </xf>
    <xf numFmtId="1" fontId="298" fillId="0" borderId="0" xfId="0" applyNumberFormat="1" applyFont="1" applyAlignment="1">
      <alignment horizontal="center"/>
    </xf>
    <xf numFmtId="165" fontId="298" fillId="0" borderId="0" xfId="0" applyNumberFormat="1" applyFont="1" applyAlignment="1">
      <alignment horizontal="center"/>
    </xf>
    <xf numFmtId="171" fontId="298" fillId="0" borderId="0" xfId="0" applyNumberFormat="1" applyFont="1" applyAlignment="1">
      <alignment horizontal="center"/>
    </xf>
    <xf numFmtId="1" fontId="297" fillId="0" borderId="0" xfId="0" applyNumberFormat="1" applyFont="1" applyAlignment="1">
      <alignment horizontal="center"/>
    </xf>
    <xf numFmtId="165" fontId="297" fillId="0" borderId="0" xfId="0" applyNumberFormat="1" applyFont="1" applyAlignment="1">
      <alignment horizontal="center"/>
    </xf>
    <xf numFmtId="171" fontId="297" fillId="0" borderId="0" xfId="0" applyNumberFormat="1" applyFont="1" applyAlignment="1">
      <alignment horizontal="center"/>
    </xf>
    <xf numFmtId="1" fontId="296" fillId="0" borderId="0" xfId="0" applyNumberFormat="1" applyFont="1" applyAlignment="1">
      <alignment horizontal="center"/>
    </xf>
    <xf numFmtId="165" fontId="296" fillId="0" borderId="0" xfId="0" applyNumberFormat="1" applyFont="1" applyAlignment="1">
      <alignment horizontal="center"/>
    </xf>
    <xf numFmtId="171" fontId="296" fillId="0" borderId="0" xfId="0" applyNumberFormat="1" applyFont="1" applyAlignment="1">
      <alignment horizontal="center"/>
    </xf>
    <xf numFmtId="1" fontId="295" fillId="0" borderId="0" xfId="0" applyNumberFormat="1" applyFont="1" applyAlignment="1">
      <alignment horizontal="center"/>
    </xf>
    <xf numFmtId="165" fontId="295" fillId="0" borderId="0" xfId="0" applyNumberFormat="1" applyFont="1" applyAlignment="1">
      <alignment horizontal="center"/>
    </xf>
    <xf numFmtId="171" fontId="295" fillId="0" borderId="0" xfId="0" applyNumberFormat="1" applyFont="1" applyAlignment="1">
      <alignment horizontal="center"/>
    </xf>
    <xf numFmtId="1" fontId="294" fillId="0" borderId="0" xfId="0" applyNumberFormat="1" applyFont="1" applyAlignment="1">
      <alignment horizontal="center"/>
    </xf>
    <xf numFmtId="165" fontId="294" fillId="0" borderId="0" xfId="0" applyNumberFormat="1" applyFont="1" applyAlignment="1">
      <alignment horizontal="center"/>
    </xf>
    <xf numFmtId="1" fontId="293" fillId="0" borderId="0" xfId="0" applyNumberFormat="1" applyFont="1" applyAlignment="1">
      <alignment horizontal="center"/>
    </xf>
    <xf numFmtId="165" fontId="293" fillId="0" borderId="0" xfId="0" applyNumberFormat="1" applyFont="1" applyAlignment="1">
      <alignment horizontal="center"/>
    </xf>
    <xf numFmtId="171" fontId="293" fillId="0" borderId="0" xfId="0" applyNumberFormat="1" applyFont="1" applyAlignment="1">
      <alignment horizontal="center"/>
    </xf>
    <xf numFmtId="1" fontId="292" fillId="0" borderId="0" xfId="0" applyNumberFormat="1" applyFont="1" applyAlignment="1">
      <alignment horizontal="center"/>
    </xf>
    <xf numFmtId="165" fontId="292" fillId="0" borderId="0" xfId="0" applyNumberFormat="1" applyFont="1" applyAlignment="1">
      <alignment horizontal="center"/>
    </xf>
    <xf numFmtId="171" fontId="292" fillId="0" borderId="0" xfId="0" applyNumberFormat="1" applyFont="1" applyAlignment="1">
      <alignment horizontal="center"/>
    </xf>
    <xf numFmtId="1" fontId="291" fillId="0" borderId="0" xfId="0" applyNumberFormat="1" applyFont="1" applyAlignment="1">
      <alignment horizontal="center"/>
    </xf>
    <xf numFmtId="165" fontId="291" fillId="0" borderId="0" xfId="0" applyNumberFormat="1" applyFont="1" applyAlignment="1">
      <alignment horizontal="center"/>
    </xf>
    <xf numFmtId="171" fontId="291" fillId="0" borderId="0" xfId="0" applyNumberFormat="1" applyFont="1" applyAlignment="1">
      <alignment horizontal="center"/>
    </xf>
    <xf numFmtId="1" fontId="290" fillId="0" borderId="0" xfId="0" applyNumberFormat="1" applyFont="1" applyAlignment="1">
      <alignment horizontal="center"/>
    </xf>
    <xf numFmtId="165" fontId="290" fillId="0" borderId="0" xfId="0" applyNumberFormat="1" applyFont="1" applyAlignment="1">
      <alignment horizontal="center"/>
    </xf>
    <xf numFmtId="171" fontId="290" fillId="0" borderId="0" xfId="0" applyNumberFormat="1" applyFont="1" applyAlignment="1">
      <alignment horizontal="center"/>
    </xf>
    <xf numFmtId="0" fontId="290" fillId="0" borderId="0" xfId="0" applyFont="1" applyAlignment="1">
      <alignment horizontal="center"/>
    </xf>
    <xf numFmtId="1" fontId="289" fillId="0" borderId="0" xfId="0" applyNumberFormat="1" applyFont="1" applyAlignment="1">
      <alignment horizontal="center"/>
    </xf>
    <xf numFmtId="165" fontId="289" fillId="0" borderId="0" xfId="0" applyNumberFormat="1" applyFont="1" applyAlignment="1">
      <alignment horizontal="center"/>
    </xf>
    <xf numFmtId="171" fontId="289" fillId="0" borderId="0" xfId="0" applyNumberFormat="1" applyFont="1" applyAlignment="1">
      <alignment horizontal="center"/>
    </xf>
    <xf numFmtId="1" fontId="288" fillId="0" borderId="0" xfId="0" applyNumberFormat="1" applyFont="1" applyAlignment="1">
      <alignment horizontal="center"/>
    </xf>
    <xf numFmtId="165" fontId="288" fillId="0" borderId="0" xfId="0" applyNumberFormat="1" applyFont="1" applyAlignment="1">
      <alignment horizontal="center"/>
    </xf>
    <xf numFmtId="171" fontId="288" fillId="0" borderId="0" xfId="0" applyNumberFormat="1" applyFont="1" applyAlignment="1">
      <alignment horizontal="center"/>
    </xf>
    <xf numFmtId="1" fontId="287" fillId="0" borderId="0" xfId="0" applyNumberFormat="1" applyFont="1" applyAlignment="1">
      <alignment horizontal="center"/>
    </xf>
    <xf numFmtId="165" fontId="287" fillId="0" borderId="0" xfId="0" applyNumberFormat="1" applyFont="1" applyAlignment="1">
      <alignment horizontal="center"/>
    </xf>
    <xf numFmtId="1" fontId="286" fillId="0" borderId="0" xfId="0" applyNumberFormat="1" applyFont="1" applyAlignment="1">
      <alignment horizontal="center"/>
    </xf>
    <xf numFmtId="165" fontId="286" fillId="0" borderId="0" xfId="0" applyNumberFormat="1" applyFont="1" applyAlignment="1">
      <alignment horizontal="center"/>
    </xf>
    <xf numFmtId="171" fontId="286" fillId="0" borderId="0" xfId="0" applyNumberFormat="1" applyFont="1" applyAlignment="1">
      <alignment horizontal="center"/>
    </xf>
    <xf numFmtId="1" fontId="285" fillId="0" borderId="0" xfId="0" applyNumberFormat="1" applyFont="1" applyAlignment="1">
      <alignment horizontal="center"/>
    </xf>
    <xf numFmtId="165" fontId="285" fillId="0" borderId="0" xfId="0" applyNumberFormat="1" applyFont="1" applyAlignment="1">
      <alignment horizontal="center"/>
    </xf>
    <xf numFmtId="171" fontId="285" fillId="0" borderId="0" xfId="0" applyNumberFormat="1" applyFont="1" applyAlignment="1">
      <alignment horizontal="center"/>
    </xf>
    <xf numFmtId="1" fontId="284" fillId="0" borderId="0" xfId="0" applyNumberFormat="1" applyFont="1" applyAlignment="1">
      <alignment horizontal="center"/>
    </xf>
    <xf numFmtId="165" fontId="284" fillId="0" borderId="0" xfId="0" applyNumberFormat="1" applyFont="1" applyAlignment="1">
      <alignment horizontal="center"/>
    </xf>
    <xf numFmtId="171" fontId="284" fillId="0" borderId="0" xfId="0" applyNumberFormat="1" applyFont="1" applyAlignment="1">
      <alignment horizontal="center"/>
    </xf>
    <xf numFmtId="1" fontId="283" fillId="0" borderId="0" xfId="0" applyNumberFormat="1" applyFont="1" applyAlignment="1">
      <alignment horizontal="center"/>
    </xf>
    <xf numFmtId="165" fontId="283" fillId="0" borderId="0" xfId="0" applyNumberFormat="1" applyFont="1" applyAlignment="1">
      <alignment horizontal="center"/>
    </xf>
    <xf numFmtId="171" fontId="283" fillId="0" borderId="0" xfId="0" applyNumberFormat="1" applyFont="1" applyAlignment="1">
      <alignment horizontal="center"/>
    </xf>
    <xf numFmtId="1" fontId="282" fillId="0" borderId="0" xfId="0" applyNumberFormat="1" applyFont="1" applyAlignment="1">
      <alignment horizontal="center"/>
    </xf>
    <xf numFmtId="165" fontId="282" fillId="0" borderId="0" xfId="0" applyNumberFormat="1" applyFont="1" applyAlignment="1">
      <alignment horizontal="center"/>
    </xf>
    <xf numFmtId="171" fontId="282" fillId="0" borderId="0" xfId="0" applyNumberFormat="1" applyFont="1" applyAlignment="1">
      <alignment horizontal="center"/>
    </xf>
    <xf numFmtId="1" fontId="281" fillId="0" borderId="0" xfId="0" applyNumberFormat="1" applyFont="1" applyAlignment="1">
      <alignment horizontal="center"/>
    </xf>
    <xf numFmtId="165" fontId="281" fillId="0" borderId="0" xfId="0" applyNumberFormat="1" applyFont="1" applyAlignment="1">
      <alignment horizontal="center"/>
    </xf>
    <xf numFmtId="171" fontId="281" fillId="0" borderId="0" xfId="0" applyNumberFormat="1" applyFont="1" applyAlignment="1">
      <alignment horizontal="center"/>
    </xf>
    <xf numFmtId="1" fontId="280" fillId="0" borderId="0" xfId="0" applyNumberFormat="1" applyFont="1" applyAlignment="1">
      <alignment horizontal="center"/>
    </xf>
    <xf numFmtId="165" fontId="280" fillId="0" borderId="0" xfId="0" applyNumberFormat="1" applyFont="1" applyAlignment="1">
      <alignment horizontal="center"/>
    </xf>
    <xf numFmtId="1" fontId="279" fillId="0" borderId="0" xfId="0" applyNumberFormat="1" applyFont="1" applyAlignment="1">
      <alignment horizontal="center"/>
    </xf>
    <xf numFmtId="165" fontId="279" fillId="0" borderId="0" xfId="0" applyNumberFormat="1" applyFont="1" applyAlignment="1">
      <alignment horizontal="center"/>
    </xf>
    <xf numFmtId="1" fontId="278" fillId="0" borderId="0" xfId="0" applyNumberFormat="1" applyFont="1" applyAlignment="1">
      <alignment horizontal="center"/>
    </xf>
    <xf numFmtId="165" fontId="278" fillId="0" borderId="0" xfId="0" applyNumberFormat="1" applyFont="1" applyAlignment="1">
      <alignment horizontal="center"/>
    </xf>
    <xf numFmtId="171" fontId="278" fillId="0" borderId="0" xfId="0" applyNumberFormat="1" applyFont="1" applyAlignment="1">
      <alignment horizontal="center"/>
    </xf>
    <xf numFmtId="1" fontId="277" fillId="0" borderId="0" xfId="0" applyNumberFormat="1" applyFont="1" applyAlignment="1">
      <alignment horizontal="center"/>
    </xf>
    <xf numFmtId="165" fontId="277" fillId="0" borderId="0" xfId="0" applyNumberFormat="1" applyFont="1" applyAlignment="1">
      <alignment horizontal="center"/>
    </xf>
    <xf numFmtId="171" fontId="277" fillId="0" borderId="0" xfId="0" applyNumberFormat="1" applyFont="1" applyAlignment="1">
      <alignment horizontal="center"/>
    </xf>
    <xf numFmtId="1" fontId="276" fillId="0" borderId="0" xfId="0" applyNumberFormat="1" applyFont="1" applyAlignment="1">
      <alignment horizontal="center"/>
    </xf>
    <xf numFmtId="165" fontId="276" fillId="0" borderId="0" xfId="0" applyNumberFormat="1" applyFont="1" applyAlignment="1">
      <alignment horizontal="center"/>
    </xf>
    <xf numFmtId="171" fontId="276" fillId="0" borderId="0" xfId="0" applyNumberFormat="1" applyFont="1" applyAlignment="1">
      <alignment horizontal="center"/>
    </xf>
    <xf numFmtId="1" fontId="275" fillId="0" borderId="0" xfId="0" applyNumberFormat="1" applyFont="1" applyAlignment="1">
      <alignment horizontal="center"/>
    </xf>
    <xf numFmtId="165" fontId="275" fillId="0" borderId="0" xfId="0" applyNumberFormat="1" applyFont="1" applyAlignment="1">
      <alignment horizontal="center"/>
    </xf>
    <xf numFmtId="171" fontId="275" fillId="0" borderId="0" xfId="0" applyNumberFormat="1" applyFont="1" applyAlignment="1">
      <alignment horizontal="center"/>
    </xf>
    <xf numFmtId="1" fontId="274" fillId="0" borderId="0" xfId="0" applyNumberFormat="1" applyFont="1" applyAlignment="1">
      <alignment horizontal="center"/>
    </xf>
    <xf numFmtId="165" fontId="274" fillId="0" borderId="0" xfId="0" applyNumberFormat="1" applyFont="1" applyAlignment="1">
      <alignment horizontal="center"/>
    </xf>
    <xf numFmtId="171" fontId="274" fillId="0" borderId="0" xfId="0" applyNumberFormat="1" applyFont="1" applyAlignment="1">
      <alignment horizontal="center"/>
    </xf>
    <xf numFmtId="1" fontId="273" fillId="0" borderId="0" xfId="0" applyNumberFormat="1" applyFont="1" applyAlignment="1">
      <alignment horizontal="center"/>
    </xf>
    <xf numFmtId="165" fontId="273" fillId="0" borderId="0" xfId="0" applyNumberFormat="1" applyFont="1" applyAlignment="1">
      <alignment horizontal="center"/>
    </xf>
    <xf numFmtId="1" fontId="272" fillId="0" borderId="0" xfId="0" applyNumberFormat="1" applyFont="1" applyAlignment="1">
      <alignment horizontal="center"/>
    </xf>
    <xf numFmtId="165" fontId="272" fillId="0" borderId="0" xfId="0" applyNumberFormat="1" applyFont="1" applyAlignment="1">
      <alignment horizontal="center"/>
    </xf>
    <xf numFmtId="1" fontId="271" fillId="0" borderId="0" xfId="0" applyNumberFormat="1" applyFont="1" applyAlignment="1">
      <alignment horizontal="center"/>
    </xf>
    <xf numFmtId="165" fontId="271" fillId="0" borderId="0" xfId="0" applyNumberFormat="1" applyFont="1" applyAlignment="1">
      <alignment horizontal="center"/>
    </xf>
    <xf numFmtId="171" fontId="271" fillId="0" borderId="0" xfId="0" applyNumberFormat="1" applyFont="1" applyAlignment="1">
      <alignment horizontal="center"/>
    </xf>
    <xf numFmtId="1" fontId="270" fillId="0" borderId="0" xfId="0" applyNumberFormat="1" applyFont="1" applyAlignment="1">
      <alignment horizontal="center"/>
    </xf>
    <xf numFmtId="165" fontId="270" fillId="0" borderId="0" xfId="0" applyNumberFormat="1" applyFont="1" applyAlignment="1">
      <alignment horizontal="center"/>
    </xf>
    <xf numFmtId="171" fontId="270" fillId="0" borderId="0" xfId="0" applyNumberFormat="1" applyFont="1" applyAlignment="1">
      <alignment horizontal="center"/>
    </xf>
    <xf numFmtId="1" fontId="269" fillId="0" borderId="0" xfId="0" applyNumberFormat="1" applyFont="1" applyAlignment="1">
      <alignment horizontal="center"/>
    </xf>
    <xf numFmtId="165" fontId="269" fillId="0" borderId="0" xfId="0" applyNumberFormat="1" applyFont="1" applyAlignment="1">
      <alignment horizontal="center"/>
    </xf>
    <xf numFmtId="171" fontId="269" fillId="0" borderId="0" xfId="0" applyNumberFormat="1" applyFont="1" applyAlignment="1">
      <alignment horizontal="center"/>
    </xf>
    <xf numFmtId="1" fontId="268" fillId="0" borderId="0" xfId="0" applyNumberFormat="1" applyFont="1" applyAlignment="1">
      <alignment horizontal="center"/>
    </xf>
    <xf numFmtId="165" fontId="268" fillId="0" borderId="0" xfId="0" applyNumberFormat="1" applyFont="1" applyAlignment="1">
      <alignment horizontal="center"/>
    </xf>
    <xf numFmtId="171" fontId="268" fillId="0" borderId="0" xfId="0" applyNumberFormat="1" applyFont="1" applyAlignment="1">
      <alignment horizontal="center"/>
    </xf>
    <xf numFmtId="1" fontId="267" fillId="0" borderId="0" xfId="0" applyNumberFormat="1" applyFont="1" applyAlignment="1">
      <alignment horizontal="center"/>
    </xf>
    <xf numFmtId="165" fontId="267" fillId="0" borderId="0" xfId="0" applyNumberFormat="1" applyFont="1" applyAlignment="1">
      <alignment horizontal="center"/>
    </xf>
    <xf numFmtId="171" fontId="267" fillId="0" borderId="0" xfId="0" applyNumberFormat="1" applyFont="1" applyAlignment="1">
      <alignment horizontal="center"/>
    </xf>
    <xf numFmtId="1" fontId="266" fillId="0" borderId="0" xfId="0" applyNumberFormat="1" applyFont="1" applyAlignment="1">
      <alignment horizontal="center"/>
    </xf>
    <xf numFmtId="165" fontId="266" fillId="0" borderId="0" xfId="0" applyNumberFormat="1" applyFont="1" applyAlignment="1">
      <alignment horizontal="center"/>
    </xf>
    <xf numFmtId="1" fontId="265" fillId="0" borderId="0" xfId="0" applyNumberFormat="1" applyFont="1" applyAlignment="1">
      <alignment horizontal="center"/>
    </xf>
    <xf numFmtId="165" fontId="265" fillId="0" borderId="0" xfId="0" applyNumberFormat="1" applyFont="1" applyAlignment="1">
      <alignment horizontal="center"/>
    </xf>
    <xf numFmtId="171" fontId="265" fillId="0" borderId="0" xfId="0" applyNumberFormat="1" applyFont="1" applyAlignment="1">
      <alignment horizontal="center"/>
    </xf>
    <xf numFmtId="1" fontId="264" fillId="0" borderId="0" xfId="0" applyNumberFormat="1" applyFont="1" applyAlignment="1">
      <alignment horizontal="center"/>
    </xf>
    <xf numFmtId="165" fontId="264" fillId="0" borderId="0" xfId="0" applyNumberFormat="1" applyFont="1" applyAlignment="1">
      <alignment horizontal="center"/>
    </xf>
    <xf numFmtId="171" fontId="264" fillId="0" borderId="0" xfId="0" applyNumberFormat="1" applyFont="1" applyAlignment="1">
      <alignment horizontal="center"/>
    </xf>
    <xf numFmtId="1" fontId="263" fillId="0" borderId="0" xfId="0" applyNumberFormat="1" applyFont="1" applyAlignment="1">
      <alignment horizontal="center"/>
    </xf>
    <xf numFmtId="165" fontId="263" fillId="0" borderId="0" xfId="0" applyNumberFormat="1" applyFont="1" applyAlignment="1">
      <alignment horizontal="center"/>
    </xf>
    <xf numFmtId="171" fontId="263" fillId="0" borderId="0" xfId="0" applyNumberFormat="1" applyFont="1" applyAlignment="1">
      <alignment horizontal="center"/>
    </xf>
    <xf numFmtId="1" fontId="262" fillId="0" borderId="0" xfId="0" applyNumberFormat="1" applyFont="1" applyAlignment="1">
      <alignment horizontal="center"/>
    </xf>
    <xf numFmtId="165" fontId="262" fillId="0" borderId="0" xfId="0" applyNumberFormat="1" applyFont="1" applyAlignment="1">
      <alignment horizontal="center"/>
    </xf>
    <xf numFmtId="171" fontId="262" fillId="0" borderId="0" xfId="0" applyNumberFormat="1" applyFont="1" applyAlignment="1">
      <alignment horizontal="center"/>
    </xf>
    <xf numFmtId="1" fontId="261" fillId="0" borderId="0" xfId="0" applyNumberFormat="1" applyFont="1" applyAlignment="1">
      <alignment horizontal="center"/>
    </xf>
    <xf numFmtId="165" fontId="261" fillId="0" borderId="0" xfId="0" applyNumberFormat="1" applyFont="1" applyAlignment="1">
      <alignment horizontal="center"/>
    </xf>
    <xf numFmtId="171" fontId="261" fillId="0" borderId="0" xfId="0" applyNumberFormat="1" applyFont="1" applyAlignment="1">
      <alignment horizontal="center"/>
    </xf>
    <xf numFmtId="1" fontId="260" fillId="0" borderId="0" xfId="0" applyNumberFormat="1" applyFont="1" applyAlignment="1">
      <alignment horizontal="center"/>
    </xf>
    <xf numFmtId="165" fontId="260" fillId="0" borderId="0" xfId="0" applyNumberFormat="1" applyFont="1" applyAlignment="1">
      <alignment horizontal="center"/>
    </xf>
    <xf numFmtId="171" fontId="260" fillId="0" borderId="0" xfId="0" applyNumberFormat="1" applyFont="1" applyAlignment="1">
      <alignment horizontal="center"/>
    </xf>
    <xf numFmtId="1" fontId="259" fillId="0" borderId="0" xfId="0" applyNumberFormat="1" applyFont="1" applyAlignment="1">
      <alignment horizontal="center"/>
    </xf>
    <xf numFmtId="165" fontId="259" fillId="0" borderId="0" xfId="0" applyNumberFormat="1" applyFont="1" applyAlignment="1">
      <alignment horizontal="center"/>
    </xf>
    <xf numFmtId="1" fontId="258" fillId="0" borderId="0" xfId="0" applyNumberFormat="1" applyFont="1" applyAlignment="1">
      <alignment horizontal="center"/>
    </xf>
    <xf numFmtId="165" fontId="258" fillId="0" borderId="0" xfId="0" applyNumberFormat="1" applyFont="1" applyAlignment="1">
      <alignment horizontal="center"/>
    </xf>
    <xf numFmtId="1" fontId="257" fillId="0" borderId="0" xfId="0" applyNumberFormat="1" applyFont="1" applyAlignment="1">
      <alignment horizontal="center"/>
    </xf>
    <xf numFmtId="165" fontId="257" fillId="0" borderId="0" xfId="0" applyNumberFormat="1" applyFont="1" applyAlignment="1">
      <alignment horizontal="center"/>
    </xf>
    <xf numFmtId="171" fontId="257" fillId="0" borderId="0" xfId="0" applyNumberFormat="1" applyFont="1" applyAlignment="1">
      <alignment horizontal="center"/>
    </xf>
    <xf numFmtId="1" fontId="256" fillId="0" borderId="0" xfId="0" applyNumberFormat="1" applyFont="1" applyAlignment="1">
      <alignment horizontal="center"/>
    </xf>
    <xf numFmtId="165" fontId="256" fillId="0" borderId="0" xfId="0" applyNumberFormat="1" applyFont="1" applyAlignment="1">
      <alignment horizontal="center"/>
    </xf>
    <xf numFmtId="1" fontId="255" fillId="0" borderId="0" xfId="0" applyNumberFormat="1" applyFont="1" applyAlignment="1">
      <alignment horizontal="center"/>
    </xf>
    <xf numFmtId="165" fontId="255" fillId="0" borderId="0" xfId="0" applyNumberFormat="1" applyFont="1" applyAlignment="1">
      <alignment horizontal="center"/>
    </xf>
    <xf numFmtId="1" fontId="254" fillId="0" borderId="0" xfId="0" applyNumberFormat="1" applyFont="1" applyAlignment="1">
      <alignment horizontal="center"/>
    </xf>
    <xf numFmtId="165" fontId="254" fillId="0" borderId="0" xfId="0" applyNumberFormat="1" applyFont="1" applyAlignment="1">
      <alignment horizontal="center"/>
    </xf>
    <xf numFmtId="171" fontId="254" fillId="0" borderId="0" xfId="0" applyNumberFormat="1" applyFont="1" applyAlignment="1">
      <alignment horizontal="center"/>
    </xf>
    <xf numFmtId="1" fontId="253" fillId="0" borderId="0" xfId="0" applyNumberFormat="1" applyFont="1" applyAlignment="1">
      <alignment horizontal="center"/>
    </xf>
    <xf numFmtId="165" fontId="253" fillId="0" borderId="0" xfId="0" applyNumberFormat="1" applyFont="1" applyAlignment="1">
      <alignment horizontal="center"/>
    </xf>
    <xf numFmtId="171" fontId="253" fillId="0" borderId="0" xfId="0" applyNumberFormat="1" applyFont="1" applyAlignment="1">
      <alignment horizontal="center"/>
    </xf>
    <xf numFmtId="1" fontId="252" fillId="0" borderId="0" xfId="0" applyNumberFormat="1" applyFont="1" applyAlignment="1">
      <alignment horizontal="center"/>
    </xf>
    <xf numFmtId="165" fontId="252" fillId="0" borderId="0" xfId="0" applyNumberFormat="1" applyFont="1" applyAlignment="1">
      <alignment horizontal="center"/>
    </xf>
    <xf numFmtId="1" fontId="251" fillId="0" borderId="0" xfId="0" applyNumberFormat="1" applyFont="1" applyAlignment="1">
      <alignment horizontal="center"/>
    </xf>
    <xf numFmtId="165" fontId="251" fillId="0" borderId="0" xfId="0" applyNumberFormat="1" applyFont="1" applyAlignment="1">
      <alignment horizontal="center"/>
    </xf>
    <xf numFmtId="171" fontId="251" fillId="0" borderId="0" xfId="0" applyNumberFormat="1" applyFont="1" applyAlignment="1">
      <alignment horizontal="center"/>
    </xf>
    <xf numFmtId="1" fontId="250" fillId="0" borderId="0" xfId="0" applyNumberFormat="1" applyFont="1" applyAlignment="1">
      <alignment horizontal="center"/>
    </xf>
    <xf numFmtId="165" fontId="250" fillId="0" borderId="0" xfId="0" applyNumberFormat="1" applyFont="1" applyAlignment="1">
      <alignment horizontal="center"/>
    </xf>
    <xf numFmtId="171" fontId="250" fillId="0" borderId="0" xfId="0" applyNumberFormat="1" applyFont="1" applyAlignment="1">
      <alignment horizontal="center"/>
    </xf>
    <xf numFmtId="1" fontId="249" fillId="0" borderId="0" xfId="0" applyNumberFormat="1" applyFont="1" applyAlignment="1">
      <alignment horizontal="center"/>
    </xf>
    <xf numFmtId="165" fontId="249" fillId="0" borderId="0" xfId="0" applyNumberFormat="1" applyFont="1" applyAlignment="1">
      <alignment horizontal="center"/>
    </xf>
    <xf numFmtId="171" fontId="249" fillId="0" borderId="0" xfId="0" applyNumberFormat="1" applyFont="1" applyAlignment="1">
      <alignment horizontal="center"/>
    </xf>
    <xf numFmtId="1" fontId="248" fillId="0" borderId="0" xfId="0" applyNumberFormat="1" applyFont="1" applyAlignment="1">
      <alignment horizontal="center"/>
    </xf>
    <xf numFmtId="165" fontId="248" fillId="0" borderId="0" xfId="0" applyNumberFormat="1" applyFont="1" applyAlignment="1">
      <alignment horizontal="center"/>
    </xf>
    <xf numFmtId="171" fontId="248" fillId="0" borderId="0" xfId="0" applyNumberFormat="1" applyFont="1" applyAlignment="1">
      <alignment horizontal="center"/>
    </xf>
    <xf numFmtId="1" fontId="247" fillId="0" borderId="0" xfId="0" applyNumberFormat="1" applyFont="1" applyAlignment="1">
      <alignment horizontal="center"/>
    </xf>
    <xf numFmtId="165" fontId="247" fillId="0" borderId="0" xfId="0" applyNumberFormat="1" applyFont="1" applyAlignment="1">
      <alignment horizontal="center"/>
    </xf>
    <xf numFmtId="171" fontId="247" fillId="0" borderId="0" xfId="0" applyNumberFormat="1" applyFont="1" applyAlignment="1">
      <alignment horizontal="center"/>
    </xf>
    <xf numFmtId="1" fontId="246" fillId="0" borderId="0" xfId="0" applyNumberFormat="1" applyFont="1" applyAlignment="1">
      <alignment horizontal="center"/>
    </xf>
    <xf numFmtId="165" fontId="246" fillId="0" borderId="0" xfId="0" applyNumberFormat="1" applyFont="1" applyAlignment="1">
      <alignment horizontal="center"/>
    </xf>
    <xf numFmtId="171" fontId="246" fillId="0" borderId="0" xfId="0" applyNumberFormat="1" applyFont="1" applyAlignment="1">
      <alignment horizontal="center"/>
    </xf>
    <xf numFmtId="1" fontId="245" fillId="0" borderId="0" xfId="0" applyNumberFormat="1" applyFont="1" applyAlignment="1">
      <alignment horizontal="center"/>
    </xf>
    <xf numFmtId="165" fontId="245" fillId="0" borderId="0" xfId="0" applyNumberFormat="1" applyFont="1" applyAlignment="1">
      <alignment horizontal="center"/>
    </xf>
    <xf numFmtId="1" fontId="244" fillId="0" borderId="0" xfId="0" applyNumberFormat="1" applyFont="1" applyAlignment="1">
      <alignment horizontal="center"/>
    </xf>
    <xf numFmtId="165" fontId="244" fillId="0" borderId="0" xfId="0" applyNumberFormat="1" applyFont="1" applyAlignment="1">
      <alignment horizontal="center"/>
    </xf>
    <xf numFmtId="171" fontId="244" fillId="0" borderId="0" xfId="0" applyNumberFormat="1" applyFont="1" applyAlignment="1">
      <alignment horizontal="center"/>
    </xf>
    <xf numFmtId="1" fontId="243" fillId="0" borderId="0" xfId="0" applyNumberFormat="1" applyFont="1" applyAlignment="1">
      <alignment horizontal="center"/>
    </xf>
    <xf numFmtId="165" fontId="243" fillId="0" borderId="0" xfId="0" applyNumberFormat="1" applyFont="1" applyAlignment="1">
      <alignment horizontal="center"/>
    </xf>
    <xf numFmtId="171" fontId="243" fillId="0" borderId="0" xfId="0" applyNumberFormat="1" applyFont="1" applyAlignment="1">
      <alignment horizontal="center"/>
    </xf>
    <xf numFmtId="1" fontId="242" fillId="0" borderId="0" xfId="0" applyNumberFormat="1" applyFont="1" applyAlignment="1">
      <alignment horizontal="center"/>
    </xf>
    <xf numFmtId="165" fontId="242" fillId="0" borderId="0" xfId="0" applyNumberFormat="1" applyFont="1" applyAlignment="1">
      <alignment horizontal="center"/>
    </xf>
    <xf numFmtId="171" fontId="242" fillId="0" borderId="0" xfId="0" applyNumberFormat="1" applyFont="1" applyAlignment="1">
      <alignment horizontal="center"/>
    </xf>
    <xf numFmtId="1" fontId="241" fillId="0" borderId="0" xfId="0" applyNumberFormat="1" applyFont="1" applyAlignment="1">
      <alignment horizontal="center"/>
    </xf>
    <xf numFmtId="165" fontId="241" fillId="0" borderId="0" xfId="0" applyNumberFormat="1" applyFont="1" applyAlignment="1">
      <alignment horizontal="center"/>
    </xf>
    <xf numFmtId="171" fontId="241" fillId="0" borderId="0" xfId="0" applyNumberFormat="1" applyFont="1" applyAlignment="1">
      <alignment horizontal="center"/>
    </xf>
    <xf numFmtId="1" fontId="240" fillId="0" borderId="0" xfId="0" applyNumberFormat="1" applyFont="1" applyAlignment="1">
      <alignment horizontal="center"/>
    </xf>
    <xf numFmtId="165" fontId="240" fillId="0" borderId="0" xfId="0" applyNumberFormat="1" applyFont="1" applyAlignment="1">
      <alignment horizontal="center"/>
    </xf>
    <xf numFmtId="171" fontId="240" fillId="0" borderId="0" xfId="0" applyNumberFormat="1" applyFont="1" applyAlignment="1">
      <alignment horizontal="center"/>
    </xf>
    <xf numFmtId="1" fontId="239" fillId="0" borderId="0" xfId="0" applyNumberFormat="1" applyFont="1" applyAlignment="1">
      <alignment horizontal="center"/>
    </xf>
    <xf numFmtId="165" fontId="239" fillId="0" borderId="0" xfId="0" applyNumberFormat="1" applyFont="1" applyAlignment="1">
      <alignment horizontal="center"/>
    </xf>
    <xf numFmtId="1" fontId="238" fillId="0" borderId="0" xfId="0" applyNumberFormat="1" applyFont="1" applyAlignment="1">
      <alignment horizontal="center"/>
    </xf>
    <xf numFmtId="165" fontId="238" fillId="0" borderId="0" xfId="0" applyNumberFormat="1" applyFont="1" applyAlignment="1">
      <alignment horizontal="center"/>
    </xf>
    <xf numFmtId="171" fontId="238" fillId="0" borderId="0" xfId="0" applyNumberFormat="1" applyFont="1" applyAlignment="1">
      <alignment horizontal="center"/>
    </xf>
    <xf numFmtId="1" fontId="237" fillId="0" borderId="0" xfId="0" applyNumberFormat="1" applyFont="1" applyAlignment="1">
      <alignment horizontal="center"/>
    </xf>
    <xf numFmtId="165" fontId="237" fillId="0" borderId="0" xfId="0" applyNumberFormat="1" applyFont="1" applyAlignment="1">
      <alignment horizontal="center"/>
    </xf>
    <xf numFmtId="1" fontId="236" fillId="0" borderId="0" xfId="0" applyNumberFormat="1" applyFont="1" applyAlignment="1">
      <alignment horizontal="center"/>
    </xf>
    <xf numFmtId="165" fontId="236" fillId="0" borderId="0" xfId="0" applyNumberFormat="1" applyFont="1" applyAlignment="1">
      <alignment horizontal="center"/>
    </xf>
    <xf numFmtId="171" fontId="236" fillId="0" borderId="0" xfId="0" applyNumberFormat="1" applyFont="1" applyAlignment="1">
      <alignment horizontal="center"/>
    </xf>
    <xf numFmtId="1" fontId="235" fillId="0" borderId="0" xfId="0" applyNumberFormat="1" applyFont="1" applyAlignment="1">
      <alignment horizontal="center"/>
    </xf>
    <xf numFmtId="165" fontId="235" fillId="0" borderId="0" xfId="0" applyNumberFormat="1" applyFont="1" applyAlignment="1">
      <alignment horizontal="center"/>
    </xf>
    <xf numFmtId="171" fontId="235" fillId="0" borderId="0" xfId="0" applyNumberFormat="1" applyFont="1" applyAlignment="1">
      <alignment horizontal="center"/>
    </xf>
    <xf numFmtId="1" fontId="234" fillId="0" borderId="0" xfId="0" applyNumberFormat="1" applyFont="1" applyAlignment="1">
      <alignment horizontal="center"/>
    </xf>
    <xf numFmtId="165" fontId="234" fillId="0" borderId="0" xfId="0" applyNumberFormat="1" applyFont="1" applyAlignment="1">
      <alignment horizontal="center"/>
    </xf>
    <xf numFmtId="171" fontId="234" fillId="0" borderId="0" xfId="0" applyNumberFormat="1" applyFont="1" applyAlignment="1">
      <alignment horizontal="center"/>
    </xf>
    <xf numFmtId="1" fontId="233" fillId="0" borderId="0" xfId="0" applyNumberFormat="1" applyFont="1" applyAlignment="1">
      <alignment horizontal="center"/>
    </xf>
    <xf numFmtId="165" fontId="233" fillId="0" borderId="0" xfId="0" applyNumberFormat="1" applyFont="1" applyAlignment="1">
      <alignment horizontal="center"/>
    </xf>
    <xf numFmtId="171" fontId="233" fillId="0" borderId="0" xfId="0" applyNumberFormat="1" applyFont="1" applyAlignment="1">
      <alignment horizontal="center"/>
    </xf>
    <xf numFmtId="1" fontId="232" fillId="0" borderId="0" xfId="0" applyNumberFormat="1" applyFont="1" applyAlignment="1">
      <alignment horizontal="center"/>
    </xf>
    <xf numFmtId="165" fontId="232" fillId="0" borderId="0" xfId="0" applyNumberFormat="1" applyFont="1" applyAlignment="1">
      <alignment horizontal="center"/>
    </xf>
    <xf numFmtId="171" fontId="232" fillId="0" borderId="0" xfId="0" applyNumberFormat="1" applyFont="1" applyAlignment="1">
      <alignment horizontal="center"/>
    </xf>
    <xf numFmtId="1" fontId="231" fillId="0" borderId="0" xfId="0" applyNumberFormat="1" applyFont="1" applyAlignment="1">
      <alignment horizontal="center"/>
    </xf>
    <xf numFmtId="165" fontId="231" fillId="0" borderId="0" xfId="0" applyNumberFormat="1" applyFont="1" applyAlignment="1">
      <alignment horizontal="center"/>
    </xf>
    <xf numFmtId="171" fontId="231" fillId="0" borderId="0" xfId="0" applyNumberFormat="1" applyFont="1" applyAlignment="1">
      <alignment horizontal="center"/>
    </xf>
    <xf numFmtId="1" fontId="230" fillId="0" borderId="0" xfId="0" applyNumberFormat="1" applyFont="1" applyAlignment="1">
      <alignment horizontal="center"/>
    </xf>
    <xf numFmtId="165" fontId="230" fillId="0" borderId="0" xfId="0" applyNumberFormat="1" applyFont="1" applyAlignment="1">
      <alignment horizontal="center"/>
    </xf>
    <xf numFmtId="1" fontId="229" fillId="0" borderId="0" xfId="0" applyNumberFormat="1" applyFont="1" applyAlignment="1">
      <alignment horizontal="center"/>
    </xf>
    <xf numFmtId="165" fontId="229" fillId="0" borderId="0" xfId="0" applyNumberFormat="1" applyFont="1" applyAlignment="1">
      <alignment horizontal="center"/>
    </xf>
    <xf numFmtId="1" fontId="228" fillId="0" borderId="0" xfId="0" applyNumberFormat="1" applyFont="1" applyAlignment="1">
      <alignment horizontal="center"/>
    </xf>
    <xf numFmtId="165" fontId="228" fillId="0" borderId="0" xfId="0" applyNumberFormat="1" applyFont="1" applyAlignment="1">
      <alignment horizontal="center"/>
    </xf>
    <xf numFmtId="171" fontId="228" fillId="0" borderId="0" xfId="0" applyNumberFormat="1" applyFont="1" applyAlignment="1">
      <alignment horizontal="center"/>
    </xf>
    <xf numFmtId="1" fontId="227" fillId="0" borderId="0" xfId="0" applyNumberFormat="1" applyFont="1" applyAlignment="1">
      <alignment horizontal="center"/>
    </xf>
    <xf numFmtId="165" fontId="227" fillId="0" borderId="0" xfId="0" applyNumberFormat="1" applyFont="1" applyAlignment="1">
      <alignment horizontal="center"/>
    </xf>
    <xf numFmtId="171" fontId="227" fillId="0" borderId="0" xfId="0" applyNumberFormat="1" applyFont="1" applyAlignment="1">
      <alignment horizontal="center"/>
    </xf>
    <xf numFmtId="1" fontId="226" fillId="0" borderId="0" xfId="0" applyNumberFormat="1" applyFont="1" applyAlignment="1">
      <alignment horizontal="center"/>
    </xf>
    <xf numFmtId="165" fontId="226" fillId="0" borderId="0" xfId="0" applyNumberFormat="1" applyFont="1" applyAlignment="1">
      <alignment horizontal="center"/>
    </xf>
    <xf numFmtId="171" fontId="226" fillId="0" borderId="0" xfId="0" applyNumberFormat="1" applyFont="1" applyAlignment="1">
      <alignment horizontal="center"/>
    </xf>
    <xf numFmtId="1" fontId="225" fillId="0" borderId="0" xfId="0" applyNumberFormat="1" applyFont="1" applyAlignment="1">
      <alignment horizontal="center"/>
    </xf>
    <xf numFmtId="165" fontId="225" fillId="0" borderId="0" xfId="0" applyNumberFormat="1" applyFont="1" applyAlignment="1">
      <alignment horizontal="center"/>
    </xf>
    <xf numFmtId="171" fontId="225" fillId="0" borderId="0" xfId="0" applyNumberFormat="1" applyFont="1" applyAlignment="1">
      <alignment horizontal="center"/>
    </xf>
    <xf numFmtId="1" fontId="224" fillId="0" borderId="0" xfId="0" applyNumberFormat="1" applyFont="1" applyAlignment="1">
      <alignment horizontal="center"/>
    </xf>
    <xf numFmtId="165" fontId="224" fillId="0" borderId="0" xfId="0" applyNumberFormat="1" applyFont="1" applyAlignment="1">
      <alignment horizontal="center"/>
    </xf>
    <xf numFmtId="171" fontId="224" fillId="0" borderId="0" xfId="0" applyNumberFormat="1" applyFont="1" applyAlignment="1">
      <alignment horizontal="center"/>
    </xf>
    <xf numFmtId="1" fontId="223" fillId="0" borderId="0" xfId="0" applyNumberFormat="1" applyFont="1" applyAlignment="1">
      <alignment horizontal="center"/>
    </xf>
    <xf numFmtId="165" fontId="223" fillId="0" borderId="0" xfId="0" applyNumberFormat="1" applyFont="1" applyAlignment="1">
      <alignment horizontal="center"/>
    </xf>
    <xf numFmtId="1" fontId="222" fillId="0" borderId="0" xfId="0" applyNumberFormat="1" applyFont="1" applyAlignment="1">
      <alignment horizontal="center"/>
    </xf>
    <xf numFmtId="165" fontId="222" fillId="0" borderId="0" xfId="0" applyNumberFormat="1" applyFont="1" applyAlignment="1">
      <alignment horizontal="center"/>
    </xf>
    <xf numFmtId="171" fontId="222" fillId="0" borderId="0" xfId="0" applyNumberFormat="1" applyFont="1" applyAlignment="1">
      <alignment horizontal="center"/>
    </xf>
    <xf numFmtId="1" fontId="221" fillId="0" borderId="0" xfId="0" applyNumberFormat="1" applyFont="1" applyAlignment="1">
      <alignment horizontal="center"/>
    </xf>
    <xf numFmtId="165" fontId="221" fillId="0" borderId="0" xfId="0" applyNumberFormat="1" applyFont="1" applyAlignment="1">
      <alignment horizontal="center"/>
    </xf>
    <xf numFmtId="171" fontId="221" fillId="0" borderId="0" xfId="0" applyNumberFormat="1" applyFont="1" applyAlignment="1">
      <alignment horizontal="center"/>
    </xf>
    <xf numFmtId="1" fontId="220" fillId="0" borderId="0" xfId="0" applyNumberFormat="1" applyFont="1" applyAlignment="1">
      <alignment horizontal="center"/>
    </xf>
    <xf numFmtId="165" fontId="220" fillId="0" borderId="0" xfId="0" applyNumberFormat="1" applyFont="1" applyAlignment="1">
      <alignment horizontal="center"/>
    </xf>
    <xf numFmtId="171" fontId="220" fillId="0" borderId="0" xfId="0" applyNumberFormat="1" applyFont="1" applyAlignment="1">
      <alignment horizontal="center"/>
    </xf>
    <xf numFmtId="1" fontId="219" fillId="0" borderId="0" xfId="0" applyNumberFormat="1" applyFont="1" applyAlignment="1">
      <alignment horizontal="center"/>
    </xf>
    <xf numFmtId="165" fontId="219" fillId="0" borderId="0" xfId="0" applyNumberFormat="1" applyFont="1" applyAlignment="1">
      <alignment horizontal="center"/>
    </xf>
    <xf numFmtId="171" fontId="219" fillId="0" borderId="0" xfId="0" applyNumberFormat="1" applyFont="1" applyAlignment="1">
      <alignment horizontal="center"/>
    </xf>
    <xf numFmtId="1" fontId="218" fillId="0" borderId="0" xfId="0" applyNumberFormat="1" applyFont="1" applyAlignment="1">
      <alignment horizontal="center"/>
    </xf>
    <xf numFmtId="165" fontId="218" fillId="0" borderId="0" xfId="0" applyNumberFormat="1" applyFont="1" applyAlignment="1">
      <alignment horizontal="center"/>
    </xf>
    <xf numFmtId="171" fontId="218" fillId="0" borderId="0" xfId="0" applyNumberFormat="1" applyFont="1" applyAlignment="1">
      <alignment horizontal="center"/>
    </xf>
    <xf numFmtId="1" fontId="217" fillId="0" borderId="0" xfId="0" applyNumberFormat="1" applyFont="1" applyAlignment="1">
      <alignment horizontal="center"/>
    </xf>
    <xf numFmtId="165" fontId="217" fillId="0" borderId="0" xfId="0" applyNumberFormat="1" applyFont="1" applyAlignment="1">
      <alignment horizontal="center"/>
    </xf>
    <xf numFmtId="171" fontId="217" fillId="0" borderId="0" xfId="0" applyNumberFormat="1" applyFont="1" applyAlignment="1">
      <alignment horizontal="center"/>
    </xf>
    <xf numFmtId="1" fontId="216" fillId="0" borderId="0" xfId="0" applyNumberFormat="1" applyFont="1" applyAlignment="1">
      <alignment horizontal="center"/>
    </xf>
    <xf numFmtId="165" fontId="216" fillId="0" borderId="0" xfId="0" applyNumberFormat="1" applyFont="1" applyAlignment="1">
      <alignment horizontal="center"/>
    </xf>
    <xf numFmtId="1" fontId="215" fillId="0" borderId="0" xfId="0" applyNumberFormat="1" applyFont="1" applyAlignment="1">
      <alignment horizontal="center"/>
    </xf>
    <xf numFmtId="165" fontId="215" fillId="0" borderId="0" xfId="0" applyNumberFormat="1" applyFont="1" applyAlignment="1">
      <alignment horizontal="center"/>
    </xf>
    <xf numFmtId="171" fontId="215" fillId="0" borderId="0" xfId="0" applyNumberFormat="1" applyFont="1" applyAlignment="1">
      <alignment horizontal="center"/>
    </xf>
    <xf numFmtId="1" fontId="214" fillId="0" borderId="0" xfId="0" applyNumberFormat="1" applyFont="1" applyAlignment="1">
      <alignment horizontal="center"/>
    </xf>
    <xf numFmtId="165" fontId="214" fillId="0" borderId="0" xfId="0" applyNumberFormat="1" applyFont="1" applyAlignment="1">
      <alignment horizontal="center"/>
    </xf>
    <xf numFmtId="1" fontId="213" fillId="0" borderId="0" xfId="0" applyNumberFormat="1" applyFont="1" applyAlignment="1">
      <alignment horizontal="center"/>
    </xf>
    <xf numFmtId="165" fontId="213" fillId="0" borderId="0" xfId="0" applyNumberFormat="1" applyFont="1" applyAlignment="1">
      <alignment horizontal="center"/>
    </xf>
    <xf numFmtId="171" fontId="213" fillId="0" borderId="0" xfId="0" applyNumberFormat="1" applyFont="1" applyAlignment="1">
      <alignment horizontal="center"/>
    </xf>
    <xf numFmtId="1" fontId="212" fillId="0" borderId="0" xfId="0" applyNumberFormat="1" applyFont="1" applyAlignment="1">
      <alignment horizontal="center"/>
    </xf>
    <xf numFmtId="165" fontId="212" fillId="0" borderId="0" xfId="0" applyNumberFormat="1" applyFont="1" applyAlignment="1">
      <alignment horizontal="center"/>
    </xf>
    <xf numFmtId="1" fontId="211" fillId="0" borderId="0" xfId="0" applyNumberFormat="1" applyFont="1" applyAlignment="1">
      <alignment horizontal="center"/>
    </xf>
    <xf numFmtId="165" fontId="211" fillId="0" borderId="0" xfId="0" applyNumberFormat="1" applyFont="1" applyAlignment="1">
      <alignment horizontal="center"/>
    </xf>
    <xf numFmtId="171" fontId="211" fillId="0" borderId="0" xfId="0" applyNumberFormat="1" applyFont="1" applyAlignment="1">
      <alignment horizontal="center"/>
    </xf>
    <xf numFmtId="1" fontId="210" fillId="0" borderId="0" xfId="0" applyNumberFormat="1" applyFont="1" applyAlignment="1">
      <alignment horizontal="center"/>
    </xf>
    <xf numFmtId="165" fontId="210" fillId="0" borderId="0" xfId="0" applyNumberFormat="1" applyFont="1" applyAlignment="1">
      <alignment horizontal="center"/>
    </xf>
    <xf numFmtId="171" fontId="210" fillId="0" borderId="0" xfId="0" applyNumberFormat="1" applyFont="1" applyAlignment="1">
      <alignment horizontal="center"/>
    </xf>
    <xf numFmtId="1" fontId="209" fillId="0" borderId="0" xfId="0" applyNumberFormat="1" applyFont="1" applyAlignment="1">
      <alignment horizontal="center"/>
    </xf>
    <xf numFmtId="165" fontId="209" fillId="0" borderId="0" xfId="0" applyNumberFormat="1" applyFont="1" applyAlignment="1">
      <alignment horizontal="center"/>
    </xf>
    <xf numFmtId="1" fontId="208" fillId="0" borderId="0" xfId="0" applyNumberFormat="1" applyFont="1" applyAlignment="1">
      <alignment horizontal="center"/>
    </xf>
    <xf numFmtId="165" fontId="208" fillId="0" borderId="0" xfId="0" applyNumberFormat="1" applyFont="1" applyAlignment="1">
      <alignment horizontal="center"/>
    </xf>
    <xf numFmtId="1" fontId="207" fillId="0" borderId="0" xfId="0" applyNumberFormat="1" applyFont="1" applyAlignment="1">
      <alignment horizontal="center"/>
    </xf>
    <xf numFmtId="165" fontId="207" fillId="0" borderId="0" xfId="0" applyNumberFormat="1" applyFont="1" applyAlignment="1">
      <alignment horizontal="center"/>
    </xf>
    <xf numFmtId="171" fontId="207" fillId="0" borderId="0" xfId="0" applyNumberFormat="1" applyFont="1" applyAlignment="1">
      <alignment horizontal="center"/>
    </xf>
    <xf numFmtId="1" fontId="206" fillId="0" borderId="0" xfId="0" applyNumberFormat="1" applyFont="1" applyAlignment="1">
      <alignment horizontal="center"/>
    </xf>
    <xf numFmtId="165" fontId="206" fillId="0" borderId="0" xfId="0" applyNumberFormat="1" applyFont="1" applyAlignment="1">
      <alignment horizontal="center"/>
    </xf>
    <xf numFmtId="171" fontId="206" fillId="0" borderId="0" xfId="0" applyNumberFormat="1" applyFont="1" applyAlignment="1">
      <alignment horizontal="center"/>
    </xf>
    <xf numFmtId="1" fontId="205" fillId="0" borderId="0" xfId="0" applyNumberFormat="1" applyFont="1" applyAlignment="1">
      <alignment horizontal="center"/>
    </xf>
    <xf numFmtId="165" fontId="205" fillId="0" borderId="0" xfId="0" applyNumberFormat="1" applyFont="1" applyAlignment="1">
      <alignment horizontal="center"/>
    </xf>
    <xf numFmtId="171" fontId="205" fillId="0" borderId="0" xfId="0" applyNumberFormat="1" applyFont="1" applyAlignment="1">
      <alignment horizontal="center"/>
    </xf>
    <xf numFmtId="1" fontId="204" fillId="0" borderId="0" xfId="0" applyNumberFormat="1" applyFont="1" applyAlignment="1">
      <alignment horizontal="center"/>
    </xf>
    <xf numFmtId="165" fontId="204" fillId="0" borderId="0" xfId="0" applyNumberFormat="1" applyFont="1" applyAlignment="1">
      <alignment horizontal="center"/>
    </xf>
    <xf numFmtId="171" fontId="204" fillId="0" borderId="0" xfId="0" applyNumberFormat="1" applyFont="1" applyAlignment="1">
      <alignment horizontal="center"/>
    </xf>
    <xf numFmtId="1" fontId="203" fillId="0" borderId="0" xfId="0" applyNumberFormat="1" applyFont="1" applyAlignment="1">
      <alignment horizontal="center"/>
    </xf>
    <xf numFmtId="165" fontId="203" fillId="0" borderId="0" xfId="0" applyNumberFormat="1" applyFont="1" applyAlignment="1">
      <alignment horizontal="center"/>
    </xf>
    <xf numFmtId="171" fontId="203" fillId="0" borderId="0" xfId="0" applyNumberFormat="1" applyFont="1" applyAlignment="1">
      <alignment horizontal="center"/>
    </xf>
    <xf numFmtId="1" fontId="202" fillId="0" borderId="0" xfId="0" applyNumberFormat="1" applyFont="1" applyAlignment="1">
      <alignment horizontal="center"/>
    </xf>
    <xf numFmtId="165" fontId="202" fillId="0" borderId="0" xfId="0" applyNumberFormat="1" applyFont="1" applyAlignment="1">
      <alignment horizontal="center"/>
    </xf>
    <xf numFmtId="1" fontId="201" fillId="0" borderId="0" xfId="0" applyNumberFormat="1" applyFont="1" applyAlignment="1">
      <alignment horizontal="center"/>
    </xf>
    <xf numFmtId="165" fontId="201" fillId="0" borderId="0" xfId="0" applyNumberFormat="1" applyFont="1" applyAlignment="1">
      <alignment horizontal="center"/>
    </xf>
    <xf numFmtId="171" fontId="201" fillId="0" borderId="0" xfId="0" applyNumberFormat="1" applyFont="1" applyAlignment="1">
      <alignment horizontal="center"/>
    </xf>
    <xf numFmtId="1" fontId="200" fillId="0" borderId="0" xfId="0" applyNumberFormat="1" applyFont="1" applyAlignment="1">
      <alignment horizontal="center"/>
    </xf>
    <xf numFmtId="165" fontId="200" fillId="0" borderId="0" xfId="0" applyNumberFormat="1" applyFont="1" applyAlignment="1">
      <alignment horizontal="center"/>
    </xf>
    <xf numFmtId="1" fontId="199" fillId="0" borderId="0" xfId="0" applyNumberFormat="1" applyFont="1" applyAlignment="1">
      <alignment horizontal="center"/>
    </xf>
    <xf numFmtId="165" fontId="199" fillId="0" borderId="0" xfId="0" applyNumberFormat="1" applyFont="1" applyAlignment="1">
      <alignment horizontal="center"/>
    </xf>
    <xf numFmtId="171" fontId="199" fillId="0" borderId="0" xfId="0" applyNumberFormat="1" applyFont="1" applyAlignment="1">
      <alignment horizontal="center"/>
    </xf>
    <xf numFmtId="1" fontId="198" fillId="0" borderId="0" xfId="0" applyNumberFormat="1" applyFont="1" applyAlignment="1">
      <alignment horizontal="center"/>
    </xf>
    <xf numFmtId="165" fontId="198" fillId="0" borderId="0" xfId="0" applyNumberFormat="1" applyFont="1" applyAlignment="1">
      <alignment horizontal="center"/>
    </xf>
    <xf numFmtId="171" fontId="198" fillId="0" borderId="0" xfId="0" applyNumberFormat="1" applyFont="1" applyAlignment="1">
      <alignment horizontal="center"/>
    </xf>
    <xf numFmtId="1" fontId="197" fillId="0" borderId="0" xfId="0" applyNumberFormat="1" applyFont="1" applyAlignment="1">
      <alignment horizontal="center"/>
    </xf>
    <xf numFmtId="165" fontId="197" fillId="0" borderId="0" xfId="0" applyNumberFormat="1" applyFont="1" applyAlignment="1">
      <alignment horizontal="center"/>
    </xf>
    <xf numFmtId="171" fontId="197" fillId="0" borderId="0" xfId="0" applyNumberFormat="1" applyFont="1" applyAlignment="1">
      <alignment horizontal="center"/>
    </xf>
    <xf numFmtId="1" fontId="196" fillId="0" borderId="0" xfId="0" applyNumberFormat="1" applyFont="1" applyAlignment="1">
      <alignment horizontal="center"/>
    </xf>
    <xf numFmtId="165" fontId="196" fillId="0" borderId="0" xfId="0" applyNumberFormat="1" applyFont="1" applyAlignment="1">
      <alignment horizontal="center"/>
    </xf>
    <xf numFmtId="171" fontId="196" fillId="0" borderId="0" xfId="0" applyNumberFormat="1" applyFont="1" applyAlignment="1">
      <alignment horizontal="center"/>
    </xf>
    <xf numFmtId="1" fontId="195" fillId="0" borderId="0" xfId="0" applyNumberFormat="1" applyFont="1" applyAlignment="1">
      <alignment horizontal="center"/>
    </xf>
    <xf numFmtId="165" fontId="195" fillId="0" borderId="0" xfId="0" applyNumberFormat="1" applyFont="1" applyAlignment="1">
      <alignment horizontal="center"/>
    </xf>
    <xf numFmtId="171" fontId="195" fillId="0" borderId="0" xfId="0" applyNumberFormat="1" applyFont="1" applyAlignment="1">
      <alignment horizontal="center"/>
    </xf>
    <xf numFmtId="1" fontId="194" fillId="0" borderId="0" xfId="0" applyNumberFormat="1" applyFont="1" applyAlignment="1">
      <alignment horizontal="center"/>
    </xf>
    <xf numFmtId="165" fontId="194" fillId="0" borderId="0" xfId="0" applyNumberFormat="1" applyFont="1" applyAlignment="1">
      <alignment horizontal="center"/>
    </xf>
    <xf numFmtId="1" fontId="193" fillId="0" borderId="0" xfId="0" applyNumberFormat="1" applyFont="1" applyAlignment="1">
      <alignment horizontal="center"/>
    </xf>
    <xf numFmtId="165" fontId="193" fillId="0" borderId="0" xfId="0" applyNumberFormat="1" applyFont="1" applyAlignment="1">
      <alignment horizontal="center"/>
    </xf>
    <xf numFmtId="171" fontId="193" fillId="0" borderId="0" xfId="0" applyNumberFormat="1" applyFont="1" applyAlignment="1">
      <alignment horizontal="center"/>
    </xf>
    <xf numFmtId="1" fontId="192" fillId="0" borderId="0" xfId="0" applyNumberFormat="1" applyFont="1" applyAlignment="1">
      <alignment horizontal="center"/>
    </xf>
    <xf numFmtId="165" fontId="192" fillId="0" borderId="0" xfId="0" applyNumberFormat="1" applyFont="1" applyAlignment="1">
      <alignment horizontal="center"/>
    </xf>
    <xf numFmtId="171" fontId="192" fillId="0" borderId="0" xfId="0" applyNumberFormat="1" applyFont="1" applyAlignment="1">
      <alignment horizontal="center"/>
    </xf>
    <xf numFmtId="1" fontId="191" fillId="0" borderId="0" xfId="0" applyNumberFormat="1" applyFont="1" applyAlignment="1">
      <alignment horizontal="center"/>
    </xf>
    <xf numFmtId="165" fontId="191" fillId="0" borderId="0" xfId="0" applyNumberFormat="1" applyFont="1" applyAlignment="1">
      <alignment horizontal="center"/>
    </xf>
    <xf numFmtId="171" fontId="191" fillId="0" borderId="0" xfId="0" applyNumberFormat="1" applyFont="1" applyAlignment="1">
      <alignment horizontal="center"/>
    </xf>
    <xf numFmtId="1" fontId="190" fillId="0" borderId="0" xfId="0" applyNumberFormat="1" applyFont="1" applyAlignment="1">
      <alignment horizontal="center"/>
    </xf>
    <xf numFmtId="165" fontId="190" fillId="0" borderId="0" xfId="0" applyNumberFormat="1" applyFont="1" applyAlignment="1">
      <alignment horizontal="center"/>
    </xf>
    <xf numFmtId="1" fontId="189" fillId="0" borderId="0" xfId="0" applyNumberFormat="1" applyFont="1" applyAlignment="1">
      <alignment horizontal="center"/>
    </xf>
    <xf numFmtId="165" fontId="189" fillId="0" borderId="0" xfId="0" applyNumberFormat="1" applyFont="1" applyAlignment="1">
      <alignment horizontal="center"/>
    </xf>
    <xf numFmtId="1" fontId="188" fillId="0" borderId="0" xfId="0" applyNumberFormat="1" applyFont="1" applyAlignment="1">
      <alignment horizontal="center"/>
    </xf>
    <xf numFmtId="165" fontId="188" fillId="0" borderId="0" xfId="0" applyNumberFormat="1" applyFont="1" applyAlignment="1">
      <alignment horizontal="center"/>
    </xf>
    <xf numFmtId="171" fontId="188" fillId="0" borderId="0" xfId="0" applyNumberFormat="1" applyFont="1" applyAlignment="1">
      <alignment horizontal="center"/>
    </xf>
    <xf numFmtId="1" fontId="187" fillId="0" borderId="0" xfId="0" applyNumberFormat="1" applyFont="1" applyAlignment="1">
      <alignment horizontal="center"/>
    </xf>
    <xf numFmtId="165" fontId="187" fillId="0" borderId="0" xfId="0" applyNumberFormat="1" applyFont="1" applyAlignment="1">
      <alignment horizontal="center"/>
    </xf>
    <xf numFmtId="171" fontId="187" fillId="0" borderId="0" xfId="0" applyNumberFormat="1" applyFont="1" applyAlignment="1">
      <alignment horizontal="center"/>
    </xf>
    <xf numFmtId="1" fontId="186" fillId="0" borderId="0" xfId="0" applyNumberFormat="1" applyFont="1" applyAlignment="1">
      <alignment horizontal="center"/>
    </xf>
    <xf numFmtId="165" fontId="186" fillId="0" borderId="0" xfId="0" applyNumberFormat="1" applyFont="1" applyAlignment="1">
      <alignment horizontal="center"/>
    </xf>
    <xf numFmtId="171" fontId="186" fillId="0" borderId="0" xfId="0" applyNumberFormat="1" applyFont="1" applyAlignment="1">
      <alignment horizontal="center"/>
    </xf>
    <xf numFmtId="1" fontId="185" fillId="0" borderId="0" xfId="0" applyNumberFormat="1" applyFont="1" applyAlignment="1">
      <alignment horizontal="center"/>
    </xf>
    <xf numFmtId="165" fontId="185" fillId="0" borderId="0" xfId="0" applyNumberFormat="1" applyFont="1" applyAlignment="1">
      <alignment horizontal="center"/>
    </xf>
    <xf numFmtId="171" fontId="185" fillId="0" borderId="0" xfId="0" applyNumberFormat="1" applyFont="1" applyAlignment="1">
      <alignment horizontal="center"/>
    </xf>
    <xf numFmtId="1" fontId="184" fillId="0" borderId="0" xfId="0" applyNumberFormat="1" applyFont="1" applyAlignment="1">
      <alignment horizontal="center"/>
    </xf>
    <xf numFmtId="165" fontId="184" fillId="0" borderId="0" xfId="0" applyNumberFormat="1" applyFont="1" applyAlignment="1">
      <alignment horizontal="center"/>
    </xf>
    <xf numFmtId="171" fontId="184" fillId="0" borderId="0" xfId="0" applyNumberFormat="1" applyFont="1" applyAlignment="1">
      <alignment horizontal="center"/>
    </xf>
    <xf numFmtId="1" fontId="183" fillId="0" borderId="0" xfId="0" applyNumberFormat="1" applyFont="1" applyAlignment="1">
      <alignment horizontal="center"/>
    </xf>
    <xf numFmtId="165" fontId="183" fillId="0" borderId="0" xfId="0" applyNumberFormat="1" applyFont="1" applyAlignment="1">
      <alignment horizontal="center"/>
    </xf>
    <xf numFmtId="171" fontId="183" fillId="0" borderId="0" xfId="0" applyNumberFormat="1" applyFont="1" applyAlignment="1">
      <alignment horizontal="center"/>
    </xf>
    <xf numFmtId="1" fontId="182" fillId="0" borderId="0" xfId="0" applyNumberFormat="1" applyFont="1" applyAlignment="1">
      <alignment horizontal="center"/>
    </xf>
    <xf numFmtId="165" fontId="182" fillId="0" borderId="0" xfId="0" applyNumberFormat="1" applyFont="1" applyAlignment="1">
      <alignment horizontal="center"/>
    </xf>
    <xf numFmtId="171" fontId="182" fillId="0" borderId="0" xfId="0" applyNumberFormat="1" applyFont="1" applyAlignment="1">
      <alignment horizontal="center"/>
    </xf>
    <xf numFmtId="1" fontId="181" fillId="0" borderId="0" xfId="0" applyNumberFormat="1" applyFont="1" applyAlignment="1">
      <alignment horizontal="center"/>
    </xf>
    <xf numFmtId="165" fontId="181" fillId="0" borderId="0" xfId="0" applyNumberFormat="1" applyFont="1" applyAlignment="1">
      <alignment horizontal="center"/>
    </xf>
    <xf numFmtId="1" fontId="180" fillId="0" borderId="0" xfId="0" applyNumberFormat="1" applyFont="1" applyAlignment="1">
      <alignment horizontal="center"/>
    </xf>
    <xf numFmtId="165" fontId="180" fillId="0" borderId="0" xfId="0" applyNumberFormat="1" applyFont="1" applyAlignment="1">
      <alignment horizontal="center"/>
    </xf>
    <xf numFmtId="171" fontId="180" fillId="0" borderId="0" xfId="0" applyNumberFormat="1" applyFont="1" applyAlignment="1">
      <alignment horizontal="center"/>
    </xf>
    <xf numFmtId="1" fontId="179" fillId="0" borderId="0" xfId="0" applyNumberFormat="1" applyFont="1" applyAlignment="1">
      <alignment horizontal="center"/>
    </xf>
    <xf numFmtId="165" fontId="179" fillId="0" borderId="0" xfId="0" applyNumberFormat="1" applyFont="1" applyAlignment="1">
      <alignment horizontal="center"/>
    </xf>
    <xf numFmtId="171" fontId="179" fillId="0" borderId="0" xfId="0" applyNumberFormat="1" applyFont="1" applyAlignment="1">
      <alignment horizontal="center"/>
    </xf>
    <xf numFmtId="1" fontId="178" fillId="0" borderId="0" xfId="0" applyNumberFormat="1" applyFont="1" applyAlignment="1">
      <alignment horizontal="center"/>
    </xf>
    <xf numFmtId="165" fontId="178" fillId="0" borderId="0" xfId="0" applyNumberFormat="1" applyFont="1" applyAlignment="1">
      <alignment horizontal="center"/>
    </xf>
    <xf numFmtId="171" fontId="178" fillId="0" borderId="0" xfId="0" applyNumberFormat="1" applyFont="1" applyAlignment="1">
      <alignment horizontal="center"/>
    </xf>
    <xf numFmtId="1" fontId="177" fillId="0" borderId="0" xfId="0" applyNumberFormat="1" applyFont="1" applyAlignment="1">
      <alignment horizontal="center"/>
    </xf>
    <xf numFmtId="165" fontId="177" fillId="0" borderId="0" xfId="0" applyNumberFormat="1" applyFont="1" applyAlignment="1">
      <alignment horizontal="center"/>
    </xf>
    <xf numFmtId="171" fontId="177" fillId="0" borderId="0" xfId="0" applyNumberFormat="1" applyFont="1" applyAlignment="1">
      <alignment horizontal="center"/>
    </xf>
    <xf numFmtId="1" fontId="176" fillId="0" borderId="0" xfId="0" applyNumberFormat="1" applyFont="1" applyAlignment="1">
      <alignment horizontal="center"/>
    </xf>
    <xf numFmtId="165" fontId="176" fillId="0" borderId="0" xfId="0" applyNumberFormat="1" applyFont="1" applyAlignment="1">
      <alignment horizontal="center"/>
    </xf>
    <xf numFmtId="171" fontId="176" fillId="0" borderId="0" xfId="0" applyNumberFormat="1" applyFont="1" applyAlignment="1">
      <alignment horizontal="center"/>
    </xf>
    <xf numFmtId="1" fontId="175" fillId="0" borderId="0" xfId="0" applyNumberFormat="1" applyFont="1" applyAlignment="1">
      <alignment horizontal="center"/>
    </xf>
    <xf numFmtId="165" fontId="175" fillId="0" borderId="0" xfId="0" applyNumberFormat="1" applyFont="1" applyAlignment="1">
      <alignment horizontal="center"/>
    </xf>
    <xf numFmtId="171" fontId="175" fillId="0" borderId="0" xfId="0" applyNumberFormat="1" applyFont="1" applyAlignment="1">
      <alignment horizontal="center"/>
    </xf>
    <xf numFmtId="1" fontId="174" fillId="0" borderId="0" xfId="0" applyNumberFormat="1" applyFont="1" applyAlignment="1">
      <alignment horizontal="center"/>
    </xf>
    <xf numFmtId="165" fontId="174" fillId="0" borderId="0" xfId="0" applyNumberFormat="1" applyFont="1" applyAlignment="1">
      <alignment horizontal="center"/>
    </xf>
    <xf numFmtId="1" fontId="173" fillId="0" borderId="0" xfId="0" applyNumberFormat="1" applyFont="1" applyAlignment="1">
      <alignment horizontal="center"/>
    </xf>
    <xf numFmtId="165" fontId="173" fillId="0" borderId="0" xfId="0" applyNumberFormat="1" applyFont="1" applyAlignment="1">
      <alignment horizontal="center"/>
    </xf>
    <xf numFmtId="1" fontId="172" fillId="0" borderId="0" xfId="0" applyNumberFormat="1" applyFont="1" applyAlignment="1">
      <alignment horizontal="center"/>
    </xf>
    <xf numFmtId="165" fontId="172" fillId="0" borderId="0" xfId="0" applyNumberFormat="1" applyFont="1" applyAlignment="1">
      <alignment horizontal="center"/>
    </xf>
    <xf numFmtId="171" fontId="172" fillId="0" borderId="0" xfId="0" applyNumberFormat="1" applyFont="1" applyAlignment="1">
      <alignment horizontal="center"/>
    </xf>
    <xf numFmtId="1" fontId="171" fillId="0" borderId="0" xfId="0" applyNumberFormat="1" applyFont="1" applyAlignment="1">
      <alignment horizontal="center"/>
    </xf>
    <xf numFmtId="165" fontId="171" fillId="0" borderId="0" xfId="0" applyNumberFormat="1" applyFont="1" applyAlignment="1">
      <alignment horizontal="center"/>
    </xf>
    <xf numFmtId="171" fontId="171" fillId="0" borderId="0" xfId="0" applyNumberFormat="1" applyFont="1" applyAlignment="1">
      <alignment horizontal="center"/>
    </xf>
    <xf numFmtId="1" fontId="170" fillId="0" borderId="0" xfId="0" applyNumberFormat="1" applyFont="1" applyAlignment="1">
      <alignment horizontal="center"/>
    </xf>
    <xf numFmtId="165" fontId="170" fillId="0" borderId="0" xfId="0" applyNumberFormat="1" applyFont="1" applyAlignment="1">
      <alignment horizontal="center"/>
    </xf>
    <xf numFmtId="171" fontId="170" fillId="0" borderId="0" xfId="0" applyNumberFormat="1" applyFont="1" applyAlignment="1">
      <alignment horizontal="center"/>
    </xf>
    <xf numFmtId="1" fontId="169" fillId="0" borderId="0" xfId="0" applyNumberFormat="1" applyFont="1" applyAlignment="1">
      <alignment horizontal="center"/>
    </xf>
    <xf numFmtId="165" fontId="169" fillId="0" borderId="0" xfId="0" applyNumberFormat="1" applyFont="1" applyAlignment="1">
      <alignment horizontal="center"/>
    </xf>
    <xf numFmtId="171" fontId="169" fillId="0" borderId="0" xfId="0" applyNumberFormat="1" applyFont="1" applyAlignment="1">
      <alignment horizontal="center"/>
    </xf>
    <xf numFmtId="1" fontId="168" fillId="0" borderId="0" xfId="0" applyNumberFormat="1" applyFont="1" applyAlignment="1">
      <alignment horizontal="center"/>
    </xf>
    <xf numFmtId="165" fontId="168" fillId="0" borderId="0" xfId="0" applyNumberFormat="1" applyFont="1" applyAlignment="1">
      <alignment horizontal="center"/>
    </xf>
    <xf numFmtId="171" fontId="168" fillId="0" borderId="0" xfId="0" applyNumberFormat="1" applyFont="1" applyAlignment="1">
      <alignment horizontal="center"/>
    </xf>
    <xf numFmtId="1" fontId="167" fillId="0" borderId="0" xfId="0" applyNumberFormat="1" applyFont="1" applyAlignment="1">
      <alignment horizontal="center"/>
    </xf>
    <xf numFmtId="165" fontId="167" fillId="0" borderId="0" xfId="0" applyNumberFormat="1" applyFont="1" applyAlignment="1">
      <alignment horizontal="center"/>
    </xf>
    <xf numFmtId="1" fontId="166" fillId="0" borderId="0" xfId="0" applyNumberFormat="1" applyFont="1" applyAlignment="1">
      <alignment horizontal="center"/>
    </xf>
    <xf numFmtId="165" fontId="166" fillId="0" borderId="0" xfId="0" applyNumberFormat="1" applyFont="1" applyAlignment="1">
      <alignment horizontal="center"/>
    </xf>
    <xf numFmtId="171" fontId="166" fillId="0" borderId="0" xfId="0" applyNumberFormat="1" applyFont="1" applyAlignment="1">
      <alignment horizontal="center"/>
    </xf>
    <xf numFmtId="1" fontId="165" fillId="0" borderId="0" xfId="0" applyNumberFormat="1" applyFont="1" applyAlignment="1">
      <alignment horizontal="center"/>
    </xf>
    <xf numFmtId="165" fontId="165" fillId="0" borderId="0" xfId="0" applyNumberFormat="1" applyFont="1" applyAlignment="1">
      <alignment horizontal="center"/>
    </xf>
    <xf numFmtId="171" fontId="165" fillId="0" borderId="0" xfId="0" applyNumberFormat="1" applyFont="1" applyAlignment="1">
      <alignment horizontal="center"/>
    </xf>
    <xf numFmtId="1" fontId="164" fillId="0" borderId="0" xfId="0" applyNumberFormat="1" applyFont="1" applyAlignment="1">
      <alignment horizontal="center"/>
    </xf>
    <xf numFmtId="165" fontId="164" fillId="0" borderId="0" xfId="0" applyNumberFormat="1" applyFont="1" applyAlignment="1">
      <alignment horizontal="center"/>
    </xf>
    <xf numFmtId="171" fontId="164" fillId="0" borderId="0" xfId="0" applyNumberFormat="1" applyFont="1" applyAlignment="1">
      <alignment horizontal="center"/>
    </xf>
    <xf numFmtId="1" fontId="163" fillId="0" borderId="0" xfId="0" applyNumberFormat="1" applyFont="1" applyAlignment="1">
      <alignment horizontal="center"/>
    </xf>
    <xf numFmtId="165" fontId="163" fillId="0" borderId="0" xfId="0" applyNumberFormat="1" applyFont="1" applyAlignment="1">
      <alignment horizontal="center"/>
    </xf>
    <xf numFmtId="171" fontId="163" fillId="0" borderId="0" xfId="0" applyNumberFormat="1" applyFont="1" applyAlignment="1">
      <alignment horizontal="center"/>
    </xf>
    <xf numFmtId="1" fontId="162" fillId="0" borderId="0" xfId="0" applyNumberFormat="1" applyFont="1" applyAlignment="1">
      <alignment horizontal="center"/>
    </xf>
    <xf numFmtId="165" fontId="162" fillId="0" borderId="0" xfId="0" applyNumberFormat="1" applyFont="1" applyAlignment="1">
      <alignment horizontal="center"/>
    </xf>
    <xf numFmtId="171" fontId="162" fillId="0" borderId="0" xfId="0" applyNumberFormat="1" applyFont="1" applyAlignment="1">
      <alignment horizontal="center"/>
    </xf>
    <xf numFmtId="1" fontId="161" fillId="0" borderId="0" xfId="0" applyNumberFormat="1" applyFont="1" applyAlignment="1">
      <alignment horizontal="center"/>
    </xf>
    <xf numFmtId="165" fontId="161" fillId="0" borderId="0" xfId="0" applyNumberFormat="1" applyFont="1" applyAlignment="1">
      <alignment horizontal="center"/>
    </xf>
    <xf numFmtId="171" fontId="161" fillId="0" borderId="0" xfId="0" applyNumberFormat="1" applyFont="1" applyAlignment="1">
      <alignment horizontal="center"/>
    </xf>
    <xf numFmtId="1" fontId="160" fillId="0" borderId="0" xfId="0" applyNumberFormat="1" applyFont="1" applyAlignment="1">
      <alignment horizontal="center"/>
    </xf>
    <xf numFmtId="165" fontId="160" fillId="0" borderId="0" xfId="0" applyNumberFormat="1" applyFont="1" applyAlignment="1">
      <alignment horizontal="center"/>
    </xf>
    <xf numFmtId="1" fontId="159" fillId="0" borderId="0" xfId="0" applyNumberFormat="1" applyFont="1" applyAlignment="1">
      <alignment horizontal="center"/>
    </xf>
    <xf numFmtId="165" fontId="159" fillId="0" borderId="0" xfId="0" applyNumberFormat="1" applyFont="1" applyAlignment="1">
      <alignment horizontal="center"/>
    </xf>
    <xf numFmtId="171" fontId="159" fillId="0" borderId="0" xfId="0" applyNumberFormat="1" applyFont="1" applyAlignment="1">
      <alignment horizontal="center"/>
    </xf>
    <xf numFmtId="1" fontId="158" fillId="0" borderId="0" xfId="0" applyNumberFormat="1" applyFont="1" applyAlignment="1">
      <alignment horizontal="center"/>
    </xf>
    <xf numFmtId="165" fontId="158" fillId="0" borderId="0" xfId="0" applyNumberFormat="1" applyFont="1" applyAlignment="1">
      <alignment horizontal="center"/>
    </xf>
    <xf numFmtId="171" fontId="158" fillId="0" borderId="0" xfId="0" applyNumberFormat="1" applyFont="1" applyAlignment="1">
      <alignment horizontal="center"/>
    </xf>
    <xf numFmtId="1" fontId="157" fillId="0" borderId="0" xfId="0" applyNumberFormat="1" applyFont="1" applyAlignment="1">
      <alignment horizontal="center"/>
    </xf>
    <xf numFmtId="165" fontId="157" fillId="0" borderId="0" xfId="0" applyNumberFormat="1" applyFont="1" applyAlignment="1">
      <alignment horizontal="center"/>
    </xf>
    <xf numFmtId="1" fontId="156" fillId="0" borderId="0" xfId="0" applyNumberFormat="1" applyFont="1" applyAlignment="1">
      <alignment horizontal="center"/>
    </xf>
    <xf numFmtId="165" fontId="156" fillId="0" borderId="0" xfId="0" applyNumberFormat="1" applyFont="1" applyAlignment="1">
      <alignment horizontal="center"/>
    </xf>
    <xf numFmtId="171" fontId="156" fillId="0" borderId="0" xfId="0" applyNumberFormat="1" applyFont="1" applyAlignment="1">
      <alignment horizontal="center"/>
    </xf>
    <xf numFmtId="1" fontId="155" fillId="0" borderId="0" xfId="0" applyNumberFormat="1" applyFont="1" applyAlignment="1">
      <alignment horizontal="center"/>
    </xf>
    <xf numFmtId="165" fontId="155" fillId="0" borderId="0" xfId="0" applyNumberFormat="1" applyFont="1" applyAlignment="1">
      <alignment horizontal="center"/>
    </xf>
    <xf numFmtId="171" fontId="155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165" fontId="154" fillId="0" borderId="0" xfId="0" applyNumberFormat="1" applyFont="1" applyAlignment="1">
      <alignment horizontal="center"/>
    </xf>
    <xf numFmtId="171" fontId="154" fillId="0" borderId="0" xfId="0" applyNumberFormat="1" applyFont="1" applyAlignment="1">
      <alignment horizontal="center"/>
    </xf>
    <xf numFmtId="1" fontId="153" fillId="0" borderId="0" xfId="0" applyNumberFormat="1" applyFont="1" applyAlignment="1">
      <alignment horizontal="center"/>
    </xf>
    <xf numFmtId="165" fontId="153" fillId="0" borderId="0" xfId="0" applyNumberFormat="1" applyFont="1" applyAlignment="1">
      <alignment horizontal="center"/>
    </xf>
    <xf numFmtId="1" fontId="152" fillId="0" borderId="0" xfId="0" applyNumberFormat="1" applyFont="1" applyAlignment="1">
      <alignment horizontal="center"/>
    </xf>
    <xf numFmtId="165" fontId="152" fillId="0" borderId="0" xfId="0" applyNumberFormat="1" applyFont="1" applyAlignment="1">
      <alignment horizontal="center"/>
    </xf>
    <xf numFmtId="171" fontId="152" fillId="0" borderId="0" xfId="0" applyNumberFormat="1" applyFont="1" applyAlignment="1">
      <alignment horizontal="center"/>
    </xf>
    <xf numFmtId="1" fontId="151" fillId="0" borderId="0" xfId="0" applyNumberFormat="1" applyFont="1" applyAlignment="1">
      <alignment horizontal="center"/>
    </xf>
    <xf numFmtId="165" fontId="151" fillId="0" borderId="0" xfId="0" applyNumberFormat="1" applyFont="1" applyAlignment="1">
      <alignment horizontal="center"/>
    </xf>
    <xf numFmtId="171" fontId="151" fillId="0" borderId="0" xfId="0" applyNumberFormat="1" applyFont="1" applyAlignment="1">
      <alignment horizontal="center"/>
    </xf>
    <xf numFmtId="1" fontId="150" fillId="0" borderId="0" xfId="0" applyNumberFormat="1" applyFont="1" applyAlignment="1">
      <alignment horizontal="center"/>
    </xf>
    <xf numFmtId="165" fontId="150" fillId="0" borderId="0" xfId="0" applyNumberFormat="1" applyFont="1" applyAlignment="1">
      <alignment horizontal="center"/>
    </xf>
    <xf numFmtId="171" fontId="150" fillId="0" borderId="0" xfId="0" applyNumberFormat="1" applyFont="1" applyAlignment="1">
      <alignment horizontal="center"/>
    </xf>
    <xf numFmtId="1" fontId="149" fillId="0" borderId="0" xfId="0" applyNumberFormat="1" applyFont="1" applyAlignment="1">
      <alignment horizontal="center"/>
    </xf>
    <xf numFmtId="165" fontId="149" fillId="0" borderId="0" xfId="0" applyNumberFormat="1" applyFont="1" applyAlignment="1">
      <alignment horizontal="center"/>
    </xf>
    <xf numFmtId="171" fontId="149" fillId="0" borderId="0" xfId="0" applyNumberFormat="1" applyFont="1" applyAlignment="1">
      <alignment horizontal="center"/>
    </xf>
    <xf numFmtId="1" fontId="148" fillId="0" borderId="0" xfId="0" applyNumberFormat="1" applyFont="1" applyAlignment="1">
      <alignment horizontal="center"/>
    </xf>
    <xf numFmtId="165" fontId="148" fillId="0" borderId="0" xfId="0" applyNumberFormat="1" applyFont="1" applyAlignment="1">
      <alignment horizontal="center"/>
    </xf>
    <xf numFmtId="171" fontId="148" fillId="0" borderId="0" xfId="0" applyNumberFormat="1" applyFont="1" applyAlignment="1">
      <alignment horizontal="center"/>
    </xf>
    <xf numFmtId="1" fontId="147" fillId="0" borderId="0" xfId="0" applyNumberFormat="1" applyFont="1" applyAlignment="1">
      <alignment horizontal="center"/>
    </xf>
    <xf numFmtId="165" fontId="147" fillId="0" borderId="0" xfId="0" applyNumberFormat="1" applyFont="1" applyAlignment="1">
      <alignment horizontal="center"/>
    </xf>
    <xf numFmtId="171" fontId="147" fillId="0" borderId="0" xfId="0" applyNumberFormat="1" applyFont="1" applyAlignment="1">
      <alignment horizontal="center"/>
    </xf>
    <xf numFmtId="1" fontId="146" fillId="0" borderId="0" xfId="0" applyNumberFormat="1" applyFont="1" applyAlignment="1">
      <alignment horizontal="center"/>
    </xf>
    <xf numFmtId="165" fontId="146" fillId="0" borderId="0" xfId="0" applyNumberFormat="1" applyFont="1" applyAlignment="1">
      <alignment horizontal="center"/>
    </xf>
    <xf numFmtId="1" fontId="145" fillId="0" borderId="0" xfId="0" applyNumberFormat="1" applyFont="1" applyAlignment="1">
      <alignment horizontal="center"/>
    </xf>
    <xf numFmtId="165" fontId="145" fillId="0" borderId="0" xfId="0" applyNumberFormat="1" applyFont="1" applyAlignment="1">
      <alignment horizontal="center"/>
    </xf>
    <xf numFmtId="171" fontId="145" fillId="0" borderId="0" xfId="0" applyNumberFormat="1" applyFont="1" applyAlignment="1">
      <alignment horizontal="center"/>
    </xf>
    <xf numFmtId="1" fontId="144" fillId="0" borderId="0" xfId="0" applyNumberFormat="1" applyFont="1" applyAlignment="1">
      <alignment horizontal="center"/>
    </xf>
    <xf numFmtId="165" fontId="144" fillId="0" borderId="0" xfId="0" applyNumberFormat="1" applyFont="1" applyAlignment="1">
      <alignment horizontal="center"/>
    </xf>
    <xf numFmtId="171" fontId="144" fillId="0" borderId="0" xfId="0" applyNumberFormat="1" applyFont="1" applyAlignment="1">
      <alignment horizontal="center"/>
    </xf>
    <xf numFmtId="1" fontId="143" fillId="0" borderId="0" xfId="0" applyNumberFormat="1" applyFont="1" applyAlignment="1">
      <alignment horizontal="center"/>
    </xf>
    <xf numFmtId="165" fontId="143" fillId="0" borderId="0" xfId="0" applyNumberFormat="1" applyFont="1" applyAlignment="1">
      <alignment horizontal="center"/>
    </xf>
    <xf numFmtId="171" fontId="143" fillId="0" borderId="0" xfId="0" applyNumberFormat="1" applyFont="1" applyAlignment="1">
      <alignment horizontal="center"/>
    </xf>
    <xf numFmtId="1" fontId="142" fillId="0" borderId="0" xfId="0" applyNumberFormat="1" applyFont="1" applyAlignment="1">
      <alignment horizontal="center"/>
    </xf>
    <xf numFmtId="165" fontId="142" fillId="0" borderId="0" xfId="0" applyNumberFormat="1" applyFont="1" applyAlignment="1">
      <alignment horizontal="center"/>
    </xf>
    <xf numFmtId="171" fontId="142" fillId="0" borderId="0" xfId="0" applyNumberFormat="1" applyFont="1" applyAlignment="1">
      <alignment horizontal="center"/>
    </xf>
    <xf numFmtId="1" fontId="141" fillId="0" borderId="0" xfId="0" applyNumberFormat="1" applyFont="1" applyAlignment="1">
      <alignment horizontal="center"/>
    </xf>
    <xf numFmtId="165" fontId="141" fillId="0" borderId="0" xfId="0" applyNumberFormat="1" applyFont="1" applyAlignment="1">
      <alignment horizontal="center"/>
    </xf>
    <xf numFmtId="171" fontId="141" fillId="0" borderId="0" xfId="0" applyNumberFormat="1" applyFont="1" applyAlignment="1">
      <alignment horizontal="center"/>
    </xf>
    <xf numFmtId="1" fontId="140" fillId="0" borderId="0" xfId="0" applyNumberFormat="1" applyFont="1" applyAlignment="1">
      <alignment horizontal="center"/>
    </xf>
    <xf numFmtId="165" fontId="140" fillId="0" borderId="0" xfId="0" applyNumberFormat="1" applyFont="1" applyAlignment="1">
      <alignment horizontal="center"/>
    </xf>
    <xf numFmtId="171" fontId="140" fillId="0" borderId="0" xfId="0" applyNumberFormat="1" applyFont="1" applyAlignment="1">
      <alignment horizontal="center"/>
    </xf>
    <xf numFmtId="1" fontId="139" fillId="0" borderId="0" xfId="0" applyNumberFormat="1" applyFont="1" applyAlignment="1">
      <alignment horizontal="center"/>
    </xf>
    <xf numFmtId="165" fontId="139" fillId="0" borderId="0" xfId="0" applyNumberFormat="1" applyFont="1" applyAlignment="1">
      <alignment horizontal="center"/>
    </xf>
    <xf numFmtId="1" fontId="138" fillId="0" borderId="0" xfId="0" applyNumberFormat="1" applyFont="1" applyAlignment="1">
      <alignment horizontal="center"/>
    </xf>
    <xf numFmtId="165" fontId="138" fillId="0" borderId="0" xfId="0" applyNumberFormat="1" applyFont="1" applyAlignment="1">
      <alignment horizontal="center"/>
    </xf>
    <xf numFmtId="171" fontId="138" fillId="0" borderId="0" xfId="0" applyNumberFormat="1" applyFont="1" applyAlignment="1">
      <alignment horizontal="center"/>
    </xf>
    <xf numFmtId="1" fontId="137" fillId="0" borderId="0" xfId="0" applyNumberFormat="1" applyFont="1" applyAlignment="1">
      <alignment horizontal="center"/>
    </xf>
    <xf numFmtId="165" fontId="137" fillId="0" borderId="0" xfId="0" applyNumberFormat="1" applyFont="1" applyAlignment="1">
      <alignment horizontal="center"/>
    </xf>
    <xf numFmtId="1" fontId="136" fillId="0" borderId="0" xfId="0" applyNumberFormat="1" applyFont="1" applyAlignment="1">
      <alignment horizontal="center"/>
    </xf>
    <xf numFmtId="165" fontId="136" fillId="0" borderId="0" xfId="0" applyNumberFormat="1" applyFont="1" applyAlignment="1">
      <alignment horizontal="center"/>
    </xf>
    <xf numFmtId="1" fontId="135" fillId="0" borderId="0" xfId="0" applyNumberFormat="1" applyFont="1" applyAlignment="1">
      <alignment horizontal="center"/>
    </xf>
    <xf numFmtId="165" fontId="135" fillId="0" borderId="0" xfId="0" applyNumberFormat="1" applyFont="1" applyAlignment="1">
      <alignment horizontal="center"/>
    </xf>
    <xf numFmtId="171" fontId="135" fillId="0" borderId="0" xfId="0" applyNumberFormat="1" applyFont="1" applyAlignment="1">
      <alignment horizontal="center"/>
    </xf>
    <xf numFmtId="1" fontId="134" fillId="0" borderId="0" xfId="0" applyNumberFormat="1" applyFont="1" applyAlignment="1">
      <alignment horizontal="center"/>
    </xf>
    <xf numFmtId="165" fontId="134" fillId="0" borderId="0" xfId="0" applyNumberFormat="1" applyFont="1" applyAlignment="1">
      <alignment horizontal="center"/>
    </xf>
    <xf numFmtId="171" fontId="134" fillId="0" borderId="0" xfId="0" applyNumberFormat="1" applyFont="1" applyAlignment="1">
      <alignment horizontal="center"/>
    </xf>
    <xf numFmtId="1" fontId="133" fillId="0" borderId="0" xfId="0" applyNumberFormat="1" applyFont="1" applyAlignment="1">
      <alignment horizontal="center"/>
    </xf>
    <xf numFmtId="165" fontId="133" fillId="0" borderId="0" xfId="0" applyNumberFormat="1" applyFont="1" applyAlignment="1">
      <alignment horizontal="center"/>
    </xf>
    <xf numFmtId="171" fontId="133" fillId="0" borderId="0" xfId="0" applyNumberFormat="1" applyFont="1" applyAlignment="1">
      <alignment horizontal="center"/>
    </xf>
    <xf numFmtId="1" fontId="132" fillId="0" borderId="0" xfId="0" applyNumberFormat="1" applyFont="1" applyAlignment="1">
      <alignment horizontal="center"/>
    </xf>
    <xf numFmtId="165" fontId="132" fillId="0" borderId="0" xfId="0" applyNumberFormat="1" applyFont="1" applyAlignment="1">
      <alignment horizontal="center"/>
    </xf>
    <xf numFmtId="1" fontId="131" fillId="0" borderId="0" xfId="0" applyNumberFormat="1" applyFont="1" applyAlignment="1">
      <alignment horizontal="center"/>
    </xf>
    <xf numFmtId="165" fontId="131" fillId="0" borderId="0" xfId="0" applyNumberFormat="1" applyFont="1" applyAlignment="1">
      <alignment horizontal="center"/>
    </xf>
    <xf numFmtId="171" fontId="131" fillId="0" borderId="0" xfId="0" applyNumberFormat="1" applyFont="1" applyAlignment="1">
      <alignment horizontal="center"/>
    </xf>
    <xf numFmtId="1" fontId="130" fillId="0" borderId="0" xfId="0" applyNumberFormat="1" applyFont="1" applyAlignment="1">
      <alignment horizontal="center"/>
    </xf>
    <xf numFmtId="165" fontId="130" fillId="0" borderId="0" xfId="0" applyNumberFormat="1" applyFont="1" applyAlignment="1">
      <alignment horizontal="center"/>
    </xf>
    <xf numFmtId="171" fontId="130" fillId="0" borderId="0" xfId="0" applyNumberFormat="1" applyFont="1" applyAlignment="1">
      <alignment horizontal="center"/>
    </xf>
    <xf numFmtId="1" fontId="129" fillId="0" borderId="0" xfId="0" applyNumberFormat="1" applyFont="1" applyAlignment="1">
      <alignment horizontal="center"/>
    </xf>
    <xf numFmtId="165" fontId="129" fillId="0" borderId="0" xfId="0" applyNumberFormat="1" applyFont="1" applyAlignment="1">
      <alignment horizontal="center"/>
    </xf>
    <xf numFmtId="171" fontId="129" fillId="0" borderId="0" xfId="0" applyNumberFormat="1" applyFont="1" applyAlignment="1">
      <alignment horizontal="center"/>
    </xf>
    <xf numFmtId="1" fontId="128" fillId="0" borderId="0" xfId="0" applyNumberFormat="1" applyFont="1" applyAlignment="1">
      <alignment horizontal="center"/>
    </xf>
    <xf numFmtId="165" fontId="128" fillId="0" borderId="0" xfId="0" applyNumberFormat="1" applyFont="1" applyAlignment="1">
      <alignment horizontal="center"/>
    </xf>
    <xf numFmtId="171" fontId="128" fillId="0" borderId="0" xfId="0" applyNumberFormat="1" applyFont="1" applyAlignment="1">
      <alignment horizontal="center"/>
    </xf>
    <xf numFmtId="1" fontId="127" fillId="0" borderId="0" xfId="0" applyNumberFormat="1" applyFont="1" applyAlignment="1">
      <alignment horizontal="center"/>
    </xf>
    <xf numFmtId="165" fontId="127" fillId="0" borderId="0" xfId="0" applyNumberFormat="1" applyFont="1" applyAlignment="1">
      <alignment horizontal="center"/>
    </xf>
    <xf numFmtId="171" fontId="127" fillId="0" borderId="0" xfId="0" applyNumberFormat="1" applyFont="1" applyAlignment="1">
      <alignment horizontal="center"/>
    </xf>
    <xf numFmtId="1" fontId="126" fillId="0" borderId="0" xfId="0" applyNumberFormat="1" applyFont="1" applyAlignment="1">
      <alignment horizontal="center"/>
    </xf>
    <xf numFmtId="165" fontId="126" fillId="0" borderId="0" xfId="0" applyNumberFormat="1" applyFont="1" applyAlignment="1">
      <alignment horizontal="center"/>
    </xf>
    <xf numFmtId="171" fontId="126" fillId="0" borderId="0" xfId="0" applyNumberFormat="1" applyFont="1" applyAlignment="1">
      <alignment horizontal="center"/>
    </xf>
    <xf numFmtId="1" fontId="125" fillId="0" borderId="0" xfId="0" applyNumberFormat="1" applyFont="1" applyAlignment="1">
      <alignment horizontal="center"/>
    </xf>
    <xf numFmtId="165" fontId="125" fillId="0" borderId="0" xfId="0" applyNumberFormat="1" applyFont="1" applyAlignment="1">
      <alignment horizontal="center"/>
    </xf>
    <xf numFmtId="1" fontId="124" fillId="0" borderId="0" xfId="0" applyNumberFormat="1" applyFont="1" applyAlignment="1">
      <alignment horizontal="center"/>
    </xf>
    <xf numFmtId="165" fontId="124" fillId="0" borderId="0" xfId="0" applyNumberFormat="1" applyFont="1" applyAlignment="1">
      <alignment horizontal="center"/>
    </xf>
    <xf numFmtId="171" fontId="124" fillId="0" borderId="0" xfId="0" applyNumberFormat="1" applyFont="1" applyAlignment="1">
      <alignment horizontal="center"/>
    </xf>
    <xf numFmtId="1" fontId="123" fillId="0" borderId="0" xfId="0" applyNumberFormat="1" applyFont="1" applyAlignment="1">
      <alignment horizontal="center"/>
    </xf>
    <xf numFmtId="165" fontId="123" fillId="0" borderId="0" xfId="0" applyNumberFormat="1" applyFont="1" applyAlignment="1">
      <alignment horizontal="center"/>
    </xf>
    <xf numFmtId="1" fontId="122" fillId="0" borderId="0" xfId="0" applyNumberFormat="1" applyFont="1" applyAlignment="1">
      <alignment horizontal="center"/>
    </xf>
    <xf numFmtId="165" fontId="122" fillId="0" borderId="0" xfId="0" applyNumberFormat="1" applyFont="1" applyAlignment="1">
      <alignment horizontal="center"/>
    </xf>
    <xf numFmtId="171" fontId="122" fillId="0" borderId="0" xfId="0" applyNumberFormat="1" applyFont="1" applyAlignment="1">
      <alignment horizontal="center"/>
    </xf>
    <xf numFmtId="1" fontId="121" fillId="0" borderId="0" xfId="0" applyNumberFormat="1" applyFont="1" applyAlignment="1">
      <alignment horizontal="center"/>
    </xf>
    <xf numFmtId="165" fontId="121" fillId="0" borderId="0" xfId="0" applyNumberFormat="1" applyFont="1" applyAlignment="1">
      <alignment horizontal="center"/>
    </xf>
    <xf numFmtId="171" fontId="121" fillId="0" borderId="0" xfId="0" applyNumberFormat="1" applyFont="1" applyAlignment="1">
      <alignment horizontal="center"/>
    </xf>
    <xf numFmtId="1" fontId="120" fillId="0" borderId="0" xfId="0" applyNumberFormat="1" applyFont="1" applyAlignment="1">
      <alignment horizontal="center"/>
    </xf>
    <xf numFmtId="165" fontId="120" fillId="0" borderId="0" xfId="0" applyNumberFormat="1" applyFont="1" applyAlignment="1">
      <alignment horizontal="center"/>
    </xf>
    <xf numFmtId="171" fontId="120" fillId="0" borderId="0" xfId="0" applyNumberFormat="1" applyFont="1" applyAlignment="1">
      <alignment horizontal="center"/>
    </xf>
    <xf numFmtId="1" fontId="119" fillId="0" borderId="0" xfId="0" applyNumberFormat="1" applyFont="1" applyAlignment="1">
      <alignment horizontal="center"/>
    </xf>
    <xf numFmtId="165" fontId="119" fillId="0" borderId="0" xfId="0" applyNumberFormat="1" applyFont="1" applyAlignment="1">
      <alignment horizontal="center"/>
    </xf>
    <xf numFmtId="171" fontId="119" fillId="0" borderId="0" xfId="0" applyNumberFormat="1" applyFont="1" applyAlignment="1">
      <alignment horizontal="center"/>
    </xf>
    <xf numFmtId="1" fontId="118" fillId="0" borderId="0" xfId="0" applyNumberFormat="1" applyFont="1" applyAlignment="1">
      <alignment horizontal="center"/>
    </xf>
    <xf numFmtId="165" fontId="118" fillId="0" borderId="0" xfId="0" applyNumberFormat="1" applyFont="1" applyAlignment="1">
      <alignment horizontal="center"/>
    </xf>
    <xf numFmtId="1" fontId="117" fillId="0" borderId="0" xfId="0" applyNumberFormat="1" applyFont="1" applyAlignment="1">
      <alignment horizontal="center"/>
    </xf>
    <xf numFmtId="165" fontId="117" fillId="0" borderId="0" xfId="0" applyNumberFormat="1" applyFont="1" applyAlignment="1">
      <alignment horizontal="center"/>
    </xf>
    <xf numFmtId="171" fontId="117" fillId="0" borderId="0" xfId="0" applyNumberFormat="1" applyFont="1" applyAlignment="1">
      <alignment horizontal="center"/>
    </xf>
    <xf numFmtId="1" fontId="116" fillId="0" borderId="0" xfId="0" applyNumberFormat="1" applyFont="1" applyAlignment="1">
      <alignment horizontal="center"/>
    </xf>
    <xf numFmtId="165" fontId="116" fillId="0" borderId="0" xfId="0" applyNumberFormat="1" applyFont="1" applyAlignment="1">
      <alignment horizontal="center"/>
    </xf>
    <xf numFmtId="171" fontId="116" fillId="0" borderId="0" xfId="0" applyNumberFormat="1" applyFont="1" applyAlignment="1">
      <alignment horizontal="center"/>
    </xf>
    <xf numFmtId="1" fontId="115" fillId="0" borderId="0" xfId="0" applyNumberFormat="1" applyFont="1" applyAlignment="1">
      <alignment horizontal="center"/>
    </xf>
    <xf numFmtId="165" fontId="115" fillId="0" borderId="0" xfId="0" applyNumberFormat="1" applyFont="1" applyAlignment="1">
      <alignment horizontal="center"/>
    </xf>
    <xf numFmtId="171" fontId="115" fillId="0" borderId="0" xfId="0" applyNumberFormat="1" applyFont="1" applyAlignment="1">
      <alignment horizontal="center"/>
    </xf>
    <xf numFmtId="1" fontId="114" fillId="0" borderId="0" xfId="0" applyNumberFormat="1" applyFont="1" applyAlignment="1">
      <alignment horizontal="center"/>
    </xf>
    <xf numFmtId="165" fontId="114" fillId="0" borderId="0" xfId="0" applyNumberFormat="1" applyFont="1" applyAlignment="1">
      <alignment horizontal="center"/>
    </xf>
    <xf numFmtId="171" fontId="114" fillId="0" borderId="0" xfId="0" applyNumberFormat="1" applyFont="1" applyAlignment="1">
      <alignment horizontal="center"/>
    </xf>
    <xf numFmtId="1" fontId="113" fillId="0" borderId="0" xfId="0" applyNumberFormat="1" applyFont="1" applyAlignment="1">
      <alignment horizontal="center"/>
    </xf>
    <xf numFmtId="165" fontId="113" fillId="0" borderId="0" xfId="0" applyNumberFormat="1" applyFont="1" applyAlignment="1">
      <alignment horizontal="center"/>
    </xf>
    <xf numFmtId="171" fontId="113" fillId="0" borderId="0" xfId="0" applyNumberFormat="1" applyFont="1" applyAlignment="1">
      <alignment horizontal="center"/>
    </xf>
    <xf numFmtId="1" fontId="112" fillId="0" borderId="0" xfId="0" applyNumberFormat="1" applyFont="1" applyAlignment="1">
      <alignment horizontal="center"/>
    </xf>
    <xf numFmtId="165" fontId="112" fillId="0" borderId="0" xfId="0" applyNumberFormat="1" applyFont="1" applyAlignment="1">
      <alignment horizontal="center"/>
    </xf>
    <xf numFmtId="171" fontId="112" fillId="0" borderId="0" xfId="0" applyNumberFormat="1" applyFont="1" applyAlignment="1">
      <alignment horizontal="center"/>
    </xf>
    <xf numFmtId="1" fontId="111" fillId="0" borderId="0" xfId="0" applyNumberFormat="1" applyFont="1" applyAlignment="1">
      <alignment horizontal="center"/>
    </xf>
    <xf numFmtId="165" fontId="111" fillId="0" borderId="0" xfId="0" applyNumberFormat="1" applyFont="1" applyAlignment="1">
      <alignment horizontal="center"/>
    </xf>
    <xf numFmtId="1" fontId="110" fillId="0" borderId="0" xfId="0" applyNumberFormat="1" applyFont="1" applyAlignment="1">
      <alignment horizontal="center"/>
    </xf>
    <xf numFmtId="165" fontId="110" fillId="0" borderId="0" xfId="0" applyNumberFormat="1" applyFont="1" applyAlignment="1">
      <alignment horizontal="center"/>
    </xf>
    <xf numFmtId="171" fontId="110" fillId="0" borderId="0" xfId="0" applyNumberFormat="1" applyFont="1" applyAlignment="1">
      <alignment horizontal="center"/>
    </xf>
    <xf numFmtId="1" fontId="109" fillId="0" borderId="0" xfId="0" applyNumberFormat="1" applyFont="1" applyAlignment="1">
      <alignment horizontal="center"/>
    </xf>
    <xf numFmtId="165" fontId="109" fillId="0" borderId="0" xfId="0" applyNumberFormat="1" applyFont="1" applyAlignment="1">
      <alignment horizontal="center"/>
    </xf>
    <xf numFmtId="171" fontId="109" fillId="0" borderId="0" xfId="0" applyNumberFormat="1" applyFont="1" applyAlignment="1">
      <alignment horizontal="center"/>
    </xf>
    <xf numFmtId="1" fontId="108" fillId="0" borderId="0" xfId="0" applyNumberFormat="1" applyFont="1" applyAlignment="1">
      <alignment horizontal="center"/>
    </xf>
    <xf numFmtId="165" fontId="108" fillId="0" borderId="0" xfId="0" applyNumberFormat="1" applyFont="1" applyAlignment="1">
      <alignment horizontal="center"/>
    </xf>
    <xf numFmtId="171" fontId="108" fillId="0" borderId="0" xfId="0" applyNumberFormat="1" applyFont="1" applyAlignment="1">
      <alignment horizontal="center"/>
    </xf>
    <xf numFmtId="1" fontId="107" fillId="0" borderId="0" xfId="0" applyNumberFormat="1" applyFont="1" applyAlignment="1">
      <alignment horizontal="center"/>
    </xf>
    <xf numFmtId="165" fontId="107" fillId="0" borderId="0" xfId="0" applyNumberFormat="1" applyFont="1" applyAlignment="1">
      <alignment horizontal="center"/>
    </xf>
    <xf numFmtId="1" fontId="106" fillId="0" borderId="0" xfId="0" applyNumberFormat="1" applyFont="1" applyAlignment="1">
      <alignment horizontal="center"/>
    </xf>
    <xf numFmtId="165" fontId="106" fillId="0" borderId="0" xfId="0" applyNumberFormat="1" applyFont="1" applyAlignment="1">
      <alignment horizontal="center"/>
    </xf>
    <xf numFmtId="171" fontId="106" fillId="0" borderId="0" xfId="0" applyNumberFormat="1" applyFont="1" applyAlignment="1">
      <alignment horizontal="center"/>
    </xf>
    <xf numFmtId="1" fontId="105" fillId="0" borderId="0" xfId="0" applyNumberFormat="1" applyFont="1" applyAlignment="1">
      <alignment horizontal="center"/>
    </xf>
    <xf numFmtId="165" fontId="105" fillId="0" borderId="0" xfId="0" applyNumberFormat="1" applyFont="1" applyAlignment="1">
      <alignment horizontal="center"/>
    </xf>
    <xf numFmtId="171" fontId="105" fillId="0" borderId="0" xfId="0" applyNumberFormat="1" applyFont="1" applyAlignment="1">
      <alignment horizontal="center"/>
    </xf>
    <xf numFmtId="1" fontId="104" fillId="0" borderId="0" xfId="0" applyNumberFormat="1" applyFont="1" applyAlignment="1">
      <alignment horizontal="center"/>
    </xf>
    <xf numFmtId="165" fontId="104" fillId="0" borderId="0" xfId="0" applyNumberFormat="1" applyFont="1" applyAlignment="1">
      <alignment horizontal="center"/>
    </xf>
    <xf numFmtId="1" fontId="103" fillId="0" borderId="0" xfId="0" applyNumberFormat="1" applyFont="1" applyAlignment="1">
      <alignment horizontal="center"/>
    </xf>
    <xf numFmtId="165" fontId="103" fillId="0" borderId="0" xfId="0" applyNumberFormat="1" applyFont="1" applyAlignment="1">
      <alignment horizontal="center"/>
    </xf>
    <xf numFmtId="171" fontId="103" fillId="0" borderId="0" xfId="0" applyNumberFormat="1" applyFont="1" applyAlignment="1">
      <alignment horizontal="center"/>
    </xf>
    <xf numFmtId="1" fontId="102" fillId="0" borderId="0" xfId="0" applyNumberFormat="1" applyFont="1" applyAlignment="1">
      <alignment horizontal="center"/>
    </xf>
    <xf numFmtId="165" fontId="102" fillId="0" borderId="0" xfId="0" applyNumberFormat="1" applyFont="1" applyAlignment="1">
      <alignment horizontal="center"/>
    </xf>
    <xf numFmtId="171" fontId="102" fillId="0" borderId="0" xfId="0" applyNumberFormat="1" applyFont="1" applyAlignment="1">
      <alignment horizontal="center"/>
    </xf>
    <xf numFmtId="1" fontId="101" fillId="0" borderId="0" xfId="0" applyNumberFormat="1" applyFont="1" applyAlignment="1">
      <alignment horizontal="center"/>
    </xf>
    <xf numFmtId="165" fontId="101" fillId="0" borderId="0" xfId="0" applyNumberFormat="1" applyFont="1" applyAlignment="1">
      <alignment horizontal="center"/>
    </xf>
    <xf numFmtId="171" fontId="101" fillId="0" borderId="0" xfId="0" applyNumberFormat="1" applyFont="1" applyAlignment="1">
      <alignment horizontal="center"/>
    </xf>
    <xf numFmtId="1" fontId="100" fillId="0" borderId="0" xfId="0" applyNumberFormat="1" applyFont="1" applyAlignment="1">
      <alignment horizontal="center"/>
    </xf>
    <xf numFmtId="165" fontId="100" fillId="0" borderId="0" xfId="0" applyNumberFormat="1" applyFont="1" applyAlignment="1">
      <alignment horizontal="center"/>
    </xf>
    <xf numFmtId="1" fontId="99" fillId="0" borderId="0" xfId="0" applyNumberFormat="1" applyFont="1" applyAlignment="1">
      <alignment horizontal="center"/>
    </xf>
    <xf numFmtId="165" fontId="99" fillId="0" borderId="0" xfId="0" applyNumberFormat="1" applyFont="1" applyAlignment="1">
      <alignment horizontal="center"/>
    </xf>
    <xf numFmtId="1" fontId="98" fillId="0" borderId="0" xfId="0" applyNumberFormat="1" applyFont="1" applyAlignment="1">
      <alignment horizontal="center"/>
    </xf>
    <xf numFmtId="165" fontId="98" fillId="0" borderId="0" xfId="0" applyNumberFormat="1" applyFont="1" applyAlignment="1">
      <alignment horizontal="center"/>
    </xf>
    <xf numFmtId="171" fontId="98" fillId="0" borderId="0" xfId="0" applyNumberFormat="1" applyFont="1" applyAlignment="1">
      <alignment horizontal="center"/>
    </xf>
    <xf numFmtId="1" fontId="97" fillId="0" borderId="0" xfId="0" applyNumberFormat="1" applyFont="1" applyAlignment="1">
      <alignment horizontal="center"/>
    </xf>
    <xf numFmtId="165" fontId="97" fillId="0" borderId="0" xfId="0" applyNumberFormat="1" applyFont="1" applyAlignment="1">
      <alignment horizontal="center"/>
    </xf>
    <xf numFmtId="1" fontId="96" fillId="0" borderId="0" xfId="0" applyNumberFormat="1" applyFont="1" applyAlignment="1">
      <alignment horizontal="center"/>
    </xf>
    <xf numFmtId="165" fontId="96" fillId="0" borderId="0" xfId="0" applyNumberFormat="1" applyFont="1" applyAlignment="1">
      <alignment horizontal="center"/>
    </xf>
    <xf numFmtId="171" fontId="96" fillId="0" borderId="0" xfId="0" applyNumberFormat="1" applyFont="1" applyAlignment="1">
      <alignment horizontal="center"/>
    </xf>
    <xf numFmtId="1" fontId="95" fillId="0" borderId="0" xfId="0" applyNumberFormat="1" applyFont="1" applyAlignment="1">
      <alignment horizontal="center"/>
    </xf>
    <xf numFmtId="165" fontId="95" fillId="0" borderId="0" xfId="0" applyNumberFormat="1" applyFont="1" applyAlignment="1">
      <alignment horizontal="center"/>
    </xf>
    <xf numFmtId="171" fontId="95" fillId="0" borderId="0" xfId="0" applyNumberFormat="1" applyFont="1" applyAlignment="1">
      <alignment horizontal="center"/>
    </xf>
    <xf numFmtId="1" fontId="94" fillId="0" borderId="0" xfId="0" applyNumberFormat="1" applyFont="1" applyAlignment="1">
      <alignment horizontal="center"/>
    </xf>
    <xf numFmtId="165" fontId="94" fillId="0" borderId="0" xfId="0" applyNumberFormat="1" applyFont="1" applyAlignment="1">
      <alignment horizontal="center"/>
    </xf>
    <xf numFmtId="171" fontId="94" fillId="0" borderId="0" xfId="0" applyNumberFormat="1" applyFont="1" applyAlignment="1">
      <alignment horizontal="center"/>
    </xf>
    <xf numFmtId="1" fontId="93" fillId="0" borderId="0" xfId="0" applyNumberFormat="1" applyFont="1" applyAlignment="1">
      <alignment horizontal="center"/>
    </xf>
    <xf numFmtId="165" fontId="93" fillId="0" borderId="0" xfId="0" applyNumberFormat="1" applyFont="1" applyAlignment="1">
      <alignment horizontal="center"/>
    </xf>
    <xf numFmtId="171" fontId="93" fillId="0" borderId="0" xfId="0" applyNumberFormat="1" applyFont="1" applyAlignment="1">
      <alignment horizontal="center"/>
    </xf>
    <xf numFmtId="1" fontId="92" fillId="0" borderId="0" xfId="0" applyNumberFormat="1" applyFont="1" applyAlignment="1">
      <alignment horizontal="center"/>
    </xf>
    <xf numFmtId="165" fontId="92" fillId="0" borderId="0" xfId="0" applyNumberFormat="1" applyFont="1" applyAlignment="1">
      <alignment horizontal="center"/>
    </xf>
    <xf numFmtId="171" fontId="92" fillId="0" borderId="0" xfId="0" applyNumberFormat="1" applyFont="1" applyAlignment="1">
      <alignment horizontal="center"/>
    </xf>
    <xf numFmtId="1" fontId="91" fillId="0" borderId="0" xfId="0" applyNumberFormat="1" applyFont="1" applyAlignment="1">
      <alignment horizontal="center"/>
    </xf>
    <xf numFmtId="165" fontId="91" fillId="0" borderId="0" xfId="0" applyNumberFormat="1" applyFont="1" applyAlignment="1">
      <alignment horizontal="center"/>
    </xf>
    <xf numFmtId="171" fontId="91" fillId="0" borderId="0" xfId="0" applyNumberFormat="1" applyFont="1" applyAlignment="1">
      <alignment horizontal="center"/>
    </xf>
    <xf numFmtId="1" fontId="90" fillId="0" borderId="0" xfId="0" applyNumberFormat="1" applyFont="1" applyAlignment="1">
      <alignment horizontal="center"/>
    </xf>
    <xf numFmtId="165" fontId="90" fillId="0" borderId="0" xfId="0" applyNumberFormat="1" applyFont="1" applyAlignment="1">
      <alignment horizontal="center"/>
    </xf>
    <xf numFmtId="1" fontId="89" fillId="0" borderId="0" xfId="0" applyNumberFormat="1" applyFont="1" applyAlignment="1">
      <alignment horizontal="center"/>
    </xf>
    <xf numFmtId="165" fontId="89" fillId="0" borderId="0" xfId="0" applyNumberFormat="1" applyFont="1" applyAlignment="1">
      <alignment horizontal="center"/>
    </xf>
    <xf numFmtId="171" fontId="89" fillId="0" borderId="0" xfId="0" applyNumberFormat="1" applyFont="1" applyAlignment="1">
      <alignment horizontal="center"/>
    </xf>
    <xf numFmtId="1" fontId="88" fillId="0" borderId="0" xfId="0" applyNumberFormat="1" applyFont="1" applyAlignment="1">
      <alignment horizontal="center"/>
    </xf>
    <xf numFmtId="165" fontId="88" fillId="0" borderId="0" xfId="0" applyNumberFormat="1" applyFont="1" applyAlignment="1">
      <alignment horizontal="center"/>
    </xf>
    <xf numFmtId="171" fontId="88" fillId="0" borderId="0" xfId="0" applyNumberFormat="1" applyFont="1" applyAlignment="1">
      <alignment horizontal="center"/>
    </xf>
    <xf numFmtId="1" fontId="87" fillId="0" borderId="0" xfId="0" applyNumberFormat="1" applyFont="1" applyAlignment="1">
      <alignment horizontal="center"/>
    </xf>
    <xf numFmtId="165" fontId="87" fillId="0" borderId="0" xfId="0" applyNumberFormat="1" applyFont="1" applyAlignment="1">
      <alignment horizontal="center"/>
    </xf>
    <xf numFmtId="171" fontId="87" fillId="0" borderId="0" xfId="0" applyNumberFormat="1" applyFont="1" applyAlignment="1">
      <alignment horizontal="center"/>
    </xf>
    <xf numFmtId="1" fontId="86" fillId="0" borderId="0" xfId="0" applyNumberFormat="1" applyFont="1" applyAlignment="1">
      <alignment horizontal="center"/>
    </xf>
    <xf numFmtId="165" fontId="86" fillId="0" borderId="0" xfId="0" applyNumberFormat="1" applyFont="1" applyAlignment="1">
      <alignment horizontal="center"/>
    </xf>
    <xf numFmtId="171" fontId="86" fillId="0" borderId="0" xfId="0" applyNumberFormat="1" applyFont="1" applyAlignment="1">
      <alignment horizontal="center"/>
    </xf>
    <xf numFmtId="1" fontId="85" fillId="0" borderId="0" xfId="0" applyNumberFormat="1" applyFont="1" applyAlignment="1">
      <alignment horizontal="center"/>
    </xf>
    <xf numFmtId="165" fontId="85" fillId="0" borderId="0" xfId="0" applyNumberFormat="1" applyFont="1" applyAlignment="1">
      <alignment horizontal="center"/>
    </xf>
    <xf numFmtId="171" fontId="85" fillId="0" borderId="0" xfId="0" applyNumberFormat="1" applyFont="1" applyAlignment="1">
      <alignment horizontal="center"/>
    </xf>
    <xf numFmtId="1" fontId="84" fillId="0" borderId="0" xfId="0" applyNumberFormat="1" applyFont="1" applyAlignment="1">
      <alignment horizontal="center"/>
    </xf>
    <xf numFmtId="165" fontId="84" fillId="0" borderId="0" xfId="0" applyNumberFormat="1" applyFont="1" applyAlignment="1">
      <alignment horizontal="center"/>
    </xf>
    <xf numFmtId="171" fontId="84" fillId="0" borderId="0" xfId="0" applyNumberFormat="1" applyFont="1" applyAlignment="1">
      <alignment horizontal="center"/>
    </xf>
    <xf numFmtId="1" fontId="83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" fontId="82" fillId="0" borderId="0" xfId="0" applyNumberFormat="1" applyFont="1" applyAlignment="1">
      <alignment horizontal="center"/>
    </xf>
    <xf numFmtId="165" fontId="82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165" fontId="81" fillId="0" borderId="0" xfId="0" applyNumberFormat="1" applyFont="1" applyAlignment="1">
      <alignment horizontal="center"/>
    </xf>
    <xf numFmtId="171" fontId="81" fillId="0" borderId="0" xfId="0" applyNumberFormat="1" applyFont="1" applyAlignment="1">
      <alignment horizontal="center"/>
    </xf>
    <xf numFmtId="1" fontId="80" fillId="0" borderId="0" xfId="0" applyNumberFormat="1" applyFont="1" applyAlignment="1">
      <alignment horizontal="center"/>
    </xf>
    <xf numFmtId="165" fontId="80" fillId="0" borderId="0" xfId="0" applyNumberFormat="1" applyFont="1" applyAlignment="1">
      <alignment horizontal="center"/>
    </xf>
    <xf numFmtId="171" fontId="80" fillId="0" borderId="0" xfId="0" applyNumberFormat="1" applyFont="1" applyAlignment="1">
      <alignment horizontal="center"/>
    </xf>
    <xf numFmtId="1" fontId="79" fillId="0" borderId="0" xfId="0" applyNumberFormat="1" applyFont="1" applyAlignment="1">
      <alignment horizontal="center"/>
    </xf>
    <xf numFmtId="165" fontId="79" fillId="0" borderId="0" xfId="0" applyNumberFormat="1" applyFont="1" applyAlignment="1">
      <alignment horizontal="center"/>
    </xf>
    <xf numFmtId="171" fontId="79" fillId="0" borderId="0" xfId="0" applyNumberFormat="1" applyFont="1" applyAlignment="1">
      <alignment horizontal="center"/>
    </xf>
    <xf numFmtId="1" fontId="78" fillId="0" borderId="0" xfId="0" applyNumberFormat="1" applyFont="1" applyAlignment="1">
      <alignment horizontal="center"/>
    </xf>
    <xf numFmtId="165" fontId="78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165" fontId="77" fillId="0" borderId="0" xfId="0" applyNumberFormat="1" applyFont="1" applyAlignment="1">
      <alignment horizontal="center"/>
    </xf>
    <xf numFmtId="1" fontId="76" fillId="0" borderId="0" xfId="0" applyNumberFormat="1" applyFont="1" applyAlignment="1">
      <alignment horizontal="center"/>
    </xf>
    <xf numFmtId="165" fontId="76" fillId="0" borderId="0" xfId="0" applyNumberFormat="1" applyFont="1" applyAlignment="1">
      <alignment horizontal="center"/>
    </xf>
    <xf numFmtId="1" fontId="75" fillId="0" borderId="0" xfId="0" applyNumberFormat="1" applyFont="1" applyAlignment="1">
      <alignment horizontal="center"/>
    </xf>
    <xf numFmtId="165" fontId="75" fillId="0" borderId="0" xfId="0" applyNumberFormat="1" applyFont="1" applyAlignment="1">
      <alignment horizontal="center"/>
    </xf>
    <xf numFmtId="1" fontId="74" fillId="0" borderId="0" xfId="0" applyNumberFormat="1" applyFont="1" applyAlignment="1">
      <alignment horizontal="center"/>
    </xf>
    <xf numFmtId="165" fontId="74" fillId="0" borderId="0" xfId="0" applyNumberFormat="1" applyFont="1" applyAlignment="1">
      <alignment horizontal="center"/>
    </xf>
    <xf numFmtId="1" fontId="73" fillId="0" borderId="0" xfId="0" applyNumberFormat="1" applyFont="1" applyAlignment="1">
      <alignment horizontal="center"/>
    </xf>
    <xf numFmtId="165" fontId="73" fillId="0" borderId="0" xfId="0" applyNumberFormat="1" applyFont="1" applyAlignment="1">
      <alignment horizontal="center"/>
    </xf>
    <xf numFmtId="1" fontId="72" fillId="0" borderId="0" xfId="0" applyNumberFormat="1" applyFont="1" applyAlignment="1">
      <alignment horizontal="center"/>
    </xf>
    <xf numFmtId="165" fontId="72" fillId="0" borderId="0" xfId="0" applyNumberFormat="1" applyFont="1" applyAlignment="1">
      <alignment horizontal="center"/>
    </xf>
    <xf numFmtId="1" fontId="71" fillId="0" borderId="0" xfId="0" applyNumberFormat="1" applyFont="1" applyAlignment="1">
      <alignment horizontal="center"/>
    </xf>
    <xf numFmtId="165" fontId="71" fillId="0" borderId="0" xfId="0" applyNumberFormat="1" applyFont="1" applyAlignment="1">
      <alignment horizontal="center"/>
    </xf>
    <xf numFmtId="1" fontId="70" fillId="0" borderId="0" xfId="0" applyNumberFormat="1" applyFont="1" applyAlignment="1">
      <alignment horizontal="center"/>
    </xf>
    <xf numFmtId="165" fontId="70" fillId="0" borderId="0" xfId="0" applyNumberFormat="1" applyFont="1" applyAlignment="1">
      <alignment horizontal="center"/>
    </xf>
    <xf numFmtId="1" fontId="69" fillId="0" borderId="0" xfId="0" applyNumberFormat="1" applyFont="1" applyAlignment="1">
      <alignment horizontal="center"/>
    </xf>
    <xf numFmtId="165" fontId="69" fillId="0" borderId="0" xfId="0" applyNumberFormat="1" applyFont="1" applyAlignment="1">
      <alignment horizontal="center"/>
    </xf>
    <xf numFmtId="1" fontId="68" fillId="0" borderId="0" xfId="0" applyNumberFormat="1" applyFont="1" applyAlignment="1">
      <alignment horizontal="center"/>
    </xf>
    <xf numFmtId="165" fontId="68" fillId="0" borderId="0" xfId="0" applyNumberFormat="1" applyFont="1" applyAlignment="1">
      <alignment horizontal="center"/>
    </xf>
    <xf numFmtId="171" fontId="68" fillId="0" borderId="0" xfId="0" applyNumberFormat="1" applyFont="1" applyAlignment="1">
      <alignment horizontal="center"/>
    </xf>
    <xf numFmtId="1" fontId="67" fillId="0" borderId="0" xfId="0" applyNumberFormat="1" applyFont="1" applyAlignment="1">
      <alignment horizontal="center"/>
    </xf>
    <xf numFmtId="165" fontId="67" fillId="0" borderId="0" xfId="0" applyNumberFormat="1" applyFont="1" applyAlignment="1">
      <alignment horizontal="center"/>
    </xf>
    <xf numFmtId="171" fontId="67" fillId="0" borderId="0" xfId="0" applyNumberFormat="1" applyFont="1" applyAlignment="1">
      <alignment horizontal="center"/>
    </xf>
    <xf numFmtId="1" fontId="66" fillId="0" borderId="10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" fontId="65" fillId="0" borderId="0" xfId="0" applyNumberFormat="1" applyFont="1" applyAlignment="1">
      <alignment horizontal="center"/>
    </xf>
    <xf numFmtId="165" fontId="65" fillId="0" borderId="0" xfId="0" applyNumberFormat="1" applyFont="1" applyAlignment="1">
      <alignment horizontal="center"/>
    </xf>
    <xf numFmtId="171" fontId="65" fillId="0" borderId="0" xfId="0" applyNumberFormat="1" applyFont="1" applyAlignment="1">
      <alignment horizontal="center"/>
    </xf>
    <xf numFmtId="1" fontId="64" fillId="0" borderId="0" xfId="0" applyNumberFormat="1" applyFont="1" applyAlignment="1">
      <alignment horizontal="center"/>
    </xf>
    <xf numFmtId="165" fontId="64" fillId="0" borderId="0" xfId="0" applyNumberFormat="1" applyFont="1" applyAlignment="1">
      <alignment horizontal="center"/>
    </xf>
    <xf numFmtId="171" fontId="64" fillId="0" borderId="0" xfId="0" applyNumberFormat="1" applyFont="1" applyAlignment="1">
      <alignment horizontal="center"/>
    </xf>
    <xf numFmtId="1" fontId="63" fillId="0" borderId="0" xfId="0" applyNumberFormat="1" applyFont="1" applyAlignment="1">
      <alignment horizontal="center"/>
    </xf>
    <xf numFmtId="165" fontId="63" fillId="0" borderId="0" xfId="0" applyNumberFormat="1" applyFont="1" applyAlignment="1">
      <alignment horizontal="center"/>
    </xf>
    <xf numFmtId="1" fontId="62" fillId="0" borderId="0" xfId="0" applyNumberFormat="1" applyFont="1" applyAlignment="1">
      <alignment horizontal="center"/>
    </xf>
    <xf numFmtId="165" fontId="62" fillId="0" borderId="0" xfId="0" applyNumberFormat="1" applyFont="1" applyAlignment="1">
      <alignment horizontal="center"/>
    </xf>
    <xf numFmtId="171" fontId="62" fillId="0" borderId="0" xfId="0" applyNumberFormat="1" applyFont="1" applyAlignment="1">
      <alignment horizontal="center"/>
    </xf>
    <xf numFmtId="1" fontId="61" fillId="0" borderId="0" xfId="0" applyNumberFormat="1" applyFont="1" applyAlignment="1">
      <alignment horizontal="center"/>
    </xf>
    <xf numFmtId="165" fontId="61" fillId="0" borderId="0" xfId="0" applyNumberFormat="1" applyFont="1" applyAlignment="1">
      <alignment horizontal="center"/>
    </xf>
    <xf numFmtId="171" fontId="61" fillId="0" borderId="0" xfId="0" applyNumberFormat="1" applyFont="1" applyAlignment="1">
      <alignment horizontal="center"/>
    </xf>
    <xf numFmtId="1" fontId="60" fillId="0" borderId="0" xfId="0" applyNumberFormat="1" applyFont="1" applyAlignment="1">
      <alignment horizontal="center"/>
    </xf>
    <xf numFmtId="165" fontId="60" fillId="0" borderId="0" xfId="0" applyNumberFormat="1" applyFont="1" applyAlignment="1">
      <alignment horizontal="center"/>
    </xf>
    <xf numFmtId="171" fontId="60" fillId="0" borderId="0" xfId="0" applyNumberFormat="1" applyFont="1" applyAlignment="1">
      <alignment horizontal="center"/>
    </xf>
    <xf numFmtId="1" fontId="59" fillId="0" borderId="0" xfId="0" applyNumberFormat="1" applyFont="1" applyAlignment="1">
      <alignment horizontal="center"/>
    </xf>
    <xf numFmtId="165" fontId="59" fillId="0" borderId="0" xfId="0" applyNumberFormat="1" applyFont="1" applyAlignment="1">
      <alignment horizontal="center"/>
    </xf>
    <xf numFmtId="171" fontId="59" fillId="0" borderId="0" xfId="0" applyNumberFormat="1" applyFont="1" applyAlignment="1">
      <alignment horizontal="center"/>
    </xf>
    <xf numFmtId="1" fontId="58" fillId="0" borderId="0" xfId="0" applyNumberFormat="1" applyFont="1" applyAlignment="1">
      <alignment horizontal="center"/>
    </xf>
    <xf numFmtId="165" fontId="58" fillId="0" borderId="0" xfId="0" applyNumberFormat="1" applyFont="1" applyAlignment="1">
      <alignment horizontal="center"/>
    </xf>
    <xf numFmtId="171" fontId="58" fillId="0" borderId="0" xfId="0" applyNumberFormat="1" applyFont="1" applyAlignment="1">
      <alignment horizontal="center"/>
    </xf>
    <xf numFmtId="1" fontId="57" fillId="0" borderId="0" xfId="0" applyNumberFormat="1" applyFont="1" applyAlignment="1">
      <alignment horizontal="center"/>
    </xf>
    <xf numFmtId="165" fontId="57" fillId="0" borderId="0" xfId="0" applyNumberFormat="1" applyFont="1" applyAlignment="1">
      <alignment horizontal="center"/>
    </xf>
    <xf numFmtId="171" fontId="57" fillId="0" borderId="0" xfId="0" applyNumberFormat="1" applyFont="1" applyAlignment="1">
      <alignment horizontal="center"/>
    </xf>
    <xf numFmtId="1" fontId="56" fillId="0" borderId="0" xfId="0" applyNumberFormat="1" applyFont="1" applyAlignment="1">
      <alignment horizontal="center"/>
    </xf>
    <xf numFmtId="165" fontId="56" fillId="0" borderId="0" xfId="0" applyNumberFormat="1" applyFont="1" applyAlignment="1">
      <alignment horizontal="center"/>
    </xf>
    <xf numFmtId="1" fontId="55" fillId="0" borderId="0" xfId="0" applyNumberFormat="1" applyFont="1" applyAlignment="1">
      <alignment horizontal="center"/>
    </xf>
    <xf numFmtId="165" fontId="55" fillId="0" borderId="0" xfId="0" applyNumberFormat="1" applyFont="1" applyAlignment="1">
      <alignment horizontal="center"/>
    </xf>
    <xf numFmtId="171" fontId="55" fillId="0" borderId="0" xfId="0" applyNumberFormat="1" applyFont="1" applyAlignment="1">
      <alignment horizontal="center"/>
    </xf>
    <xf numFmtId="1" fontId="54" fillId="0" borderId="0" xfId="0" applyNumberFormat="1" applyFont="1" applyAlignment="1">
      <alignment horizontal="center"/>
    </xf>
    <xf numFmtId="165" fontId="54" fillId="0" borderId="0" xfId="0" applyNumberFormat="1" applyFont="1" applyAlignment="1">
      <alignment horizontal="center"/>
    </xf>
    <xf numFmtId="171" fontId="54" fillId="0" borderId="0" xfId="0" applyNumberFormat="1" applyFont="1" applyAlignment="1">
      <alignment horizontal="center"/>
    </xf>
    <xf numFmtId="1" fontId="53" fillId="0" borderId="0" xfId="0" applyNumberFormat="1" applyFont="1" applyAlignment="1">
      <alignment horizontal="center"/>
    </xf>
    <xf numFmtId="165" fontId="53" fillId="0" borderId="0" xfId="0" applyNumberFormat="1" applyFont="1" applyAlignment="1">
      <alignment horizontal="center"/>
    </xf>
    <xf numFmtId="171" fontId="53" fillId="0" borderId="0" xfId="0" applyNumberFormat="1" applyFont="1" applyAlignment="1">
      <alignment horizontal="center"/>
    </xf>
    <xf numFmtId="1" fontId="52" fillId="0" borderId="0" xfId="0" applyNumberFormat="1" applyFont="1" applyAlignment="1">
      <alignment horizontal="center"/>
    </xf>
    <xf numFmtId="165" fontId="52" fillId="0" borderId="0" xfId="0" applyNumberFormat="1" applyFont="1" applyAlignment="1">
      <alignment horizontal="center"/>
    </xf>
    <xf numFmtId="171" fontId="52" fillId="0" borderId="0" xfId="0" applyNumberFormat="1" applyFont="1" applyAlignment="1">
      <alignment horizontal="center"/>
    </xf>
    <xf numFmtId="1" fontId="51" fillId="0" borderId="0" xfId="0" applyNumberFormat="1" applyFont="1" applyAlignment="1">
      <alignment horizontal="center"/>
    </xf>
    <xf numFmtId="165" fontId="51" fillId="0" borderId="0" xfId="0" applyNumberFormat="1" applyFont="1" applyAlignment="1">
      <alignment horizontal="center"/>
    </xf>
    <xf numFmtId="171" fontId="51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165" fontId="50" fillId="0" borderId="0" xfId="0" applyNumberFormat="1" applyFont="1" applyAlignment="1">
      <alignment horizontal="center"/>
    </xf>
    <xf numFmtId="171" fontId="50" fillId="0" borderId="0" xfId="0" applyNumberFormat="1" applyFont="1" applyAlignment="1">
      <alignment horizontal="center"/>
    </xf>
    <xf numFmtId="1" fontId="49" fillId="0" borderId="0" xfId="0" applyNumberFormat="1" applyFont="1" applyAlignment="1">
      <alignment horizontal="center"/>
    </xf>
    <xf numFmtId="165" fontId="49" fillId="0" borderId="0" xfId="0" applyNumberFormat="1" applyFont="1" applyAlignment="1">
      <alignment horizontal="center"/>
    </xf>
    <xf numFmtId="1" fontId="48" fillId="0" borderId="0" xfId="0" applyNumberFormat="1" applyFont="1" applyAlignment="1">
      <alignment horizontal="center"/>
    </xf>
    <xf numFmtId="165" fontId="48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165" fontId="47" fillId="0" borderId="0" xfId="0" applyNumberFormat="1" applyFont="1" applyAlignment="1">
      <alignment horizontal="center"/>
    </xf>
    <xf numFmtId="171" fontId="47" fillId="0" borderId="0" xfId="0" applyNumberFormat="1" applyFont="1" applyAlignment="1">
      <alignment horizontal="center"/>
    </xf>
    <xf numFmtId="1" fontId="46" fillId="0" borderId="0" xfId="0" applyNumberFormat="1" applyFont="1" applyAlignment="1">
      <alignment horizontal="center"/>
    </xf>
    <xf numFmtId="165" fontId="46" fillId="0" borderId="0" xfId="0" applyNumberFormat="1" applyFont="1" applyAlignment="1">
      <alignment horizontal="center"/>
    </xf>
    <xf numFmtId="171" fontId="46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65" fontId="45" fillId="0" borderId="0" xfId="0" applyNumberFormat="1" applyFont="1" applyAlignment="1">
      <alignment horizontal="center"/>
    </xf>
    <xf numFmtId="1" fontId="44" fillId="0" borderId="0" xfId="0" applyNumberFormat="1" applyFont="1" applyAlignment="1">
      <alignment horizontal="center"/>
    </xf>
    <xf numFmtId="165" fontId="44" fillId="0" borderId="0" xfId="0" applyNumberFormat="1" applyFont="1" applyAlignment="1">
      <alignment horizontal="center"/>
    </xf>
    <xf numFmtId="171" fontId="44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165" fontId="43" fillId="0" borderId="0" xfId="0" applyNumberFormat="1" applyFont="1" applyAlignment="1">
      <alignment horizontal="center"/>
    </xf>
    <xf numFmtId="171" fontId="43" fillId="0" borderId="0" xfId="0" applyNumberFormat="1" applyFont="1" applyAlignment="1">
      <alignment horizontal="center"/>
    </xf>
    <xf numFmtId="1" fontId="42" fillId="0" borderId="0" xfId="0" applyNumberFormat="1" applyFont="1" applyAlignment="1">
      <alignment horizontal="center"/>
    </xf>
    <xf numFmtId="165" fontId="42" fillId="0" borderId="0" xfId="0" applyNumberFormat="1" applyFont="1" applyAlignment="1">
      <alignment horizontal="center"/>
    </xf>
    <xf numFmtId="1" fontId="41" fillId="0" borderId="0" xfId="0" applyNumberFormat="1" applyFont="1" applyAlignment="1">
      <alignment horizontal="center"/>
    </xf>
    <xf numFmtId="165" fontId="41" fillId="0" borderId="0" xfId="0" applyNumberFormat="1" applyFont="1" applyAlignment="1">
      <alignment horizontal="center"/>
    </xf>
    <xf numFmtId="171" fontId="41" fillId="0" borderId="0" xfId="0" applyNumberFormat="1" applyFont="1" applyAlignment="1">
      <alignment horizontal="center"/>
    </xf>
    <xf numFmtId="1" fontId="40" fillId="0" borderId="0" xfId="0" applyNumberFormat="1" applyFont="1" applyAlignment="1">
      <alignment horizontal="center"/>
    </xf>
    <xf numFmtId="165" fontId="40" fillId="0" borderId="0" xfId="0" applyNumberFormat="1" applyFont="1" applyAlignment="1">
      <alignment horizontal="center"/>
    </xf>
    <xf numFmtId="171" fontId="40" fillId="0" borderId="0" xfId="0" applyNumberFormat="1" applyFont="1" applyAlignment="1">
      <alignment horizontal="center"/>
    </xf>
    <xf numFmtId="1" fontId="39" fillId="0" borderId="0" xfId="0" applyNumberFormat="1" applyFont="1" applyAlignment="1">
      <alignment horizontal="center"/>
    </xf>
    <xf numFmtId="165" fontId="39" fillId="0" borderId="0" xfId="0" applyNumberFormat="1" applyFont="1" applyAlignment="1">
      <alignment horizontal="center"/>
    </xf>
    <xf numFmtId="166" fontId="39" fillId="0" borderId="0" xfId="0" applyNumberFormat="1" applyFont="1" applyAlignment="1">
      <alignment horizontal="center"/>
    </xf>
    <xf numFmtId="171" fontId="39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165" fontId="38" fillId="0" borderId="0" xfId="0" applyNumberFormat="1" applyFont="1" applyAlignment="1">
      <alignment horizontal="center"/>
    </xf>
    <xf numFmtId="171" fontId="38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165" fontId="37" fillId="0" borderId="0" xfId="0" applyNumberFormat="1" applyFont="1" applyAlignment="1">
      <alignment horizontal="center"/>
    </xf>
    <xf numFmtId="171" fontId="37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center"/>
    </xf>
    <xf numFmtId="165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/>
    </xf>
    <xf numFmtId="1" fontId="35" fillId="0" borderId="0" xfId="0" applyNumberFormat="1" applyFont="1" applyAlignment="1">
      <alignment horizontal="center"/>
    </xf>
    <xf numFmtId="165" fontId="35" fillId="0" borderId="0" xfId="0" applyNumberFormat="1" applyFont="1" applyAlignment="1">
      <alignment horizontal="center"/>
    </xf>
    <xf numFmtId="1" fontId="34" fillId="0" borderId="0" xfId="0" applyNumberFormat="1" applyFont="1" applyAlignment="1">
      <alignment horizontal="center"/>
    </xf>
    <xf numFmtId="165" fontId="34" fillId="0" borderId="0" xfId="0" applyNumberFormat="1" applyFont="1" applyAlignment="1">
      <alignment horizontal="center"/>
    </xf>
    <xf numFmtId="171" fontId="34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165" fontId="33" fillId="0" borderId="0" xfId="0" applyNumberFormat="1" applyFont="1" applyAlignment="1">
      <alignment horizontal="center"/>
    </xf>
    <xf numFmtId="171" fontId="33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165" fontId="32" fillId="0" borderId="0" xfId="0" applyNumberFormat="1" applyFont="1" applyAlignment="1">
      <alignment horizontal="center"/>
    </xf>
    <xf numFmtId="171" fontId="32" fillId="0" borderId="0" xfId="0" applyNumberFormat="1" applyFont="1" applyAlignment="1">
      <alignment horizontal="center"/>
    </xf>
    <xf numFmtId="1" fontId="31" fillId="0" borderId="0" xfId="0" applyNumberFormat="1" applyFont="1" applyAlignment="1">
      <alignment horizontal="center"/>
    </xf>
    <xf numFmtId="165" fontId="31" fillId="0" borderId="0" xfId="0" applyNumberFormat="1" applyFont="1" applyAlignment="1">
      <alignment horizontal="center"/>
    </xf>
    <xf numFmtId="171" fontId="31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165" fontId="30" fillId="0" borderId="0" xfId="0" applyNumberFormat="1" applyFont="1" applyAlignment="1">
      <alignment horizontal="center"/>
    </xf>
    <xf numFmtId="171" fontId="30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65" fontId="29" fillId="0" borderId="0" xfId="0" applyNumberFormat="1" applyFont="1" applyAlignment="1">
      <alignment horizontal="center"/>
    </xf>
    <xf numFmtId="171" fontId="29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center"/>
    </xf>
    <xf numFmtId="171" fontId="27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171" fontId="26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/>
    </xf>
    <xf numFmtId="171" fontId="25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71" fontId="24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1" fontId="22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71" fontId="20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71" fontId="19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171" fontId="18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71" fontId="17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71" fontId="15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71" fontId="13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71" fontId="12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71" fontId="10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71" fontId="8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7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</cellXfs>
  <cellStyles count="3001">
    <cellStyle name="%20 - Vurgu1" xfId="13" builtinId="30" customBuiltin="1"/>
    <cellStyle name="%20 - Vurgu1 10" xfId="1687" xr:uid="{39E5971B-F0F9-4097-89A5-47A69CE5C553}"/>
    <cellStyle name="%20 - Vurgu1 11" xfId="1713" xr:uid="{956609E2-CBD3-444C-8E6E-DF3547E91C0C}"/>
    <cellStyle name="%20 - Vurgu1 12" xfId="1727" xr:uid="{4EA6578A-4431-4FF6-86B4-D8C8A24B6646}"/>
    <cellStyle name="%20 - Vurgu1 13" xfId="1741" xr:uid="{D4674FE8-3BC3-4807-9A7F-CE9748C53187}"/>
    <cellStyle name="%20 - Vurgu1 14" xfId="1755" xr:uid="{AABC1E8E-A1AF-4F55-97B6-EF43F87B8E0D}"/>
    <cellStyle name="%20 - Vurgu1 15" xfId="1769" xr:uid="{B778907E-B058-42BD-B657-EBE3944C657D}"/>
    <cellStyle name="%20 - Vurgu1 16" xfId="1783" xr:uid="{5F5B5E55-39C5-480B-B8B2-A3A5FF1E500F}"/>
    <cellStyle name="%20 - Vurgu1 17" xfId="1797" xr:uid="{A8992927-F49C-479E-8821-A85A68FE9B06}"/>
    <cellStyle name="%20 - Vurgu1 18" xfId="1828" xr:uid="{8B8A3C23-4F20-4BB7-A65D-1B79BB59E7AB}"/>
    <cellStyle name="%20 - Vurgu1 19" xfId="1221" xr:uid="{D77EBCF3-96F3-41D3-83A5-DBDCF94A9EA8}"/>
    <cellStyle name="%20 - Vurgu1 19 2" xfId="1866" xr:uid="{1E7F89BB-F66E-4B65-AEE6-8CAE539A358F}"/>
    <cellStyle name="%20 - Vurgu1 2" xfId="46" xr:uid="{E8606EFB-A92B-4079-97F5-1061DD1E3A08}"/>
    <cellStyle name="%20 - Vurgu1 2 2" xfId="109" xr:uid="{5C091BAA-E1A1-430E-A1A4-2A78DEE7F90E}"/>
    <cellStyle name="%20 - Vurgu1 2 2 2" xfId="265" xr:uid="{0C694EC8-60FE-42B7-B079-A85A6A6C9534}"/>
    <cellStyle name="%20 - Vurgu1 2 2 3" xfId="479" xr:uid="{88CFF22B-0F03-4F1F-9CD5-B032E4EB641E}"/>
    <cellStyle name="%20 - Vurgu1 2 2 4" xfId="690" xr:uid="{911D6FB0-9171-407D-9B18-614C94A2501A}"/>
    <cellStyle name="%20 - Vurgu1 2 2 5" xfId="895" xr:uid="{0B0968C4-CBCE-4695-AAC8-0E45AC1E0743}"/>
    <cellStyle name="%20 - Vurgu1 2 2 6" xfId="1304" xr:uid="{C6383532-65D7-4230-9452-8593D8F4B496}"/>
    <cellStyle name="%20 - Vurgu1 2 3" xfId="324" xr:uid="{367D3162-8E5E-48DA-A53C-B59285CF9429}"/>
    <cellStyle name="%20 - Vurgu1 2 4" xfId="323" xr:uid="{3462E33A-46D5-469B-A77B-9DCCABD8DC3F}"/>
    <cellStyle name="%20 - Vurgu1 2 5" xfId="377" xr:uid="{D15EC825-33D9-4C88-A1F0-0AEEBFCFE5EA}"/>
    <cellStyle name="%20 - Vurgu1 2 6" xfId="1149" xr:uid="{0D9C26DC-E2D2-4C82-B3B2-80D0D4433A80}"/>
    <cellStyle name="%20 - Vurgu1 20" xfId="1880" xr:uid="{91ED619F-CDEE-4AB9-99CA-0D8B324E3B24}"/>
    <cellStyle name="%20 - Vurgu1 21" xfId="1894" xr:uid="{AF7575F7-5647-459E-A0F5-F612FB7F6839}"/>
    <cellStyle name="%20 - Vurgu1 22" xfId="1908" xr:uid="{7B89F634-4F93-4E50-B946-4ECC54E43249}"/>
    <cellStyle name="%20 - Vurgu1 23" xfId="1922" xr:uid="{B555E0D7-D368-4FB0-87FE-CA3A57519175}"/>
    <cellStyle name="%20 - Vurgu1 24" xfId="1936" xr:uid="{6AC374EF-5EF1-43FB-B0EF-0B992C0A56A7}"/>
    <cellStyle name="%20 - Vurgu1 25" xfId="1950" xr:uid="{2378F7C6-534C-434D-88A7-110D62AA93E0}"/>
    <cellStyle name="%20 - Vurgu1 26" xfId="1964" xr:uid="{95702D96-8897-4FF1-81FC-DB8C5E78C41D}"/>
    <cellStyle name="%20 - Vurgu1 27" xfId="1978" xr:uid="{655B90A0-9B45-4A23-B7AC-9B1280635848}"/>
    <cellStyle name="%20 - Vurgu1 28" xfId="1992" xr:uid="{CAC3A0A8-7AAE-4DA2-BA36-6D87B14B0B8D}"/>
    <cellStyle name="%20 - Vurgu1 29" xfId="2033" xr:uid="{A7422B76-44D8-4025-9C4E-871666097899}"/>
    <cellStyle name="%20 - Vurgu1 3" xfId="181" xr:uid="{64D1CC82-A75E-4596-AC04-1D77B5142C26}"/>
    <cellStyle name="%20 - Vurgu1 3 2" xfId="242" xr:uid="{2A9048FB-FC4B-4BF8-B19F-C4BF46D0A931}"/>
    <cellStyle name="%20 - Vurgu1 3 2 2" xfId="2165" xr:uid="{524581DC-C372-49CC-8213-9F95E3B76203}"/>
    <cellStyle name="%20 - Vurgu1 3 3" xfId="456" xr:uid="{2FB1A0B5-D9F0-4634-AC75-E91C7F237881}"/>
    <cellStyle name="%20 - Vurgu1 3 3 2" xfId="2310" xr:uid="{8117399E-5F29-4C48-8C1F-35A79B49FA5A}"/>
    <cellStyle name="%20 - Vurgu1 3 4" xfId="667" xr:uid="{84A8FD1F-D5EF-45BA-BB72-78AD893F9F01}"/>
    <cellStyle name="%20 - Vurgu1 3 4 2" xfId="2744" xr:uid="{E97844B0-21A8-400E-BEE8-A2FFDD6FF6A1}"/>
    <cellStyle name="%20 - Vurgu1 3 5" xfId="872" xr:uid="{FC814201-C92E-4021-BA37-543B8A1028A4}"/>
    <cellStyle name="%20 - Vurgu1 3 5 2" xfId="2789" xr:uid="{F5DB10E8-9606-4530-B82B-2DCE54514815}"/>
    <cellStyle name="%20 - Vurgu1 3 6" xfId="1281" xr:uid="{5B8E732D-A66A-4243-BBA7-5923B966ED37}"/>
    <cellStyle name="%20 - Vurgu1 30" xfId="2047" xr:uid="{231F2862-0398-4A28-A334-4B951B3A440C}"/>
    <cellStyle name="%20 - Vurgu1 30 2" xfId="2258" xr:uid="{0E90DEF5-E8F7-4E3E-B746-CA00714B4A46}"/>
    <cellStyle name="%20 - Vurgu1 30 2 2" xfId="2465" xr:uid="{6C519F6D-AD06-418C-AFBC-BC48A5FCEA52}"/>
    <cellStyle name="%20 - Vurgu1 30 3" xfId="2381" xr:uid="{0046512F-0ECE-44B9-AEA1-86057618D73D}"/>
    <cellStyle name="%20 - Vurgu1 30 4" xfId="2647" xr:uid="{4AD953F1-7C28-4D77-B494-B7A392F4B0DF}"/>
    <cellStyle name="%20 - Vurgu1 30 5" xfId="2775" xr:uid="{B6D02899-C5AA-4C27-B603-2C66D930F591}"/>
    <cellStyle name="%20 - Vurgu1 30 6" xfId="2900" xr:uid="{E16AD549-3BE5-439C-AC28-29D84C5E6260}"/>
    <cellStyle name="%20 - Vurgu1 31" xfId="2131" xr:uid="{B777A6BC-4733-4AC3-95FF-B408E434CFCC}"/>
    <cellStyle name="%20 - Vurgu1 32" xfId="2101" xr:uid="{65353390-A379-4D30-80EB-EC525799FEF0}"/>
    <cellStyle name="%20 - Vurgu1 32 2" xfId="2151" xr:uid="{69FF3E76-D6E3-4DFC-A2D4-A8BFC2653169}"/>
    <cellStyle name="%20 - Vurgu1 32 2 2" xfId="2400" xr:uid="{A1E561E7-BB15-4AF9-8029-B09B5BAFBCBE}"/>
    <cellStyle name="%20 - Vurgu1 32 3" xfId="2296" xr:uid="{FD9D4E96-38F6-4A34-A2A8-B70BDCCD33EB}"/>
    <cellStyle name="%20 - Vurgu1 4" xfId="396" xr:uid="{5FF31E81-7E42-42A0-8B53-1CBC8DF3B618}"/>
    <cellStyle name="%20 - Vurgu1 4 2" xfId="977" xr:uid="{734405CB-17CA-42A5-BC07-C4D8AE4C8E16}"/>
    <cellStyle name="%20 - Vurgu1 4 2 2" xfId="2184" xr:uid="{82D7A56A-E8F4-4A9A-9F3D-DED904E0D466}"/>
    <cellStyle name="%20 - Vurgu1 4 3" xfId="1382" xr:uid="{380257FE-45F6-484B-995F-EDEAB2AB87BC}"/>
    <cellStyle name="%20 - Vurgu1 4 4" xfId="2702" xr:uid="{255A177B-13E8-4C81-BA76-718C81AAF1E0}"/>
    <cellStyle name="%20 - Vurgu1 4 5" xfId="2807" xr:uid="{8D281886-FBAB-484A-A860-F1D069DEAD70}"/>
    <cellStyle name="%20 - Vurgu1 4 6" xfId="2916" xr:uid="{08D0D2D3-47F6-4A74-92B7-51927FBCC13A}"/>
    <cellStyle name="%20 - Vurgu1 5" xfId="607" xr:uid="{67DB80FB-DB5F-494B-B597-C2B6E1AD3278}"/>
    <cellStyle name="%20 - Vurgu1 5 2" xfId="1029" xr:uid="{A0441A58-B09A-4B95-9CBB-036545CF6B4D}"/>
    <cellStyle name="%20 - Vurgu1 5 2 2" xfId="2197" xr:uid="{B9D3A34C-5313-49E4-A42F-6FFA22134670}"/>
    <cellStyle name="%20 - Vurgu1 5 3" xfId="1429" xr:uid="{ACA629B8-5EE7-4D38-AE92-198600024579}"/>
    <cellStyle name="%20 - Vurgu1 5 4" xfId="2662" xr:uid="{6C4CEAB1-7930-4B28-9EF8-C4E0ABD5492A}"/>
    <cellStyle name="%20 - Vurgu1 5 5" xfId="2820" xr:uid="{B756CC45-26EE-43A3-A872-8158995CAE56}"/>
    <cellStyle name="%20 - Vurgu1 5 6" xfId="2929" xr:uid="{B2BA5495-5A47-4376-801F-459568D08DD5}"/>
    <cellStyle name="%20 - Vurgu1 6" xfId="814" xr:uid="{88140F65-F6A2-4A1B-9D1A-A04241002176}"/>
    <cellStyle name="%20 - Vurgu1 6 2" xfId="1075" xr:uid="{F45E988B-DB74-4E34-9542-690AC83DE725}"/>
    <cellStyle name="%20 - Vurgu1 6 2 2" xfId="2210" xr:uid="{E543268E-2C3C-4A1B-8391-F4DDE64495E0}"/>
    <cellStyle name="%20 - Vurgu1 6 3" xfId="1472" xr:uid="{7A958E41-8B8B-414A-B636-AF7B12EBC23A}"/>
    <cellStyle name="%20 - Vurgu1 6 4" xfId="2753" xr:uid="{1AEC7BA1-4129-47CD-9BCB-2A13D1C9A322}"/>
    <cellStyle name="%20 - Vurgu1 6 5" xfId="2833" xr:uid="{187404D3-49F2-456D-9FA5-46E69A0D29BF}"/>
    <cellStyle name="%20 - Vurgu1 6 6" xfId="2942" xr:uid="{20D46FB3-8E77-4983-8616-D1328538C9C4}"/>
    <cellStyle name="%20 - Vurgu1 7" xfId="1120" xr:uid="{47B3093A-5AE6-4B74-A938-3CFBDA3083E2}"/>
    <cellStyle name="%20 - Vurgu1 7 2" xfId="1517" xr:uid="{3AFFC9E2-8037-4BCE-90B7-86F4E807D23E}"/>
    <cellStyle name="%20 - Vurgu1 7 2 2" xfId="2414" xr:uid="{89A6FC0F-6D75-41BC-9C83-8DB2D104DC62}"/>
    <cellStyle name="%20 - Vurgu1 7 3" xfId="2330" xr:uid="{EC348865-E19D-4EDD-8E34-12DD1682737C}"/>
    <cellStyle name="%20 - Vurgu1 7 4" xfId="2723" xr:uid="{ADE87783-4B1E-4BD0-B6C0-290FABE7B69D}"/>
    <cellStyle name="%20 - Vurgu1 7 5" xfId="2846" xr:uid="{CFD79192-D2A7-489D-A103-C410310E67C4}"/>
    <cellStyle name="%20 - Vurgu1 7 6" xfId="2955" xr:uid="{83526722-E3DE-4A76-A0ED-4F6B28F36A8B}"/>
    <cellStyle name="%20 - Vurgu1 8" xfId="1601" xr:uid="{67E62E8C-CA95-4719-8439-BD205619F18B}"/>
    <cellStyle name="%20 - Vurgu1 8 2" xfId="2229" xr:uid="{5C19B231-3ACB-422B-A122-9995DC48E240}"/>
    <cellStyle name="%20 - Vurgu1 8 2 2" xfId="2436" xr:uid="{3BED2B92-5B76-4258-A29E-76C3A10B389D}"/>
    <cellStyle name="%20 - Vurgu1 8 3" xfId="2352" xr:uid="{A9981F9B-EE26-425B-BE9A-C4DE4268A59D}"/>
    <cellStyle name="%20 - Vurgu1 8 4" xfId="2700" xr:uid="{79D052E3-F4C8-4F43-BE44-3CB9E541A42D}"/>
    <cellStyle name="%20 - Vurgu1 8 5" xfId="2868" xr:uid="{50E2EF51-F665-4F75-A09B-770E9F6B0A69}"/>
    <cellStyle name="%20 - Vurgu1 8 6" xfId="2976" xr:uid="{26B568A6-A6BC-4677-A769-664A5AC26F81}"/>
    <cellStyle name="%20 - Vurgu1 9" xfId="1643" xr:uid="{FA6C379D-A835-448B-8308-7ED1F4C5E9B5}"/>
    <cellStyle name="%20 - Vurgu1 9 2" xfId="2242" xr:uid="{DD230C7E-F515-4A09-B1BE-5C55C4DD1720}"/>
    <cellStyle name="%20 - Vurgu1 9 2 2" xfId="2449" xr:uid="{5F2E6319-C59B-4A22-9E45-40F75E25DFE2}"/>
    <cellStyle name="%20 - Vurgu1 9 3" xfId="2365" xr:uid="{D9F41829-960E-42D1-9881-F223EFD9CBB3}"/>
    <cellStyle name="%20 - Vurgu1 9 4" xfId="2757" xr:uid="{A8DE6CCC-58DB-4B44-BAD9-016F0D2BA91A}"/>
    <cellStyle name="%20 - Vurgu1 9 5" xfId="2881" xr:uid="{93D9A486-C029-4D9B-AC59-4CE1C510DB29}"/>
    <cellStyle name="%20 - Vurgu1 9 6" xfId="2989" xr:uid="{8C93796C-43FC-4967-BC4F-2154B0C34B60}"/>
    <cellStyle name="%20 - Vurgu2" xfId="15" builtinId="34" customBuiltin="1"/>
    <cellStyle name="%20 - Vurgu2 10" xfId="1691" xr:uid="{855499F9-1BD6-407B-9759-6D7F20C31084}"/>
    <cellStyle name="%20 - Vurgu2 11" xfId="1715" xr:uid="{EFE00FD8-969A-4AEB-BE1E-6CA3248BE549}"/>
    <cellStyle name="%20 - Vurgu2 12" xfId="1729" xr:uid="{5C971E9C-60A3-457A-85D1-0D3EF4668DCD}"/>
    <cellStyle name="%20 - Vurgu2 13" xfId="1743" xr:uid="{A56913BC-636F-425C-A77C-A3C48F8FDDBE}"/>
    <cellStyle name="%20 - Vurgu2 14" xfId="1757" xr:uid="{FFBF4AF2-BA2B-427D-AC5E-D0677D994152}"/>
    <cellStyle name="%20 - Vurgu2 15" xfId="1771" xr:uid="{3881C08A-0DDB-4E51-B494-2A9659D86F36}"/>
    <cellStyle name="%20 - Vurgu2 16" xfId="1785" xr:uid="{AB1791B4-1CB1-460B-B813-8D9B79CD81EA}"/>
    <cellStyle name="%20 - Vurgu2 17" xfId="1799" xr:uid="{31907372-5065-4660-9A12-72B0C372FF53}"/>
    <cellStyle name="%20 - Vurgu2 18" xfId="1832" xr:uid="{29033417-83E8-4EF4-A5BF-8BCBC7DA2467}"/>
    <cellStyle name="%20 - Vurgu2 19" xfId="1225" xr:uid="{A61F3012-57E6-49BB-8F43-172B5D5D6636}"/>
    <cellStyle name="%20 - Vurgu2 19 2" xfId="1868" xr:uid="{7E369585-E881-4D36-8BA4-69E9C57D7425}"/>
    <cellStyle name="%20 - Vurgu2 2" xfId="47" xr:uid="{B325FF0F-4F87-4496-9075-323E7994E168}"/>
    <cellStyle name="%20 - Vurgu2 2 2" xfId="110" xr:uid="{B4F1786C-6C55-432B-9602-8E370FC671A5}"/>
    <cellStyle name="%20 - Vurgu2 2 2 2" xfId="266" xr:uid="{48138377-048E-49DD-B9D1-8C31B274BC20}"/>
    <cellStyle name="%20 - Vurgu2 2 2 3" xfId="480" xr:uid="{D98D50C8-12BC-457D-A9AA-D184E7DAC141}"/>
    <cellStyle name="%20 - Vurgu2 2 2 4" xfId="691" xr:uid="{9B4406B4-74A5-484B-9166-DC0A155D1BB6}"/>
    <cellStyle name="%20 - Vurgu2 2 2 5" xfId="896" xr:uid="{DB32F674-E62D-4820-A22B-45B17B4E0525}"/>
    <cellStyle name="%20 - Vurgu2 2 2 6" xfId="1305" xr:uid="{9CDD91D8-C5B8-48F8-B15A-EB0F1EDEF714}"/>
    <cellStyle name="%20 - Vurgu2 2 3" xfId="325" xr:uid="{CA6E1333-2D2E-4D24-8DC5-02ED1F380203}"/>
    <cellStyle name="%20 - Vurgu2 2 4" xfId="435" xr:uid="{9E8FC7CC-0403-465D-B84B-D83E6B29D72D}"/>
    <cellStyle name="%20 - Vurgu2 2 5" xfId="577" xr:uid="{7FF95141-CA89-43D0-87C1-215048EB88BA}"/>
    <cellStyle name="%20 - Vurgu2 2 6" xfId="1150" xr:uid="{7AD30530-4791-47E6-8014-695D046B97DE}"/>
    <cellStyle name="%20 - Vurgu2 20" xfId="1882" xr:uid="{F328BC71-82D7-4BDC-9B6A-96AA9F8913A5}"/>
    <cellStyle name="%20 - Vurgu2 21" xfId="1896" xr:uid="{83EB6A18-0EEF-4AB8-A86F-42C7153B4460}"/>
    <cellStyle name="%20 - Vurgu2 22" xfId="1910" xr:uid="{923A4B5F-C54F-4D60-A235-C550DDF50828}"/>
    <cellStyle name="%20 - Vurgu2 23" xfId="1924" xr:uid="{2B0F5611-E5CD-4307-821B-5878B8B7CEDD}"/>
    <cellStyle name="%20 - Vurgu2 24" xfId="1938" xr:uid="{C1695E4D-8A48-435C-B47F-484468E640CE}"/>
    <cellStyle name="%20 - Vurgu2 25" xfId="1952" xr:uid="{F0BC7FD1-2AEF-47B5-BFA9-AE1956A5CEE3}"/>
    <cellStyle name="%20 - Vurgu2 26" xfId="1966" xr:uid="{8FD0AF99-0C6C-49A8-9131-AAEF244B3C99}"/>
    <cellStyle name="%20 - Vurgu2 27" xfId="1980" xr:uid="{2DEECCCC-820B-4EEB-87F9-EE629C2808E4}"/>
    <cellStyle name="%20 - Vurgu2 28" xfId="1994" xr:uid="{68F8AC8D-FFD1-4075-AE4A-5E74967354A5}"/>
    <cellStyle name="%20 - Vurgu2 29" xfId="2035" xr:uid="{2F55FDDB-30B6-45D1-AE3B-153FD592235B}"/>
    <cellStyle name="%20 - Vurgu2 3" xfId="185" xr:uid="{53BE889B-D266-4C47-BA72-E22962E309F5}"/>
    <cellStyle name="%20 - Vurgu2 3 2" xfId="246" xr:uid="{4EC996CF-DA68-4BE7-AA76-EFD94B9A9B32}"/>
    <cellStyle name="%20 - Vurgu2 3 2 2" xfId="2167" xr:uid="{9EA21A07-CB88-43E4-B8C3-32976A0955EA}"/>
    <cellStyle name="%20 - Vurgu2 3 3" xfId="460" xr:uid="{B6E1ACFE-7110-4838-9E0B-E9068F1509F7}"/>
    <cellStyle name="%20 - Vurgu2 3 3 2" xfId="2312" xr:uid="{887FEEE4-E842-46C0-AA78-20C5F5D42F8A}"/>
    <cellStyle name="%20 - Vurgu2 3 4" xfId="671" xr:uid="{7D0EA7C7-AB6B-4D5E-9924-CA66CBA302A3}"/>
    <cellStyle name="%20 - Vurgu2 3 4 2" xfId="2644" xr:uid="{B2F109E3-1C98-4048-B6B4-0E99E54B15CA}"/>
    <cellStyle name="%20 - Vurgu2 3 5" xfId="876" xr:uid="{4FA27604-102D-4200-A8AA-E7B23DDEF7D6}"/>
    <cellStyle name="%20 - Vurgu2 3 5 2" xfId="2791" xr:uid="{AA1C2CEC-9587-4EFC-B1DD-31B00F5D298B}"/>
    <cellStyle name="%20 - Vurgu2 3 6" xfId="1285" xr:uid="{5E417A40-64E7-4D8A-B904-725FC0429722}"/>
    <cellStyle name="%20 - Vurgu2 30" xfId="2049" xr:uid="{385E9D39-F642-4C28-BA61-E5BED97FCF5E}"/>
    <cellStyle name="%20 - Vurgu2 30 2" xfId="2260" xr:uid="{329B989E-7781-41EF-BA77-BFC67743AB3A}"/>
    <cellStyle name="%20 - Vurgu2 30 2 2" xfId="2467" xr:uid="{D07D1CE7-E47E-4AFA-88B7-9E5960562510}"/>
    <cellStyle name="%20 - Vurgu2 30 3" xfId="2383" xr:uid="{A096A5DA-3589-496A-A933-1A6A6A10FEB1}"/>
    <cellStyle name="%20 - Vurgu2 30 4" xfId="2672" xr:uid="{4290C765-CA3C-42F5-BFF6-6BB39FBAA58C}"/>
    <cellStyle name="%20 - Vurgu2 30 5" xfId="2777" xr:uid="{DBA25B4A-8D38-46F2-B8D2-85D1DD874525}"/>
    <cellStyle name="%20 - Vurgu2 30 6" xfId="2902" xr:uid="{6199900A-CA12-4EE3-A840-F51F11CA72AF}"/>
    <cellStyle name="%20 - Vurgu2 31" xfId="2133" xr:uid="{95C21CB0-5A25-4649-B647-9B50F847EC45}"/>
    <cellStyle name="%20 - Vurgu2 32" xfId="2105" xr:uid="{58A55842-A220-412D-9EED-57E0191A5D2E}"/>
    <cellStyle name="%20 - Vurgu2 32 2" xfId="2153" xr:uid="{BE65C22E-7F6C-4B14-978C-3EEE96760FE6}"/>
    <cellStyle name="%20 - Vurgu2 32 2 2" xfId="2402" xr:uid="{3A8E7FCC-A43A-4185-92D1-98F260FA9C7D}"/>
    <cellStyle name="%20 - Vurgu2 32 3" xfId="2298" xr:uid="{107917F8-8B14-4EBD-93B3-A482EC62AF58}"/>
    <cellStyle name="%20 - Vurgu2 4" xfId="400" xr:uid="{4DC33685-3862-4596-A59A-6C4DDB001DCC}"/>
    <cellStyle name="%20 - Vurgu2 4 2" xfId="981" xr:uid="{008960F0-ED4F-428B-8DED-E9337D5BFF6D}"/>
    <cellStyle name="%20 - Vurgu2 4 2 2" xfId="2186" xr:uid="{8E1715E9-05F0-4094-A66E-11D8CBEE60F2}"/>
    <cellStyle name="%20 - Vurgu2 4 3" xfId="1386" xr:uid="{385DF162-9117-4259-880E-5B5FA05613BA}"/>
    <cellStyle name="%20 - Vurgu2 4 4" xfId="2692" xr:uid="{78CB5DCE-E11A-46CA-A4B8-7C4ED3864A06}"/>
    <cellStyle name="%20 - Vurgu2 4 5" xfId="2809" xr:uid="{9F2717C3-189F-49C7-807A-E4A4B8B841D6}"/>
    <cellStyle name="%20 - Vurgu2 4 6" xfId="2918" xr:uid="{04410FE1-E8EE-41C6-9369-A71EA1B46127}"/>
    <cellStyle name="%20 - Vurgu2 5" xfId="611" xr:uid="{BF396CC3-612B-4E7F-B6EF-1CDFC56ACE2B}"/>
    <cellStyle name="%20 - Vurgu2 5 2" xfId="1033" xr:uid="{E30C29A7-EA78-4050-BCA8-D1089B133E4C}"/>
    <cellStyle name="%20 - Vurgu2 5 2 2" xfId="2199" xr:uid="{230C85BF-DB19-43B4-81BD-43D6BC5DF898}"/>
    <cellStyle name="%20 - Vurgu2 5 3" xfId="1433" xr:uid="{7CD0AF82-4D34-4FB7-8F8C-AFAFFF0601E6}"/>
    <cellStyle name="%20 - Vurgu2 5 4" xfId="2748" xr:uid="{B28ABAC7-088D-4E86-80B9-40682E18CDCE}"/>
    <cellStyle name="%20 - Vurgu2 5 5" xfId="2822" xr:uid="{AC1DAA46-1E33-4B57-AADA-A9F8BE04BBD6}"/>
    <cellStyle name="%20 - Vurgu2 5 6" xfId="2931" xr:uid="{4DF21A64-C5B3-48AE-9A2B-69546EA827B5}"/>
    <cellStyle name="%20 - Vurgu2 6" xfId="818" xr:uid="{2A006701-4D24-4755-B6CA-5B489CC66891}"/>
    <cellStyle name="%20 - Vurgu2 6 2" xfId="1079" xr:uid="{10CB62B9-E3FF-4572-8CFD-1A90E5279C14}"/>
    <cellStyle name="%20 - Vurgu2 6 2 2" xfId="2212" xr:uid="{12F1B819-228F-436F-8FB9-AD4807EFBE91}"/>
    <cellStyle name="%20 - Vurgu2 6 3" xfId="1476" xr:uid="{6C3A16A0-3D4E-4B8C-9383-BF3C9981131B}"/>
    <cellStyle name="%20 - Vurgu2 6 4" xfId="2714" xr:uid="{11E55C9D-85CA-47FD-8CEB-C1935FA5EDC5}"/>
    <cellStyle name="%20 - Vurgu2 6 5" xfId="2835" xr:uid="{B328AB41-851F-47BB-ACBD-F63AC538BDAB}"/>
    <cellStyle name="%20 - Vurgu2 6 6" xfId="2944" xr:uid="{B76817AD-2AC3-47D8-AE50-646B3EB4EA3A}"/>
    <cellStyle name="%20 - Vurgu2 7" xfId="1124" xr:uid="{C7EAC62A-6CA3-45B6-963D-29E45BC198C9}"/>
    <cellStyle name="%20 - Vurgu2 7 2" xfId="1521" xr:uid="{2D786134-5DE3-4734-8ED6-49D8495935FA}"/>
    <cellStyle name="%20 - Vurgu2 7 2 2" xfId="2416" xr:uid="{DC61062B-8777-48E9-8037-AEAB9EEDAE5C}"/>
    <cellStyle name="%20 - Vurgu2 7 3" xfId="2332" xr:uid="{9EDFBF9C-63A1-4EDE-AB57-75130FB8E32F}"/>
    <cellStyle name="%20 - Vurgu2 7 4" xfId="2715" xr:uid="{B0D21242-4383-48D7-BBE1-C8BB32C3AD66}"/>
    <cellStyle name="%20 - Vurgu2 7 5" xfId="2848" xr:uid="{6F237531-AFEA-40EB-BCAD-A203FBD809C3}"/>
    <cellStyle name="%20 - Vurgu2 7 6" xfId="2957" xr:uid="{2A8D8642-D0EB-42A9-B937-A5613C3434DE}"/>
    <cellStyle name="%20 - Vurgu2 8" xfId="1605" xr:uid="{58940683-6974-4481-B562-97D9F28A813F}"/>
    <cellStyle name="%20 - Vurgu2 8 2" xfId="2231" xr:uid="{F68EB7A9-7C69-4B8A-B979-81C527183E7B}"/>
    <cellStyle name="%20 - Vurgu2 8 2 2" xfId="2438" xr:uid="{78C05D14-D6A8-4F0F-AF41-F0B75A4CBE85}"/>
    <cellStyle name="%20 - Vurgu2 8 3" xfId="2354" xr:uid="{FB1FC245-D6CB-4B80-BE2D-3999E91652AA}"/>
    <cellStyle name="%20 - Vurgu2 8 4" xfId="2684" xr:uid="{6EC878EF-2DC9-4772-9D40-05755ABA6557}"/>
    <cellStyle name="%20 - Vurgu2 8 5" xfId="2870" xr:uid="{B218BDCF-78BA-436D-8461-9D8A648A1334}"/>
    <cellStyle name="%20 - Vurgu2 8 6" xfId="2978" xr:uid="{43B338F5-83E6-4C7A-AABA-9919A38F15C4}"/>
    <cellStyle name="%20 - Vurgu2 9" xfId="1647" xr:uid="{43EFF8AE-9F8F-4779-9F25-3AEA9937B9F9}"/>
    <cellStyle name="%20 - Vurgu2 9 2" xfId="2244" xr:uid="{AD2D2FB2-A377-4D1C-BC35-DF5DAF10D4AD}"/>
    <cellStyle name="%20 - Vurgu2 9 2 2" xfId="2451" xr:uid="{9E4234A6-D013-4581-88DF-AE9E5E055E4C}"/>
    <cellStyle name="%20 - Vurgu2 9 3" xfId="2367" xr:uid="{3B2EC32A-CD9C-4EC4-9B95-0BD984DC8F61}"/>
    <cellStyle name="%20 - Vurgu2 9 4" xfId="2759" xr:uid="{D9CA18F1-BF61-4213-81F2-D4C027973288}"/>
    <cellStyle name="%20 - Vurgu2 9 5" xfId="2883" xr:uid="{10455295-F36F-4E31-A346-8DA6CCB658E3}"/>
    <cellStyle name="%20 - Vurgu2 9 6" xfId="2991" xr:uid="{13F4B75A-0182-4B56-B284-300A575E7B44}"/>
    <cellStyle name="%20 - Vurgu3" xfId="17" builtinId="38" customBuiltin="1"/>
    <cellStyle name="%20 - Vurgu3 10" xfId="1695" xr:uid="{456B4B4D-60F9-4C20-9A7E-61204F1A70EC}"/>
    <cellStyle name="%20 - Vurgu3 11" xfId="1717" xr:uid="{BAA60B2D-F110-4015-B379-E4E2D1695761}"/>
    <cellStyle name="%20 - Vurgu3 12" xfId="1731" xr:uid="{3153CFF6-6D87-4D6B-9338-3F83FA646469}"/>
    <cellStyle name="%20 - Vurgu3 13" xfId="1745" xr:uid="{B6AF695A-A212-4619-8A24-9A5F30CFB619}"/>
    <cellStyle name="%20 - Vurgu3 14" xfId="1759" xr:uid="{0F4A4486-A1E9-4F12-BAF4-5EED516728D4}"/>
    <cellStyle name="%20 - Vurgu3 15" xfId="1773" xr:uid="{1B3CE3F5-EC41-4932-A584-17E5C99828D1}"/>
    <cellStyle name="%20 - Vurgu3 16" xfId="1787" xr:uid="{2DD735D0-C70C-4897-A7F4-2F5B826F24CE}"/>
    <cellStyle name="%20 - Vurgu3 17" xfId="1801" xr:uid="{0D18E45E-49A8-4000-BDE6-EBA34A5D31CF}"/>
    <cellStyle name="%20 - Vurgu3 18" xfId="1836" xr:uid="{D598D46B-1C82-432F-9E57-29EB9669000C}"/>
    <cellStyle name="%20 - Vurgu3 19" xfId="1229" xr:uid="{9BC3B487-8BA4-4CD4-8791-78C670C6BC18}"/>
    <cellStyle name="%20 - Vurgu3 19 2" xfId="1870" xr:uid="{66143896-4A78-4EE3-BF05-C69A18884469}"/>
    <cellStyle name="%20 - Vurgu3 2" xfId="48" xr:uid="{DD84D7F5-BEDF-4A12-854D-23C22895AE12}"/>
    <cellStyle name="%20 - Vurgu3 2 2" xfId="111" xr:uid="{DA112DCC-9349-4155-909B-5D02DA5E48D5}"/>
    <cellStyle name="%20 - Vurgu3 2 2 2" xfId="267" xr:uid="{58D996FE-32ED-4578-A8D6-E88D9B7365B4}"/>
    <cellStyle name="%20 - Vurgu3 2 2 3" xfId="481" xr:uid="{54C6F2E3-8802-4FF4-BCA7-DB1D67C50205}"/>
    <cellStyle name="%20 - Vurgu3 2 2 4" xfId="692" xr:uid="{AAEC069E-947B-4A87-82EA-0CD0C90423A2}"/>
    <cellStyle name="%20 - Vurgu3 2 2 5" xfId="897" xr:uid="{9719CFC8-DD60-4733-B8A2-73F00141C775}"/>
    <cellStyle name="%20 - Vurgu3 2 2 6" xfId="1306" xr:uid="{F941BEAB-F6B5-458D-8818-4033260686FA}"/>
    <cellStyle name="%20 - Vurgu3 2 3" xfId="326" xr:uid="{133CDF9A-2C96-4060-8553-43A00F5D3A9B}"/>
    <cellStyle name="%20 - Vurgu3 2 4" xfId="534" xr:uid="{07787A80-3AC5-4877-8995-1D36B387B3BA}"/>
    <cellStyle name="%20 - Vurgu3 2 5" xfId="576" xr:uid="{BC901704-9BB3-4412-9395-82559839B408}"/>
    <cellStyle name="%20 - Vurgu3 2 6" xfId="1151" xr:uid="{2334911D-E9F4-44DD-B8B2-D7EE83AD4E74}"/>
    <cellStyle name="%20 - Vurgu3 20" xfId="1884" xr:uid="{677D0B8D-0E7C-4C1C-B904-F2D571A376C7}"/>
    <cellStyle name="%20 - Vurgu3 21" xfId="1898" xr:uid="{83DEB28B-4B9B-4B16-A6B6-54787541E703}"/>
    <cellStyle name="%20 - Vurgu3 22" xfId="1912" xr:uid="{151D35FA-0717-406F-BF30-7A8056C4A346}"/>
    <cellStyle name="%20 - Vurgu3 23" xfId="1926" xr:uid="{B358DE3B-A981-4E97-AD36-8F046CF7FFD2}"/>
    <cellStyle name="%20 - Vurgu3 24" xfId="1940" xr:uid="{15F0D625-178E-47C4-83FB-11D1F8D1397F}"/>
    <cellStyle name="%20 - Vurgu3 25" xfId="1954" xr:uid="{230E3F3F-27E5-43DC-96A4-2587974B7AD4}"/>
    <cellStyle name="%20 - Vurgu3 26" xfId="1968" xr:uid="{8933B4CF-7924-4E59-9153-E53E394ED962}"/>
    <cellStyle name="%20 - Vurgu3 27" xfId="1982" xr:uid="{F97152CC-E101-4701-B87D-33B2E3198ED0}"/>
    <cellStyle name="%20 - Vurgu3 28" xfId="1996" xr:uid="{00038703-FC02-4629-8FEB-3286B5666728}"/>
    <cellStyle name="%20 - Vurgu3 29" xfId="2037" xr:uid="{E4AB134A-9DAF-4038-AEEE-E4CB2DC0CFB4}"/>
    <cellStyle name="%20 - Vurgu3 3" xfId="189" xr:uid="{0ECA46AD-5BCB-437E-AF09-62B4D701033A}"/>
    <cellStyle name="%20 - Vurgu3 3 2" xfId="250" xr:uid="{D1E132F3-697A-4A61-8547-604FCE78D737}"/>
    <cellStyle name="%20 - Vurgu3 3 2 2" xfId="2169" xr:uid="{9525C7B9-CF69-4077-A86C-FB36A3356FBB}"/>
    <cellStyle name="%20 - Vurgu3 3 3" xfId="464" xr:uid="{F63C96F9-BDBC-42E2-84B7-02DFB164B763}"/>
    <cellStyle name="%20 - Vurgu3 3 3 2" xfId="2314" xr:uid="{C3347906-9B1B-45A2-83F2-BC5E08F04459}"/>
    <cellStyle name="%20 - Vurgu3 3 4" xfId="675" xr:uid="{64C12C0E-68FA-4CC2-B747-290322047A0A}"/>
    <cellStyle name="%20 - Vurgu3 3 4 2" xfId="2721" xr:uid="{7A3DBB09-5393-4E1A-B102-1436751BB589}"/>
    <cellStyle name="%20 - Vurgu3 3 5" xfId="880" xr:uid="{24A59625-0020-4FD0-976F-31CFF3147630}"/>
    <cellStyle name="%20 - Vurgu3 3 5 2" xfId="2793" xr:uid="{A2AAB575-D5CA-4C5D-BF08-2D715647EFC9}"/>
    <cellStyle name="%20 - Vurgu3 3 6" xfId="1289" xr:uid="{A0F7C015-43E3-4E03-8766-D6274C950736}"/>
    <cellStyle name="%20 - Vurgu3 30" xfId="2051" xr:uid="{1840C979-F9E4-49E9-8674-E03EC9238673}"/>
    <cellStyle name="%20 - Vurgu3 30 2" xfId="2262" xr:uid="{C86FF350-B47F-47AA-A80F-1C1B8D2871F0}"/>
    <cellStyle name="%20 - Vurgu3 30 2 2" xfId="2469" xr:uid="{6AA94002-4495-4C13-9AE6-6B01FD038F1C}"/>
    <cellStyle name="%20 - Vurgu3 30 3" xfId="2385" xr:uid="{805705A3-0839-450B-9D81-B6DB556378A1}"/>
    <cellStyle name="%20 - Vurgu3 30 4" xfId="2718" xr:uid="{BD9F5CA9-8DB2-4215-B26B-E232D6AD2BE3}"/>
    <cellStyle name="%20 - Vurgu3 30 5" xfId="2779" xr:uid="{84BE7CA1-C30B-4C38-9CE0-A3467A80E9A0}"/>
    <cellStyle name="%20 - Vurgu3 30 6" xfId="2904" xr:uid="{26C47F84-6E63-40B5-B2A3-7C6757B96488}"/>
    <cellStyle name="%20 - Vurgu3 31" xfId="2135" xr:uid="{E3AC90A3-B429-4BE3-9A3B-0C011A2CA05B}"/>
    <cellStyle name="%20 - Vurgu3 32" xfId="2109" xr:uid="{ADA7431E-D0AB-40DD-981E-CF7BF04E33B1}"/>
    <cellStyle name="%20 - Vurgu3 32 2" xfId="2155" xr:uid="{A3EF8F97-4A71-4E53-B5A1-9DD9838D413D}"/>
    <cellStyle name="%20 - Vurgu3 32 2 2" xfId="2404" xr:uid="{39670545-B9A7-4708-9864-E5A0ED186492}"/>
    <cellStyle name="%20 - Vurgu3 32 3" xfId="2300" xr:uid="{2CDC3C31-EFED-4283-84C8-EBC69FB1A41D}"/>
    <cellStyle name="%20 - Vurgu3 4" xfId="404" xr:uid="{99A686BB-7509-4890-9CCA-B0C1B6AF22DA}"/>
    <cellStyle name="%20 - Vurgu3 4 2" xfId="985" xr:uid="{623FEAD0-73EF-471F-8710-17430FB3F19F}"/>
    <cellStyle name="%20 - Vurgu3 4 2 2" xfId="2188" xr:uid="{3A41D342-E608-4ECC-BB3E-00057D3C274C}"/>
    <cellStyle name="%20 - Vurgu3 4 3" xfId="1390" xr:uid="{35AECAE7-FFAA-4728-B2BC-C6B286EE9E09}"/>
    <cellStyle name="%20 - Vurgu3 4 4" xfId="2679" xr:uid="{0D5B05EC-8BFD-4074-93C5-528F0AB0C86A}"/>
    <cellStyle name="%20 - Vurgu3 4 5" xfId="2811" xr:uid="{6E3215DE-8B70-4221-B14D-835FDFFB98F3}"/>
    <cellStyle name="%20 - Vurgu3 4 6" xfId="2920" xr:uid="{C2D2C6D6-CCCF-41F9-B54E-0C4F42C91906}"/>
    <cellStyle name="%20 - Vurgu3 5" xfId="615" xr:uid="{E2EACF72-2980-48D3-B31D-BCEDA2E172AB}"/>
    <cellStyle name="%20 - Vurgu3 5 2" xfId="1037" xr:uid="{3226CB0A-A770-4503-9009-908FEB022274}"/>
    <cellStyle name="%20 - Vurgu3 5 2 2" xfId="2201" xr:uid="{9FB47177-8EDF-48D1-AF65-02247BD3E3BA}"/>
    <cellStyle name="%20 - Vurgu3 5 3" xfId="1437" xr:uid="{2B91608D-AE51-413F-86A5-A86CA5F82BCA}"/>
    <cellStyle name="%20 - Vurgu3 5 4" xfId="2742" xr:uid="{87145118-9A1E-4770-84DB-14F764D43BD2}"/>
    <cellStyle name="%20 - Vurgu3 5 5" xfId="2824" xr:uid="{DD1DEBB5-1CF1-4514-8226-A23E01F63CBB}"/>
    <cellStyle name="%20 - Vurgu3 5 6" xfId="2933" xr:uid="{91C88C92-826A-42D4-BD5F-29CB000A13AF}"/>
    <cellStyle name="%20 - Vurgu3 6" xfId="822" xr:uid="{FB6546D7-1095-4DC7-9216-D6A206381078}"/>
    <cellStyle name="%20 - Vurgu3 6 2" xfId="1083" xr:uid="{A9A5591A-ED09-4D9E-99BE-7B7B71ED7CD3}"/>
    <cellStyle name="%20 - Vurgu3 6 2 2" xfId="2214" xr:uid="{DF03A560-4F72-42BC-94D2-B7C831CAB3EA}"/>
    <cellStyle name="%20 - Vurgu3 6 3" xfId="1480" xr:uid="{20F9D0DE-9935-4BFC-A98D-953DE52331B7}"/>
    <cellStyle name="%20 - Vurgu3 6 4" xfId="2736" xr:uid="{DE1EDEDD-8E8B-4D06-BC53-F2F2BFB078CE}"/>
    <cellStyle name="%20 - Vurgu3 6 5" xfId="2837" xr:uid="{C56F5716-B31A-4BD5-9485-56F09CF4319C}"/>
    <cellStyle name="%20 - Vurgu3 6 6" xfId="2946" xr:uid="{57E28203-A2DA-4614-A6E8-CD0E1DBECBE2}"/>
    <cellStyle name="%20 - Vurgu3 7" xfId="1128" xr:uid="{CCDA6E36-AFF5-440A-A241-1F8F8B03B3F2}"/>
    <cellStyle name="%20 - Vurgu3 7 2" xfId="1525" xr:uid="{E2FAD077-B293-494C-B871-EBD1FFA78627}"/>
    <cellStyle name="%20 - Vurgu3 7 2 2" xfId="2418" xr:uid="{1ECCBA79-A8FA-40F4-A997-213368A8071E}"/>
    <cellStyle name="%20 - Vurgu3 7 3" xfId="2334" xr:uid="{901D9510-63A9-4CD9-8681-E663C710339A}"/>
    <cellStyle name="%20 - Vurgu3 7 4" xfId="2677" xr:uid="{B5554397-E27C-40D6-8955-635BAB555BC0}"/>
    <cellStyle name="%20 - Vurgu3 7 5" xfId="2850" xr:uid="{3AFE8A1D-2A98-4E1F-8E50-48A0A3984DED}"/>
    <cellStyle name="%20 - Vurgu3 7 6" xfId="2959" xr:uid="{CA57055C-DF6A-4677-9A30-448F547C1B7D}"/>
    <cellStyle name="%20 - Vurgu3 8" xfId="1609" xr:uid="{701DF083-3AD3-4F69-B542-37B4728416EB}"/>
    <cellStyle name="%20 - Vurgu3 8 2" xfId="2233" xr:uid="{2C3BAEC0-27FC-47FE-8D7C-F117764B2950}"/>
    <cellStyle name="%20 - Vurgu3 8 2 2" xfId="2440" xr:uid="{BA75CCC5-8C65-4F82-B7AE-372C37E29922}"/>
    <cellStyle name="%20 - Vurgu3 8 3" xfId="2356" xr:uid="{B39D3F58-2473-4356-A45E-0E560E41E6ED}"/>
    <cellStyle name="%20 - Vurgu3 8 4" xfId="2670" xr:uid="{34044C10-8BBD-448F-8099-6EEB8D2CCA67}"/>
    <cellStyle name="%20 - Vurgu3 8 5" xfId="2872" xr:uid="{30EC4352-63C2-4646-8445-AF49203B2A91}"/>
    <cellStyle name="%20 - Vurgu3 8 6" xfId="2980" xr:uid="{B13628F2-8C78-4EEE-9F4A-481147E33E62}"/>
    <cellStyle name="%20 - Vurgu3 9" xfId="1651" xr:uid="{EA62B3B9-B415-4D5F-89F8-B17E5848DF99}"/>
    <cellStyle name="%20 - Vurgu3 9 2" xfId="2246" xr:uid="{E042FBAD-E8DC-4B23-BAD8-397F419D3221}"/>
    <cellStyle name="%20 - Vurgu3 9 2 2" xfId="2453" xr:uid="{D043688B-7434-4750-9886-453B485A0CC7}"/>
    <cellStyle name="%20 - Vurgu3 9 3" xfId="2369" xr:uid="{DFFE0BDE-AC23-4DE9-9D59-A74E48545F55}"/>
    <cellStyle name="%20 - Vurgu3 9 4" xfId="2761" xr:uid="{8EE18827-7D58-47BC-8F56-C1C1CAA6E6E5}"/>
    <cellStyle name="%20 - Vurgu3 9 5" xfId="2885" xr:uid="{C4EE1C41-D049-4B9D-AD8F-F0E51859F4A1}"/>
    <cellStyle name="%20 - Vurgu3 9 6" xfId="2993" xr:uid="{30938874-354D-4CD4-87E8-71F7A46214B6}"/>
    <cellStyle name="%20 - Vurgu4" xfId="19" builtinId="42" customBuiltin="1"/>
    <cellStyle name="%20 - Vurgu4 10" xfId="1699" xr:uid="{A5A6F61C-C85A-4469-B414-836CE65FBE4F}"/>
    <cellStyle name="%20 - Vurgu4 11" xfId="1719" xr:uid="{741D15FF-51BA-4031-A129-94A30CE5EBB6}"/>
    <cellStyle name="%20 - Vurgu4 12" xfId="1733" xr:uid="{313DC03B-C7CC-444A-A1D0-0051907D1D8F}"/>
    <cellStyle name="%20 - Vurgu4 13" xfId="1747" xr:uid="{2573F682-FEA8-49D0-82E9-8C659972D320}"/>
    <cellStyle name="%20 - Vurgu4 14" xfId="1761" xr:uid="{359F2A0C-0771-419B-9DBF-FA96F368B794}"/>
    <cellStyle name="%20 - Vurgu4 15" xfId="1775" xr:uid="{55423BE5-5749-43DF-A2A9-C5285EBCEA2D}"/>
    <cellStyle name="%20 - Vurgu4 16" xfId="1789" xr:uid="{772C694A-8A13-4F90-A78C-05EDD8196DBF}"/>
    <cellStyle name="%20 - Vurgu4 17" xfId="1803" xr:uid="{228B07AD-74FE-42A3-9431-D490F53B034C}"/>
    <cellStyle name="%20 - Vurgu4 18" xfId="1840" xr:uid="{4BD39400-C2AA-4A3B-87C9-0A233335F70F}"/>
    <cellStyle name="%20 - Vurgu4 19" xfId="1233" xr:uid="{7A77FF71-1051-4DA3-ACAA-78F3B863E749}"/>
    <cellStyle name="%20 - Vurgu4 19 2" xfId="1872" xr:uid="{7AA58058-BFEC-4597-A1A0-8C77CF1116C5}"/>
    <cellStyle name="%20 - Vurgu4 2" xfId="49" xr:uid="{112063FD-B8CE-4B15-BA6F-28CD6027B413}"/>
    <cellStyle name="%20 - Vurgu4 2 2" xfId="112" xr:uid="{6B4D38FE-4A22-45DF-B477-F15724C64ABE}"/>
    <cellStyle name="%20 - Vurgu4 2 2 2" xfId="268" xr:uid="{49E2AF8C-E0D4-4A8D-A814-7950D71BCE73}"/>
    <cellStyle name="%20 - Vurgu4 2 2 3" xfId="482" xr:uid="{FEDC2468-F06C-4124-91D3-9C45BA434AB3}"/>
    <cellStyle name="%20 - Vurgu4 2 2 4" xfId="693" xr:uid="{0EA49048-2FD0-4D36-8E28-4F23EF8A1B22}"/>
    <cellStyle name="%20 - Vurgu4 2 2 5" xfId="898" xr:uid="{D5241535-0AB5-4B79-A3C6-FDAE1E3A4C3D}"/>
    <cellStyle name="%20 - Vurgu4 2 2 6" xfId="1307" xr:uid="{4F4E9830-76C5-4A3D-88AB-F20E31948EDD}"/>
    <cellStyle name="%20 - Vurgu4 2 3" xfId="327" xr:uid="{BA35ECBA-0AEF-46FF-A68D-8480E7743A55}"/>
    <cellStyle name="%20 - Vurgu4 2 4" xfId="434" xr:uid="{FE3E37F0-78E8-4DAB-94E7-B5908A788A50}"/>
    <cellStyle name="%20 - Vurgu4 2 5" xfId="646" xr:uid="{A36A7E3A-8586-4EA9-9087-8083A6F8BD50}"/>
    <cellStyle name="%20 - Vurgu4 2 6" xfId="1152" xr:uid="{0BBB75E1-5CCA-4E7F-9686-1CB724E6DE7D}"/>
    <cellStyle name="%20 - Vurgu4 20" xfId="1886" xr:uid="{BFE8356A-03B5-4441-9B4D-3CED59C62AB4}"/>
    <cellStyle name="%20 - Vurgu4 21" xfId="1900" xr:uid="{4BBC8318-FD81-486C-A906-CA8E3DCD4189}"/>
    <cellStyle name="%20 - Vurgu4 22" xfId="1914" xr:uid="{463974B8-26A7-4823-BB77-CE772181B2C9}"/>
    <cellStyle name="%20 - Vurgu4 23" xfId="1928" xr:uid="{10108DE9-04C0-42CC-B12D-124E2E8C5805}"/>
    <cellStyle name="%20 - Vurgu4 24" xfId="1942" xr:uid="{D62857CC-28B3-42EF-AE88-6A3599FEC48B}"/>
    <cellStyle name="%20 - Vurgu4 25" xfId="1956" xr:uid="{93576714-0C68-4CCF-926B-290055E3EF3B}"/>
    <cellStyle name="%20 - Vurgu4 26" xfId="1970" xr:uid="{E4E2B424-C901-46CC-A4B9-44B4A3A8D445}"/>
    <cellStyle name="%20 - Vurgu4 27" xfId="1984" xr:uid="{8AAF62F8-5EDB-4861-9CEC-0D7EF0930BEE}"/>
    <cellStyle name="%20 - Vurgu4 28" xfId="1998" xr:uid="{0FFB655B-0516-4E54-89DC-F98B5C2296B4}"/>
    <cellStyle name="%20 - Vurgu4 29" xfId="2039" xr:uid="{DCB50751-6C42-42FA-9CE3-A45ED3101B27}"/>
    <cellStyle name="%20 - Vurgu4 3" xfId="193" xr:uid="{21CF0D7E-43B5-4306-8BF7-88FE689F1634}"/>
    <cellStyle name="%20 - Vurgu4 3 2" xfId="254" xr:uid="{3B8AF1F2-208D-48D0-8561-41C0F0E3C0CA}"/>
    <cellStyle name="%20 - Vurgu4 3 2 2" xfId="2171" xr:uid="{A5C27B2A-AB4E-4369-A510-A00140A23E71}"/>
    <cellStyle name="%20 - Vurgu4 3 3" xfId="468" xr:uid="{283B0B98-8AE7-4683-B03E-AC7F46C28162}"/>
    <cellStyle name="%20 - Vurgu4 3 3 2" xfId="2316" xr:uid="{BFBB640D-40CB-4DC3-9017-40B214A68EE8}"/>
    <cellStyle name="%20 - Vurgu4 3 4" xfId="679" xr:uid="{C5FD1E26-BE0E-40DD-BCFB-DCB1075CE67D}"/>
    <cellStyle name="%20 - Vurgu4 3 4 2" xfId="2675" xr:uid="{E063F876-6B90-454B-B52A-B2F60D896751}"/>
    <cellStyle name="%20 - Vurgu4 3 5" xfId="884" xr:uid="{6F4AD6F1-00A1-4AAD-9949-637E8451301F}"/>
    <cellStyle name="%20 - Vurgu4 3 5 2" xfId="2795" xr:uid="{1F533B9A-D664-4E8B-9828-1560D458A766}"/>
    <cellStyle name="%20 - Vurgu4 3 6" xfId="1293" xr:uid="{FA24E8D1-6741-4EB0-A11E-5BB45DC3D9B1}"/>
    <cellStyle name="%20 - Vurgu4 30" xfId="2053" xr:uid="{A74AC6BB-758E-4AA1-B8E3-770D523430E7}"/>
    <cellStyle name="%20 - Vurgu4 30 2" xfId="2264" xr:uid="{25FC91EB-4F48-43D2-8385-DB5B79CD3D94}"/>
    <cellStyle name="%20 - Vurgu4 30 2 2" xfId="2471" xr:uid="{DEE13D14-ED39-4652-8F8C-762BB5C1D3F3}"/>
    <cellStyle name="%20 - Vurgu4 30 3" xfId="2387" xr:uid="{DC7FF8BD-E799-4977-8C50-C5597D31F4E2}"/>
    <cellStyle name="%20 - Vurgu4 30 4" xfId="2741" xr:uid="{652C555A-1F5B-48A4-A070-BD533D110924}"/>
    <cellStyle name="%20 - Vurgu4 30 5" xfId="2781" xr:uid="{3FB68B97-BF17-45D3-A39D-AAEFBE72BAB9}"/>
    <cellStyle name="%20 - Vurgu4 30 6" xfId="2906" xr:uid="{91BC83ED-5E5D-440D-925C-98BC17B277B5}"/>
    <cellStyle name="%20 - Vurgu4 31" xfId="2137" xr:uid="{1547EF18-B763-477C-8F01-3326B12C7AE5}"/>
    <cellStyle name="%20 - Vurgu4 32" xfId="2113" xr:uid="{E8E66076-228F-4A2E-8D44-A0F57F71A747}"/>
    <cellStyle name="%20 - Vurgu4 32 2" xfId="2157" xr:uid="{BD2CD8B3-A632-4598-B6EE-0DF583EFCC85}"/>
    <cellStyle name="%20 - Vurgu4 32 2 2" xfId="2406" xr:uid="{2AA5A539-DD7F-48AD-808F-161388D3EBEF}"/>
    <cellStyle name="%20 - Vurgu4 32 3" xfId="2302" xr:uid="{D4881021-5455-4ECE-99C5-380AF8BDA5C2}"/>
    <cellStyle name="%20 - Vurgu4 4" xfId="408" xr:uid="{DBAC9882-A39C-4ED9-AB59-682B8CC87867}"/>
    <cellStyle name="%20 - Vurgu4 4 2" xfId="989" xr:uid="{7177F3EA-5A7E-4567-BB5C-90B3386D22C4}"/>
    <cellStyle name="%20 - Vurgu4 4 2 2" xfId="2190" xr:uid="{7DE6AD6C-D4AC-42CC-8FEA-14EC6BA9E882}"/>
    <cellStyle name="%20 - Vurgu4 4 3" xfId="1394" xr:uid="{71E1A9B6-ECA0-4E56-9EE8-1C3AC08495B3}"/>
    <cellStyle name="%20 - Vurgu4 4 4" xfId="2653" xr:uid="{625A508C-393F-4344-9936-491FD4C14B3F}"/>
    <cellStyle name="%20 - Vurgu4 4 5" xfId="2813" xr:uid="{F0EA36D0-8E36-4EDB-B8A7-F03270AA1C36}"/>
    <cellStyle name="%20 - Vurgu4 4 6" xfId="2922" xr:uid="{D5AD01AB-51C5-46E6-B4DE-0DB437CDCC74}"/>
    <cellStyle name="%20 - Vurgu4 5" xfId="619" xr:uid="{E894C1AC-EF88-4647-9DC8-279439BADFFF}"/>
    <cellStyle name="%20 - Vurgu4 5 2" xfId="1041" xr:uid="{17173B3A-0C33-4A3D-93BC-65F4CF00CABF}"/>
    <cellStyle name="%20 - Vurgu4 5 2 2" xfId="2203" xr:uid="{385C79A2-83B8-4210-B81A-FA797EA1850F}"/>
    <cellStyle name="%20 - Vurgu4 5 3" xfId="1441" xr:uid="{03ABED79-A27C-4C05-8093-1F511F315A57}"/>
    <cellStyle name="%20 - Vurgu4 5 4" xfId="2643" xr:uid="{6F0CD046-AD41-4F3B-9DBB-9BFC32B276EF}"/>
    <cellStyle name="%20 - Vurgu4 5 5" xfId="2826" xr:uid="{15227C0D-6346-4D09-BA4C-11F92A390F8E}"/>
    <cellStyle name="%20 - Vurgu4 5 6" xfId="2935" xr:uid="{06C07E86-BB14-4BDA-88C2-605AD480A9FA}"/>
    <cellStyle name="%20 - Vurgu4 6" xfId="826" xr:uid="{89D8C3F4-D618-4939-AA95-1A55A970BBB9}"/>
    <cellStyle name="%20 - Vurgu4 6 2" xfId="1087" xr:uid="{E34882A5-46F2-46D5-90A8-5DB42BA64B55}"/>
    <cellStyle name="%20 - Vurgu4 6 2 2" xfId="2216" xr:uid="{0F14DB7D-3A1D-49E9-BFEE-8C2F2BBF68DE}"/>
    <cellStyle name="%20 - Vurgu4 6 3" xfId="1484" xr:uid="{7150A889-B311-48F0-B144-1F5496109CF1}"/>
    <cellStyle name="%20 - Vurgu4 6 4" xfId="2696" xr:uid="{BF50C22A-3C7C-46AC-A7CE-05D7B8DCC719}"/>
    <cellStyle name="%20 - Vurgu4 6 5" xfId="2839" xr:uid="{0FF0E8DC-B2D9-4510-A1B6-F52CD9EB4B99}"/>
    <cellStyle name="%20 - Vurgu4 6 6" xfId="2948" xr:uid="{66285420-32AE-4579-9E24-D73CDDA08DAA}"/>
    <cellStyle name="%20 - Vurgu4 7" xfId="1132" xr:uid="{EDC95F65-A1C1-46BF-AB2F-72FF977883EA}"/>
    <cellStyle name="%20 - Vurgu4 7 2" xfId="1529" xr:uid="{78C9F515-EF5B-45B4-9826-C5D609BD11A4}"/>
    <cellStyle name="%20 - Vurgu4 7 2 2" xfId="2420" xr:uid="{908FAF0E-F0F7-4AAF-8383-4A9203A30C55}"/>
    <cellStyle name="%20 - Vurgu4 7 3" xfId="2336" xr:uid="{979706A2-B126-4EAA-889F-39AA77765099}"/>
    <cellStyle name="%20 - Vurgu4 7 4" xfId="2658" xr:uid="{5CF7ED27-E85A-48A4-AA19-1E156DE75AD4}"/>
    <cellStyle name="%20 - Vurgu4 7 5" xfId="2852" xr:uid="{1D930A56-5684-4B32-A710-1A9B3DC9D01D}"/>
    <cellStyle name="%20 - Vurgu4 7 6" xfId="2961" xr:uid="{2D4CF2B5-EAAC-4043-9624-1E3E954F6A85}"/>
    <cellStyle name="%20 - Vurgu4 8" xfId="1613" xr:uid="{A5EF5E65-8C65-4B76-9877-10B5071FA935}"/>
    <cellStyle name="%20 - Vurgu4 8 2" xfId="2235" xr:uid="{092F42E5-D5C0-42C3-AD27-2039D7164964}"/>
    <cellStyle name="%20 - Vurgu4 8 2 2" xfId="2442" xr:uid="{6858CD7D-401C-4CEB-8B9B-1EADB06CBE82}"/>
    <cellStyle name="%20 - Vurgu4 8 3" xfId="2358" xr:uid="{84EB0156-00BF-4B87-9671-FB4C991263A8}"/>
    <cellStyle name="%20 - Vurgu4 8 4" xfId="2722" xr:uid="{81D2D8B7-FD2E-42E1-852A-385CF427B678}"/>
    <cellStyle name="%20 - Vurgu4 8 5" xfId="2874" xr:uid="{91177419-2A71-47EC-96F7-3CCF4D873E5E}"/>
    <cellStyle name="%20 - Vurgu4 8 6" xfId="2982" xr:uid="{A50F2ECD-6CA6-4BAE-8E7D-CCFECA6EBD0E}"/>
    <cellStyle name="%20 - Vurgu4 9" xfId="1655" xr:uid="{91E26769-FC45-4341-A5D2-90F544762884}"/>
    <cellStyle name="%20 - Vurgu4 9 2" xfId="2248" xr:uid="{8B052B36-CC55-4F0D-90FD-2BBD05125B0B}"/>
    <cellStyle name="%20 - Vurgu4 9 2 2" xfId="2455" xr:uid="{AC08DD07-17C0-4353-A1F0-872A693F8DE1}"/>
    <cellStyle name="%20 - Vurgu4 9 3" xfId="2371" xr:uid="{5A8F3AB4-D041-4CD4-8B42-E59CDFC50CED}"/>
    <cellStyle name="%20 - Vurgu4 9 4" xfId="2763" xr:uid="{4F958CE6-35A4-4AB9-9D10-58C12D3BDB7B}"/>
    <cellStyle name="%20 - Vurgu4 9 5" xfId="2887" xr:uid="{D3E529D6-7500-4E1D-9E6B-10DBEF45B3A8}"/>
    <cellStyle name="%20 - Vurgu4 9 6" xfId="2995" xr:uid="{B457283C-4B35-4B69-8791-E8DBAD16515F}"/>
    <cellStyle name="%20 - Vurgu5" xfId="21" builtinId="46" customBuiltin="1"/>
    <cellStyle name="%20 - Vurgu5 10" xfId="1703" xr:uid="{E5B9D55B-E77E-4B12-BE07-8FDC502CAC97}"/>
    <cellStyle name="%20 - Vurgu5 11" xfId="1721" xr:uid="{938BCB74-586A-44CF-A2FD-F420B8E707BD}"/>
    <cellStyle name="%20 - Vurgu5 12" xfId="1735" xr:uid="{17433173-52AB-4ADE-9E9A-7014FE63617F}"/>
    <cellStyle name="%20 - Vurgu5 13" xfId="1749" xr:uid="{8B85E745-2B65-479A-ACD8-33FC50D20DE3}"/>
    <cellStyle name="%20 - Vurgu5 14" xfId="1763" xr:uid="{AE1DB418-AA24-4320-8979-043EF3E50ECC}"/>
    <cellStyle name="%20 - Vurgu5 15" xfId="1777" xr:uid="{90BF0167-0E21-412C-BB08-08887C8101E9}"/>
    <cellStyle name="%20 - Vurgu5 16" xfId="1791" xr:uid="{46F308BE-645E-435A-8B53-B0253A4205F1}"/>
    <cellStyle name="%20 - Vurgu5 17" xfId="1805" xr:uid="{498D52C1-D4DC-4070-A8D6-6F6AAE470665}"/>
    <cellStyle name="%20 - Vurgu5 18" xfId="1844" xr:uid="{394BC29A-D97D-4EF7-92CB-3E955942F26E}"/>
    <cellStyle name="%20 - Vurgu5 19" xfId="1237" xr:uid="{5B918355-7E88-454D-85B4-570E7AA45EA7}"/>
    <cellStyle name="%20 - Vurgu5 19 2" xfId="1874" xr:uid="{E3B3EA42-0B21-44A5-B530-9F19D66F09CB}"/>
    <cellStyle name="%20 - Vurgu5 2" xfId="50" xr:uid="{F8CF956E-E095-4138-8583-9D4938C34C22}"/>
    <cellStyle name="%20 - Vurgu5 2 2" xfId="113" xr:uid="{78F1AD32-EB11-44DB-8D59-7F8AE12CF587}"/>
    <cellStyle name="%20 - Vurgu5 2 2 2" xfId="269" xr:uid="{14CBE9D4-5BA8-4209-9628-52E6A1453058}"/>
    <cellStyle name="%20 - Vurgu5 2 2 3" xfId="483" xr:uid="{F068FF77-A510-4502-86D8-B006054C5A6B}"/>
    <cellStyle name="%20 - Vurgu5 2 2 4" xfId="694" xr:uid="{0CC59390-B617-454E-9ACA-162601E92FBA}"/>
    <cellStyle name="%20 - Vurgu5 2 2 5" xfId="899" xr:uid="{5A025B12-C6C5-4AEA-92D9-99B64B033699}"/>
    <cellStyle name="%20 - Vurgu5 2 2 6" xfId="1308" xr:uid="{BD2E16CB-02C8-45DC-9AD7-6764F1240742}"/>
    <cellStyle name="%20 - Vurgu5 2 3" xfId="328" xr:uid="{AC411209-2C6A-418F-8E19-C0C32AECEAA7}"/>
    <cellStyle name="%20 - Vurgu5 2 4" xfId="538" xr:uid="{BF12AC68-BE7C-412E-A956-453E6F58413C}"/>
    <cellStyle name="%20 - Vurgu5 2 5" xfId="745" xr:uid="{9B4F52EC-EC49-48B0-BC4E-134EE197A37D}"/>
    <cellStyle name="%20 - Vurgu5 2 6" xfId="1153" xr:uid="{CCC61DD2-76FA-4FEF-A60B-1BA7B58FCE4C}"/>
    <cellStyle name="%20 - Vurgu5 20" xfId="1888" xr:uid="{3EC8290B-368F-4183-A898-8EA813034E4E}"/>
    <cellStyle name="%20 - Vurgu5 21" xfId="1902" xr:uid="{12175D7C-3448-4938-A79A-5B8798A2A3CD}"/>
    <cellStyle name="%20 - Vurgu5 22" xfId="1916" xr:uid="{0431389F-F236-4AAE-BB44-73CD245AB471}"/>
    <cellStyle name="%20 - Vurgu5 23" xfId="1930" xr:uid="{6D095F6F-A795-490E-AD57-3A42700F126F}"/>
    <cellStyle name="%20 - Vurgu5 24" xfId="1944" xr:uid="{019EAC77-516F-4BBC-9B44-452AEC4CD5A2}"/>
    <cellStyle name="%20 - Vurgu5 25" xfId="1958" xr:uid="{916F39CE-0BB4-45D0-9EFB-CECC84529D4B}"/>
    <cellStyle name="%20 - Vurgu5 26" xfId="1972" xr:uid="{164DBF88-0BDA-4DBF-B994-03D8F299809F}"/>
    <cellStyle name="%20 - Vurgu5 27" xfId="1986" xr:uid="{42718A8F-F8F5-4FBE-84DA-673CF7FBB06F}"/>
    <cellStyle name="%20 - Vurgu5 28" xfId="2000" xr:uid="{13496357-FAD4-4EFB-8D1E-96D417BE6894}"/>
    <cellStyle name="%20 - Vurgu5 29" xfId="2041" xr:uid="{0A4BB839-5852-47D4-87FF-45635F19536C}"/>
    <cellStyle name="%20 - Vurgu5 3" xfId="197" xr:uid="{ACB7519B-AFEF-4E21-9EA2-BC4849756479}"/>
    <cellStyle name="%20 - Vurgu5 3 2" xfId="258" xr:uid="{43E9264A-BBC3-48B6-A2B5-2B471F3E32E5}"/>
    <cellStyle name="%20 - Vurgu5 3 2 2" xfId="2173" xr:uid="{EC9F3BB6-FE83-48B5-AF90-4F50175688F4}"/>
    <cellStyle name="%20 - Vurgu5 3 3" xfId="472" xr:uid="{F64DE2AB-9EAB-4BA4-950F-84E4F203F9CA}"/>
    <cellStyle name="%20 - Vurgu5 3 3 2" xfId="2318" xr:uid="{8D840A21-2B98-43BE-934F-75032570C98A}"/>
    <cellStyle name="%20 - Vurgu5 3 4" xfId="683" xr:uid="{920DF225-C25A-4260-88CA-4E7F4B2CCE66}"/>
    <cellStyle name="%20 - Vurgu5 3 4 2" xfId="2661" xr:uid="{CF586FD2-C0F2-4360-AF35-4ABA9AEC409C}"/>
    <cellStyle name="%20 - Vurgu5 3 5" xfId="888" xr:uid="{508B332A-9CA8-4018-9326-5EB4B207594D}"/>
    <cellStyle name="%20 - Vurgu5 3 5 2" xfId="2797" xr:uid="{7A571DF3-4D0E-4D55-8B45-3EE7FCCA6406}"/>
    <cellStyle name="%20 - Vurgu5 3 6" xfId="1297" xr:uid="{27ACC8E1-397C-4BB8-955B-D66AD571B599}"/>
    <cellStyle name="%20 - Vurgu5 30" xfId="2055" xr:uid="{50A58551-926D-4BF1-A7E7-2FE4232F0A60}"/>
    <cellStyle name="%20 - Vurgu5 30 2" xfId="2266" xr:uid="{85243FF2-ABB7-4861-8312-BBF2B13DED94}"/>
    <cellStyle name="%20 - Vurgu5 30 2 2" xfId="2473" xr:uid="{AD024CE9-572A-4239-87CB-6F8C1B9AA2C9}"/>
    <cellStyle name="%20 - Vurgu5 30 3" xfId="2389" xr:uid="{5E2BECE1-9E36-47CD-BFCB-5581AA292CA7}"/>
    <cellStyle name="%20 - Vurgu5 30 4" xfId="2683" xr:uid="{B4657C03-08B5-4FF9-A369-6CF67774FC2F}"/>
    <cellStyle name="%20 - Vurgu5 30 5" xfId="2783" xr:uid="{9846CA05-B980-4063-A2DF-0701B7AE1580}"/>
    <cellStyle name="%20 - Vurgu5 30 6" xfId="2908" xr:uid="{06EA46F9-A131-4D3E-BD7B-6D9DB16E0055}"/>
    <cellStyle name="%20 - Vurgu5 31" xfId="2139" xr:uid="{11E0ED06-CAC2-4CA5-BFB3-AAE0BC837EA0}"/>
    <cellStyle name="%20 - Vurgu5 32" xfId="2117" xr:uid="{09F45F32-415B-4AE0-8B66-FF08C610057F}"/>
    <cellStyle name="%20 - Vurgu5 32 2" xfId="2159" xr:uid="{D7BFAFAC-5A12-443B-9F90-131727162BB8}"/>
    <cellStyle name="%20 - Vurgu5 32 2 2" xfId="2408" xr:uid="{ECBDA3D8-5A34-430E-9874-FAADB73BF32D}"/>
    <cellStyle name="%20 - Vurgu5 32 3" xfId="2304" xr:uid="{2735EE12-D6CA-4A74-BF21-2A4E9879D047}"/>
    <cellStyle name="%20 - Vurgu5 4" xfId="412" xr:uid="{F03109CD-32B2-4BC2-85EF-9B40E31CE709}"/>
    <cellStyle name="%20 - Vurgu5 4 2" xfId="993" xr:uid="{85C730F1-E43C-4F17-A4D6-2B5B273971FD}"/>
    <cellStyle name="%20 - Vurgu5 4 2 2" xfId="2192" xr:uid="{4DE28063-C3CB-44E0-BC11-38050A92C87B}"/>
    <cellStyle name="%20 - Vurgu5 4 3" xfId="1398" xr:uid="{F21DEBB7-70D5-4017-A0F8-71D994C39232}"/>
    <cellStyle name="%20 - Vurgu5 4 4" xfId="2665" xr:uid="{4E4C4BEC-168D-4907-8EF2-A24C4EBB21D0}"/>
    <cellStyle name="%20 - Vurgu5 4 5" xfId="2815" xr:uid="{6BAD45B9-268E-46D3-86F9-34EDF9E9F5AE}"/>
    <cellStyle name="%20 - Vurgu5 4 6" xfId="2924" xr:uid="{82A6752E-E69B-432B-886C-D04DC6E8377C}"/>
    <cellStyle name="%20 - Vurgu5 5" xfId="623" xr:uid="{217B4BD3-BFFA-4EF3-A521-8033E0B7EAB3}"/>
    <cellStyle name="%20 - Vurgu5 5 2" xfId="1045" xr:uid="{A472B4C0-12F9-4B4E-922D-71DFABEEA16F}"/>
    <cellStyle name="%20 - Vurgu5 5 2 2" xfId="2205" xr:uid="{AF15A62D-C907-4D9D-891D-B52959E82FFF}"/>
    <cellStyle name="%20 - Vurgu5 5 3" xfId="1445" xr:uid="{0A7282D9-8A66-48EA-921A-F2B1D5A119B5}"/>
    <cellStyle name="%20 - Vurgu5 5 4" xfId="2732" xr:uid="{EC953FE1-517C-4320-B10B-FFE3F22D4276}"/>
    <cellStyle name="%20 - Vurgu5 5 5" xfId="2828" xr:uid="{BD8F780D-73E4-4BBB-AED8-8F6CFEBE00BA}"/>
    <cellStyle name="%20 - Vurgu5 5 6" xfId="2937" xr:uid="{098794E4-E1A8-4CF3-8260-C3BFC045D6F8}"/>
    <cellStyle name="%20 - Vurgu5 6" xfId="830" xr:uid="{AE5D8BE6-FFB4-466E-8CCA-3E5429F0C7BA}"/>
    <cellStyle name="%20 - Vurgu5 6 2" xfId="1091" xr:uid="{CFCC0309-39B8-4A2E-91F8-13B2F2AE09D3}"/>
    <cellStyle name="%20 - Vurgu5 6 2 2" xfId="2218" xr:uid="{91272024-D543-4B74-B514-AB5B336ACEC8}"/>
    <cellStyle name="%20 - Vurgu5 6 3" xfId="1488" xr:uid="{89A728AA-E1D7-49D6-A1D9-0A448F245E49}"/>
    <cellStyle name="%20 - Vurgu5 6 4" xfId="2659" xr:uid="{1CFB2F49-E03B-4DDF-93C3-D9F0950E9D97}"/>
    <cellStyle name="%20 - Vurgu5 6 5" xfId="2841" xr:uid="{3DE06811-B26D-4765-A631-BDCF3056DE5D}"/>
    <cellStyle name="%20 - Vurgu5 6 6" xfId="2950" xr:uid="{AC689F91-761F-410A-9C5C-A69AB4B72613}"/>
    <cellStyle name="%20 - Vurgu5 7" xfId="1136" xr:uid="{2F6293B7-448D-47A3-A573-9DD115835C56}"/>
    <cellStyle name="%20 - Vurgu5 7 2" xfId="1533" xr:uid="{C706502F-3244-4AA4-A44A-03573CC836F8}"/>
    <cellStyle name="%20 - Vurgu5 7 2 2" xfId="2422" xr:uid="{FF463B56-2583-44F4-B279-8E4896563C79}"/>
    <cellStyle name="%20 - Vurgu5 7 3" xfId="2338" xr:uid="{2A9BB3EF-7F31-4AB4-B1BB-8C1EA738E0A2}"/>
    <cellStyle name="%20 - Vurgu5 7 4" xfId="2734" xr:uid="{A9A88D4E-1A58-49C4-87EF-95CFA2E251C3}"/>
    <cellStyle name="%20 - Vurgu5 7 5" xfId="2854" xr:uid="{AE908C19-E116-4E60-A9D8-A8C3CBEC5EE9}"/>
    <cellStyle name="%20 - Vurgu5 7 6" xfId="2963" xr:uid="{FDCE0DC4-4E69-4F51-8054-D796FC27006A}"/>
    <cellStyle name="%20 - Vurgu5 8" xfId="1617" xr:uid="{9E55D9EB-7274-416C-906B-9AC69A3592F8}"/>
    <cellStyle name="%20 - Vurgu5 8 2" xfId="2237" xr:uid="{15C06A3D-B2E3-4E17-B6A8-FC590C4AFBC8}"/>
    <cellStyle name="%20 - Vurgu5 8 2 2" xfId="2444" xr:uid="{5DEA444E-B3B9-482D-8791-2B663D3214A2}"/>
    <cellStyle name="%20 - Vurgu5 8 3" xfId="2360" xr:uid="{7CCF88C7-F651-41D7-B468-072488AC9BFF}"/>
    <cellStyle name="%20 - Vurgu5 8 4" xfId="2716" xr:uid="{31783A23-7757-4DE9-BA95-CCAA8237F7C3}"/>
    <cellStyle name="%20 - Vurgu5 8 5" xfId="2876" xr:uid="{B0AE8A92-E160-45E2-B06D-56B252B48D55}"/>
    <cellStyle name="%20 - Vurgu5 8 6" xfId="2984" xr:uid="{5152A0EA-44BF-4976-B572-05E093269107}"/>
    <cellStyle name="%20 - Vurgu5 9" xfId="1659" xr:uid="{079A77C4-2900-40E5-9FFC-1D2B9AE8ED3A}"/>
    <cellStyle name="%20 - Vurgu5 9 2" xfId="2250" xr:uid="{33F40CD1-FFE2-4D62-AF85-0365FE37BE8C}"/>
    <cellStyle name="%20 - Vurgu5 9 2 2" xfId="2457" xr:uid="{43067131-BEBC-438E-9A2F-655F80A3D238}"/>
    <cellStyle name="%20 - Vurgu5 9 3" xfId="2373" xr:uid="{C2CBDADE-27C3-4581-B4FB-224548F5B702}"/>
    <cellStyle name="%20 - Vurgu5 9 4" xfId="2765" xr:uid="{20B02245-FEED-4A4C-9C14-773CDA584D69}"/>
    <cellStyle name="%20 - Vurgu5 9 5" xfId="2889" xr:uid="{C7130AA0-13B7-4329-B027-D52FA5E32555}"/>
    <cellStyle name="%20 - Vurgu5 9 6" xfId="2997" xr:uid="{3473AD01-A7DC-4898-B162-658B588741DD}"/>
    <cellStyle name="%20 - Vurgu6" xfId="23" builtinId="50" customBuiltin="1"/>
    <cellStyle name="%20 - Vurgu6 10" xfId="1707" xr:uid="{2176C92E-DF82-41C1-BAAE-4AC122790C21}"/>
    <cellStyle name="%20 - Vurgu6 11" xfId="1723" xr:uid="{FE28D2FF-3584-4992-B1D9-77CA029EA33D}"/>
    <cellStyle name="%20 - Vurgu6 12" xfId="1737" xr:uid="{02A777B6-6ADF-4D1D-AFD1-3335882EC38E}"/>
    <cellStyle name="%20 - Vurgu6 13" xfId="1751" xr:uid="{A2CC21F8-B20D-4C11-AF37-0E0ED502A9A9}"/>
    <cellStyle name="%20 - Vurgu6 14" xfId="1765" xr:uid="{4E9A2898-BFA6-432A-8C14-A5AA8B8A96C9}"/>
    <cellStyle name="%20 - Vurgu6 15" xfId="1779" xr:uid="{C9ABEEDD-4395-4494-9217-8343DF9709CC}"/>
    <cellStyle name="%20 - Vurgu6 16" xfId="1793" xr:uid="{EDEEC9D3-B92F-4A1C-8F0D-069B38A4CBB4}"/>
    <cellStyle name="%20 - Vurgu6 17" xfId="1807" xr:uid="{B2D1CD56-D8BA-47B5-B0D4-FF2D045ADDE7}"/>
    <cellStyle name="%20 - Vurgu6 18" xfId="1848" xr:uid="{C4E9BF9D-8766-4960-93D8-1ABFA673D36A}"/>
    <cellStyle name="%20 - Vurgu6 19" xfId="1241" xr:uid="{BD301710-62FC-4893-BF05-8E9920D6C194}"/>
    <cellStyle name="%20 - Vurgu6 19 2" xfId="1876" xr:uid="{984712C2-AFD9-4382-A558-C728AB84AC19}"/>
    <cellStyle name="%20 - Vurgu6 2" xfId="51" xr:uid="{33D86ECA-771A-400B-A32F-9666727ADA4A}"/>
    <cellStyle name="%20 - Vurgu6 2 2" xfId="114" xr:uid="{5C91BB0B-4549-44C2-9FC0-9B7EBE8828A5}"/>
    <cellStyle name="%20 - Vurgu6 2 2 2" xfId="270" xr:uid="{9659949B-B2C1-4E71-AC7A-FC16F1EAC75C}"/>
    <cellStyle name="%20 - Vurgu6 2 2 3" xfId="484" xr:uid="{EE899CE2-469F-4AC5-B3C0-7A822AC46780}"/>
    <cellStyle name="%20 - Vurgu6 2 2 4" xfId="695" xr:uid="{349CFFB1-606E-4212-BCD6-A53DF706E6AD}"/>
    <cellStyle name="%20 - Vurgu6 2 2 5" xfId="900" xr:uid="{76E08ACC-3F50-41FE-BD76-126122E9A54A}"/>
    <cellStyle name="%20 - Vurgu6 2 2 6" xfId="1309" xr:uid="{72BE82F4-1644-4944-9C72-A6461511F5A1}"/>
    <cellStyle name="%20 - Vurgu6 2 3" xfId="329" xr:uid="{64186C87-4DD4-4811-B927-1BD4E4E12031}"/>
    <cellStyle name="%20 - Vurgu6 2 4" xfId="539" xr:uid="{07937927-2567-4F01-B4B9-04C074DBF3C5}"/>
    <cellStyle name="%20 - Vurgu6 2 5" xfId="645" xr:uid="{1F6B23A3-D730-4396-ABDC-ABAEE0B73A0B}"/>
    <cellStyle name="%20 - Vurgu6 2 6" xfId="1154" xr:uid="{F46E275C-6F48-4DC9-8B68-C0024DB5C78C}"/>
    <cellStyle name="%20 - Vurgu6 20" xfId="1890" xr:uid="{F43CA9F1-C2F1-42B5-ACBF-E51152ADAFB3}"/>
    <cellStyle name="%20 - Vurgu6 21" xfId="1904" xr:uid="{525A1FBA-106F-4CB6-A210-975C316C6EEB}"/>
    <cellStyle name="%20 - Vurgu6 22" xfId="1918" xr:uid="{0050978B-53AE-4F40-87E4-CA4D2873E03E}"/>
    <cellStyle name="%20 - Vurgu6 23" xfId="1932" xr:uid="{A7FC7B05-BAE6-41F5-ACC1-8362BF2442D8}"/>
    <cellStyle name="%20 - Vurgu6 24" xfId="1946" xr:uid="{83BB1E48-C03F-4AC4-90C4-872E51D78BE9}"/>
    <cellStyle name="%20 - Vurgu6 25" xfId="1960" xr:uid="{732D8264-9C85-400B-8BD4-B9C587CF6AA4}"/>
    <cellStyle name="%20 - Vurgu6 26" xfId="1974" xr:uid="{F3CC5A73-5B7F-434E-91D0-A908524DAD20}"/>
    <cellStyle name="%20 - Vurgu6 27" xfId="1988" xr:uid="{50730993-2D28-4566-8263-2392CA88C61E}"/>
    <cellStyle name="%20 - Vurgu6 28" xfId="2002" xr:uid="{CA1BB532-A646-41CB-B86F-0772303C90BC}"/>
    <cellStyle name="%20 - Vurgu6 29" xfId="2043" xr:uid="{D6DBB59F-496D-4FE1-999B-74B0A3A341CA}"/>
    <cellStyle name="%20 - Vurgu6 3" xfId="201" xr:uid="{8E98E8F6-2359-4FDE-BCEA-10900871046E}"/>
    <cellStyle name="%20 - Vurgu6 3 2" xfId="262" xr:uid="{6BA3F52C-0FE9-4597-ACFD-60FEEABC8103}"/>
    <cellStyle name="%20 - Vurgu6 3 2 2" xfId="2175" xr:uid="{753715CD-AA94-40CB-8FE6-54BB9FB0A5AB}"/>
    <cellStyle name="%20 - Vurgu6 3 3" xfId="476" xr:uid="{1CF87D69-4342-47B4-BFA0-8CA126D97CA2}"/>
    <cellStyle name="%20 - Vurgu6 3 3 2" xfId="2320" xr:uid="{1841FB7E-33C4-4721-9D3B-1802E8B63A14}"/>
    <cellStyle name="%20 - Vurgu6 3 4" xfId="687" xr:uid="{1526112A-5359-42A5-A9E2-A0F65F41F188}"/>
    <cellStyle name="%20 - Vurgu6 3 4 2" xfId="2739" xr:uid="{60E558B5-B5F2-492A-9316-B1AA1D1D496B}"/>
    <cellStyle name="%20 - Vurgu6 3 5" xfId="892" xr:uid="{F027AAB8-4220-4651-B15D-EEF061D8835E}"/>
    <cellStyle name="%20 - Vurgu6 3 5 2" xfId="2799" xr:uid="{969A20E5-2BB2-4B3F-8806-44A1608A8084}"/>
    <cellStyle name="%20 - Vurgu6 3 6" xfId="1301" xr:uid="{3088BCD7-3029-4BD7-894C-77AA0AB68D29}"/>
    <cellStyle name="%20 - Vurgu6 30" xfId="2057" xr:uid="{54E8956F-893F-4292-8A70-4014B53EDB29}"/>
    <cellStyle name="%20 - Vurgu6 30 2" xfId="2268" xr:uid="{2BA90050-D452-4B82-B1FB-D993D56B9F87}"/>
    <cellStyle name="%20 - Vurgu6 30 2 2" xfId="2475" xr:uid="{C2AF9FEE-E126-4AA1-BD69-CD70D0135287}"/>
    <cellStyle name="%20 - Vurgu6 30 3" xfId="2391" xr:uid="{B310008A-EF21-4BA6-92F5-60FA584EEACD}"/>
    <cellStyle name="%20 - Vurgu6 30 4" xfId="2648" xr:uid="{E347DC0E-B37E-4979-A2CD-55DE7694F127}"/>
    <cellStyle name="%20 - Vurgu6 30 5" xfId="2785" xr:uid="{F182728D-7CFA-446D-8EB5-BBD1E13BAF65}"/>
    <cellStyle name="%20 - Vurgu6 30 6" xfId="2910" xr:uid="{0B210822-33D1-421A-8873-9679421BB0C3}"/>
    <cellStyle name="%20 - Vurgu6 31" xfId="2141" xr:uid="{B732197E-BAF0-4A4F-854B-9D2E6AD336FD}"/>
    <cellStyle name="%20 - Vurgu6 32" xfId="2121" xr:uid="{49F16390-24C9-4E2B-A803-775F36EE2FED}"/>
    <cellStyle name="%20 - Vurgu6 32 2" xfId="2161" xr:uid="{215F1458-5A09-4647-9BC1-57BDBAE7011C}"/>
    <cellStyle name="%20 - Vurgu6 32 2 2" xfId="2410" xr:uid="{163A62EA-69D7-4999-BB19-7957677288CB}"/>
    <cellStyle name="%20 - Vurgu6 32 3" xfId="2306" xr:uid="{B5A88878-6631-4D39-AD72-9E64FF6B4A67}"/>
    <cellStyle name="%20 - Vurgu6 4" xfId="416" xr:uid="{5041F705-11D1-4841-88F5-B893293BACC5}"/>
    <cellStyle name="%20 - Vurgu6 4 2" xfId="997" xr:uid="{7EA6A50F-5DF6-4AF5-9C8C-9D45A3CA1B14}"/>
    <cellStyle name="%20 - Vurgu6 4 2 2" xfId="2194" xr:uid="{A26DA9F7-FCF6-4D7B-90C8-618E5EFCCF5D}"/>
    <cellStyle name="%20 - Vurgu6 4 3" xfId="1402" xr:uid="{1649852F-03F2-4F94-B820-E213D87A4C72}"/>
    <cellStyle name="%20 - Vurgu6 4 4" xfId="2724" xr:uid="{8D537601-3836-4AF5-83A1-2ADB5E8ACC1A}"/>
    <cellStyle name="%20 - Vurgu6 4 5" xfId="2817" xr:uid="{61A92F20-4B0B-4AD6-AD60-D7600417D4AB}"/>
    <cellStyle name="%20 - Vurgu6 4 6" xfId="2926" xr:uid="{82088437-242F-47D3-9BB0-9CAABEA7393D}"/>
    <cellStyle name="%20 - Vurgu6 5" xfId="627" xr:uid="{A1F95E52-02E8-4F67-AE26-4583297BAD9C}"/>
    <cellStyle name="%20 - Vurgu6 5 2" xfId="1049" xr:uid="{ED9D33E6-7AB6-45AC-88EB-83EA16480316}"/>
    <cellStyle name="%20 - Vurgu6 5 2 2" xfId="2207" xr:uid="{4147CF86-3602-43E4-9640-63768A0BEF02}"/>
    <cellStyle name="%20 - Vurgu6 5 3" xfId="1449" xr:uid="{54B147B5-2E2F-411F-BFC7-843BEBC1545F}"/>
    <cellStyle name="%20 - Vurgu6 5 4" xfId="2695" xr:uid="{6D26B436-8B54-4079-A13B-F00C55B8012A}"/>
    <cellStyle name="%20 - Vurgu6 5 5" xfId="2830" xr:uid="{62A6002B-9654-4183-B554-86234161418B}"/>
    <cellStyle name="%20 - Vurgu6 5 6" xfId="2939" xr:uid="{79851FCE-BCC9-4019-9EFB-67B3ADF97BCB}"/>
    <cellStyle name="%20 - Vurgu6 6" xfId="834" xr:uid="{2AAC86A3-3F38-43A7-9546-C58C049AB990}"/>
    <cellStyle name="%20 - Vurgu6 6 2" xfId="1095" xr:uid="{46687664-EB4C-42D6-BA9E-F0F45B3A24CA}"/>
    <cellStyle name="%20 - Vurgu6 6 2 2" xfId="2220" xr:uid="{1D6E7E34-F906-4854-A5D9-1D392520DA21}"/>
    <cellStyle name="%20 - Vurgu6 6 3" xfId="1492" xr:uid="{AF91EA72-1BE0-47F5-8D93-12F792547082}"/>
    <cellStyle name="%20 - Vurgu6 6 4" xfId="2697" xr:uid="{7A11DB1B-63A3-4C96-9711-F941E02632B0}"/>
    <cellStyle name="%20 - Vurgu6 6 5" xfId="2843" xr:uid="{DC9C1510-3ADC-475D-BC29-CD7CDEBB4F07}"/>
    <cellStyle name="%20 - Vurgu6 6 6" xfId="2952" xr:uid="{E1DF4399-5452-4B18-9B91-B9382B609E2F}"/>
    <cellStyle name="%20 - Vurgu6 7" xfId="1140" xr:uid="{D2633B81-08FB-44E3-9973-5B286ACCC6E0}"/>
    <cellStyle name="%20 - Vurgu6 7 2" xfId="1537" xr:uid="{6F6D9A61-CB8F-438F-BB0D-C50447010AAD}"/>
    <cellStyle name="%20 - Vurgu6 7 2 2" xfId="2424" xr:uid="{7E6CF763-A91B-4ED0-8B23-9CE73491547C}"/>
    <cellStyle name="%20 - Vurgu6 7 3" xfId="2340" xr:uid="{ACE38C0E-6270-4363-B2EE-B10F2A8CE801}"/>
    <cellStyle name="%20 - Vurgu6 7 4" xfId="2733" xr:uid="{AB2F890B-E707-48C4-9B4A-76F4F3BADF97}"/>
    <cellStyle name="%20 - Vurgu6 7 5" xfId="2856" xr:uid="{C9209524-C715-488E-93AE-6B6FC9D03EDB}"/>
    <cellStyle name="%20 - Vurgu6 7 6" xfId="2965" xr:uid="{6C51EFD1-0916-4C24-8B6F-3D6B8A5D6C8B}"/>
    <cellStyle name="%20 - Vurgu6 8" xfId="1621" xr:uid="{BC4E8E3B-5598-44E1-A556-CB2794165F09}"/>
    <cellStyle name="%20 - Vurgu6 8 2" xfId="2239" xr:uid="{BFFC7E6D-7951-4BAB-B9C3-98008348CA40}"/>
    <cellStyle name="%20 - Vurgu6 8 2 2" xfId="2446" xr:uid="{DB183AE3-6047-42CB-9FB2-46566A3B01C4}"/>
    <cellStyle name="%20 - Vurgu6 8 3" xfId="2362" xr:uid="{3A018FE9-819A-4EF7-8A14-D5E2615EB611}"/>
    <cellStyle name="%20 - Vurgu6 8 4" xfId="2676" xr:uid="{9D5D83E1-F9AF-472D-8695-512E5838A6C7}"/>
    <cellStyle name="%20 - Vurgu6 8 5" xfId="2878" xr:uid="{EBC3AAC6-3566-411F-9486-DD23E7433CD5}"/>
    <cellStyle name="%20 - Vurgu6 8 6" xfId="2986" xr:uid="{947D5CC3-21E8-4551-B4C6-8E6BA1BC62FE}"/>
    <cellStyle name="%20 - Vurgu6 9" xfId="1663" xr:uid="{0E5CE8EC-F1F2-41E6-87CD-69FDCB439D92}"/>
    <cellStyle name="%20 - Vurgu6 9 2" xfId="2252" xr:uid="{BCFCF5C6-4F29-4AC3-8243-3B3BC525CFF8}"/>
    <cellStyle name="%20 - Vurgu6 9 2 2" xfId="2459" xr:uid="{E8DFDF84-68D8-4C63-B86B-6E23BF7B7864}"/>
    <cellStyle name="%20 - Vurgu6 9 3" xfId="2375" xr:uid="{8A4A6366-CDA8-4EB6-8717-A39D70758E53}"/>
    <cellStyle name="%20 - Vurgu6 9 4" xfId="2767" xr:uid="{B3EFD96F-E31D-4FAC-AAC1-11B4CFDB70A8}"/>
    <cellStyle name="%20 - Vurgu6 9 5" xfId="2891" xr:uid="{520F5BBD-9FAB-44F4-A29B-C76F344003D7}"/>
    <cellStyle name="%20 - Vurgu6 9 6" xfId="2999" xr:uid="{2A096D72-E5C0-4B46-AF79-567CE83C65F3}"/>
    <cellStyle name="%40 - Vurgu1" xfId="14" builtinId="31" customBuiltin="1"/>
    <cellStyle name="%40 - Vurgu1 10" xfId="1688" xr:uid="{B3AE0D59-01C3-4282-81C3-9815B8713857}"/>
    <cellStyle name="%40 - Vurgu1 11" xfId="1714" xr:uid="{3DC00486-B720-42AB-BF2E-F6387817D507}"/>
    <cellStyle name="%40 - Vurgu1 12" xfId="1728" xr:uid="{DC81E776-A786-45E8-B3AF-63D0C5A46F15}"/>
    <cellStyle name="%40 - Vurgu1 13" xfId="1742" xr:uid="{EFC90E90-5CFA-448B-B128-41B4C76B18B6}"/>
    <cellStyle name="%40 - Vurgu1 14" xfId="1756" xr:uid="{8390907D-11AC-4DAB-B7E8-2D860FE3F156}"/>
    <cellStyle name="%40 - Vurgu1 15" xfId="1770" xr:uid="{04288C19-7E3C-4290-A903-7F0E4DD9B075}"/>
    <cellStyle name="%40 - Vurgu1 16" xfId="1784" xr:uid="{75D244D8-E972-42A3-922A-73E59E7C1334}"/>
    <cellStyle name="%40 - Vurgu1 17" xfId="1798" xr:uid="{2FBE41C5-4520-45AD-9610-750219185643}"/>
    <cellStyle name="%40 - Vurgu1 18" xfId="1829" xr:uid="{97CFF8FB-F782-4B3B-9077-D1A8B8B632F5}"/>
    <cellStyle name="%40 - Vurgu1 19" xfId="1222" xr:uid="{33411F6B-D984-42AB-8940-43C726E752EE}"/>
    <cellStyle name="%40 - Vurgu1 19 2" xfId="1867" xr:uid="{99D4FE43-9F60-4667-8C25-3158A2C74270}"/>
    <cellStyle name="%40 - Vurgu1 2" xfId="52" xr:uid="{DB9F3696-594D-4E3F-9D83-BF636FAA04FC}"/>
    <cellStyle name="%40 - Vurgu1 2 2" xfId="115" xr:uid="{9C049C43-E0FA-4524-B795-E6A209E5D76A}"/>
    <cellStyle name="%40 - Vurgu1 2 2 2" xfId="271" xr:uid="{A15D64EF-F30D-4126-9309-20AE310076BC}"/>
    <cellStyle name="%40 - Vurgu1 2 2 3" xfId="485" xr:uid="{F9A70378-E381-4FAD-9F37-6631E8CC3611}"/>
    <cellStyle name="%40 - Vurgu1 2 2 4" xfId="696" xr:uid="{1F8D63A6-87D7-4F74-A390-B9F4D83FA84D}"/>
    <cellStyle name="%40 - Vurgu1 2 2 5" xfId="901" xr:uid="{B8194892-407B-4038-9781-885DB90F543D}"/>
    <cellStyle name="%40 - Vurgu1 2 2 6" xfId="1310" xr:uid="{EC948DB8-1F48-40F9-BFA4-DCFD59CC0813}"/>
    <cellStyle name="%40 - Vurgu1 2 3" xfId="330" xr:uid="{F4E646DF-ECB8-425C-9D18-3FA13BAA52B1}"/>
    <cellStyle name="%40 - Vurgu1 2 4" xfId="540" xr:uid="{A62F9B51-7376-40DE-A91C-C76A7EB4DE35}"/>
    <cellStyle name="%40 - Vurgu1 2 5" xfId="749" xr:uid="{1C3D260E-70EB-411C-BE67-D566AAD7785D}"/>
    <cellStyle name="%40 - Vurgu1 2 6" xfId="1155" xr:uid="{C3DE2A1E-159F-478F-BC3B-DE7F0CB646C5}"/>
    <cellStyle name="%40 - Vurgu1 20" xfId="1881" xr:uid="{21CC7E88-6312-4139-9A32-A03C9BA87CEB}"/>
    <cellStyle name="%40 - Vurgu1 21" xfId="1895" xr:uid="{B56E2A6C-FFD4-427D-8135-9B0124C7B87E}"/>
    <cellStyle name="%40 - Vurgu1 22" xfId="1909" xr:uid="{51DC5E7D-D079-4BC1-AA76-1B2252883088}"/>
    <cellStyle name="%40 - Vurgu1 23" xfId="1923" xr:uid="{C9D962A8-BF7E-4DDF-9B4C-FBA6AE0FBD0E}"/>
    <cellStyle name="%40 - Vurgu1 24" xfId="1937" xr:uid="{3D096C63-FAA3-4165-87E2-45D814025A8D}"/>
    <cellStyle name="%40 - Vurgu1 25" xfId="1951" xr:uid="{3090EC6D-2CA0-4640-A374-4313296D98FF}"/>
    <cellStyle name="%40 - Vurgu1 26" xfId="1965" xr:uid="{92B71F90-D6B7-4A6C-B239-30796202A458}"/>
    <cellStyle name="%40 - Vurgu1 27" xfId="1979" xr:uid="{E326320D-AC44-408A-8394-2834DA4EED0C}"/>
    <cellStyle name="%40 - Vurgu1 28" xfId="1993" xr:uid="{33E64178-9420-4975-B2E3-A428B7D7F276}"/>
    <cellStyle name="%40 - Vurgu1 29" xfId="2034" xr:uid="{4EC09EED-8AAA-4F3E-B546-8AD60D9C0D79}"/>
    <cellStyle name="%40 - Vurgu1 3" xfId="182" xr:uid="{33E6E417-B6DE-45FC-9B98-199D15721072}"/>
    <cellStyle name="%40 - Vurgu1 3 2" xfId="243" xr:uid="{939DF2E1-B207-46B8-B5DB-1459B8F6521F}"/>
    <cellStyle name="%40 - Vurgu1 3 2 2" xfId="2166" xr:uid="{FE2DDE1E-D35A-4809-8CE5-5F1016A3CA73}"/>
    <cellStyle name="%40 - Vurgu1 3 3" xfId="457" xr:uid="{4CFE7DC7-DF48-4C40-9F79-6DA8F1F86045}"/>
    <cellStyle name="%40 - Vurgu1 3 3 2" xfId="2311" xr:uid="{69D09118-1D84-41B2-9F65-4DA36DEA6D59}"/>
    <cellStyle name="%40 - Vurgu1 3 4" xfId="668" xr:uid="{A607D67B-B27B-4E71-9DCA-2F3539778410}"/>
    <cellStyle name="%40 - Vurgu1 3 4 2" xfId="2711" xr:uid="{4F25D18E-457B-479E-BD20-A7653D4F45A7}"/>
    <cellStyle name="%40 - Vurgu1 3 5" xfId="873" xr:uid="{0DFC3108-2F9F-4A30-8C1B-343DE3C651D5}"/>
    <cellStyle name="%40 - Vurgu1 3 5 2" xfId="2790" xr:uid="{84E2D63C-FC19-46D7-B29E-8FCD8A4C07B4}"/>
    <cellStyle name="%40 - Vurgu1 3 6" xfId="1282" xr:uid="{B322F0CF-BC88-40C0-97AC-F65AF2E4FD48}"/>
    <cellStyle name="%40 - Vurgu1 30" xfId="2048" xr:uid="{916906FE-CE52-4E55-9FDD-2FF1ACEB9E4C}"/>
    <cellStyle name="%40 - Vurgu1 30 2" xfId="2259" xr:uid="{A1AD342B-9671-4F31-9604-0416C0E9D83E}"/>
    <cellStyle name="%40 - Vurgu1 30 2 2" xfId="2466" xr:uid="{F6B64CE7-C305-48C4-B389-FC3E9FB57614}"/>
    <cellStyle name="%40 - Vurgu1 30 3" xfId="2382" xr:uid="{73D0191C-8C90-43A3-8808-6F059A652FB0}"/>
    <cellStyle name="%40 - Vurgu1 30 4" xfId="2673" xr:uid="{C4956E45-B7B9-4E01-8723-665AD2012E0A}"/>
    <cellStyle name="%40 - Vurgu1 30 5" xfId="2776" xr:uid="{D4AFDD44-FB41-44A6-A9DA-6571AFD65CD1}"/>
    <cellStyle name="%40 - Vurgu1 30 6" xfId="2901" xr:uid="{194695EF-FE8E-408A-92ED-8048850063F8}"/>
    <cellStyle name="%40 - Vurgu1 31" xfId="2132" xr:uid="{A82B11C6-AF90-4595-97DB-42E1E86070AB}"/>
    <cellStyle name="%40 - Vurgu1 32" xfId="2102" xr:uid="{5CB34469-548F-4B00-97D2-49F4068BFEBF}"/>
    <cellStyle name="%40 - Vurgu1 32 2" xfId="2152" xr:uid="{7492F81F-F88E-44BC-AEBF-A3B2125D1888}"/>
    <cellStyle name="%40 - Vurgu1 32 2 2" xfId="2401" xr:uid="{4E3C7E67-6CA6-4FD9-9142-4AC134B42773}"/>
    <cellStyle name="%40 - Vurgu1 32 3" xfId="2297" xr:uid="{AEC7F128-6A60-426F-A62C-AC186B73AAB9}"/>
    <cellStyle name="%40 - Vurgu1 4" xfId="397" xr:uid="{3F7A8D4E-C372-4382-9BCB-1480B8411A14}"/>
    <cellStyle name="%40 - Vurgu1 4 2" xfId="978" xr:uid="{F3FC2AC0-EF20-42CB-90E7-3462F692E9F9}"/>
    <cellStyle name="%40 - Vurgu1 4 2 2" xfId="2185" xr:uid="{608117BA-1D5B-4BE2-9DF7-A647473F2E3F}"/>
    <cellStyle name="%40 - Vurgu1 4 3" xfId="1383" xr:uid="{A724F3CF-F2AC-4AAB-AE86-A90FB63CFB8F}"/>
    <cellStyle name="%40 - Vurgu1 4 4" xfId="2749" xr:uid="{44A4D966-8F5D-4C9D-8B46-79B32E8A57BD}"/>
    <cellStyle name="%40 - Vurgu1 4 5" xfId="2808" xr:uid="{DFDA65FD-BF19-462E-8A5A-58A46176085C}"/>
    <cellStyle name="%40 - Vurgu1 4 6" xfId="2917" xr:uid="{B399D0D7-9D61-44F0-8EA6-C6DCA6794678}"/>
    <cellStyle name="%40 - Vurgu1 5" xfId="608" xr:uid="{50AC6B3B-AB49-4F50-9338-35F449DC5F86}"/>
    <cellStyle name="%40 - Vurgu1 5 2" xfId="1030" xr:uid="{F344DC3E-8A1A-4535-B918-D6B14D233330}"/>
    <cellStyle name="%40 - Vurgu1 5 2 2" xfId="2198" xr:uid="{48F636A6-A499-4C12-81FD-BF7D9A84F878}"/>
    <cellStyle name="%40 - Vurgu1 5 3" xfId="1430" xr:uid="{96EBB687-756E-4593-8214-BA22D3C48052}"/>
    <cellStyle name="%40 - Vurgu1 5 4" xfId="2664" xr:uid="{9081A63D-2429-4AA6-8F67-1A24832638F1}"/>
    <cellStyle name="%40 - Vurgu1 5 5" xfId="2821" xr:uid="{8517133D-6329-44C5-BEE1-6F2445FC29BA}"/>
    <cellStyle name="%40 - Vurgu1 5 6" xfId="2930" xr:uid="{1CEB5D05-52B2-4C72-9ADF-D4A033A9846E}"/>
    <cellStyle name="%40 - Vurgu1 6" xfId="815" xr:uid="{B99D08AC-512A-4D2E-9A7C-765B1A24FB5F}"/>
    <cellStyle name="%40 - Vurgu1 6 2" xfId="1076" xr:uid="{47E49FC3-8927-48C1-8036-FCFD28CD10E7}"/>
    <cellStyle name="%40 - Vurgu1 6 2 2" xfId="2211" xr:uid="{9724B5BD-0BD5-433C-B375-DBB42F8A1CC2}"/>
    <cellStyle name="%40 - Vurgu1 6 3" xfId="1473" xr:uid="{328ECF77-5074-4FAF-A563-F7FFFD298141}"/>
    <cellStyle name="%40 - Vurgu1 6 4" xfId="2745" xr:uid="{5D71C408-A92B-4370-831A-118C5CCBDBB9}"/>
    <cellStyle name="%40 - Vurgu1 6 5" xfId="2834" xr:uid="{7B549740-2D57-4BF2-98A6-FE7594064489}"/>
    <cellStyle name="%40 - Vurgu1 6 6" xfId="2943" xr:uid="{8B3328C4-FFAB-4674-B0C4-E181DC7EE013}"/>
    <cellStyle name="%40 - Vurgu1 7" xfId="1121" xr:uid="{22C95017-9CE2-449A-A96A-B8EA36508B5C}"/>
    <cellStyle name="%40 - Vurgu1 7 2" xfId="1518" xr:uid="{F31BC7D7-4238-4AE5-832F-61D973CE9AD3}"/>
    <cellStyle name="%40 - Vurgu1 7 2 2" xfId="2415" xr:uid="{DF00E0B5-21D5-4DDB-8E69-28E4E44883A9}"/>
    <cellStyle name="%40 - Vurgu1 7 3" xfId="2331" xr:uid="{2640DBCD-62F7-4119-B67C-A8C9D021288F}"/>
    <cellStyle name="%40 - Vurgu1 7 4" xfId="2681" xr:uid="{A51B96C1-F2D7-4ECB-A6A5-DB22E58C58A6}"/>
    <cellStyle name="%40 - Vurgu1 7 5" xfId="2847" xr:uid="{005A7FCF-FAFD-4D12-B2D6-C580A60DDC03}"/>
    <cellStyle name="%40 - Vurgu1 7 6" xfId="2956" xr:uid="{81A99D98-FE84-4696-9D22-AA29DC315C97}"/>
    <cellStyle name="%40 - Vurgu1 8" xfId="1602" xr:uid="{56B38C18-2A22-4CCB-8FED-2767E7857B21}"/>
    <cellStyle name="%40 - Vurgu1 8 2" xfId="2230" xr:uid="{3AE6AE9E-9033-4EB9-9075-195F6E33450E}"/>
    <cellStyle name="%40 - Vurgu1 8 2 2" xfId="2437" xr:uid="{AF747A4A-599F-47EC-95BE-FCA107DA5A7C}"/>
    <cellStyle name="%40 - Vurgu1 8 3" xfId="2353" xr:uid="{C23B61AD-AB94-405D-B3CD-5E1FAA7988B6}"/>
    <cellStyle name="%40 - Vurgu1 8 4" xfId="2708" xr:uid="{F4E550CE-693E-45B5-B686-CA6F9D8A6202}"/>
    <cellStyle name="%40 - Vurgu1 8 5" xfId="2869" xr:uid="{6DCABF56-4184-48CC-A869-0F249ABCB28A}"/>
    <cellStyle name="%40 - Vurgu1 8 6" xfId="2977" xr:uid="{6A77E667-C4AE-4316-A88F-A91F4369C0B7}"/>
    <cellStyle name="%40 - Vurgu1 9" xfId="1644" xr:uid="{CBBEBE5A-0CD3-4730-947C-2C3EF2E6D04E}"/>
    <cellStyle name="%40 - Vurgu1 9 2" xfId="2243" xr:uid="{A5C235CD-37B9-4BC6-9C12-E2A15B9A647E}"/>
    <cellStyle name="%40 - Vurgu1 9 2 2" xfId="2450" xr:uid="{BD791877-60DE-47D3-B7C0-2FC1A8F404BE}"/>
    <cellStyle name="%40 - Vurgu1 9 3" xfId="2366" xr:uid="{FE0E53A9-493C-413F-857A-9C5B200660CA}"/>
    <cellStyle name="%40 - Vurgu1 9 4" xfId="2758" xr:uid="{AEEB255A-9AAA-4A8E-9E3B-F2B66D4D68CD}"/>
    <cellStyle name="%40 - Vurgu1 9 5" xfId="2882" xr:uid="{AE5E2BFB-5E12-4EED-8347-226DB03E82E6}"/>
    <cellStyle name="%40 - Vurgu1 9 6" xfId="2990" xr:uid="{73720579-8402-4CB4-A1F0-DE3920B417A1}"/>
    <cellStyle name="%40 - Vurgu2" xfId="16" builtinId="35" customBuiltin="1"/>
    <cellStyle name="%40 - Vurgu2 10" xfId="1692" xr:uid="{33E67FF3-1F6B-47B5-B48E-E3B41B39ECFB}"/>
    <cellStyle name="%40 - Vurgu2 11" xfId="1716" xr:uid="{68B6D19E-A168-4DDE-A60A-677BCBFD1E3D}"/>
    <cellStyle name="%40 - Vurgu2 12" xfId="1730" xr:uid="{76B71F4B-7340-4BF5-9B5A-48EC02193BBB}"/>
    <cellStyle name="%40 - Vurgu2 13" xfId="1744" xr:uid="{D4A61361-D903-43D3-8604-3BE01EE5EC32}"/>
    <cellStyle name="%40 - Vurgu2 14" xfId="1758" xr:uid="{4EC2C24E-1D66-4CBF-82A2-9FD638355775}"/>
    <cellStyle name="%40 - Vurgu2 15" xfId="1772" xr:uid="{856370BA-F3F8-4A95-B080-50D04CE321F4}"/>
    <cellStyle name="%40 - Vurgu2 16" xfId="1786" xr:uid="{0DD6C4D2-65F8-48E7-B9EF-FAD9BD2BA6CF}"/>
    <cellStyle name="%40 - Vurgu2 17" xfId="1800" xr:uid="{EBAF90A3-9F86-498A-AE1F-0F7F581E6844}"/>
    <cellStyle name="%40 - Vurgu2 18" xfId="1833" xr:uid="{28E52F8A-0574-4023-8EE0-44035C7AC088}"/>
    <cellStyle name="%40 - Vurgu2 19" xfId="1226" xr:uid="{875ACAA2-1FD1-4B78-8A62-D41A80017CF2}"/>
    <cellStyle name="%40 - Vurgu2 19 2" xfId="1869" xr:uid="{6FE77232-F052-48F1-9C6B-C0FD7556270D}"/>
    <cellStyle name="%40 - Vurgu2 2" xfId="53" xr:uid="{1CE2E258-3566-49D3-A2A1-B78EF92F4085}"/>
    <cellStyle name="%40 - Vurgu2 2 2" xfId="116" xr:uid="{26E79633-B3EF-4FFC-9ACB-2247CBF1DA67}"/>
    <cellStyle name="%40 - Vurgu2 2 2 2" xfId="272" xr:uid="{00A0458D-B63C-42BB-B7B4-CE6498BBA811}"/>
    <cellStyle name="%40 - Vurgu2 2 2 3" xfId="486" xr:uid="{C8E5B209-D967-42C3-BCD5-3EF3C865BB47}"/>
    <cellStyle name="%40 - Vurgu2 2 2 4" xfId="697" xr:uid="{A3992850-E43B-42D6-9110-48B51306FB25}"/>
    <cellStyle name="%40 - Vurgu2 2 2 5" xfId="902" xr:uid="{B7A131D0-B65B-401C-9C15-ACB49D25E33C}"/>
    <cellStyle name="%40 - Vurgu2 2 2 6" xfId="1311" xr:uid="{EE404F96-0FAB-4221-92E1-4439291BA5BF}"/>
    <cellStyle name="%40 - Vurgu2 2 3" xfId="331" xr:uid="{29B5073E-80C6-4596-9BC7-BF6C176F7E98}"/>
    <cellStyle name="%40 - Vurgu2 2 4" xfId="541" xr:uid="{AB4DD6BE-AABA-4630-999B-8CCC0647054E}"/>
    <cellStyle name="%40 - Vurgu2 2 5" xfId="750" xr:uid="{220771DB-75C1-4565-B9E2-ED16DB7CBDBE}"/>
    <cellStyle name="%40 - Vurgu2 2 6" xfId="1156" xr:uid="{A71098D3-88AA-452D-AEE9-20557BFA09D1}"/>
    <cellStyle name="%40 - Vurgu2 20" xfId="1883" xr:uid="{73C43DC3-3813-4222-888B-D38986AD221A}"/>
    <cellStyle name="%40 - Vurgu2 21" xfId="1897" xr:uid="{9C5FF46D-F49C-4014-800F-DBEC8B2FBC5C}"/>
    <cellStyle name="%40 - Vurgu2 22" xfId="1911" xr:uid="{BC4AD2D6-9367-41EE-AD86-5ED37C992960}"/>
    <cellStyle name="%40 - Vurgu2 23" xfId="1925" xr:uid="{E8F68B10-3EA4-43CD-8611-FC8F4246A7AE}"/>
    <cellStyle name="%40 - Vurgu2 24" xfId="1939" xr:uid="{2429D117-B5BC-4448-B4FB-CC93561FD010}"/>
    <cellStyle name="%40 - Vurgu2 25" xfId="1953" xr:uid="{5882C747-224E-4FBE-84BC-5972AABB8661}"/>
    <cellStyle name="%40 - Vurgu2 26" xfId="1967" xr:uid="{77427C61-52B2-4477-B996-CEFD67BB9DB5}"/>
    <cellStyle name="%40 - Vurgu2 27" xfId="1981" xr:uid="{E636B8C0-B40D-4261-8FDE-73F7A1FAC718}"/>
    <cellStyle name="%40 - Vurgu2 28" xfId="1995" xr:uid="{22926AB7-EDE9-4935-9D65-D4CF6E21D6A5}"/>
    <cellStyle name="%40 - Vurgu2 29" xfId="2036" xr:uid="{EE151382-2931-437D-A8DA-C4CC70D95654}"/>
    <cellStyle name="%40 - Vurgu2 3" xfId="186" xr:uid="{9097ACB8-CE3F-4EF7-88F9-D7C30233F81A}"/>
    <cellStyle name="%40 - Vurgu2 3 2" xfId="247" xr:uid="{31B04217-859D-4A17-A6C9-355158587F35}"/>
    <cellStyle name="%40 - Vurgu2 3 2 2" xfId="2168" xr:uid="{B7F525F5-B82E-4435-B00E-2D96F17AC1BC}"/>
    <cellStyle name="%40 - Vurgu2 3 3" xfId="461" xr:uid="{48109503-4E63-4542-ADAD-7FA109A57F14}"/>
    <cellStyle name="%40 - Vurgu2 3 3 2" xfId="2313" xr:uid="{FEE19993-2D39-428B-9FAF-CFFF42D1DAAB}"/>
    <cellStyle name="%40 - Vurgu2 3 4" xfId="672" xr:uid="{EC8437F9-B9A2-4874-8422-CE77038D0A9F}"/>
    <cellStyle name="%40 - Vurgu2 3 4 2" xfId="2703" xr:uid="{D2895FB6-E7E5-4051-8A28-6894DB85563D}"/>
    <cellStyle name="%40 - Vurgu2 3 5" xfId="877" xr:uid="{A1E91050-9022-4FA1-A36A-BA5C5E9E0947}"/>
    <cellStyle name="%40 - Vurgu2 3 5 2" xfId="2792" xr:uid="{74988DF5-F16E-46B0-A1B7-741484831FAB}"/>
    <cellStyle name="%40 - Vurgu2 3 6" xfId="1286" xr:uid="{FE61FD8B-9EB9-42AE-8562-318947CA69D7}"/>
    <cellStyle name="%40 - Vurgu2 30" xfId="2050" xr:uid="{41518195-B24A-4C8A-A53B-0515410182E8}"/>
    <cellStyle name="%40 - Vurgu2 30 2" xfId="2261" xr:uid="{9EE59BEA-C0A9-4C4A-B42E-307F23A58B12}"/>
    <cellStyle name="%40 - Vurgu2 30 2 2" xfId="2468" xr:uid="{E2A81BB4-04BE-4F51-93D2-A915F14F61BC}"/>
    <cellStyle name="%40 - Vurgu2 30 3" xfId="2384" xr:uid="{5EAC8F00-6C34-4FB3-92C1-8D77EE4B739E}"/>
    <cellStyle name="%40 - Vurgu2 30 4" xfId="2640" xr:uid="{E940B422-9457-4846-86BF-8336E5A117A9}"/>
    <cellStyle name="%40 - Vurgu2 30 5" xfId="2778" xr:uid="{057120C7-9E7A-43A3-B096-800468967A56}"/>
    <cellStyle name="%40 - Vurgu2 30 6" xfId="2903" xr:uid="{535762FF-CE95-4FD9-BDD8-A8A62058B55B}"/>
    <cellStyle name="%40 - Vurgu2 31" xfId="2134" xr:uid="{ADC45FC8-3B5C-4808-A17B-5C16A98B91A7}"/>
    <cellStyle name="%40 - Vurgu2 32" xfId="2106" xr:uid="{1005E4FB-91FB-41DA-9433-BC47E88B8D98}"/>
    <cellStyle name="%40 - Vurgu2 32 2" xfId="2154" xr:uid="{BCB5AD02-CEA6-4632-861F-9E95B712ADC0}"/>
    <cellStyle name="%40 - Vurgu2 32 2 2" xfId="2403" xr:uid="{ADAF61BA-BF71-4324-ABDD-2EE30F456C81}"/>
    <cellStyle name="%40 - Vurgu2 32 3" xfId="2299" xr:uid="{8B14232E-F79B-4F2F-92E5-8AC63483CF79}"/>
    <cellStyle name="%40 - Vurgu2 4" xfId="401" xr:uid="{81A80BB4-871E-4FFE-987F-244BC01F5B5A}"/>
    <cellStyle name="%40 - Vurgu2 4 2" xfId="982" xr:uid="{FE6C6C84-9198-4821-AE8D-E342D1FFE969}"/>
    <cellStyle name="%40 - Vurgu2 4 2 2" xfId="2187" xr:uid="{F979FAD3-47ED-4E02-BDA4-01327360EDFB}"/>
    <cellStyle name="%40 - Vurgu2 4 3" xfId="1387" xr:uid="{6FD6C14E-5163-4926-908F-94E2C1B955E7}"/>
    <cellStyle name="%40 - Vurgu2 4 4" xfId="2704" xr:uid="{BCA13C8C-0FCB-45D2-BA82-7827F91C1441}"/>
    <cellStyle name="%40 - Vurgu2 4 5" xfId="2810" xr:uid="{50FBFD49-5B90-4711-853F-438730E0F110}"/>
    <cellStyle name="%40 - Vurgu2 4 6" xfId="2919" xr:uid="{885DBF57-784D-4C65-B171-B4A6C9022FE6}"/>
    <cellStyle name="%40 - Vurgu2 5" xfId="612" xr:uid="{EE55A96C-A717-4AC3-8EEC-15D840962F99}"/>
    <cellStyle name="%40 - Vurgu2 5 2" xfId="1034" xr:uid="{6A4F7D66-B649-461A-8FF1-D72E6CA5AD50}"/>
    <cellStyle name="%40 - Vurgu2 5 2 2" xfId="2200" xr:uid="{093ECE3B-37D0-43DC-839C-1284FA5F592E}"/>
    <cellStyle name="%40 - Vurgu2 5 3" xfId="1434" xr:uid="{2D1585A3-70CE-4413-90D2-0DB18661BAF0}"/>
    <cellStyle name="%40 - Vurgu2 5 4" xfId="2727" xr:uid="{C0465D2B-E14C-4A6E-9D1B-B5C5B68565E9}"/>
    <cellStyle name="%40 - Vurgu2 5 5" xfId="2823" xr:uid="{6C762973-11EF-4460-829C-636CB461E75D}"/>
    <cellStyle name="%40 - Vurgu2 5 6" xfId="2932" xr:uid="{708AF9A4-EA71-4710-9F16-24E78A8FB2A2}"/>
    <cellStyle name="%40 - Vurgu2 6" xfId="819" xr:uid="{6A57AA2B-670D-4D07-B9C9-11ADA6845C5C}"/>
    <cellStyle name="%40 - Vurgu2 6 2" xfId="1080" xr:uid="{C55BB2B4-FCA6-4BDE-BBFF-FDF87385F693}"/>
    <cellStyle name="%40 - Vurgu2 6 2 2" xfId="2213" xr:uid="{E6B73D47-BA2E-49AD-98CC-4EE2D55BFC6E}"/>
    <cellStyle name="%40 - Vurgu2 6 3" xfId="1477" xr:uid="{7C7CD1E8-8467-4D1C-9EA3-52ABF43DF2D6}"/>
    <cellStyle name="%40 - Vurgu2 6 4" xfId="2668" xr:uid="{AE579F4B-E930-496F-AC04-E4E6C7ED2FDB}"/>
    <cellStyle name="%40 - Vurgu2 6 5" xfId="2836" xr:uid="{30565813-01D9-4865-928D-F2969035B341}"/>
    <cellStyle name="%40 - Vurgu2 6 6" xfId="2945" xr:uid="{14176264-729F-42E8-80DB-FD49A65D5440}"/>
    <cellStyle name="%40 - Vurgu2 7" xfId="1125" xr:uid="{8EE2B9D3-6705-4ABB-A1CA-A33C27E162F9}"/>
    <cellStyle name="%40 - Vurgu2 7 2" xfId="1522" xr:uid="{BE3E52E5-9B10-4DEB-B796-21E5FE824A80}"/>
    <cellStyle name="%40 - Vurgu2 7 2 2" xfId="2417" xr:uid="{14E78495-97A6-40EE-A164-FFC99D31B393}"/>
    <cellStyle name="%40 - Vurgu2 7 3" xfId="2333" xr:uid="{E69E13C8-84CE-4564-B298-6FDCD438396B}"/>
    <cellStyle name="%40 - Vurgu2 7 4" xfId="2656" xr:uid="{F42F787E-7829-4C52-A80F-93DE153C7D18}"/>
    <cellStyle name="%40 - Vurgu2 7 5" xfId="2849" xr:uid="{C6B5B1A2-E350-47D6-B994-15B628D6B188}"/>
    <cellStyle name="%40 - Vurgu2 7 6" xfId="2958" xr:uid="{1F13360B-E7EB-4260-91F7-34AF6EE3F470}"/>
    <cellStyle name="%40 - Vurgu2 8" xfId="1606" xr:uid="{BE3DC317-DAE7-49D9-82F7-41DA908CEC64}"/>
    <cellStyle name="%40 - Vurgu2 8 2" xfId="2232" xr:uid="{309B58E9-461C-46D6-BC4F-1FD5B48A9036}"/>
    <cellStyle name="%40 - Vurgu2 8 2 2" xfId="2439" xr:uid="{9DAF3780-F35C-487F-BEAE-7E603F00367C}"/>
    <cellStyle name="%40 - Vurgu2 8 3" xfId="2355" xr:uid="{B4FBA281-6ACA-40E1-94A3-134CB4500291}"/>
    <cellStyle name="%40 - Vurgu2 8 4" xfId="2699" xr:uid="{873F0AE5-4069-4564-872C-7F2518CE2675}"/>
    <cellStyle name="%40 - Vurgu2 8 5" xfId="2871" xr:uid="{30382425-B71B-4A04-924F-7416A60A0042}"/>
    <cellStyle name="%40 - Vurgu2 8 6" xfId="2979" xr:uid="{3E0A3040-DFEF-4508-9696-28962DDCA0D3}"/>
    <cellStyle name="%40 - Vurgu2 9" xfId="1648" xr:uid="{1487C5A1-24FD-49DD-B912-BBC8DAD79C4F}"/>
    <cellStyle name="%40 - Vurgu2 9 2" xfId="2245" xr:uid="{A6F80521-67D9-42BA-ADD7-46EE0A53227D}"/>
    <cellStyle name="%40 - Vurgu2 9 2 2" xfId="2452" xr:uid="{CBDA20B5-9516-4621-8920-81B1F9CCA6B6}"/>
    <cellStyle name="%40 - Vurgu2 9 3" xfId="2368" xr:uid="{0ABB1143-D022-4377-8E16-18C1A6A3B9B0}"/>
    <cellStyle name="%40 - Vurgu2 9 4" xfId="2760" xr:uid="{AB423DD1-8607-4EE7-B9EC-EF9153B09490}"/>
    <cellStyle name="%40 - Vurgu2 9 5" xfId="2884" xr:uid="{1F25C80D-84D4-4234-A295-AC274E3F8912}"/>
    <cellStyle name="%40 - Vurgu2 9 6" xfId="2992" xr:uid="{A855261B-6C52-4AA5-BB37-0FD1B7622B4D}"/>
    <cellStyle name="%40 - Vurgu3" xfId="18" builtinId="39" customBuiltin="1"/>
    <cellStyle name="%40 - Vurgu3 10" xfId="1696" xr:uid="{AEFFA8A4-527E-4B05-966C-4991EBDC6D83}"/>
    <cellStyle name="%40 - Vurgu3 11" xfId="1718" xr:uid="{08817360-9C5F-4041-84CF-52A7FF9DCE83}"/>
    <cellStyle name="%40 - Vurgu3 12" xfId="1732" xr:uid="{1E7AC4DD-177F-463E-A5D5-CE9B6622B2E3}"/>
    <cellStyle name="%40 - Vurgu3 13" xfId="1746" xr:uid="{471B6D13-C2F1-4EFA-912E-8205999D9FF8}"/>
    <cellStyle name="%40 - Vurgu3 14" xfId="1760" xr:uid="{EF2871B7-11B9-4D82-94BA-FFD42BC544E6}"/>
    <cellStyle name="%40 - Vurgu3 15" xfId="1774" xr:uid="{0E76AB5C-9C14-4618-9FD1-3EDAC81B18B6}"/>
    <cellStyle name="%40 - Vurgu3 16" xfId="1788" xr:uid="{02838446-080F-4E08-9D1C-FDD8F700B5AB}"/>
    <cellStyle name="%40 - Vurgu3 17" xfId="1802" xr:uid="{EF5BC93D-4184-4810-A6A3-E9DD1287A7B5}"/>
    <cellStyle name="%40 - Vurgu3 18" xfId="1837" xr:uid="{EBA10E99-F9D2-4A82-B26A-0A5EF384C145}"/>
    <cellStyle name="%40 - Vurgu3 19" xfId="1230" xr:uid="{DA339DD2-9F12-4C50-A4B3-F894795B208F}"/>
    <cellStyle name="%40 - Vurgu3 19 2" xfId="1871" xr:uid="{9516C0DE-614D-49BF-83D3-E9F3BC4EB5D1}"/>
    <cellStyle name="%40 - Vurgu3 2" xfId="54" xr:uid="{A455BD01-91C3-472F-83DD-CE6D09971ABF}"/>
    <cellStyle name="%40 - Vurgu3 2 2" xfId="117" xr:uid="{D5508EBF-488E-4267-A20E-84809E075EA0}"/>
    <cellStyle name="%40 - Vurgu3 2 2 2" xfId="273" xr:uid="{4C9399C2-6921-47A2-AA95-D8FDB5EF1304}"/>
    <cellStyle name="%40 - Vurgu3 2 2 3" xfId="487" xr:uid="{B64D7FF8-CB4F-4B65-B278-A37C6E0D4BC1}"/>
    <cellStyle name="%40 - Vurgu3 2 2 4" xfId="698" xr:uid="{E101B159-07EE-448B-A406-8280A4C10A52}"/>
    <cellStyle name="%40 - Vurgu3 2 2 5" xfId="903" xr:uid="{8DED0364-6C78-4466-B92A-7386755136EB}"/>
    <cellStyle name="%40 - Vurgu3 2 2 6" xfId="1312" xr:uid="{F9519178-1612-4A78-B06A-3A270811468B}"/>
    <cellStyle name="%40 - Vurgu3 2 3" xfId="332" xr:uid="{CC713584-2333-4284-9E24-55D9304709EB}"/>
    <cellStyle name="%40 - Vurgu3 2 4" xfId="542" xr:uid="{BB2AB812-02F7-44D5-8415-8FDA5E51F7DF}"/>
    <cellStyle name="%40 - Vurgu3 2 5" xfId="751" xr:uid="{BD67690D-BEFB-43F4-B5B0-66CC62819DEB}"/>
    <cellStyle name="%40 - Vurgu3 2 6" xfId="1157" xr:uid="{D1E10C60-5EF9-4CA9-A894-927184EB607E}"/>
    <cellStyle name="%40 - Vurgu3 20" xfId="1885" xr:uid="{3BF57460-EA5A-4A93-98CE-B3A6A56EBF73}"/>
    <cellStyle name="%40 - Vurgu3 21" xfId="1899" xr:uid="{E2F5FC5B-C972-432A-A1A9-EF2628EB0EF1}"/>
    <cellStyle name="%40 - Vurgu3 22" xfId="1913" xr:uid="{D6A51BDB-030D-4BB8-8BE8-0C0EC8DC1DFE}"/>
    <cellStyle name="%40 - Vurgu3 23" xfId="1927" xr:uid="{1FDAE4FA-A06E-4448-8150-94E3F5CB268D}"/>
    <cellStyle name="%40 - Vurgu3 24" xfId="1941" xr:uid="{DDDCEEC6-B00F-46C4-88FF-70CDA354CF0C}"/>
    <cellStyle name="%40 - Vurgu3 25" xfId="1955" xr:uid="{C60D3C1F-75A0-4C60-9FBA-40684CE4BEF5}"/>
    <cellStyle name="%40 - Vurgu3 26" xfId="1969" xr:uid="{2ACCD995-E774-402B-9D15-89AB972B4CDC}"/>
    <cellStyle name="%40 - Vurgu3 27" xfId="1983" xr:uid="{1031EBD4-B8B5-464F-8476-82F891A0DB23}"/>
    <cellStyle name="%40 - Vurgu3 28" xfId="1997" xr:uid="{0D28CAFA-2942-4ADE-AD06-34FE260E44E8}"/>
    <cellStyle name="%40 - Vurgu3 29" xfId="2038" xr:uid="{694A6D4E-4E33-4382-8468-09C95F0868BB}"/>
    <cellStyle name="%40 - Vurgu3 3" xfId="190" xr:uid="{21EC23F1-B3FA-42FD-BFB0-1B653E089D32}"/>
    <cellStyle name="%40 - Vurgu3 3 2" xfId="251" xr:uid="{C42A3655-1ED5-45D6-8035-24D93DB3A098}"/>
    <cellStyle name="%40 - Vurgu3 3 2 2" xfId="2170" xr:uid="{77DE31B2-89A1-4618-8969-A5B43F1AB356}"/>
    <cellStyle name="%40 - Vurgu3 3 3" xfId="465" xr:uid="{C53C5BF1-485D-4FC8-B816-F2949E6D32F5}"/>
    <cellStyle name="%40 - Vurgu3 3 3 2" xfId="2315" xr:uid="{9BE60892-74DE-48EC-9C2A-5B41FF12F206}"/>
    <cellStyle name="%40 - Vurgu3 3 4" xfId="676" xr:uid="{446B7268-E2A6-4917-9310-78EBE7E83AD3}"/>
    <cellStyle name="%40 - Vurgu3 3 4 2" xfId="2693" xr:uid="{E0BBCB40-8D19-4525-9CBC-8D9A0CF8AE5F}"/>
    <cellStyle name="%40 - Vurgu3 3 5" xfId="881" xr:uid="{84BA3E4C-51E8-4CB1-ABE6-0451F7AFE99B}"/>
    <cellStyle name="%40 - Vurgu3 3 5 2" xfId="2794" xr:uid="{B39ABE1E-756D-4ED7-9817-449E62A21467}"/>
    <cellStyle name="%40 - Vurgu3 3 6" xfId="1290" xr:uid="{BBBECAFD-943D-45D6-A451-B14266D95C62}"/>
    <cellStyle name="%40 - Vurgu3 30" xfId="2052" xr:uid="{EAC44097-15EB-41AB-B1BC-A21052641514}"/>
    <cellStyle name="%40 - Vurgu3 30 2" xfId="2263" xr:uid="{ECEB1B77-82C9-45C5-BC57-C82F6BA43E2F}"/>
    <cellStyle name="%40 - Vurgu3 30 2 2" xfId="2470" xr:uid="{24992B37-1B8C-4B7F-93D9-BA1B3CC44DC0}"/>
    <cellStyle name="%40 - Vurgu3 30 3" xfId="2386" xr:uid="{F8017C70-C967-4B09-90EE-5BAF58616514}"/>
    <cellStyle name="%40 - Vurgu3 30 4" xfId="2660" xr:uid="{B1B0986D-9248-42BF-928C-A7158394CDF0}"/>
    <cellStyle name="%40 - Vurgu3 30 5" xfId="2780" xr:uid="{2A118A15-960D-466F-BCCA-FAA2F6C6D73A}"/>
    <cellStyle name="%40 - Vurgu3 30 6" xfId="2905" xr:uid="{1B104889-61B6-4C78-9F4E-337D22D7EBB5}"/>
    <cellStyle name="%40 - Vurgu3 31" xfId="2136" xr:uid="{ADCAE4BD-EE34-4DE1-AF4E-8AF2DCCB25F1}"/>
    <cellStyle name="%40 - Vurgu3 32" xfId="2110" xr:uid="{7514F440-56D4-4886-AA65-04A99685F1C7}"/>
    <cellStyle name="%40 - Vurgu3 32 2" xfId="2156" xr:uid="{389B3365-1029-4123-9BA8-EDEC81BF0530}"/>
    <cellStyle name="%40 - Vurgu3 32 2 2" xfId="2405" xr:uid="{677A55F7-CFDF-4DF7-A983-A1E343DEABD1}"/>
    <cellStyle name="%40 - Vurgu3 32 3" xfId="2301" xr:uid="{30ECA077-E43A-43CD-AFEE-1449448D350A}"/>
    <cellStyle name="%40 - Vurgu3 4" xfId="405" xr:uid="{61C29E06-DD87-4206-B395-FC2D058C889A}"/>
    <cellStyle name="%40 - Vurgu3 4 2" xfId="986" xr:uid="{B0EE8C80-EC41-446D-B02E-A4E78B4D2104}"/>
    <cellStyle name="%40 - Vurgu3 4 2 2" xfId="2189" xr:uid="{F4E8D7F9-BD28-4C78-81BC-D7D8A8B2F2AC}"/>
    <cellStyle name="%40 - Vurgu3 4 3" xfId="1391" xr:uid="{FEC4777F-0D50-47A6-AACE-8758F1690C37}"/>
    <cellStyle name="%40 - Vurgu3 4 4" xfId="2740" xr:uid="{CA637221-D972-44A8-BF34-4B628DE58E0F}"/>
    <cellStyle name="%40 - Vurgu3 4 5" xfId="2812" xr:uid="{B8A77A23-5AFE-463C-A128-60A89275E299}"/>
    <cellStyle name="%40 - Vurgu3 4 6" xfId="2921" xr:uid="{71994BDB-9432-4B8A-94EA-D4FAF22BC666}"/>
    <cellStyle name="%40 - Vurgu3 5" xfId="616" xr:uid="{9C04147D-209D-4AA3-A832-A2D7CE5EACA2}"/>
    <cellStyle name="%40 - Vurgu3 5 2" xfId="1038" xr:uid="{C7654E90-F7E0-4A9C-B922-993E528FAAD4}"/>
    <cellStyle name="%40 - Vurgu3 5 2 2" xfId="2202" xr:uid="{09C7C05B-A53D-4340-9393-DECD3E201A9F}"/>
    <cellStyle name="%40 - Vurgu3 5 3" xfId="1438" xr:uid="{19C16EEA-08F3-4A8A-9534-C7D35E5E51F4}"/>
    <cellStyle name="%40 - Vurgu3 5 4" xfId="2719" xr:uid="{2BE6FFE0-FBE5-4175-8966-5D4C0C43E08C}"/>
    <cellStyle name="%40 - Vurgu3 5 5" xfId="2825" xr:uid="{6C1144D9-6F9C-454B-9A2A-2254CEA2A3C8}"/>
    <cellStyle name="%40 - Vurgu3 5 6" xfId="2934" xr:uid="{861339D4-9FAB-49A5-B374-8E8576AB0B74}"/>
    <cellStyle name="%40 - Vurgu3 6" xfId="823" xr:uid="{C6C05DFE-971D-41F2-AFAF-064F0015CE26}"/>
    <cellStyle name="%40 - Vurgu3 6 2" xfId="1084" xr:uid="{6CE87C5E-3DB4-4E48-998B-B2AE3862DE0A}"/>
    <cellStyle name="%40 - Vurgu3 6 2 2" xfId="2215" xr:uid="{08086173-0CC5-4584-B560-5B4795BBAF76}"/>
    <cellStyle name="%40 - Vurgu3 6 3" xfId="1481" xr:uid="{A2F03CDD-22BA-4FE2-A8D2-A6FB71963FE1}"/>
    <cellStyle name="%40 - Vurgu3 6 4" xfId="2730" xr:uid="{7249744E-F46C-4212-9767-ED41F51628C8}"/>
    <cellStyle name="%40 - Vurgu3 6 5" xfId="2838" xr:uid="{DF5CD7CC-C894-4BFA-A0E1-22E7EFC12341}"/>
    <cellStyle name="%40 - Vurgu3 6 6" xfId="2947" xr:uid="{53150AFB-8D93-4454-AFCF-9427323CF429}"/>
    <cellStyle name="%40 - Vurgu3 7" xfId="1129" xr:uid="{4F2BB1A9-C111-40CF-A6A6-EBC41936E136}"/>
    <cellStyle name="%40 - Vurgu3 7 2" xfId="1526" xr:uid="{A928F6B6-1F39-4F93-8BAE-3DCDAE7108D5}"/>
    <cellStyle name="%40 - Vurgu3 7 2 2" xfId="2419" xr:uid="{B0F05313-685F-458F-86F3-95069E015067}"/>
    <cellStyle name="%40 - Vurgu3 7 3" xfId="2335" xr:uid="{A8E38162-FF89-4CB8-B365-841014322E46}"/>
    <cellStyle name="%40 - Vurgu3 7 4" xfId="2666" xr:uid="{8B4E2ADB-D96F-429D-A9C4-FF4E33F472E6}"/>
    <cellStyle name="%40 - Vurgu3 7 5" xfId="2851" xr:uid="{8D1A8B29-3EB0-4DFC-AE42-ACE906D81A74}"/>
    <cellStyle name="%40 - Vurgu3 7 6" xfId="2960" xr:uid="{EF1DBD6C-039C-48A6-9046-BB4F3A1A0A61}"/>
    <cellStyle name="%40 - Vurgu3 8" xfId="1610" xr:uid="{D84FE8EA-AD22-414F-AAFF-72CB80A4379C}"/>
    <cellStyle name="%40 - Vurgu3 8 2" xfId="2234" xr:uid="{E325119D-E84A-4E8F-8A4C-559DEA4CA634}"/>
    <cellStyle name="%40 - Vurgu3 8 2 2" xfId="2441" xr:uid="{D6D2CDEC-0B89-4243-B192-B67B5E1B8101}"/>
    <cellStyle name="%40 - Vurgu3 8 3" xfId="2357" xr:uid="{7BF744F4-E7BB-42CA-A505-7CBC3533C1B6}"/>
    <cellStyle name="%40 - Vurgu3 8 4" xfId="2690" xr:uid="{45CDCC0B-34A7-4B20-8A07-C5739269D2F3}"/>
    <cellStyle name="%40 - Vurgu3 8 5" xfId="2873" xr:uid="{67181AAA-7A68-45B7-A331-8F37DF3FAC43}"/>
    <cellStyle name="%40 - Vurgu3 8 6" xfId="2981" xr:uid="{3BF53800-24F1-414A-8CAE-187883BDF374}"/>
    <cellStyle name="%40 - Vurgu3 9" xfId="1652" xr:uid="{29B4ADE1-CD63-44E8-8AFC-5411AC6098D2}"/>
    <cellStyle name="%40 - Vurgu3 9 2" xfId="2247" xr:uid="{87C44DDD-4F47-4376-827E-5E2F9A212359}"/>
    <cellStyle name="%40 - Vurgu3 9 2 2" xfId="2454" xr:uid="{7739B1EA-AE26-402B-ADEF-8E1C09B6DCFD}"/>
    <cellStyle name="%40 - Vurgu3 9 3" xfId="2370" xr:uid="{A1D17F22-F8F5-4C1E-A805-7E2ABF94B6A3}"/>
    <cellStyle name="%40 - Vurgu3 9 4" xfId="2762" xr:uid="{48C057AB-9BDA-4C15-9965-35600F987CB8}"/>
    <cellStyle name="%40 - Vurgu3 9 5" xfId="2886" xr:uid="{01C2A1F4-B495-4359-BDA6-D3DD838E4B3B}"/>
    <cellStyle name="%40 - Vurgu3 9 6" xfId="2994" xr:uid="{50570866-E9FB-4CA4-B92D-320FFE53679B}"/>
    <cellStyle name="%40 - Vurgu4" xfId="20" builtinId="43" customBuiltin="1"/>
    <cellStyle name="%40 - Vurgu4 10" xfId="1700" xr:uid="{24A48A68-E5E3-42F7-A798-D4C734A53451}"/>
    <cellStyle name="%40 - Vurgu4 11" xfId="1720" xr:uid="{8221D5AD-2EE4-4B24-A172-9F400F2B22A6}"/>
    <cellStyle name="%40 - Vurgu4 12" xfId="1734" xr:uid="{5E78D08E-5F7A-43C5-9F4C-0854582EE1A7}"/>
    <cellStyle name="%40 - Vurgu4 13" xfId="1748" xr:uid="{ADAF9221-F584-4893-844F-7C2A22827181}"/>
    <cellStyle name="%40 - Vurgu4 14" xfId="1762" xr:uid="{EC4874D6-2077-4FDA-A6DC-66E9B917B8A7}"/>
    <cellStyle name="%40 - Vurgu4 15" xfId="1776" xr:uid="{AB77C196-C983-4CE8-8325-1F4EA903CF63}"/>
    <cellStyle name="%40 - Vurgu4 16" xfId="1790" xr:uid="{8B7D8C9C-CBF4-4232-93F2-0E7C847C38AA}"/>
    <cellStyle name="%40 - Vurgu4 17" xfId="1804" xr:uid="{D7319561-2CD9-4B63-B61E-3D78351882F8}"/>
    <cellStyle name="%40 - Vurgu4 18" xfId="1841" xr:uid="{5BCC34B1-BE4A-4262-8A94-0F57100D72A0}"/>
    <cellStyle name="%40 - Vurgu4 19" xfId="1234" xr:uid="{99DDC0D9-DDFA-474D-9DCB-4037D58C577C}"/>
    <cellStyle name="%40 - Vurgu4 19 2" xfId="1873" xr:uid="{0047BA63-18BA-4905-B77A-7F901A2410EF}"/>
    <cellStyle name="%40 - Vurgu4 2" xfId="55" xr:uid="{F96DE86A-2143-4EEE-9E1F-3B0D514A04F3}"/>
    <cellStyle name="%40 - Vurgu4 2 2" xfId="118" xr:uid="{34DC2421-7ADB-41CD-A3FE-03117B95C699}"/>
    <cellStyle name="%40 - Vurgu4 2 2 2" xfId="274" xr:uid="{C004E6FD-77EC-4D6F-9C74-F47640336F07}"/>
    <cellStyle name="%40 - Vurgu4 2 2 3" xfId="488" xr:uid="{9B854BD6-E44D-440C-9DAB-210FFB523B15}"/>
    <cellStyle name="%40 - Vurgu4 2 2 4" xfId="699" xr:uid="{28D4AF3E-FF6F-412F-A44A-3252238EECF8}"/>
    <cellStyle name="%40 - Vurgu4 2 2 5" xfId="904" xr:uid="{04798A31-82F9-4038-B1BE-1552CFF1EB85}"/>
    <cellStyle name="%40 - Vurgu4 2 2 6" xfId="1313" xr:uid="{AADFC45A-3729-4608-AFB5-A79F69741315}"/>
    <cellStyle name="%40 - Vurgu4 2 3" xfId="333" xr:uid="{315C4301-F7AD-4A5E-8EA8-D12DAD089B80}"/>
    <cellStyle name="%40 - Vurgu4 2 4" xfId="543" xr:uid="{2FC787B5-923E-4CBA-B563-BEBB17F094BC}"/>
    <cellStyle name="%40 - Vurgu4 2 5" xfId="752" xr:uid="{0C15332C-575A-4EA9-9B0C-AC1975175BF7}"/>
    <cellStyle name="%40 - Vurgu4 2 6" xfId="1158" xr:uid="{42A60E71-F913-4177-BB7C-276E40021399}"/>
    <cellStyle name="%40 - Vurgu4 20" xfId="1887" xr:uid="{5874F43F-C5D5-4F32-ADCE-B04D9D7BD74B}"/>
    <cellStyle name="%40 - Vurgu4 21" xfId="1901" xr:uid="{1C04AD3F-0CBC-45FB-B628-91566785DEA7}"/>
    <cellStyle name="%40 - Vurgu4 22" xfId="1915" xr:uid="{1F18AD1C-8376-4D95-AB84-88A7F0042909}"/>
    <cellStyle name="%40 - Vurgu4 23" xfId="1929" xr:uid="{AFF4019B-3526-4488-914C-C31623367A9F}"/>
    <cellStyle name="%40 - Vurgu4 24" xfId="1943" xr:uid="{D3162AAE-39CD-4118-A964-C0E9112A7690}"/>
    <cellStyle name="%40 - Vurgu4 25" xfId="1957" xr:uid="{78EA72E3-3CE8-4A05-BA84-07A3EBADA5E2}"/>
    <cellStyle name="%40 - Vurgu4 26" xfId="1971" xr:uid="{DDD37E7A-B018-495D-9DA5-42840216F129}"/>
    <cellStyle name="%40 - Vurgu4 27" xfId="1985" xr:uid="{309CE2FC-4580-448B-BB86-E25A15BEC33B}"/>
    <cellStyle name="%40 - Vurgu4 28" xfId="1999" xr:uid="{96541AE7-17AA-4A42-A16D-D678E782AAD7}"/>
    <cellStyle name="%40 - Vurgu4 29" xfId="2040" xr:uid="{B12140EB-D757-4CE8-956E-90DAA55E581A}"/>
    <cellStyle name="%40 - Vurgu4 3" xfId="194" xr:uid="{30B13C88-D3E5-4748-A3FC-4FE59E46F9DA}"/>
    <cellStyle name="%40 - Vurgu4 3 2" xfId="255" xr:uid="{4B10932C-992B-4B3F-840D-2798DE29C3F7}"/>
    <cellStyle name="%40 - Vurgu4 3 2 2" xfId="2172" xr:uid="{108A759C-9AD8-4860-8672-1A9287878D5C}"/>
    <cellStyle name="%40 - Vurgu4 3 3" xfId="469" xr:uid="{2145750D-A208-4034-AC23-7F39B095CC4C}"/>
    <cellStyle name="%40 - Vurgu4 3 3 2" xfId="2317" xr:uid="{7920FCCD-F534-48F6-AFD2-E3D04B1EFAE8}"/>
    <cellStyle name="%40 - Vurgu4 3 4" xfId="680" xr:uid="{D20566E9-0FF5-40A6-9EF9-37AAB1D2B632}"/>
    <cellStyle name="%40 - Vurgu4 3 4 2" xfId="2682" xr:uid="{B6596B6A-575B-48BD-8A4B-D52E7399F403}"/>
    <cellStyle name="%40 - Vurgu4 3 5" xfId="885" xr:uid="{18188BA5-BD60-4161-9E6B-AFDACA9E8220}"/>
    <cellStyle name="%40 - Vurgu4 3 5 2" xfId="2796" xr:uid="{7EAE1C2E-AA28-411C-B8F6-B3C8BBDA82D6}"/>
    <cellStyle name="%40 - Vurgu4 3 6" xfId="1294" xr:uid="{B87B1A1C-70D4-4BBD-A646-5950455938FF}"/>
    <cellStyle name="%40 - Vurgu4 30" xfId="2054" xr:uid="{4961574E-B0BD-4570-B796-9336D05C93EE}"/>
    <cellStyle name="%40 - Vurgu4 30 2" xfId="2265" xr:uid="{ACF706AC-B791-4CB5-971C-6D0FE2D8A29F}"/>
    <cellStyle name="%40 - Vurgu4 30 2 2" xfId="2472" xr:uid="{882198AA-16FD-46D9-B2D1-DE49C02B1057}"/>
    <cellStyle name="%40 - Vurgu4 30 3" xfId="2388" xr:uid="{782D2428-C6D5-4F75-BFC7-E61359D72A32}"/>
    <cellStyle name="%40 - Vurgu4 30 4" xfId="2641" xr:uid="{8998437B-E70C-4075-8B25-F7FDFD013702}"/>
    <cellStyle name="%40 - Vurgu4 30 5" xfId="2782" xr:uid="{DC6D9BA9-1206-471A-8839-82221C248E42}"/>
    <cellStyle name="%40 - Vurgu4 30 6" xfId="2907" xr:uid="{B5ADC909-CAF3-474C-9F76-1F2880D14449}"/>
    <cellStyle name="%40 - Vurgu4 31" xfId="2138" xr:uid="{4BDD8F2C-C8CD-43E8-BEC2-E3619076E531}"/>
    <cellStyle name="%40 - Vurgu4 32" xfId="2114" xr:uid="{6FAA128A-F0E7-43E7-8A18-9CEF1A4A47A0}"/>
    <cellStyle name="%40 - Vurgu4 32 2" xfId="2158" xr:uid="{BC6B811D-A3F9-4D49-BF77-AAE3B376FF29}"/>
    <cellStyle name="%40 - Vurgu4 32 2 2" xfId="2407" xr:uid="{373F3679-4369-414F-8E49-2C4D73AB101D}"/>
    <cellStyle name="%40 - Vurgu4 32 3" xfId="2303" xr:uid="{8A6E2B2B-674B-4994-AE15-B4D97A847A10}"/>
    <cellStyle name="%40 - Vurgu4 4" xfId="409" xr:uid="{175D393D-FA3C-42A2-AAC4-E7D755E86975}"/>
    <cellStyle name="%40 - Vurgu4 4 2" xfId="990" xr:uid="{323FDA2A-523C-47B0-8493-829CA95D5053}"/>
    <cellStyle name="%40 - Vurgu4 4 2 2" xfId="2191" xr:uid="{7EC920F1-B8D3-46A7-9C90-02FC33880BA5}"/>
    <cellStyle name="%40 - Vurgu4 4 3" xfId="1395" xr:uid="{DA87F436-C19D-4220-BC48-032F1E84118B}"/>
    <cellStyle name="%40 - Vurgu4 4 4" xfId="2750" xr:uid="{F108C69A-D50E-4E67-9668-6F25AEB1653B}"/>
    <cellStyle name="%40 - Vurgu4 4 5" xfId="2814" xr:uid="{D78287E0-2BA6-4E05-AE53-B053FCA582FE}"/>
    <cellStyle name="%40 - Vurgu4 4 6" xfId="2923" xr:uid="{6B9DE51E-AEA6-4A2B-A5B6-8EDC1B7F0D62}"/>
    <cellStyle name="%40 - Vurgu4 5" xfId="620" xr:uid="{E808786A-B3D8-4564-A7E5-6AF585F7AD30}"/>
    <cellStyle name="%40 - Vurgu4 5 2" xfId="1042" xr:uid="{A4D86598-CF01-47BE-B3E7-292FCF859FE9}"/>
    <cellStyle name="%40 - Vurgu4 5 2 2" xfId="2204" xr:uid="{8EB42459-AA95-4BFF-83FB-CAAB8808E14E}"/>
    <cellStyle name="%40 - Vurgu4 5 3" xfId="1442" xr:uid="{21A5AFB5-80AF-4C31-A9BD-1318DF7A9F6B}"/>
    <cellStyle name="%40 - Vurgu4 5 4" xfId="2712" xr:uid="{824D18CC-23EE-4DC0-B25D-CD35DDC5A503}"/>
    <cellStyle name="%40 - Vurgu4 5 5" xfId="2827" xr:uid="{56065613-9EC3-4849-BAB2-E5A049FC0F03}"/>
    <cellStyle name="%40 - Vurgu4 5 6" xfId="2936" xr:uid="{D0174054-65E9-48D1-9F95-513BD72EC5BA}"/>
    <cellStyle name="%40 - Vurgu4 6" xfId="827" xr:uid="{1F724180-A1E1-47E8-9FD3-8F317315E584}"/>
    <cellStyle name="%40 - Vurgu4 6 2" xfId="1088" xr:uid="{58A59EA9-2165-4B82-BC21-E07F696CB3C7}"/>
    <cellStyle name="%40 - Vurgu4 6 2 2" xfId="2217" xr:uid="{75FC9D63-2476-4272-AEE7-EE2E81A334E0}"/>
    <cellStyle name="%40 - Vurgu4 6 3" xfId="1485" xr:uid="{54B82BB7-9BE3-4504-9DF8-4FD69C162A07}"/>
    <cellStyle name="%40 - Vurgu4 6 4" xfId="2687" xr:uid="{BDFB8ED1-BBCC-4A27-98C2-71A52046F462}"/>
    <cellStyle name="%40 - Vurgu4 6 5" xfId="2840" xr:uid="{0D704825-0531-4B28-9DCB-2FC090ADC7E8}"/>
    <cellStyle name="%40 - Vurgu4 6 6" xfId="2949" xr:uid="{527E7C5C-9448-434C-992B-DCEDC0E23637}"/>
    <cellStyle name="%40 - Vurgu4 7" xfId="1133" xr:uid="{8FFC1294-AF8B-461D-9BCD-110F67106B09}"/>
    <cellStyle name="%40 - Vurgu4 7 2" xfId="1530" xr:uid="{75B052A9-552F-497C-A7A2-31580CDC4254}"/>
    <cellStyle name="%40 - Vurgu4 7 2 2" xfId="2421" xr:uid="{AD18B937-68C5-491B-B33B-ED824D4C0618}"/>
    <cellStyle name="%40 - Vurgu4 7 3" xfId="2337" xr:uid="{D6F407ED-CF2A-4243-A01B-1750DA8C0352}"/>
    <cellStyle name="%40 - Vurgu4 7 4" xfId="2725" xr:uid="{57A4A1CD-F9CC-421D-83C6-F54CE15A3682}"/>
    <cellStyle name="%40 - Vurgu4 7 5" xfId="2853" xr:uid="{3406B937-6485-419B-BF13-655902000D4D}"/>
    <cellStyle name="%40 - Vurgu4 7 6" xfId="2962" xr:uid="{B0E6189F-3424-4AF7-AC2E-212FBCEEA2A1}"/>
    <cellStyle name="%40 - Vurgu4 8" xfId="1614" xr:uid="{C286EB3C-A6CD-462D-A77C-E8ABAB49296E}"/>
    <cellStyle name="%40 - Vurgu4 8 2" xfId="2236" xr:uid="{C193CE8D-6834-4F4A-96F9-922FF4BB49B4}"/>
    <cellStyle name="%40 - Vurgu4 8 2 2" xfId="2443" xr:uid="{33120D6D-0ECC-44D0-9249-A15DE1186FC0}"/>
    <cellStyle name="%40 - Vurgu4 8 3" xfId="2359" xr:uid="{0F3EC9B8-D0F9-45D3-8E38-5408FEFF2391}"/>
    <cellStyle name="%40 - Vurgu4 8 4" xfId="2678" xr:uid="{1571256A-514A-422E-8628-9684E59B9B3B}"/>
    <cellStyle name="%40 - Vurgu4 8 5" xfId="2875" xr:uid="{4E65B5B2-633C-45BF-A385-44BC5713AB5B}"/>
    <cellStyle name="%40 - Vurgu4 8 6" xfId="2983" xr:uid="{E7C61513-45FB-41F9-B483-8D8B78B4FACB}"/>
    <cellStyle name="%40 - Vurgu4 9" xfId="1656" xr:uid="{88E7A7A8-CBD4-4DB4-90C9-EB7DAB2E3A87}"/>
    <cellStyle name="%40 - Vurgu4 9 2" xfId="2249" xr:uid="{573E2029-056C-4CC6-B6F2-D3DDDCEE56B3}"/>
    <cellStyle name="%40 - Vurgu4 9 2 2" xfId="2456" xr:uid="{C0709A2C-BCCB-45E3-AB12-C42803269D76}"/>
    <cellStyle name="%40 - Vurgu4 9 3" xfId="2372" xr:uid="{511CEEF0-0968-4940-AF57-E0DAEC793D89}"/>
    <cellStyle name="%40 - Vurgu4 9 4" xfId="2764" xr:uid="{7FA635C0-9593-4655-A184-F21E9FFC5633}"/>
    <cellStyle name="%40 - Vurgu4 9 5" xfId="2888" xr:uid="{416C9884-303F-42D8-8C92-BBABE4732407}"/>
    <cellStyle name="%40 - Vurgu4 9 6" xfId="2996" xr:uid="{E95A6D76-B461-4CA0-A46B-55640DDB66CD}"/>
    <cellStyle name="%40 - Vurgu5" xfId="22" builtinId="47" customBuiltin="1"/>
    <cellStyle name="%40 - Vurgu5 10" xfId="1704" xr:uid="{3B426919-BD5F-4164-A30B-FE7C43167FEF}"/>
    <cellStyle name="%40 - Vurgu5 11" xfId="1722" xr:uid="{E364F89C-D28F-4DF1-8B4E-9B22E0BD2E40}"/>
    <cellStyle name="%40 - Vurgu5 12" xfId="1736" xr:uid="{12AF1FC2-724E-4A6C-9786-B20880677516}"/>
    <cellStyle name="%40 - Vurgu5 13" xfId="1750" xr:uid="{B0445723-29C6-49F7-A53A-E94A9084917D}"/>
    <cellStyle name="%40 - Vurgu5 14" xfId="1764" xr:uid="{D5A35D64-C90E-4198-A8EC-725D08F2C341}"/>
    <cellStyle name="%40 - Vurgu5 15" xfId="1778" xr:uid="{3CDDE883-5965-4F85-95D3-AA461221313F}"/>
    <cellStyle name="%40 - Vurgu5 16" xfId="1792" xr:uid="{FEC99C63-E25B-464F-B66F-3B187AA9FCAF}"/>
    <cellStyle name="%40 - Vurgu5 17" xfId="1806" xr:uid="{4D5357C8-CF9B-4605-BB75-5D9921EA002D}"/>
    <cellStyle name="%40 - Vurgu5 18" xfId="1845" xr:uid="{42EF2975-2688-459C-88BC-D367A55D20A2}"/>
    <cellStyle name="%40 - Vurgu5 19" xfId="1238" xr:uid="{DB7AA5E7-4FE4-4F48-8A97-A93CD2E2B465}"/>
    <cellStyle name="%40 - Vurgu5 19 2" xfId="1875" xr:uid="{0CAE03F5-4A5F-446A-95E9-C43561700F01}"/>
    <cellStyle name="%40 - Vurgu5 2" xfId="56" xr:uid="{F2F87605-C7BE-4272-88E1-704EBFF8FD71}"/>
    <cellStyle name="%40 - Vurgu5 2 2" xfId="119" xr:uid="{538A9017-9A2C-4832-BF65-E78F87DA07AD}"/>
    <cellStyle name="%40 - Vurgu5 2 2 2" xfId="275" xr:uid="{6B168CF5-AE79-42A7-991A-BAF845C260CE}"/>
    <cellStyle name="%40 - Vurgu5 2 2 3" xfId="489" xr:uid="{994DCCE0-FE13-4D07-9A53-DD18BFAA3154}"/>
    <cellStyle name="%40 - Vurgu5 2 2 4" xfId="700" xr:uid="{DB3DFE25-9503-449F-9463-7965F5F626CB}"/>
    <cellStyle name="%40 - Vurgu5 2 2 5" xfId="905" xr:uid="{AD191943-E654-4D4E-A422-37640E14029F}"/>
    <cellStyle name="%40 - Vurgu5 2 2 6" xfId="1314" xr:uid="{742A872F-9B76-416B-BB31-1B14C2F736B0}"/>
    <cellStyle name="%40 - Vurgu5 2 3" xfId="334" xr:uid="{27127F1E-DEF4-4DFE-8502-821A9CD270C8}"/>
    <cellStyle name="%40 - Vurgu5 2 4" xfId="544" xr:uid="{8DD98677-D154-4E52-9F0B-E0419D15FF26}"/>
    <cellStyle name="%40 - Vurgu5 2 5" xfId="753" xr:uid="{47C8DD3A-6AE9-42BE-B25D-50505BECB254}"/>
    <cellStyle name="%40 - Vurgu5 2 6" xfId="1159" xr:uid="{F7B06A24-BEA6-448A-A2BB-AB1D7C074E61}"/>
    <cellStyle name="%40 - Vurgu5 20" xfId="1889" xr:uid="{38678EEC-EEBF-4C99-A499-E641F1B1F009}"/>
    <cellStyle name="%40 - Vurgu5 21" xfId="1903" xr:uid="{F6C73775-DB76-4618-ABEE-3FB149FB8CC6}"/>
    <cellStyle name="%40 - Vurgu5 22" xfId="1917" xr:uid="{70C38B9C-77BC-44E3-827B-4A36228739A9}"/>
    <cellStyle name="%40 - Vurgu5 23" xfId="1931" xr:uid="{1562276E-2A92-46F1-8A37-30046BD7BEAD}"/>
    <cellStyle name="%40 - Vurgu5 24" xfId="1945" xr:uid="{1BEC9233-18B0-49E3-8D47-B53D29879F4B}"/>
    <cellStyle name="%40 - Vurgu5 25" xfId="1959" xr:uid="{C993352A-07C8-4584-91B5-1B972A033A81}"/>
    <cellStyle name="%40 - Vurgu5 26" xfId="1973" xr:uid="{376B39B2-3E5B-4E87-A5FB-1F2704B323ED}"/>
    <cellStyle name="%40 - Vurgu5 27" xfId="1987" xr:uid="{4AB1CFA3-5A4D-4845-A000-64A18AFED749}"/>
    <cellStyle name="%40 - Vurgu5 28" xfId="2001" xr:uid="{E0C5FC66-E415-415A-8626-636F2EB2001F}"/>
    <cellStyle name="%40 - Vurgu5 29" xfId="2042" xr:uid="{07D14EFA-8A6A-433E-B9FD-D366A6D0CED0}"/>
    <cellStyle name="%40 - Vurgu5 3" xfId="198" xr:uid="{2CF1CD74-158B-4E50-BCB6-BFE8497BBEBA}"/>
    <cellStyle name="%40 - Vurgu5 3 2" xfId="259" xr:uid="{D0FA7F87-CA37-48AA-B3B9-78B5F48365F7}"/>
    <cellStyle name="%40 - Vurgu5 3 2 2" xfId="2174" xr:uid="{E6A8ED1E-535F-4724-848E-7A0A8F228C3B}"/>
    <cellStyle name="%40 - Vurgu5 3 3" xfId="473" xr:uid="{76C3683A-518D-49BF-8ECB-F9D3901155AF}"/>
    <cellStyle name="%40 - Vurgu5 3 3 2" xfId="2319" xr:uid="{FF4BEB90-A1CC-4530-A279-D53D8613EA00}"/>
    <cellStyle name="%40 - Vurgu5 3 4" xfId="684" xr:uid="{F1BAB808-5AC0-4122-9140-BE745FC544A4}"/>
    <cellStyle name="%40 - Vurgu5 3 4 2" xfId="2657" xr:uid="{AE59BEAE-CE87-48EE-A8C2-A9FD25B82052}"/>
    <cellStyle name="%40 - Vurgu5 3 5" xfId="889" xr:uid="{79FC44B0-43C2-4A07-8F35-0C7B535948FF}"/>
    <cellStyle name="%40 - Vurgu5 3 5 2" xfId="2798" xr:uid="{CF9F01FA-DD63-4B3E-B629-3350ACD255E7}"/>
    <cellStyle name="%40 - Vurgu5 3 6" xfId="1298" xr:uid="{7A4FC38F-0942-4664-B9C1-3A2A25C40361}"/>
    <cellStyle name="%40 - Vurgu5 30" xfId="2056" xr:uid="{D54638A7-75EA-4BC8-90E3-7688A97E2F68}"/>
    <cellStyle name="%40 - Vurgu5 30 2" xfId="2267" xr:uid="{181E8DD4-45D5-417E-9C3B-B55D6212D2D9}"/>
    <cellStyle name="%40 - Vurgu5 30 2 2" xfId="2474" xr:uid="{AC0D0475-CC82-4E7E-975F-E3EB66908F1F}"/>
    <cellStyle name="%40 - Vurgu5 30 3" xfId="2390" xr:uid="{B1029A29-F7AF-41B3-972A-2B5FB0C1847B}"/>
    <cellStyle name="%40 - Vurgu5 30 4" xfId="2639" xr:uid="{29E29740-6866-4BAA-B14E-067F89EFD2ED}"/>
    <cellStyle name="%40 - Vurgu5 30 5" xfId="2784" xr:uid="{B5615CB6-5BB2-4EF0-A6CE-E3505D23BDEC}"/>
    <cellStyle name="%40 - Vurgu5 30 6" xfId="2909" xr:uid="{23795E8F-BB51-40CB-99E2-EDB719E3C5DE}"/>
    <cellStyle name="%40 - Vurgu5 31" xfId="2140" xr:uid="{90D8A832-6849-4798-8C8F-2887066C72C1}"/>
    <cellStyle name="%40 - Vurgu5 32" xfId="2118" xr:uid="{43316D0E-73B2-4CE3-AE48-DA86B277F4B5}"/>
    <cellStyle name="%40 - Vurgu5 32 2" xfId="2160" xr:uid="{CDE593B2-C11F-4B69-95A0-79C8448DD292}"/>
    <cellStyle name="%40 - Vurgu5 32 2 2" xfId="2409" xr:uid="{4355FFF3-DA8E-451A-A2DD-591A5C99E9C6}"/>
    <cellStyle name="%40 - Vurgu5 32 3" xfId="2305" xr:uid="{8E3239C9-1406-46AB-8BD9-5FDA784405DF}"/>
    <cellStyle name="%40 - Vurgu5 4" xfId="413" xr:uid="{E1F1F164-9B43-462E-BCB5-A57A5F43AF35}"/>
    <cellStyle name="%40 - Vurgu5 4 2" xfId="994" xr:uid="{C40302AE-592F-4D3F-AFC5-D2815A6CE17F}"/>
    <cellStyle name="%40 - Vurgu5 4 2 2" xfId="2193" xr:uid="{95F57189-D7CF-469B-A108-7621F1E38B0D}"/>
    <cellStyle name="%40 - Vurgu5 4 3" xfId="1399" xr:uid="{CD750E07-3B9B-49BA-BACC-3D869679E6CB}"/>
    <cellStyle name="%40 - Vurgu5 4 4" xfId="2755" xr:uid="{A197443E-A309-4D1E-9C22-608AE5A99972}"/>
    <cellStyle name="%40 - Vurgu5 4 5" xfId="2816" xr:uid="{63FFD60C-AF47-4F5B-8B94-055C94FB105A}"/>
    <cellStyle name="%40 - Vurgu5 4 6" xfId="2925" xr:uid="{F9173BE5-4D28-4E65-94D4-3C668838E9E5}"/>
    <cellStyle name="%40 - Vurgu5 5" xfId="624" xr:uid="{3FCE9E54-63D2-4E8F-B41F-8718612E7796}"/>
    <cellStyle name="%40 - Vurgu5 5 2" xfId="1046" xr:uid="{3A2004EB-C037-4338-B110-1D483FD2E78E}"/>
    <cellStyle name="%40 - Vurgu5 5 2 2" xfId="2206" xr:uid="{B619BCBD-AA57-4757-B023-0E68E1ED2150}"/>
    <cellStyle name="%40 - Vurgu5 5 3" xfId="1446" xr:uid="{6216D885-4C69-4EFE-9BC8-131BCD806BA1}"/>
    <cellStyle name="%40 - Vurgu5 5 4" xfId="2705" xr:uid="{D16527E2-054B-4D4D-88B8-9A734632340C}"/>
    <cellStyle name="%40 - Vurgu5 5 5" xfId="2829" xr:uid="{2FD42121-FAAB-494F-AB74-6B5B94EB8098}"/>
    <cellStyle name="%40 - Vurgu5 5 6" xfId="2938" xr:uid="{99E9146F-7847-4B08-A13B-8D4F93BEA49C}"/>
    <cellStyle name="%40 - Vurgu5 6" xfId="831" xr:uid="{1C200B72-5453-418F-A74E-C1039D941A5D}"/>
    <cellStyle name="%40 - Vurgu5 6 2" xfId="1092" xr:uid="{32915C26-264A-447E-A53B-88F9FC8E3701}"/>
    <cellStyle name="%40 - Vurgu5 6 2 2" xfId="2219" xr:uid="{8E62A9DB-CD1C-470C-98B1-B892C9F5D129}"/>
    <cellStyle name="%40 - Vurgu5 6 3" xfId="1489" xr:uid="{E537B35F-F653-4678-ADDB-D8DC3E41609F}"/>
    <cellStyle name="%40 - Vurgu5 6 4" xfId="2674" xr:uid="{9ACF3AE3-AFF0-446D-9F80-FA77144E1E59}"/>
    <cellStyle name="%40 - Vurgu5 6 5" xfId="2842" xr:uid="{E8C4F185-F1C2-4A31-90E9-8FE15F3CAC7B}"/>
    <cellStyle name="%40 - Vurgu5 6 6" xfId="2951" xr:uid="{347D76B1-AF79-4B7E-8F44-5E715392F5EA}"/>
    <cellStyle name="%40 - Vurgu5 7" xfId="1137" xr:uid="{43273116-3114-4E18-9EAB-C010718613ED}"/>
    <cellStyle name="%40 - Vurgu5 7 2" xfId="1534" xr:uid="{BC59405C-DC39-4423-BB98-BDD7E9F812D6}"/>
    <cellStyle name="%40 - Vurgu5 7 2 2" xfId="2423" xr:uid="{2DD6F248-E116-450F-A1AE-FA946C4A91A5}"/>
    <cellStyle name="%40 - Vurgu5 7 3" xfId="2339" xr:uid="{68553CC2-2274-4312-AD9E-32E4B6E13386}"/>
    <cellStyle name="%40 - Vurgu5 7 4" xfId="2717" xr:uid="{648B06C7-E849-40E3-B349-E684E886B045}"/>
    <cellStyle name="%40 - Vurgu5 7 5" xfId="2855" xr:uid="{39F2B2FA-B9E2-43DE-B2A5-63DF8929BE0E}"/>
    <cellStyle name="%40 - Vurgu5 7 6" xfId="2964" xr:uid="{95108879-0E59-44F0-B5B5-9D86D615ED83}"/>
    <cellStyle name="%40 - Vurgu5 8" xfId="1618" xr:uid="{E7B16F2B-6DA7-4A28-92F5-3EFF140EB11F}"/>
    <cellStyle name="%40 - Vurgu5 8 2" xfId="2238" xr:uid="{BDBC530D-A878-48CC-A2BC-8858D2B3C472}"/>
    <cellStyle name="%40 - Vurgu5 8 2 2" xfId="2445" xr:uid="{D90C27FD-B775-4CBB-82C7-A84C888130B4}"/>
    <cellStyle name="%40 - Vurgu5 8 3" xfId="2361" xr:uid="{EE2E6C68-61A4-4572-9070-A69975C27C19}"/>
    <cellStyle name="%40 - Vurgu5 8 4" xfId="2652" xr:uid="{7AAA302E-F71A-4EEF-B3F7-D51B2FE34E25}"/>
    <cellStyle name="%40 - Vurgu5 8 5" xfId="2877" xr:uid="{E19296EE-04EB-442C-BB29-EFFCDB586C9A}"/>
    <cellStyle name="%40 - Vurgu5 8 6" xfId="2985" xr:uid="{B4BAEFBF-C9BB-49EB-95BD-20FAB9D000AE}"/>
    <cellStyle name="%40 - Vurgu5 9" xfId="1660" xr:uid="{33E7E216-D879-46BD-9FFD-9C84E9774A3C}"/>
    <cellStyle name="%40 - Vurgu5 9 2" xfId="2251" xr:uid="{15B85072-8E0A-4D23-B7A7-00020A10DAA5}"/>
    <cellStyle name="%40 - Vurgu5 9 2 2" xfId="2458" xr:uid="{F97C8C87-EA30-42D3-8DC2-6DB01249B043}"/>
    <cellStyle name="%40 - Vurgu5 9 3" xfId="2374" xr:uid="{D30CE153-561D-427D-9C67-2EE77DD02700}"/>
    <cellStyle name="%40 - Vurgu5 9 4" xfId="2766" xr:uid="{801B4736-FD19-4A16-8B52-A559C28957E0}"/>
    <cellStyle name="%40 - Vurgu5 9 5" xfId="2890" xr:uid="{8BD075A0-A661-49E7-A142-0F78CF9CB837}"/>
    <cellStyle name="%40 - Vurgu5 9 6" xfId="2998" xr:uid="{7DE64211-9AF1-4C11-BD4D-DDC28E2AF5AD}"/>
    <cellStyle name="%40 - Vurgu6" xfId="24" builtinId="51" customBuiltin="1"/>
    <cellStyle name="%40 - Vurgu6 10" xfId="1708" xr:uid="{8934AD74-B015-498D-A199-6D066CDC605D}"/>
    <cellStyle name="%40 - Vurgu6 11" xfId="1724" xr:uid="{FF827675-BD4F-46DC-A513-E16DD0C659C9}"/>
    <cellStyle name="%40 - Vurgu6 12" xfId="1738" xr:uid="{6BBB4A22-DFA9-4706-B19B-0B23A8684AFB}"/>
    <cellStyle name="%40 - Vurgu6 13" xfId="1752" xr:uid="{BE820208-226A-46F1-99A1-92D469CD7F71}"/>
    <cellStyle name="%40 - Vurgu6 14" xfId="1766" xr:uid="{699D525E-C124-4D6A-8878-13A54ABD6EB5}"/>
    <cellStyle name="%40 - Vurgu6 15" xfId="1780" xr:uid="{B15E0864-12CC-4104-A4B7-CB3A0C00C5AF}"/>
    <cellStyle name="%40 - Vurgu6 16" xfId="1794" xr:uid="{3C5BDE6B-C168-4389-80E2-7843F54C6529}"/>
    <cellStyle name="%40 - Vurgu6 17" xfId="1808" xr:uid="{D5BBEADB-BFB1-444E-A2FD-22C343CC85AC}"/>
    <cellStyle name="%40 - Vurgu6 18" xfId="1849" xr:uid="{6B0E6541-EB4F-492D-8C0B-3C8E1C4E5416}"/>
    <cellStyle name="%40 - Vurgu6 19" xfId="1242" xr:uid="{B9A6210C-B84B-4133-AC46-0864F07E576B}"/>
    <cellStyle name="%40 - Vurgu6 19 2" xfId="1877" xr:uid="{FD37CEB0-B405-416A-B1D5-763DD22DF006}"/>
    <cellStyle name="%40 - Vurgu6 2" xfId="57" xr:uid="{F0AD05C6-082F-4C56-B1D1-3D6152A24A31}"/>
    <cellStyle name="%40 - Vurgu6 2 2" xfId="120" xr:uid="{1A18CC65-E0A2-47D6-8950-B06ED05AD1B0}"/>
    <cellStyle name="%40 - Vurgu6 2 2 2" xfId="276" xr:uid="{67346237-E01D-43D8-B198-7939B9F1D81D}"/>
    <cellStyle name="%40 - Vurgu6 2 2 3" xfId="490" xr:uid="{F4381AA9-C452-4CF5-BBDC-B2F041C34AC3}"/>
    <cellStyle name="%40 - Vurgu6 2 2 4" xfId="701" xr:uid="{173B8E0F-1F6A-44E6-A18C-4CB9FCD806F4}"/>
    <cellStyle name="%40 - Vurgu6 2 2 5" xfId="906" xr:uid="{736332A4-8D48-4CE6-8579-4552BD002E99}"/>
    <cellStyle name="%40 - Vurgu6 2 2 6" xfId="1315" xr:uid="{6AC45032-CA65-4D3F-9C93-C3CF555A2134}"/>
    <cellStyle name="%40 - Vurgu6 2 3" xfId="335" xr:uid="{126F6FC7-FC53-4B2D-A254-C5F74C5EAB68}"/>
    <cellStyle name="%40 - Vurgu6 2 4" xfId="545" xr:uid="{E6E6B597-4FBA-46DD-B718-9153187C88FA}"/>
    <cellStyle name="%40 - Vurgu6 2 5" xfId="754" xr:uid="{7D8C02C1-30DC-451F-A54E-BDC1A055E64A}"/>
    <cellStyle name="%40 - Vurgu6 2 6" xfId="1160" xr:uid="{8EDFCF0B-9F5B-46F9-BBF3-9B0D47F8745E}"/>
    <cellStyle name="%40 - Vurgu6 20" xfId="1891" xr:uid="{6A1778C5-CC8E-4D3C-9B29-171212451A8B}"/>
    <cellStyle name="%40 - Vurgu6 21" xfId="1905" xr:uid="{56F860F5-4F8E-4C87-9A16-F59A8F68E790}"/>
    <cellStyle name="%40 - Vurgu6 22" xfId="1919" xr:uid="{258CAFFE-E0AD-40FC-8F1B-95DC7F7B9A9E}"/>
    <cellStyle name="%40 - Vurgu6 23" xfId="1933" xr:uid="{033A2E47-15B0-49E8-9180-FB0ADBEADBCE}"/>
    <cellStyle name="%40 - Vurgu6 24" xfId="1947" xr:uid="{EB90C4D9-50B0-4644-9E94-3DB0F65BA74A}"/>
    <cellStyle name="%40 - Vurgu6 25" xfId="1961" xr:uid="{238FF8B5-6B3B-4826-8C48-6782A997511D}"/>
    <cellStyle name="%40 - Vurgu6 26" xfId="1975" xr:uid="{77C7AB17-BD95-43C6-93BC-071E5781DADE}"/>
    <cellStyle name="%40 - Vurgu6 27" xfId="1989" xr:uid="{D477DE63-4654-40D6-A48C-63AA7E670517}"/>
    <cellStyle name="%40 - Vurgu6 28" xfId="2003" xr:uid="{6C4EBA00-9652-479E-A9CA-A5CF5A75735C}"/>
    <cellStyle name="%40 - Vurgu6 29" xfId="2044" xr:uid="{7B669971-DBD1-4ECD-AABE-91206B704A41}"/>
    <cellStyle name="%40 - Vurgu6 3" xfId="202" xr:uid="{76C2B0C6-C1EE-4E14-8DA2-9CDA90066BAC}"/>
    <cellStyle name="%40 - Vurgu6 3 2" xfId="263" xr:uid="{90014FF9-4E08-4558-83E0-E138CC889506}"/>
    <cellStyle name="%40 - Vurgu6 3 2 2" xfId="2176" xr:uid="{85418746-DCAC-470A-BF84-966ABF58403B}"/>
    <cellStyle name="%40 - Vurgu6 3 3" xfId="477" xr:uid="{B9379550-BA47-4463-AE54-99F0FB5D59EE}"/>
    <cellStyle name="%40 - Vurgu6 3 3 2" xfId="2321" xr:uid="{283F1EB1-CF98-4C44-8422-6EBD89FF6DF5}"/>
    <cellStyle name="%40 - Vurgu6 3 4" xfId="688" xr:uid="{3FE59AC7-D6BE-4324-8618-FFB56B73A1C1}"/>
    <cellStyle name="%40 - Vurgu6 3 4 2" xfId="2667" xr:uid="{D63A379C-B8F1-4BB9-8FB8-D24377094090}"/>
    <cellStyle name="%40 - Vurgu6 3 5" xfId="893" xr:uid="{59D1EB1F-9247-456F-80BA-65BC2AF6F304}"/>
    <cellStyle name="%40 - Vurgu6 3 5 2" xfId="2800" xr:uid="{9C2348CD-0000-4486-9AEE-F616B20A08CC}"/>
    <cellStyle name="%40 - Vurgu6 3 6" xfId="1302" xr:uid="{63B116C4-76B1-44DA-A91D-673055A38845}"/>
    <cellStyle name="%40 - Vurgu6 30" xfId="2058" xr:uid="{76D88B14-6FC8-46E9-99C5-A710EC7D20EA}"/>
    <cellStyle name="%40 - Vurgu6 30 2" xfId="2269" xr:uid="{9F19684A-6B73-446E-BD99-93BCA17D48F6}"/>
    <cellStyle name="%40 - Vurgu6 30 2 2" xfId="2476" xr:uid="{5FAB944B-1F85-4674-8B80-9DDB41AEC642}"/>
    <cellStyle name="%40 - Vurgu6 30 3" xfId="2392" xr:uid="{FA50910E-DEC4-48FF-B154-757D91F08F6F}"/>
    <cellStyle name="%40 - Vurgu6 30 4" xfId="2728" xr:uid="{AAF5615D-AF03-4295-ADA8-E202120EC287}"/>
    <cellStyle name="%40 - Vurgu6 30 5" xfId="2786" xr:uid="{841BD155-BCFD-4E7A-B530-E50810A72426}"/>
    <cellStyle name="%40 - Vurgu6 30 6" xfId="2911" xr:uid="{5C0273EA-ED6C-4978-929B-B0F62A0A7A99}"/>
    <cellStyle name="%40 - Vurgu6 31" xfId="2142" xr:uid="{48C746C8-7BDE-46C4-B2AE-174F64A0EBFE}"/>
    <cellStyle name="%40 - Vurgu6 32" xfId="2122" xr:uid="{444E5BF8-0DD8-433C-AB46-19C78B00D6C6}"/>
    <cellStyle name="%40 - Vurgu6 32 2" xfId="2162" xr:uid="{89ACFDFD-FFBB-4CD4-BAA9-2BFB67EEBBB1}"/>
    <cellStyle name="%40 - Vurgu6 32 2 2" xfId="2411" xr:uid="{6C7E7541-1934-402C-9597-382A1C3EEAFB}"/>
    <cellStyle name="%40 - Vurgu6 32 3" xfId="2307" xr:uid="{9B3D932A-E4E8-449A-98F3-5B6FD5343165}"/>
    <cellStyle name="%40 - Vurgu6 4" xfId="417" xr:uid="{75ECD076-0A11-4EA4-8178-95A5DD6C47AC}"/>
    <cellStyle name="%40 - Vurgu6 4 2" xfId="998" xr:uid="{0C869637-A5A0-4E67-9394-AAE25164E6E9}"/>
    <cellStyle name="%40 - Vurgu6 4 2 2" xfId="2195" xr:uid="{C2A3220D-6059-420D-AB34-53C75C8238DB}"/>
    <cellStyle name="%40 - Vurgu6 4 3" xfId="1403" xr:uid="{52E25333-D492-40BD-B3B8-49286EB69F17}"/>
    <cellStyle name="%40 - Vurgu6 4 4" xfId="2713" xr:uid="{605DFF52-BD29-4E96-A4B6-448DDA725B45}"/>
    <cellStyle name="%40 - Vurgu6 4 5" xfId="2818" xr:uid="{73A27C98-C0BF-4AC7-A4C3-CDDE4D4EE8A1}"/>
    <cellStyle name="%40 - Vurgu6 4 6" xfId="2927" xr:uid="{F0A20356-37A0-41B1-870B-B433C23E57F9}"/>
    <cellStyle name="%40 - Vurgu6 5" xfId="628" xr:uid="{EA31F82A-8D80-4F44-BB07-03723B3D948A}"/>
    <cellStyle name="%40 - Vurgu6 5 2" xfId="1050" xr:uid="{D7686FC3-C0DC-463A-82BE-23B4D15E3749}"/>
    <cellStyle name="%40 - Vurgu6 5 2 2" xfId="2208" xr:uid="{816CDAAE-8471-49EA-B9BC-9CB367031C9E}"/>
    <cellStyle name="%40 - Vurgu6 5 3" xfId="1450" xr:uid="{1549DFA5-09A7-4208-9B3A-A870707986A8}"/>
    <cellStyle name="%40 - Vurgu6 5 4" xfId="2694" xr:uid="{BFDF170A-64D5-43E0-BE16-6E678D1E4024}"/>
    <cellStyle name="%40 - Vurgu6 5 5" xfId="2831" xr:uid="{51F4B864-0BCF-4EAC-A8D5-A6AF9E2F5021}"/>
    <cellStyle name="%40 - Vurgu6 5 6" xfId="2940" xr:uid="{078989B7-2E4B-4E7D-86E3-06E1F937898C}"/>
    <cellStyle name="%40 - Vurgu6 6" xfId="835" xr:uid="{16D91446-645E-4C49-8872-3DC999793134}"/>
    <cellStyle name="%40 - Vurgu6 6 2" xfId="1096" xr:uid="{64DAA741-12C0-4500-940B-A4A883F01485}"/>
    <cellStyle name="%40 - Vurgu6 6 2 2" xfId="2221" xr:uid="{DFD0FA75-EA72-41E9-9D36-643CB7EE6989}"/>
    <cellStyle name="%40 - Vurgu6 6 3" xfId="1493" xr:uid="{60267FE2-4E70-427F-938D-4573EABADBDB}"/>
    <cellStyle name="%40 - Vurgu6 6 4" xfId="2651" xr:uid="{05798248-88F0-4CBE-A8E8-A7FBEB8CDED8}"/>
    <cellStyle name="%40 - Vurgu6 6 5" xfId="2844" xr:uid="{F1D0FDBA-32F9-4AC6-A16C-271DDA7A1842}"/>
    <cellStyle name="%40 - Vurgu6 6 6" xfId="2953" xr:uid="{0842314E-1D17-4EE5-B9C4-790F1BAF7BF3}"/>
    <cellStyle name="%40 - Vurgu6 7" xfId="1141" xr:uid="{B5ACF2B1-06C4-40E5-840F-577FC37ECBE7}"/>
    <cellStyle name="%40 - Vurgu6 7 2" xfId="1538" xr:uid="{E1704851-15F9-4B6B-8041-BFBA585BF0AF}"/>
    <cellStyle name="%40 - Vurgu6 7 2 2" xfId="2425" xr:uid="{E3AB3584-319B-430E-BECC-6B072FEDD49E}"/>
    <cellStyle name="%40 - Vurgu6 7 3" xfId="2341" xr:uid="{7CDDB73E-C573-4B45-A063-50795073F9B8}"/>
    <cellStyle name="%40 - Vurgu6 7 4" xfId="2710" xr:uid="{9BA8C104-309E-4D12-9B4E-0AD54F3D7EE1}"/>
    <cellStyle name="%40 - Vurgu6 7 5" xfId="2857" xr:uid="{81D55C0E-3A37-4E38-A185-363D54A2D090}"/>
    <cellStyle name="%40 - Vurgu6 7 6" xfId="2966" xr:uid="{8A1B2EDC-3315-4541-8604-C0B9653A1900}"/>
    <cellStyle name="%40 - Vurgu6 8" xfId="1622" xr:uid="{5B6102D0-5F3C-46A9-9390-9AC9A383EC6F}"/>
    <cellStyle name="%40 - Vurgu6 8 2" xfId="2240" xr:uid="{D8C22120-6F8D-479F-ABEF-B1F259F5E088}"/>
    <cellStyle name="%40 - Vurgu6 8 2 2" xfId="2447" xr:uid="{3B2B4BAF-84CF-46D5-8B28-1DA2729C463F}"/>
    <cellStyle name="%40 - Vurgu6 8 3" xfId="2363" xr:uid="{B669437C-B48B-409C-8DAE-69E294AC92BB}"/>
    <cellStyle name="%40 - Vurgu6 8 4" xfId="2663" xr:uid="{CE9D1028-C842-496E-B330-11FFBA05101F}"/>
    <cellStyle name="%40 - Vurgu6 8 5" xfId="2879" xr:uid="{B0AA6D8A-83A8-43D3-B826-19425C54CB2D}"/>
    <cellStyle name="%40 - Vurgu6 8 6" xfId="2987" xr:uid="{CF14AE48-D35F-41D9-9247-2789E05F4336}"/>
    <cellStyle name="%40 - Vurgu6 9" xfId="1664" xr:uid="{2B4260B7-7449-4CD1-89B9-AA70C6F8C126}"/>
    <cellStyle name="%40 - Vurgu6 9 2" xfId="2253" xr:uid="{3C14F42B-8A63-4713-90E1-FF6F74F08425}"/>
    <cellStyle name="%40 - Vurgu6 9 2 2" xfId="2460" xr:uid="{075A57A5-18C4-4BDE-A215-86C605261AB1}"/>
    <cellStyle name="%40 - Vurgu6 9 3" xfId="2376" xr:uid="{C7F5DC19-F978-4B02-8E8C-1CA4D0F2DFA6}"/>
    <cellStyle name="%40 - Vurgu6 9 4" xfId="2768" xr:uid="{9E47509C-8618-43D6-8A19-A52F54A6226E}"/>
    <cellStyle name="%40 - Vurgu6 9 5" xfId="2892" xr:uid="{383D78BC-80B0-4B9A-9330-38324417A15F}"/>
    <cellStyle name="%40 - Vurgu6 9 6" xfId="3000" xr:uid="{845D0043-8D81-43A1-B545-9C4F8865E785}"/>
    <cellStyle name="%60 - Vurgu1 10" xfId="1689" xr:uid="{26768167-6C52-4347-ADB8-778CD378FC56}"/>
    <cellStyle name="%60 - Vurgu1 11" xfId="1830" xr:uid="{1BA32E5A-2EA8-4935-8082-F72C097D23AD}"/>
    <cellStyle name="%60 - Vurgu1 12" xfId="1223" xr:uid="{EFE899D5-C45D-40A2-814A-DE62EE57D2A0}"/>
    <cellStyle name="%60 - Vurgu1 13" xfId="2103" xr:uid="{B6E8D67B-F163-4C34-A5F7-553866B4CD67}"/>
    <cellStyle name="%60 - Vurgu1 2" xfId="58" xr:uid="{BAD7E0FA-FCE7-47C6-80A9-AA4F44BA9C9F}"/>
    <cellStyle name="%60 - Vurgu1 2 2" xfId="121" xr:uid="{2C2643D3-842D-479A-9EAE-E912BE98F95E}"/>
    <cellStyle name="%60 - Vurgu1 2 2 2" xfId="277" xr:uid="{2B012AA2-5875-4076-96EA-1A21012CF318}"/>
    <cellStyle name="%60 - Vurgu1 2 2 3" xfId="491" xr:uid="{7859DD97-8024-4113-86C5-B136831350C8}"/>
    <cellStyle name="%60 - Vurgu1 2 2 4" xfId="702" xr:uid="{1455289C-EF56-43E8-B698-09003A5B6D32}"/>
    <cellStyle name="%60 - Vurgu1 2 2 5" xfId="907" xr:uid="{7FFEED58-07E8-4465-856E-803D1E4BC099}"/>
    <cellStyle name="%60 - Vurgu1 2 2 6" xfId="1316" xr:uid="{E9C00CF2-3693-411B-BC5A-DE5510948923}"/>
    <cellStyle name="%60 - Vurgu1 2 3" xfId="336" xr:uid="{F26A3522-5DEC-4824-8F8D-691B57A00151}"/>
    <cellStyle name="%60 - Vurgu1 2 4" xfId="546" xr:uid="{119DE1F3-E056-4E84-BFED-103F21C0CA69}"/>
    <cellStyle name="%60 - Vurgu1 2 5" xfId="755" xr:uid="{54FF233E-D355-417C-BD2C-A388BB31252F}"/>
    <cellStyle name="%60 - Vurgu1 2 6" xfId="1161" xr:uid="{18261989-538E-450B-8EAA-61ABC4204A64}"/>
    <cellStyle name="%60 - Vurgu1 3" xfId="183" xr:uid="{A1107525-CD29-4099-B932-DCE3DA411483}"/>
    <cellStyle name="%60 - Vurgu1 3 2" xfId="244" xr:uid="{864996FA-F3D8-479B-B4B7-591A1FAE633C}"/>
    <cellStyle name="%60 - Vurgu1 3 3" xfId="458" xr:uid="{D63083FC-15B8-4CBB-A96C-66EAC1A48393}"/>
    <cellStyle name="%60 - Vurgu1 3 4" xfId="669" xr:uid="{937B5729-E9AA-4231-A2CF-A01B056937EE}"/>
    <cellStyle name="%60 - Vurgu1 3 5" xfId="874" xr:uid="{AF629091-704E-41AB-AA6A-91E31FE6C38E}"/>
    <cellStyle name="%60 - Vurgu1 3 6" xfId="1283" xr:uid="{2FF5704D-BB07-4A55-907F-6B5211A82D9D}"/>
    <cellStyle name="%60 - Vurgu1 4" xfId="398" xr:uid="{284D026D-EFD4-4C79-B828-BC89EB8F6C4E}"/>
    <cellStyle name="%60 - Vurgu1 4 2" xfId="979" xr:uid="{9775B825-76AA-428C-83EB-297DC7F93F08}"/>
    <cellStyle name="%60 - Vurgu1 4 3" xfId="1384" xr:uid="{BB427248-CE8B-48F4-8563-C7AF64F143B3}"/>
    <cellStyle name="%60 - Vurgu1 5" xfId="609" xr:uid="{C5C5999C-4DC9-430D-8B73-8B1C8BB1DFF7}"/>
    <cellStyle name="%60 - Vurgu1 5 2" xfId="1031" xr:uid="{A48D2A77-A11B-44F5-A455-0244D95DFF2F}"/>
    <cellStyle name="%60 - Vurgu1 5 3" xfId="1431" xr:uid="{E3BB93EC-A7CF-42B9-A40A-EACFB8D43721}"/>
    <cellStyle name="%60 - Vurgu1 6" xfId="816" xr:uid="{4DA027C0-5E9D-4195-96D9-9B868938932F}"/>
    <cellStyle name="%60 - Vurgu1 6 2" xfId="1077" xr:uid="{B037C960-3EAA-4AE7-A710-83CA0DA26652}"/>
    <cellStyle name="%60 - Vurgu1 6 3" xfId="1474" xr:uid="{ACFC1726-CAFC-4156-8C0E-C309753E0F4B}"/>
    <cellStyle name="%60 - Vurgu1 7" xfId="1122" xr:uid="{11554A42-9FF3-4A77-AC0A-626DDF56C83F}"/>
    <cellStyle name="%60 - Vurgu1 7 2" xfId="1519" xr:uid="{DDEE037B-1B5F-4686-BA59-43B98DF64743}"/>
    <cellStyle name="%60 - Vurgu1 8" xfId="1603" xr:uid="{6BD8C53A-F944-48C4-A69E-2B1170F0E5B3}"/>
    <cellStyle name="%60 - Vurgu1 9" xfId="1645" xr:uid="{E3308C67-1AC7-4D55-8D0C-DE26E012ADF9}"/>
    <cellStyle name="%60 - Vurgu2 10" xfId="1693" xr:uid="{AC2168C3-1E37-41D0-AAD9-713872300830}"/>
    <cellStyle name="%60 - Vurgu2 11" xfId="1834" xr:uid="{523814AB-85A6-4407-9C4C-D146C6848C90}"/>
    <cellStyle name="%60 - Vurgu2 12" xfId="1227" xr:uid="{B695B105-439C-465D-BAAB-3321A1DF361D}"/>
    <cellStyle name="%60 - Vurgu2 13" xfId="2107" xr:uid="{633A3046-93DB-47C2-A8A8-37DBCDE4F138}"/>
    <cellStyle name="%60 - Vurgu2 2" xfId="59" xr:uid="{9C0F614C-5208-4D54-B143-424A76787188}"/>
    <cellStyle name="%60 - Vurgu2 2 2" xfId="122" xr:uid="{197100D6-19A0-4D3B-86D4-B6DA0DC7F9D6}"/>
    <cellStyle name="%60 - Vurgu2 2 2 2" xfId="278" xr:uid="{535608E8-9CD3-4431-9909-CD7D85A746F9}"/>
    <cellStyle name="%60 - Vurgu2 2 2 3" xfId="492" xr:uid="{62738491-1A49-4F1C-A88E-50B23701EC95}"/>
    <cellStyle name="%60 - Vurgu2 2 2 4" xfId="703" xr:uid="{7DC2729E-2A5D-401F-A676-AA9BDD348BD0}"/>
    <cellStyle name="%60 - Vurgu2 2 2 5" xfId="908" xr:uid="{6AC190CD-1FF8-4BE2-9A18-D7DC70BE33EC}"/>
    <cellStyle name="%60 - Vurgu2 2 2 6" xfId="1317" xr:uid="{A0408664-EB25-45AC-971E-38540D310A6D}"/>
    <cellStyle name="%60 - Vurgu2 2 3" xfId="337" xr:uid="{9E227F45-4726-49D4-AFB5-8C2FD50492F0}"/>
    <cellStyle name="%60 - Vurgu2 2 4" xfId="547" xr:uid="{DD4233F3-1D6A-4B11-8866-43C81FA1502B}"/>
    <cellStyle name="%60 - Vurgu2 2 5" xfId="756" xr:uid="{E3AD9F5E-3A8B-4F68-9820-3D571B3335A3}"/>
    <cellStyle name="%60 - Vurgu2 2 6" xfId="1162" xr:uid="{E6C9B311-81A2-4FC0-9FC8-BD6CACC40928}"/>
    <cellStyle name="%60 - Vurgu2 3" xfId="187" xr:uid="{B5B178C1-1EA9-4257-A9CE-5B72AD5E6DCF}"/>
    <cellStyle name="%60 - Vurgu2 3 2" xfId="248" xr:uid="{D1B25056-E230-4B55-9F8A-3F6885411B2D}"/>
    <cellStyle name="%60 - Vurgu2 3 3" xfId="462" xr:uid="{EC9E3D0A-E69D-40C1-90F0-871F1A1A2F69}"/>
    <cellStyle name="%60 - Vurgu2 3 4" xfId="673" xr:uid="{96C90ACB-0D37-4E7E-B186-E2FDEBB1C470}"/>
    <cellStyle name="%60 - Vurgu2 3 5" xfId="878" xr:uid="{193A25BB-ED60-4E62-AC47-36567440E764}"/>
    <cellStyle name="%60 - Vurgu2 3 6" xfId="1287" xr:uid="{A4AD24E7-0FF2-488F-9889-B1D2EE856B0C}"/>
    <cellStyle name="%60 - Vurgu2 4" xfId="402" xr:uid="{8E434FBF-8EC3-45DF-AE7E-49089BCDDAC6}"/>
    <cellStyle name="%60 - Vurgu2 4 2" xfId="983" xr:uid="{F7A9C609-EBB6-4954-B491-DD3723E87708}"/>
    <cellStyle name="%60 - Vurgu2 4 3" xfId="1388" xr:uid="{8DFC5013-3CFF-4C6E-AC30-1F183AC6C5AB}"/>
    <cellStyle name="%60 - Vurgu2 5" xfId="613" xr:uid="{4AFC15FB-6246-452F-B226-36666B646F6D}"/>
    <cellStyle name="%60 - Vurgu2 5 2" xfId="1035" xr:uid="{3B7B6308-17B5-4B96-AA2C-8FD5A8A607D7}"/>
    <cellStyle name="%60 - Vurgu2 5 3" xfId="1435" xr:uid="{929562D1-4BEB-4C9A-9AD0-A7F127939191}"/>
    <cellStyle name="%60 - Vurgu2 6" xfId="820" xr:uid="{FE3C7E0B-E54A-4D2D-9F7F-77240F9A47AD}"/>
    <cellStyle name="%60 - Vurgu2 6 2" xfId="1081" xr:uid="{7CD4DE0B-21E6-4FFB-ABC5-E0DD2AB1F478}"/>
    <cellStyle name="%60 - Vurgu2 6 3" xfId="1478" xr:uid="{1F2244FA-EDE3-440E-B8EE-081C43E3E8EF}"/>
    <cellStyle name="%60 - Vurgu2 7" xfId="1126" xr:uid="{BDAB6229-D457-4EE0-890C-5176C22B06E5}"/>
    <cellStyle name="%60 - Vurgu2 7 2" xfId="1523" xr:uid="{F33C1E12-8C84-4DEF-9E2A-70A5DA39710A}"/>
    <cellStyle name="%60 - Vurgu2 8" xfId="1607" xr:uid="{0C6AC411-58F7-4325-923E-1950ED8259E7}"/>
    <cellStyle name="%60 - Vurgu2 9" xfId="1649" xr:uid="{2DAE489D-252D-4468-95C1-B9045E97CF94}"/>
    <cellStyle name="%60 - Vurgu3 10" xfId="1697" xr:uid="{4D879345-D2E4-476B-AAA4-98FC32D1021C}"/>
    <cellStyle name="%60 - Vurgu3 11" xfId="1838" xr:uid="{2F61106E-DBAE-4E00-91C3-EF24C93FABC7}"/>
    <cellStyle name="%60 - Vurgu3 12" xfId="1231" xr:uid="{C17FD65A-618B-4F56-87C8-EF3D8988F35B}"/>
    <cellStyle name="%60 - Vurgu3 13" xfId="2111" xr:uid="{3F863D78-31DD-403C-A38E-B221E7B1909C}"/>
    <cellStyle name="%60 - Vurgu3 2" xfId="60" xr:uid="{0FD35D65-DE08-4A41-B782-00441C1092D8}"/>
    <cellStyle name="%60 - Vurgu3 2 2" xfId="123" xr:uid="{455732BB-2135-40C8-80DB-F19E104B654A}"/>
    <cellStyle name="%60 - Vurgu3 2 2 2" xfId="279" xr:uid="{EB91067F-E7A3-44AA-967D-C6558645B77C}"/>
    <cellStyle name="%60 - Vurgu3 2 2 3" xfId="493" xr:uid="{C79ED9CF-CA10-44ED-93F0-DCE1DCAACDBA}"/>
    <cellStyle name="%60 - Vurgu3 2 2 4" xfId="704" xr:uid="{EFA4E672-404A-428E-9694-E62985FFC32A}"/>
    <cellStyle name="%60 - Vurgu3 2 2 5" xfId="909" xr:uid="{5A88B352-D0A8-4232-A050-E4D69AE0123C}"/>
    <cellStyle name="%60 - Vurgu3 2 2 6" xfId="1318" xr:uid="{99B6E941-663E-4698-957E-53F7B39C2B8C}"/>
    <cellStyle name="%60 - Vurgu3 2 3" xfId="338" xr:uid="{2D71BF95-0034-405F-A73C-4BFABB554030}"/>
    <cellStyle name="%60 - Vurgu3 2 4" xfId="548" xr:uid="{D55A9733-585B-4CE1-9245-12D73D774867}"/>
    <cellStyle name="%60 - Vurgu3 2 5" xfId="757" xr:uid="{3FEDBFE8-9053-4DF7-A097-48513B608AA2}"/>
    <cellStyle name="%60 - Vurgu3 2 6" xfId="1163" xr:uid="{8AAF0057-3AF1-46EA-9C27-3E1D432A1210}"/>
    <cellStyle name="%60 - Vurgu3 3" xfId="191" xr:uid="{4499CF01-BCED-496E-BCDB-FADCF79AD8B8}"/>
    <cellStyle name="%60 - Vurgu3 3 2" xfId="252" xr:uid="{8BA235EA-2031-4D17-AB92-CF410294DAB8}"/>
    <cellStyle name="%60 - Vurgu3 3 3" xfId="466" xr:uid="{5EDE4F3F-F397-4ED0-84DC-CB252D219131}"/>
    <cellStyle name="%60 - Vurgu3 3 4" xfId="677" xr:uid="{8C675FA5-7709-4AC4-9F8B-0AD7CB3F86DF}"/>
    <cellStyle name="%60 - Vurgu3 3 5" xfId="882" xr:uid="{20FA5997-9755-4F7F-A887-50CE4056DB3B}"/>
    <cellStyle name="%60 - Vurgu3 3 6" xfId="1291" xr:uid="{CD198CF4-B766-4B27-AC50-0B1B0B42F968}"/>
    <cellStyle name="%60 - Vurgu3 4" xfId="406" xr:uid="{B0A22347-4482-4BA9-BDDA-110B4C0B3F89}"/>
    <cellStyle name="%60 - Vurgu3 4 2" xfId="987" xr:uid="{F0CDABE7-3B33-42D3-AB0D-CB5E085FF87B}"/>
    <cellStyle name="%60 - Vurgu3 4 3" xfId="1392" xr:uid="{BE0D1F16-5EED-4BD5-9C9F-4BCF82E72820}"/>
    <cellStyle name="%60 - Vurgu3 5" xfId="617" xr:uid="{BD17D48C-0342-4272-8968-0AC7894DD432}"/>
    <cellStyle name="%60 - Vurgu3 5 2" xfId="1039" xr:uid="{D1B3B21E-79C3-4474-81DC-960A725D81EB}"/>
    <cellStyle name="%60 - Vurgu3 5 3" xfId="1439" xr:uid="{3F9578CF-E225-441E-9DC5-DC9D4CBC3175}"/>
    <cellStyle name="%60 - Vurgu3 6" xfId="824" xr:uid="{005F555D-4003-4219-8002-41C1D546E8D7}"/>
    <cellStyle name="%60 - Vurgu3 6 2" xfId="1085" xr:uid="{2FA2236B-247F-41B5-B4E1-898B4183FAF9}"/>
    <cellStyle name="%60 - Vurgu3 6 3" xfId="1482" xr:uid="{41372E80-493A-4047-BF64-B28F83D669ED}"/>
    <cellStyle name="%60 - Vurgu3 7" xfId="1130" xr:uid="{42DEC750-227D-40ED-9536-9139D3E30955}"/>
    <cellStyle name="%60 - Vurgu3 7 2" xfId="1527" xr:uid="{AAB86C8D-92CF-427D-A2C0-483247F68784}"/>
    <cellStyle name="%60 - Vurgu3 8" xfId="1611" xr:uid="{09C81586-AB66-473D-8C09-FF05F9F77D33}"/>
    <cellStyle name="%60 - Vurgu3 9" xfId="1653" xr:uid="{8166DA5B-F238-48F8-9679-54AD63D8CFCC}"/>
    <cellStyle name="%60 - Vurgu4 10" xfId="1701" xr:uid="{1B9FCB38-E637-4B4E-801F-4448577BC24D}"/>
    <cellStyle name="%60 - Vurgu4 11" xfId="1842" xr:uid="{ED58BA55-71B6-41E1-9C5C-F0E1C9E9D0D3}"/>
    <cellStyle name="%60 - Vurgu4 12" xfId="1235" xr:uid="{47F3D81D-A887-4615-8A98-7AC11AD553EF}"/>
    <cellStyle name="%60 - Vurgu4 13" xfId="2115" xr:uid="{A19E054A-0B23-40E7-9593-94278CF9DC88}"/>
    <cellStyle name="%60 - Vurgu4 2" xfId="61" xr:uid="{3C8A6BEA-789A-4A90-9C7B-0167448FE0FC}"/>
    <cellStyle name="%60 - Vurgu4 2 2" xfId="124" xr:uid="{1D0F43EA-E1A2-4F8D-A63D-317BD7C022AC}"/>
    <cellStyle name="%60 - Vurgu4 2 2 2" xfId="280" xr:uid="{83897E7E-E8C2-4854-910A-23D3C65702CE}"/>
    <cellStyle name="%60 - Vurgu4 2 2 3" xfId="494" xr:uid="{A5F9B0C2-1279-4672-88D9-FF00B52B6D90}"/>
    <cellStyle name="%60 - Vurgu4 2 2 4" xfId="705" xr:uid="{772AB2F2-68CC-4346-BCD8-2835ED6B0DFB}"/>
    <cellStyle name="%60 - Vurgu4 2 2 5" xfId="910" xr:uid="{36552FFC-1969-4A3E-80E6-6B40C373299D}"/>
    <cellStyle name="%60 - Vurgu4 2 2 6" xfId="1319" xr:uid="{E5F716DA-7F1A-42EE-AB44-6AAAFF8BB665}"/>
    <cellStyle name="%60 - Vurgu4 2 3" xfId="339" xr:uid="{009944A0-1318-4E2D-B98C-69A0AE9C79CE}"/>
    <cellStyle name="%60 - Vurgu4 2 4" xfId="549" xr:uid="{EA374726-7648-445F-9054-27F964AB6059}"/>
    <cellStyle name="%60 - Vurgu4 2 5" xfId="758" xr:uid="{F60A4AC9-0AB4-4471-ADF8-7D62A8CA7B51}"/>
    <cellStyle name="%60 - Vurgu4 2 6" xfId="1164" xr:uid="{B8215F39-1488-4E88-B3C2-81220A0A01EE}"/>
    <cellStyle name="%60 - Vurgu4 3" xfId="195" xr:uid="{67324F8F-2D35-4625-BF6D-9EF60E84F029}"/>
    <cellStyle name="%60 - Vurgu4 3 2" xfId="256" xr:uid="{EE5B78A5-F5C3-4B53-A760-A9ACF62CD1F3}"/>
    <cellStyle name="%60 - Vurgu4 3 3" xfId="470" xr:uid="{AE035DBE-D294-4B5A-8AD5-2F1E4B650F22}"/>
    <cellStyle name="%60 - Vurgu4 3 4" xfId="681" xr:uid="{19C258CF-3595-405A-93D9-7663D8303AE7}"/>
    <cellStyle name="%60 - Vurgu4 3 5" xfId="886" xr:uid="{D37FE969-CD8B-4C62-BE01-043806D4E9FC}"/>
    <cellStyle name="%60 - Vurgu4 3 6" xfId="1295" xr:uid="{65157C44-92B0-41FD-BED3-2D0091C375D6}"/>
    <cellStyle name="%60 - Vurgu4 4" xfId="410" xr:uid="{273C4F9F-17C6-4979-9B3C-9BF31050968A}"/>
    <cellStyle name="%60 - Vurgu4 4 2" xfId="991" xr:uid="{6DBD2FC2-9CD3-4CD1-8C3F-314C0EEAB36D}"/>
    <cellStyle name="%60 - Vurgu4 4 3" xfId="1396" xr:uid="{FEF115B1-C8CC-462B-B88E-4BF2EBF4240B}"/>
    <cellStyle name="%60 - Vurgu4 5" xfId="621" xr:uid="{A9669A16-DF99-4B61-917C-FAC0D4A3B876}"/>
    <cellStyle name="%60 - Vurgu4 5 2" xfId="1043" xr:uid="{B1D7DA32-BDF1-46D2-9489-CBF323410960}"/>
    <cellStyle name="%60 - Vurgu4 5 3" xfId="1443" xr:uid="{97DAB389-CBF0-4B25-9ED6-3F9C8CD93D41}"/>
    <cellStyle name="%60 - Vurgu4 6" xfId="828" xr:uid="{8AA13C46-1FD0-44C0-B7B8-837CE52D2247}"/>
    <cellStyle name="%60 - Vurgu4 6 2" xfId="1089" xr:uid="{B212C0AC-8A8F-4415-9DF5-04E1ACBB6D3C}"/>
    <cellStyle name="%60 - Vurgu4 6 3" xfId="1486" xr:uid="{8ED1E3D4-B7AD-4DDB-9953-8A4D04913A1C}"/>
    <cellStyle name="%60 - Vurgu4 7" xfId="1134" xr:uid="{179DB24E-273D-4207-A069-08DB3FA3012F}"/>
    <cellStyle name="%60 - Vurgu4 7 2" xfId="1531" xr:uid="{C376016F-FE1B-4A7B-8598-B4224909DE9C}"/>
    <cellStyle name="%60 - Vurgu4 8" xfId="1615" xr:uid="{8D30F80B-83CC-4DF0-A939-D835AA7D01EB}"/>
    <cellStyle name="%60 - Vurgu4 9" xfId="1657" xr:uid="{73B52A30-7257-44A7-AB11-A451147AAE5B}"/>
    <cellStyle name="%60 - Vurgu5 10" xfId="1705" xr:uid="{19091165-1E8E-4492-B507-E32517D11B61}"/>
    <cellStyle name="%60 - Vurgu5 11" xfId="1846" xr:uid="{D5402082-3CBB-49AB-81D9-87D7D75D1165}"/>
    <cellStyle name="%60 - Vurgu5 12" xfId="1239" xr:uid="{152CA341-1F88-48A3-A43B-608CF97BCD00}"/>
    <cellStyle name="%60 - Vurgu5 13" xfId="2119" xr:uid="{630E2130-29A9-4B1D-9651-98C9E98D38ED}"/>
    <cellStyle name="%60 - Vurgu5 2" xfId="62" xr:uid="{2B20B30A-6279-407B-A7AC-415B4EC19A16}"/>
    <cellStyle name="%60 - Vurgu5 2 2" xfId="125" xr:uid="{6C0E4DCE-C2D3-4B2D-86AC-03639DD850BD}"/>
    <cellStyle name="%60 - Vurgu5 2 2 2" xfId="281" xr:uid="{37B72625-58D7-45D0-B766-1DDE5765CF9B}"/>
    <cellStyle name="%60 - Vurgu5 2 2 3" xfId="495" xr:uid="{B05EBC55-9B69-484B-B1F5-CC631B157F4F}"/>
    <cellStyle name="%60 - Vurgu5 2 2 4" xfId="706" xr:uid="{6A221BBD-E4BA-4523-8802-AB426E2F941C}"/>
    <cellStyle name="%60 - Vurgu5 2 2 5" xfId="911" xr:uid="{C00DC185-B543-427B-BC34-70C3676098C0}"/>
    <cellStyle name="%60 - Vurgu5 2 2 6" xfId="1320" xr:uid="{ED23097C-4AD8-41A9-8654-8835B627B8A7}"/>
    <cellStyle name="%60 - Vurgu5 2 3" xfId="340" xr:uid="{4D3EB7B8-A0C3-4A10-BEA8-6F947AA82E92}"/>
    <cellStyle name="%60 - Vurgu5 2 4" xfId="550" xr:uid="{12425B75-7DEC-47D0-8CC6-C51508D71F97}"/>
    <cellStyle name="%60 - Vurgu5 2 5" xfId="759" xr:uid="{124C9F52-F01B-411A-A0CC-5FE81E12ABDF}"/>
    <cellStyle name="%60 - Vurgu5 2 6" xfId="1165" xr:uid="{00AC20EA-CDC0-472A-B055-90009E8F9678}"/>
    <cellStyle name="%60 - Vurgu5 3" xfId="199" xr:uid="{81E41C92-A1B3-4715-BC3D-B1B876BF1DD4}"/>
    <cellStyle name="%60 - Vurgu5 3 2" xfId="260" xr:uid="{DD9C8FBE-D63B-4BE7-97FF-74C1AC99BD0F}"/>
    <cellStyle name="%60 - Vurgu5 3 3" xfId="474" xr:uid="{DB6C6BB4-DEB0-4B05-80E6-1420B12D134C}"/>
    <cellStyle name="%60 - Vurgu5 3 4" xfId="685" xr:uid="{06A92CB3-0347-4224-B7ED-95FB5E50DCE8}"/>
    <cellStyle name="%60 - Vurgu5 3 5" xfId="890" xr:uid="{484612BE-094E-4BE1-A000-A43F130F7EFB}"/>
    <cellStyle name="%60 - Vurgu5 3 6" xfId="1299" xr:uid="{1B9CFE0D-00D2-4261-A5B1-D95273348A7F}"/>
    <cellStyle name="%60 - Vurgu5 4" xfId="414" xr:uid="{D6B6B594-B72C-4FFF-91D4-9D3E7F71166C}"/>
    <cellStyle name="%60 - Vurgu5 4 2" xfId="995" xr:uid="{48BEF664-A9CF-4D2A-9EDB-7BD6F9D76052}"/>
    <cellStyle name="%60 - Vurgu5 4 3" xfId="1400" xr:uid="{63F31913-8F92-4682-AA72-FF0EFE307855}"/>
    <cellStyle name="%60 - Vurgu5 5" xfId="625" xr:uid="{B42AA74E-214F-4278-A5A7-5D94EAE84E38}"/>
    <cellStyle name="%60 - Vurgu5 5 2" xfId="1047" xr:uid="{4309A467-FD67-4ACD-A2C0-699A41A67FB1}"/>
    <cellStyle name="%60 - Vurgu5 5 3" xfId="1447" xr:uid="{9CBD6649-5ABA-4440-B78B-7D81DB55C1AD}"/>
    <cellStyle name="%60 - Vurgu5 6" xfId="832" xr:uid="{8D3A0E43-A300-463B-8ED3-F9F238B658E4}"/>
    <cellStyle name="%60 - Vurgu5 6 2" xfId="1093" xr:uid="{35BDAE5D-9856-466A-9689-8EC67194A35E}"/>
    <cellStyle name="%60 - Vurgu5 6 3" xfId="1490" xr:uid="{90C2DC90-9263-406B-B914-3DABD153B1C5}"/>
    <cellStyle name="%60 - Vurgu5 7" xfId="1138" xr:uid="{482E31A4-B403-4B65-B134-FF6E095898E2}"/>
    <cellStyle name="%60 - Vurgu5 7 2" xfId="1535" xr:uid="{FB2B2D2C-ADE8-4750-8BC7-CA09EDBC3147}"/>
    <cellStyle name="%60 - Vurgu5 8" xfId="1619" xr:uid="{145C9FC7-8466-4988-B3FE-CDF23C0C8CFF}"/>
    <cellStyle name="%60 - Vurgu5 9" xfId="1661" xr:uid="{F50DAB55-43FD-4FEB-A8F9-E45AB6F3B8F4}"/>
    <cellStyle name="%60 - Vurgu6 10" xfId="1709" xr:uid="{430C25BC-360B-4AAD-9A44-6D43D51E26C2}"/>
    <cellStyle name="%60 - Vurgu6 11" xfId="1850" xr:uid="{718A62C3-3B79-4E97-A211-EA82C2B3C9A0}"/>
    <cellStyle name="%60 - Vurgu6 12" xfId="1243" xr:uid="{2B10F542-BECA-4D5C-9B8C-508C73CE33CF}"/>
    <cellStyle name="%60 - Vurgu6 13" xfId="2123" xr:uid="{D0BBEADC-D3F8-4ECC-BB8C-1801D24C5196}"/>
    <cellStyle name="%60 - Vurgu6 2" xfId="63" xr:uid="{787C9C91-B31E-456E-B885-767E91A53CF9}"/>
    <cellStyle name="%60 - Vurgu6 2 2" xfId="126" xr:uid="{F3F42971-C16F-4911-A162-6D2BBE5E112C}"/>
    <cellStyle name="%60 - Vurgu6 2 2 2" xfId="282" xr:uid="{2296B3F8-8AA1-43A3-B06E-842B4029EA27}"/>
    <cellStyle name="%60 - Vurgu6 2 2 3" xfId="496" xr:uid="{6920BEC8-89B6-4FFA-B78B-DC3682691EEF}"/>
    <cellStyle name="%60 - Vurgu6 2 2 4" xfId="707" xr:uid="{62DD3633-2868-4A4D-A7F1-087B5C43D082}"/>
    <cellStyle name="%60 - Vurgu6 2 2 5" xfId="912" xr:uid="{502F82AD-43D0-4E2B-8EE7-E0F5B276D867}"/>
    <cellStyle name="%60 - Vurgu6 2 2 6" xfId="1321" xr:uid="{40282CA3-BF6D-46A3-A9CC-68DBEA116BD4}"/>
    <cellStyle name="%60 - Vurgu6 2 3" xfId="341" xr:uid="{BB0F835F-9CEA-423C-9A58-A5BF188EAE99}"/>
    <cellStyle name="%60 - Vurgu6 2 4" xfId="551" xr:uid="{36FBA36C-0D3D-4020-924A-8A3801AE0FD2}"/>
    <cellStyle name="%60 - Vurgu6 2 5" xfId="760" xr:uid="{0AC16817-5574-4CEE-A429-C8276CB8E01E}"/>
    <cellStyle name="%60 - Vurgu6 2 6" xfId="1166" xr:uid="{6513372E-BA32-4296-9985-8DAD68F0429F}"/>
    <cellStyle name="%60 - Vurgu6 3" xfId="203" xr:uid="{5EFB06EB-3DA8-47AD-88D2-F11C470DFE66}"/>
    <cellStyle name="%60 - Vurgu6 3 2" xfId="264" xr:uid="{D82808C4-1BE2-456B-B047-8FE99829110B}"/>
    <cellStyle name="%60 - Vurgu6 3 3" xfId="478" xr:uid="{05772517-2694-4385-A235-216F3BB6DBEA}"/>
    <cellStyle name="%60 - Vurgu6 3 4" xfId="689" xr:uid="{8BFAD08C-DABF-44E6-BDA0-D59BD50768AD}"/>
    <cellStyle name="%60 - Vurgu6 3 5" xfId="894" xr:uid="{126789AF-264C-4C5B-AAA2-BAA165D01151}"/>
    <cellStyle name="%60 - Vurgu6 3 6" xfId="1303" xr:uid="{42368095-28C0-4B2F-BADC-2ACFCFEEE14B}"/>
    <cellStyle name="%60 - Vurgu6 4" xfId="418" xr:uid="{4270EEB3-0CA4-4603-AFCB-B369A485D745}"/>
    <cellStyle name="%60 - Vurgu6 4 2" xfId="999" xr:uid="{0A0CFD7A-D104-42F1-83FC-9E6DD8EB692B}"/>
    <cellStyle name="%60 - Vurgu6 4 3" xfId="1404" xr:uid="{A85AFD7D-0E3C-4ED6-A87A-F3D07F180D6B}"/>
    <cellStyle name="%60 - Vurgu6 5" xfId="629" xr:uid="{6B9F7D94-061D-42F1-B722-20A3A3EC79E5}"/>
    <cellStyle name="%60 - Vurgu6 5 2" xfId="1051" xr:uid="{F46C1056-90DA-4C97-B887-C0593D125EAC}"/>
    <cellStyle name="%60 - Vurgu6 5 3" xfId="1451" xr:uid="{7038319A-9418-4782-BE64-8CD09D161987}"/>
    <cellStyle name="%60 - Vurgu6 6" xfId="836" xr:uid="{BDBF4D60-5A62-43EF-BED0-C288EE9DA8E4}"/>
    <cellStyle name="%60 - Vurgu6 6 2" xfId="1097" xr:uid="{5C7DC725-E413-4236-9DB6-C3EBD02AC018}"/>
    <cellStyle name="%60 - Vurgu6 6 3" xfId="1494" xr:uid="{A9A358CC-0F64-494A-8D52-0E3B3ED9BF3B}"/>
    <cellStyle name="%60 - Vurgu6 7" xfId="1142" xr:uid="{52517CA2-BB7E-43D2-9190-A5C148567016}"/>
    <cellStyle name="%60 - Vurgu6 7 2" xfId="1539" xr:uid="{EFB011DC-C373-4DD6-BB2D-DB3E72250C8E}"/>
    <cellStyle name="%60 - Vurgu6 8" xfId="1623" xr:uid="{F992B7D1-6C8A-4C90-A364-0FC61B26A95B}"/>
    <cellStyle name="%60 - Vurgu6 9" xfId="1665" xr:uid="{EDD48B97-8968-417C-B4D9-50F17C156C2D}"/>
    <cellStyle name="60% - Accent1 2" xfId="2272" xr:uid="{CF21BAFA-8489-4E91-864C-500A5A7640B6}"/>
    <cellStyle name="60% - Accent2 2" xfId="2273" xr:uid="{84F19848-D9B1-419E-A400-D01B6D869EF1}"/>
    <cellStyle name="60% - Accent3 2" xfId="2274" xr:uid="{375DF1B4-CCF0-4C15-9BFB-A48E5DE20C9F}"/>
    <cellStyle name="60% - Accent4 2" xfId="2275" xr:uid="{1D7573D3-9B2B-4657-BACE-6D4012B2B6A8}"/>
    <cellStyle name="60% - Accent5 2" xfId="2276" xr:uid="{78871537-1E65-469C-8180-FF43F0941552}"/>
    <cellStyle name="60% - Accent6 2" xfId="2277" xr:uid="{8462C9A4-788D-4C3B-81B6-7F7E8B18EB1E}"/>
    <cellStyle name="Accent1 2" xfId="40" xr:uid="{EF61F779-FAC9-4963-BEDF-D95DBF6A724E}"/>
    <cellStyle name="Accent2 2" xfId="41" xr:uid="{FF7F8E2F-38C0-4AAB-8388-12C9028F399A}"/>
    <cellStyle name="Accent3 2" xfId="42" xr:uid="{E451737A-8E4C-430E-9BDE-DDE2F62201FD}"/>
    <cellStyle name="Accent4 2" xfId="43" xr:uid="{75D7C4D3-C97F-4217-8108-E330E1CD3378}"/>
    <cellStyle name="Accent5 2" xfId="44" xr:uid="{C00B11AE-3D9C-4658-87F6-51FD7FCE28EC}"/>
    <cellStyle name="Accent6 2" xfId="45" xr:uid="{ED888EB2-ED8E-42E4-AEB8-8BA2D9BDD734}"/>
    <cellStyle name="Açıklama Metni" xfId="11" builtinId="53" customBuiltin="1"/>
    <cellStyle name="Açıklama Metni 10" xfId="1684" xr:uid="{F9CA9480-4950-45D7-A6E1-576AA2707A85}"/>
    <cellStyle name="Açıklama Metni 11" xfId="1825" xr:uid="{C0B9072B-5E80-481E-9D20-825211C8E3F6}"/>
    <cellStyle name="Açıklama Metni 12" xfId="1218" xr:uid="{B0039203-32C3-4670-9881-262643CC973D}"/>
    <cellStyle name="Açıklama Metni 13" xfId="2098" xr:uid="{7BE67F7F-8B61-49FD-AFFA-30DC35319F20}"/>
    <cellStyle name="Açıklama Metni 2" xfId="64" xr:uid="{7C72E55C-E1AB-432F-AF65-65D6E9B3792B}"/>
    <cellStyle name="Açıklama Metni 2 2" xfId="127" xr:uid="{3E9A4340-389F-470B-BC67-A0F991154466}"/>
    <cellStyle name="Açıklama Metni 2 2 2" xfId="283" xr:uid="{6AB946F7-B9A6-4E30-B9F1-5871808A3022}"/>
    <cellStyle name="Açıklama Metni 2 2 3" xfId="497" xr:uid="{95BAF60D-93B2-417F-AF12-24884C2558BC}"/>
    <cellStyle name="Açıklama Metni 2 2 4" xfId="708" xr:uid="{33DA4A04-7B04-40E2-AB67-925F0B33B41F}"/>
    <cellStyle name="Açıklama Metni 2 2 5" xfId="913" xr:uid="{697F4305-B9C9-4FC8-B6B5-353F41706FBA}"/>
    <cellStyle name="Açıklama Metni 2 2 6" xfId="1322" xr:uid="{06EA120A-8436-40C7-B8BA-FF544A2573A7}"/>
    <cellStyle name="Açıklama Metni 2 3" xfId="342" xr:uid="{DACC3CE2-064B-4EF1-9B3C-C4420DC38318}"/>
    <cellStyle name="Açıklama Metni 2 4" xfId="552" xr:uid="{0A398D04-94C3-41F1-92A6-B00E9FA351C0}"/>
    <cellStyle name="Açıklama Metni 2 5" xfId="761" xr:uid="{B23BD191-F7C5-4CCF-896F-FC96CA202ED2}"/>
    <cellStyle name="Açıklama Metni 2 6" xfId="1167" xr:uid="{9858B1E1-FD94-4A7A-8F4E-72266A9161B8}"/>
    <cellStyle name="Açıklama Metni 3" xfId="178" xr:uid="{7ACC8834-638E-4FE7-A64C-AC8745865904}"/>
    <cellStyle name="Açıklama Metni 3 2" xfId="239" xr:uid="{A72E699A-9C97-41A0-9D49-2C02E955151D}"/>
    <cellStyle name="Açıklama Metni 3 3" xfId="453" xr:uid="{10D27BEB-9C78-44B3-A7F3-B7992A27B11D}"/>
    <cellStyle name="Açıklama Metni 3 4" xfId="664" xr:uid="{B79DC011-2163-4365-8B02-60C855E33EBB}"/>
    <cellStyle name="Açıklama Metni 3 5" xfId="869" xr:uid="{A2FA68F5-8482-4EBE-92A7-23B281C408C7}"/>
    <cellStyle name="Açıklama Metni 3 6" xfId="1278" xr:uid="{20AFE668-57CF-4F6C-9120-6F76DF52B7DE}"/>
    <cellStyle name="Açıklama Metni 4" xfId="393" xr:uid="{2252A076-ACCF-4853-933C-06EA660D21CA}"/>
    <cellStyle name="Açıklama Metni 4 2" xfId="974" xr:uid="{CD8013A7-5328-4C3B-8616-205B40632AC6}"/>
    <cellStyle name="Açıklama Metni 4 3" xfId="1379" xr:uid="{D423015A-484D-40AA-BE20-480083707794}"/>
    <cellStyle name="Açıklama Metni 5" xfId="604" xr:uid="{1E7C5501-86F5-4C9F-B8FE-043E25F72199}"/>
    <cellStyle name="Açıklama Metni 5 2" xfId="1026" xr:uid="{B1C755BB-A950-4D76-B159-3AC9E7D244F6}"/>
    <cellStyle name="Açıklama Metni 5 3" xfId="1426" xr:uid="{78ED5C79-86DC-4E28-927C-25B1731F3B23}"/>
    <cellStyle name="Açıklama Metni 6" xfId="811" xr:uid="{1520DBB1-C0FD-4B24-B9CA-425CB1042D9A}"/>
    <cellStyle name="Açıklama Metni 6 2" xfId="1072" xr:uid="{75FAC7A7-BD7E-4650-971F-774E210A5331}"/>
    <cellStyle name="Açıklama Metni 6 3" xfId="1469" xr:uid="{E7D2A5F8-05B7-418C-A10E-E7714016F61F}"/>
    <cellStyle name="Açıklama Metni 7" xfId="1117" xr:uid="{314398B1-D692-4C8B-BD5D-72E5C574B858}"/>
    <cellStyle name="Açıklama Metni 7 2" xfId="1514" xr:uid="{5A720C77-362A-4DC6-93B3-994971664A87}"/>
    <cellStyle name="Açıklama Metni 8" xfId="1598" xr:uid="{67B861CD-6BF7-409F-8FC6-2F5BB3618CA6}"/>
    <cellStyle name="Açıklama Metni 9" xfId="1640" xr:uid="{D04D84DE-9288-429E-A087-BF9D168F6863}"/>
    <cellStyle name="Ana Başlık 10" xfId="1669" xr:uid="{A2570D3A-B2E2-4CAA-8EBD-D9A3DF2FDE18}"/>
    <cellStyle name="Ana Başlık 11" xfId="1711" xr:uid="{B1EFFFFA-D7AB-47F9-995F-29883C44117C}"/>
    <cellStyle name="Ana Başlık 12" xfId="1810" xr:uid="{BD852698-580E-4142-BD51-686990290FB5}"/>
    <cellStyle name="Ana Başlık 13" xfId="1204" xr:uid="{850EEDC1-9A2E-480A-921B-BFA214D341CF}"/>
    <cellStyle name="Ana Başlık 14" xfId="2084" xr:uid="{94670D73-3312-4904-904A-A1FE8EDB4F7E}"/>
    <cellStyle name="Ana Başlık 2" xfId="65" xr:uid="{C937E4DB-9B77-4691-8601-A26E04E479E5}"/>
    <cellStyle name="Ana Başlık 2 2" xfId="128" xr:uid="{35244325-9852-403C-9715-B5BE4E31B53C}"/>
    <cellStyle name="Ana Başlık 2 2 2" xfId="284" xr:uid="{083F2013-2021-48F5-AAA5-39E7668E007A}"/>
    <cellStyle name="Ana Başlık 2 2 3" xfId="498" xr:uid="{AA1B14CA-E52D-453E-AA7E-7B57B97D48B9}"/>
    <cellStyle name="Ana Başlık 2 2 4" xfId="709" xr:uid="{89A93F59-E900-44F7-83AF-4D3799F62CB7}"/>
    <cellStyle name="Ana Başlık 2 2 5" xfId="914" xr:uid="{9E5DC74B-534D-43B0-9571-52BEEFF10B78}"/>
    <cellStyle name="Ana Başlık 2 2 6" xfId="1323" xr:uid="{A84AA42A-78C7-4164-A157-5C7548AD5133}"/>
    <cellStyle name="Ana Başlık 2 3" xfId="343" xr:uid="{5768B6DF-7AFA-430A-8536-4B7060691055}"/>
    <cellStyle name="Ana Başlık 2 4" xfId="553" xr:uid="{414AA937-C4D3-4472-82D3-472D4E20F00F}"/>
    <cellStyle name="Ana Başlık 2 5" xfId="762" xr:uid="{A3FADB59-71B5-4647-B98B-BF1EF94DD3A2}"/>
    <cellStyle name="Ana Başlık 2 6" xfId="1168" xr:uid="{C12C9767-4DCE-4CBD-B3FD-D29D0F85691C}"/>
    <cellStyle name="Ana Başlık 3" xfId="164" xr:uid="{E0D4E082-4A38-48D0-B7F8-ACB759272E28}"/>
    <cellStyle name="Ana Başlık 3 2" xfId="225" xr:uid="{E2ECFAFD-354A-432E-ADC6-0B64EBB46958}"/>
    <cellStyle name="Ana Başlık 3 3" xfId="439" xr:uid="{10DF1C23-ACA7-4775-BD37-F9C3384512F1}"/>
    <cellStyle name="Ana Başlık 3 4" xfId="650" xr:uid="{F7963870-A52F-4192-9A4D-FE7BFA8176CC}"/>
    <cellStyle name="Ana Başlık 3 5" xfId="855" xr:uid="{A78ED9D5-3413-4A9C-BF79-C6E6845134EA}"/>
    <cellStyle name="Ana Başlık 3 6" xfId="1264" xr:uid="{BD22B7C8-1C3C-4DEF-89F4-46836F28DA8B}"/>
    <cellStyle name="Ana Başlık 4" xfId="379" xr:uid="{CB71E2D6-5A55-46D8-8C11-2386178AC6E5}"/>
    <cellStyle name="Ana Başlık 4 2" xfId="959" xr:uid="{3AB79340-B62B-4F22-BD43-008C53B6576D}"/>
    <cellStyle name="Ana Başlık 4 3" xfId="1364" xr:uid="{E152D876-0312-48D9-91C1-1627A5DB835F}"/>
    <cellStyle name="Ana Başlık 5" xfId="590" xr:uid="{D90A468C-58D6-4400-8DC0-A40622892760}"/>
    <cellStyle name="Ana Başlık 5 2" xfId="1011" xr:uid="{45E692A8-5893-40EA-B80D-BAEF0DC281A8}"/>
    <cellStyle name="Ana Başlık 5 3" xfId="1411" xr:uid="{DC35EFBA-1119-4BAA-809C-E495623182FD}"/>
    <cellStyle name="Ana Başlık 6" xfId="797" xr:uid="{8B807CB5-F7F9-40A1-97EA-5B195A3D3601}"/>
    <cellStyle name="Ana Başlık 6 2" xfId="1057" xr:uid="{A1D3B0A5-6B16-4B25-9B2D-BDF33B0AFE01}"/>
    <cellStyle name="Ana Başlık 6 3" xfId="1454" xr:uid="{33AA4E9B-71EF-4E4F-915A-46BBE8330FD5}"/>
    <cellStyle name="Ana Başlık 7" xfId="1102" xr:uid="{9AEDA6BB-D7B7-43A3-8D49-B140A0D638E3}"/>
    <cellStyle name="Ana Başlık 7 2" xfId="1499" xr:uid="{001FFAE4-096A-4102-A3F8-EE826D7C7654}"/>
    <cellStyle name="Ana Başlık 8" xfId="1583" xr:uid="{C7527610-7117-4F38-A773-9664104E1E0B}"/>
    <cellStyle name="Ana Başlık 9" xfId="1625" xr:uid="{E9069266-6AD7-4179-B3D7-F7BECA56A425}"/>
    <cellStyle name="Bad 2" xfId="37" xr:uid="{A9ED7A22-BC6B-4EF1-84F7-2B04F20C9F2C}"/>
    <cellStyle name="Bağlı Hücre" xfId="8" builtinId="24" customBuiltin="1"/>
    <cellStyle name="Bağlı Hücre 10" xfId="1680" xr:uid="{88B8DC37-8C85-46A1-A803-4D6B47D2E0C3}"/>
    <cellStyle name="Bağlı Hücre 11" xfId="1821" xr:uid="{6CEBB13D-A87F-4FF5-8D28-1501E7A903DE}"/>
    <cellStyle name="Bağlı Hücre 12" xfId="1214" xr:uid="{AA029012-F6FB-449C-98BC-8A3BB52D81D0}"/>
    <cellStyle name="Bağlı Hücre 13" xfId="2094" xr:uid="{4BFFB7C8-0E8C-4BDB-BFF5-0F3A9ECCF4D5}"/>
    <cellStyle name="Bağlı Hücre 2" xfId="66" xr:uid="{C95F3985-A313-4F4F-9202-5CECA21E6E77}"/>
    <cellStyle name="Bağlı Hücre 2 2" xfId="129" xr:uid="{C8D2D1D2-F658-45B3-9D36-321D3EBF956E}"/>
    <cellStyle name="Bağlı Hücre 2 2 2" xfId="285" xr:uid="{F719263B-1EE2-48F7-8BBE-B9AD0F3220FF}"/>
    <cellStyle name="Bağlı Hücre 2 2 3" xfId="499" xr:uid="{B22409A1-E3FE-4380-BA41-70D447CAC0F3}"/>
    <cellStyle name="Bağlı Hücre 2 2 4" xfId="710" xr:uid="{E8CB8DC6-5EFF-4107-B76C-7BC2375AED01}"/>
    <cellStyle name="Bağlı Hücre 2 2 5" xfId="915" xr:uid="{EB9A82D9-A957-4DDF-BFA8-CDE7588D559E}"/>
    <cellStyle name="Bağlı Hücre 2 2 6" xfId="1324" xr:uid="{A48F738D-D3B5-4407-B4B6-A934A87A5F18}"/>
    <cellStyle name="Bağlı Hücre 2 3" xfId="344" xr:uid="{3DEF7E8B-35EB-4BCE-9A63-5EF0754A1D0A}"/>
    <cellStyle name="Bağlı Hücre 2 4" xfId="554" xr:uid="{3605C01F-8A46-46D2-8A5C-82A37D789CD5}"/>
    <cellStyle name="Bağlı Hücre 2 5" xfId="763" xr:uid="{07253641-80BF-4735-A2D6-6726824C1227}"/>
    <cellStyle name="Bağlı Hücre 2 6" xfId="1169" xr:uid="{EB3AF932-7069-4DFF-BC2B-3D7EB999C163}"/>
    <cellStyle name="Bağlı Hücre 3" xfId="174" xr:uid="{DB2C3F4E-0B9B-4B39-9725-B19EB52A264D}"/>
    <cellStyle name="Bağlı Hücre 3 2" xfId="235" xr:uid="{829EACAC-4FCA-4283-9616-BC5BA0C277CE}"/>
    <cellStyle name="Bağlı Hücre 3 3" xfId="449" xr:uid="{BE42AD79-C863-4E82-9F4A-676F517485CE}"/>
    <cellStyle name="Bağlı Hücre 3 4" xfId="660" xr:uid="{6085B90D-E8CF-4049-920F-2CBA8CA2DB9B}"/>
    <cellStyle name="Bağlı Hücre 3 5" xfId="865" xr:uid="{D95FCEA1-F91B-44C6-8FBE-E80A7ADC8C2A}"/>
    <cellStyle name="Bağlı Hücre 3 6" xfId="1274" xr:uid="{504EDD77-6FB6-4707-A4E0-CBD1124EF2BD}"/>
    <cellStyle name="Bağlı Hücre 4" xfId="389" xr:uid="{9B9589E0-B6D6-43B0-9154-AE158BDBA92C}"/>
    <cellStyle name="Bağlı Hücre 4 2" xfId="970" xr:uid="{17B1D563-C7E5-4C58-8AFE-A24DD87CF4F7}"/>
    <cellStyle name="Bağlı Hücre 4 3" xfId="1375" xr:uid="{5783C42D-23F2-46D3-9BDC-223F415826E3}"/>
    <cellStyle name="Bağlı Hücre 5" xfId="600" xr:uid="{07721E54-81D9-4F95-93AB-77A90452491D}"/>
    <cellStyle name="Bağlı Hücre 5 2" xfId="1022" xr:uid="{C1F222C2-CB60-4DEC-8169-A34DBBF3654B}"/>
    <cellStyle name="Bağlı Hücre 5 3" xfId="1422" xr:uid="{E446C0B6-09B1-4ADC-8B04-7E24522D4CE0}"/>
    <cellStyle name="Bağlı Hücre 6" xfId="807" xr:uid="{08E85B1A-3997-48F2-840F-A908CB4640F5}"/>
    <cellStyle name="Bağlı Hücre 6 2" xfId="1068" xr:uid="{82F603D3-5E5A-4D86-88CE-F7CA2A18487A}"/>
    <cellStyle name="Bağlı Hücre 6 3" xfId="1465" xr:uid="{9F7F27E9-8A5C-4BAF-95FD-E26317624DDE}"/>
    <cellStyle name="Bağlı Hücre 7" xfId="1113" xr:uid="{7E7F4A94-FDE2-41ED-A62E-60762BD51ABC}"/>
    <cellStyle name="Bağlı Hücre 7 2" xfId="1510" xr:uid="{C22005A4-9BC6-46F6-B5F6-60EA44F0B29B}"/>
    <cellStyle name="Bağlı Hücre 8" xfId="1594" xr:uid="{E4E918F6-FF60-44E5-BA54-111EEEDED18B}"/>
    <cellStyle name="Bağlı Hücre 9" xfId="1636" xr:uid="{2388B37C-3C2C-4142-A1B8-18AFCF4B656C}"/>
    <cellStyle name="Başlık 1" xfId="2" builtinId="16" customBuiltin="1"/>
    <cellStyle name="Başlık 1 10" xfId="1670" xr:uid="{D02282B6-3682-4EC1-B17A-3E34902F1EE5}"/>
    <cellStyle name="Başlık 1 11" xfId="1811" xr:uid="{4F81FF96-2871-469D-BCD3-961B60D91F96}"/>
    <cellStyle name="Başlık 1 12" xfId="1205" xr:uid="{C16D13EC-CBB5-4B4F-BBC3-9E5AF92A2B5F}"/>
    <cellStyle name="Başlık 1 13" xfId="2085" xr:uid="{ED866248-03A2-49CA-AD4E-C2DACF8540D9}"/>
    <cellStyle name="Başlık 1 14" xfId="2720" xr:uid="{B3CA100C-A44C-40AC-AE35-DB4898F1B51D}"/>
    <cellStyle name="Başlık 1 2" xfId="67" xr:uid="{CC74A4FA-45C7-4460-A2C1-F4DFD22804A1}"/>
    <cellStyle name="Başlık 1 2 2" xfId="130" xr:uid="{5D835871-C00A-4749-9ED8-4D88DCF9214F}"/>
    <cellStyle name="Başlık 1 2 2 2" xfId="286" xr:uid="{BA806487-635F-4ABE-95DD-9961F0A5EC98}"/>
    <cellStyle name="Başlık 1 2 2 3" xfId="500" xr:uid="{689773DE-3FF8-46E4-A880-FA68DC30A2A2}"/>
    <cellStyle name="Başlık 1 2 2 4" xfId="711" xr:uid="{88700149-8E18-4C9F-AC25-ED251CD65FAE}"/>
    <cellStyle name="Başlık 1 2 2 5" xfId="916" xr:uid="{31F2C6C6-AB4E-4574-ADD8-FC94BE21727B}"/>
    <cellStyle name="Başlık 1 2 2 6" xfId="1325" xr:uid="{35F6192F-F625-49B1-A3F9-B3BFB96DEC4F}"/>
    <cellStyle name="Başlık 1 2 3" xfId="345" xr:uid="{1FA1A123-18D1-43AD-9E74-89F9126EE681}"/>
    <cellStyle name="Başlık 1 2 4" xfId="555" xr:uid="{24329855-54B0-411B-BF6C-C95D308EA054}"/>
    <cellStyle name="Başlık 1 2 5" xfId="764" xr:uid="{1FA9F9FC-4D32-4926-91D9-C70BC0B288D6}"/>
    <cellStyle name="Başlık 1 2 6" xfId="1170" xr:uid="{AE2969FD-B9EC-4895-8332-1D24DC8C5F40}"/>
    <cellStyle name="Başlık 1 3" xfId="165" xr:uid="{EF3E53DC-ABF1-41F9-8C6C-CB82D13519BD}"/>
    <cellStyle name="Başlık 1 3 2" xfId="226" xr:uid="{A0984117-E456-4E52-B32C-AAECF61CAD78}"/>
    <cellStyle name="Başlık 1 3 3" xfId="440" xr:uid="{789CA03D-EF43-405C-9156-B884B4070232}"/>
    <cellStyle name="Başlık 1 3 4" xfId="651" xr:uid="{6A787DE5-FB71-43C8-82F2-58632C6D285A}"/>
    <cellStyle name="Başlık 1 3 5" xfId="856" xr:uid="{33E2029F-AC2E-48D2-B3E1-3D0306145664}"/>
    <cellStyle name="Başlık 1 3 6" xfId="1265" xr:uid="{ED449979-9F5F-441B-A456-ECE4C01DEA15}"/>
    <cellStyle name="Başlık 1 4" xfId="380" xr:uid="{8B3FE242-7ECF-4EEC-99E2-895A79AC23BC}"/>
    <cellStyle name="Başlık 1 4 2" xfId="960" xr:uid="{48AA1786-00F5-4E28-8A74-CBD92003FB75}"/>
    <cellStyle name="Başlık 1 4 3" xfId="1365" xr:uid="{7BCD5C9E-AEC1-4B03-9BC5-E38CB5181AC1}"/>
    <cellStyle name="Başlık 1 5" xfId="591" xr:uid="{FFC2EEB4-707E-474D-A4D6-DB3EC7F817D3}"/>
    <cellStyle name="Başlık 1 5 2" xfId="1012" xr:uid="{A69B6E02-0C2F-43F1-A1D4-AE028410905A}"/>
    <cellStyle name="Başlık 1 5 3" xfId="1412" xr:uid="{EDC4FF2E-7E62-4E9C-9E15-C6DE9FB1074E}"/>
    <cellStyle name="Başlık 1 6" xfId="798" xr:uid="{3512EDE4-C038-4172-9076-7C482F8572DC}"/>
    <cellStyle name="Başlık 1 6 2" xfId="1058" xr:uid="{D5DAD3E7-1F3B-4BD8-ABED-3A7B661B8D8A}"/>
    <cellStyle name="Başlık 1 6 3" xfId="1455" xr:uid="{D99DF995-DA32-4A94-A461-4E3CABBEE7C9}"/>
    <cellStyle name="Başlık 1 7" xfId="1103" xr:uid="{7898D630-72C5-4B78-8235-39E52A083564}"/>
    <cellStyle name="Başlık 1 7 2" xfId="1500" xr:uid="{92BA1804-758D-4478-8861-6A6D2A64D4E7}"/>
    <cellStyle name="Başlık 1 8" xfId="1584" xr:uid="{FAA935D8-6C5A-42DE-87C2-9190ACAD968A}"/>
    <cellStyle name="Başlık 1 9" xfId="1626" xr:uid="{ABF29E39-B685-4597-9AE6-91144B189069}"/>
    <cellStyle name="Başlık 2" xfId="3" builtinId="17" customBuiltin="1"/>
    <cellStyle name="Başlık 2 10" xfId="1671" xr:uid="{E3A7C899-3B5A-48A7-B4FE-09C601E817C4}"/>
    <cellStyle name="Başlık 2 11" xfId="1812" xr:uid="{78559946-4D20-42C2-8AAE-A720809A93A2}"/>
    <cellStyle name="Başlık 2 12" xfId="1206" xr:uid="{2F851977-885F-4B25-9C11-D5B0A957CDF5}"/>
    <cellStyle name="Başlık 2 13" xfId="2086" xr:uid="{48E537D9-F410-4B74-9748-2AF0B04CCB07}"/>
    <cellStyle name="Başlık 2 2" xfId="68" xr:uid="{5E25E778-695B-4439-B9F9-E526D055B87D}"/>
    <cellStyle name="Başlık 2 2 2" xfId="131" xr:uid="{6F16C91D-D1C6-4A79-99A1-7AA7C0621AA9}"/>
    <cellStyle name="Başlık 2 2 2 2" xfId="287" xr:uid="{EB8D0165-D141-4967-801D-941BC33BFB23}"/>
    <cellStyle name="Başlık 2 2 2 3" xfId="501" xr:uid="{E42B89FB-C573-424A-B392-8A29A7E8E36B}"/>
    <cellStyle name="Başlık 2 2 2 4" xfId="712" xr:uid="{5297B970-9717-4A54-A90F-A1A99BA9B866}"/>
    <cellStyle name="Başlık 2 2 2 5" xfId="917" xr:uid="{4F8CDA9F-559B-48D8-92B4-3F6CCC5D6934}"/>
    <cellStyle name="Başlık 2 2 2 6" xfId="1326" xr:uid="{482936B8-007A-4A70-BBC5-B38DD12ED0C8}"/>
    <cellStyle name="Başlık 2 2 3" xfId="346" xr:uid="{C722ACB5-EE5C-471F-BDAC-072BB066C546}"/>
    <cellStyle name="Başlık 2 2 4" xfId="556" xr:uid="{1711456F-8E68-4AB5-AB54-AF6EA5180F5A}"/>
    <cellStyle name="Başlık 2 2 5" xfId="765" xr:uid="{33EF9A6B-4694-4472-9F54-ED7B79920D55}"/>
    <cellStyle name="Başlık 2 2 6" xfId="1171" xr:uid="{119511C4-4F8B-4DDD-98A2-41FC2CC590F6}"/>
    <cellStyle name="Başlık 2 3" xfId="166" xr:uid="{60082743-2FDE-42D5-AF8D-1EA5415B6528}"/>
    <cellStyle name="Başlık 2 3 2" xfId="227" xr:uid="{FEC98037-F3FC-4C00-9D7E-9401A8CA7A13}"/>
    <cellStyle name="Başlık 2 3 3" xfId="441" xr:uid="{8A7841D7-FB61-4203-A8D9-DF0DF218D9AD}"/>
    <cellStyle name="Başlık 2 3 4" xfId="652" xr:uid="{96A0FDFF-7C0A-45A9-A6E5-C1AD46808783}"/>
    <cellStyle name="Başlık 2 3 5" xfId="857" xr:uid="{10EBEE5E-4834-4C71-BEE0-23C98ECB59DD}"/>
    <cellStyle name="Başlık 2 3 6" xfId="1266" xr:uid="{88588388-50E9-4A8E-8A43-1A3E41F7B64E}"/>
    <cellStyle name="Başlık 2 4" xfId="381" xr:uid="{7440ADA8-BBF4-4855-AD5F-13884B4E7BD2}"/>
    <cellStyle name="Başlık 2 4 2" xfId="961" xr:uid="{FC5B7DE0-4C6E-4AF3-B0C3-1BAC773F5603}"/>
    <cellStyle name="Başlık 2 4 3" xfId="1366" xr:uid="{C861D441-C921-496C-BF36-B095FF23700F}"/>
    <cellStyle name="Başlık 2 5" xfId="592" xr:uid="{6385A8FB-14F3-45C2-B8A7-BD55B51019BB}"/>
    <cellStyle name="Başlık 2 5 2" xfId="1013" xr:uid="{46B17081-3C57-4860-AEC7-77062DF20F6A}"/>
    <cellStyle name="Başlık 2 5 3" xfId="1413" xr:uid="{36B8FDB3-1046-4DDB-ADB3-CADB3615FA99}"/>
    <cellStyle name="Başlık 2 6" xfId="799" xr:uid="{B7287C95-81BA-4528-9A0D-444D5763D056}"/>
    <cellStyle name="Başlık 2 6 2" xfId="1059" xr:uid="{2A5B4B56-D4F0-4C29-BDEF-B8BE81C83A65}"/>
    <cellStyle name="Başlık 2 6 3" xfId="1456" xr:uid="{298DD1BA-410A-40F6-A4C4-ED371FAF05D3}"/>
    <cellStyle name="Başlık 2 7" xfId="1104" xr:uid="{AABDABE3-9066-4204-AD8A-B6785BD7C1A3}"/>
    <cellStyle name="Başlık 2 7 2" xfId="1501" xr:uid="{B8A5DFAD-241D-4B1A-A620-B7E2CF685F49}"/>
    <cellStyle name="Başlık 2 8" xfId="1585" xr:uid="{32DEFD15-E095-4EA9-B2E7-C153A0A01894}"/>
    <cellStyle name="Başlık 2 9" xfId="1627" xr:uid="{151A383A-9BF0-45EA-AA50-9DB65B2727E8}"/>
    <cellStyle name="Başlık 3" xfId="4" builtinId="18" customBuiltin="1"/>
    <cellStyle name="Başlık 3 10" xfId="1672" xr:uid="{89EA06DC-CFE3-41EA-88B2-21ACE300E96C}"/>
    <cellStyle name="Başlık 3 11" xfId="1813" xr:uid="{A1DA445B-1D99-497B-BA3E-55A84D68F747}"/>
    <cellStyle name="Başlık 3 12" xfId="1207" xr:uid="{764D2ED2-D4FE-4061-8A02-87A1E234D43D}"/>
    <cellStyle name="Başlık 3 13" xfId="2087" xr:uid="{70208A17-38E9-4228-8024-711292C2566A}"/>
    <cellStyle name="Başlık 3 14" xfId="2689" xr:uid="{2F0AF889-F2D8-4F9E-9FC7-2C8490079440}"/>
    <cellStyle name="Başlık 3 2" xfId="69" xr:uid="{368AC23D-7899-4ACE-ACE6-9DEEFA258DC1}"/>
    <cellStyle name="Başlık 3 2 2" xfId="132" xr:uid="{E8498B97-9531-4DE1-B705-85E12E00E113}"/>
    <cellStyle name="Başlık 3 2 2 2" xfId="288" xr:uid="{7BDA2B19-5F4E-43F1-81FC-2F30B5FFDB48}"/>
    <cellStyle name="Başlık 3 2 2 3" xfId="502" xr:uid="{6FEA43BE-645E-4D71-99B2-468FADECAA99}"/>
    <cellStyle name="Başlık 3 2 2 4" xfId="713" xr:uid="{BEC33496-D3BA-41AE-833C-27E6944804E7}"/>
    <cellStyle name="Başlık 3 2 2 5" xfId="918" xr:uid="{7D344E8C-301B-4E8C-A105-9D561D7F7935}"/>
    <cellStyle name="Başlık 3 2 2 6" xfId="1327" xr:uid="{709B4782-C4F9-4387-8175-D9311A49A027}"/>
    <cellStyle name="Başlık 3 2 3" xfId="347" xr:uid="{E19153B8-D144-48E5-95F9-B6107E865FF5}"/>
    <cellStyle name="Başlık 3 2 4" xfId="557" xr:uid="{DF831A0C-FEF3-4D1D-A538-5DFA5AF529B6}"/>
    <cellStyle name="Başlık 3 2 5" xfId="766" xr:uid="{DBFD5E93-418F-4B95-9F95-1721CB77A972}"/>
    <cellStyle name="Başlık 3 2 6" xfId="1172" xr:uid="{BC69EF20-F521-4CDD-82E3-511D4191493D}"/>
    <cellStyle name="Başlık 3 3" xfId="167" xr:uid="{5CDDD55B-B303-4B3E-AA22-BDE257F29F64}"/>
    <cellStyle name="Başlık 3 3 2" xfId="228" xr:uid="{C4BD8B8F-ED26-40B2-993A-88F2AD998453}"/>
    <cellStyle name="Başlık 3 3 3" xfId="442" xr:uid="{26998AB9-EC49-4C65-B391-72735A5E2C07}"/>
    <cellStyle name="Başlık 3 3 4" xfId="653" xr:uid="{8FE33E5B-096B-4E7D-A6E2-D9B2ABF4FD65}"/>
    <cellStyle name="Başlık 3 3 5" xfId="858" xr:uid="{B0FBBFD1-3100-4E5A-A379-605D48EF01F5}"/>
    <cellStyle name="Başlık 3 3 6" xfId="1267" xr:uid="{94C09678-1B26-425A-A89F-75F2DDCA0611}"/>
    <cellStyle name="Başlık 3 4" xfId="382" xr:uid="{9DC9C8E8-BF2A-4839-A482-B50DD6868D07}"/>
    <cellStyle name="Başlık 3 4 2" xfId="962" xr:uid="{A8B71EE7-AF8B-4020-9EA0-8B417C4560E5}"/>
    <cellStyle name="Başlık 3 4 3" xfId="1367" xr:uid="{DB04273E-A9A8-4CA8-A9A8-FC687694083B}"/>
    <cellStyle name="Başlık 3 5" xfId="593" xr:uid="{3088868D-8F23-482A-BB2A-B5B831788FB9}"/>
    <cellStyle name="Başlık 3 5 2" xfId="1014" xr:uid="{09DF9502-E4B8-4929-ABCF-9C2DE79B420A}"/>
    <cellStyle name="Başlık 3 5 3" xfId="1414" xr:uid="{FD6ECDD4-2A64-407F-B0C2-D48C5827F809}"/>
    <cellStyle name="Başlık 3 6" xfId="800" xr:uid="{BC9EE526-FCB4-4712-B988-E4608206DFA8}"/>
    <cellStyle name="Başlık 3 6 2" xfId="1060" xr:uid="{4F2CF729-ACF8-44B5-AD82-32009ACCFD3E}"/>
    <cellStyle name="Başlık 3 6 3" xfId="1457" xr:uid="{83A8EEC8-19AC-4D32-9DE8-6B1505D54B3E}"/>
    <cellStyle name="Başlık 3 7" xfId="1105" xr:uid="{13FDF8AA-B86F-4C22-9CFD-EB697A4C0350}"/>
    <cellStyle name="Başlık 3 7 2" xfId="1502" xr:uid="{215B0F90-CFFA-47A3-97EE-B519C34C84AD}"/>
    <cellStyle name="Başlık 3 8" xfId="1586" xr:uid="{957E3320-1AB0-4EC2-833F-9F6B6E03B688}"/>
    <cellStyle name="Başlık 3 9" xfId="1628" xr:uid="{FA85EE06-2533-4F73-8935-383C862F77DC}"/>
    <cellStyle name="Başlık 4" xfId="5" builtinId="19" customBuiltin="1"/>
    <cellStyle name="Başlık 4 10" xfId="1673" xr:uid="{D63BD89E-EBB6-4686-8544-547642FFD045}"/>
    <cellStyle name="Başlık 4 11" xfId="1814" xr:uid="{B4EF9B0F-1AA0-4CA0-A510-E508B2298AAD}"/>
    <cellStyle name="Başlık 4 12" xfId="1208" xr:uid="{1AA7566D-58A8-4F55-B776-664C2991417C}"/>
    <cellStyle name="Başlık 4 13" xfId="2088" xr:uid="{2DC570AC-B4F0-4189-B049-6D63AD9AE5B2}"/>
    <cellStyle name="Başlık 4 2" xfId="70" xr:uid="{FA53F918-508A-40A1-A795-989FB3470FD5}"/>
    <cellStyle name="Başlık 4 2 2" xfId="133" xr:uid="{0B150483-30C5-47B2-A47C-5AD64A9BCDD1}"/>
    <cellStyle name="Başlık 4 2 2 2" xfId="289" xr:uid="{3525F0FF-1685-489D-95E2-F8A8425ADC1F}"/>
    <cellStyle name="Başlık 4 2 2 3" xfId="503" xr:uid="{C102A6FA-9A1C-4D11-BC87-0C7E892DAF3D}"/>
    <cellStyle name="Başlık 4 2 2 4" xfId="714" xr:uid="{444FC285-D814-412C-97A5-E8627B3DEDBF}"/>
    <cellStyle name="Başlık 4 2 2 5" xfId="919" xr:uid="{8A5F46D1-21C0-49EE-A7E0-B5FC15D2A770}"/>
    <cellStyle name="Başlık 4 2 2 6" xfId="1328" xr:uid="{5CD813CF-A196-4AE9-8517-2EB117F35441}"/>
    <cellStyle name="Başlık 4 2 3" xfId="348" xr:uid="{3713E0AF-AFDE-4396-AC75-A737245CD268}"/>
    <cellStyle name="Başlık 4 2 4" xfId="558" xr:uid="{67434079-D34A-494E-860D-656C4257C9EC}"/>
    <cellStyle name="Başlık 4 2 5" xfId="767" xr:uid="{8C51FB12-CE01-425E-A39D-8216BD2F741D}"/>
    <cellStyle name="Başlık 4 2 6" xfId="1173" xr:uid="{5EE6578F-D57A-4D2F-8D45-8CD1AC743FE1}"/>
    <cellStyle name="Başlık 4 3" xfId="168" xr:uid="{B79DDCBD-ADAD-4B33-B8EC-7EF305615E76}"/>
    <cellStyle name="Başlık 4 3 2" xfId="229" xr:uid="{ECF633B9-A03A-4C63-BD2B-33D46DA288BB}"/>
    <cellStyle name="Başlık 4 3 3" xfId="443" xr:uid="{CC476D06-DFA3-4C7F-BCB6-CF3832ED6CA6}"/>
    <cellStyle name="Başlık 4 3 4" xfId="654" xr:uid="{924B08E0-72FE-47B7-8D3A-FF0DAFEEB394}"/>
    <cellStyle name="Başlık 4 3 5" xfId="859" xr:uid="{308E1178-EAF0-49A9-A6FF-0848A7820ACB}"/>
    <cellStyle name="Başlık 4 3 6" xfId="1268" xr:uid="{02823DE3-704C-412D-854D-F65FEAEF893D}"/>
    <cellStyle name="Başlık 4 4" xfId="383" xr:uid="{2D74B6D9-B065-4294-B671-AB52BAEF39C0}"/>
    <cellStyle name="Başlık 4 4 2" xfId="963" xr:uid="{45796406-3BAA-478C-AA3C-21AE130274D7}"/>
    <cellStyle name="Başlık 4 4 3" xfId="1368" xr:uid="{7AD47CAF-BD0E-4264-BD6F-336E9177ADC0}"/>
    <cellStyle name="Başlık 4 5" xfId="594" xr:uid="{5E6B5C61-DCF1-41EB-A37E-95DA2084D797}"/>
    <cellStyle name="Başlık 4 5 2" xfId="1015" xr:uid="{FC18A002-4C31-4401-A9DE-08411C73A441}"/>
    <cellStyle name="Başlık 4 5 3" xfId="1415" xr:uid="{DF6913F7-11B2-48F8-94B4-7E42E8ECA2AD}"/>
    <cellStyle name="Başlık 4 6" xfId="801" xr:uid="{B12ABF19-078B-4BD3-A59A-25F1CD330584}"/>
    <cellStyle name="Başlık 4 6 2" xfId="1061" xr:uid="{9EBF5116-2982-4DD3-B103-57961138DD61}"/>
    <cellStyle name="Başlık 4 6 3" xfId="1458" xr:uid="{8D622D43-E70D-4BD7-A53E-AA12A3B14460}"/>
    <cellStyle name="Başlık 4 7" xfId="1106" xr:uid="{CC2B63FC-285C-4D93-A315-BE24156F65BA}"/>
    <cellStyle name="Başlık 4 7 2" xfId="1503" xr:uid="{CD093D3F-3566-4E1A-B48E-A05ADF18A6F1}"/>
    <cellStyle name="Başlık 4 8" xfId="1587" xr:uid="{27873E17-68E0-49F1-AF70-3CEE53D2418A}"/>
    <cellStyle name="Başlık 4 9" xfId="1629" xr:uid="{F0433883-CD6B-433E-83F3-DB47C3485BBA}"/>
    <cellStyle name="Calculation 2" xfId="38" xr:uid="{62D038D7-1108-43A6-8EF0-DCBC0285A595}"/>
    <cellStyle name="Check Cell 2" xfId="39" xr:uid="{D8F7A16E-4E15-4DDB-89AF-464A4A075726}"/>
    <cellStyle name="Çıkış" xfId="7" builtinId="21" customBuiltin="1"/>
    <cellStyle name="Çıkış 10" xfId="1678" xr:uid="{D9A6F5FC-0243-4A4D-8917-EB7AB18C6F3C}"/>
    <cellStyle name="Çıkış 11" xfId="1819" xr:uid="{2287A482-C06D-4A2D-9A60-D005AA7431C4}"/>
    <cellStyle name="Çıkış 12" xfId="1213" xr:uid="{83E20285-FA18-493E-9A03-2743D5A4C234}"/>
    <cellStyle name="Çıkış 13" xfId="2093" xr:uid="{5C9D2DA8-9C97-44A6-9CD8-159634A91FF7}"/>
    <cellStyle name="Çıkış 2" xfId="71" xr:uid="{19DF0CCD-8D83-49EF-9921-F13EBA1F0896}"/>
    <cellStyle name="Çıkış 2 2" xfId="134" xr:uid="{EDBF52CC-83BF-4613-AFFC-BD52A943AD8F}"/>
    <cellStyle name="Çıkış 2 2 2" xfId="290" xr:uid="{9F83EE77-D00A-4F29-8AB1-99CF3893B622}"/>
    <cellStyle name="Çıkış 2 2 3" xfId="504" xr:uid="{366C72DD-C152-4A8E-965D-315F41B3DD6C}"/>
    <cellStyle name="Çıkış 2 2 4" xfId="715" xr:uid="{4C8697F9-F7D4-4513-8897-194185ACAC59}"/>
    <cellStyle name="Çıkış 2 2 5" xfId="920" xr:uid="{4B646072-B4A3-441A-8E80-353A0A9A5A46}"/>
    <cellStyle name="Çıkış 2 2 6" xfId="1329" xr:uid="{A54DAE84-8D4E-4CB4-A491-95A2C688D3C7}"/>
    <cellStyle name="Çıkış 2 3" xfId="349" xr:uid="{25AD9928-0712-4221-AFF7-03A7C6718EE8}"/>
    <cellStyle name="Çıkış 2 4" xfId="559" xr:uid="{6CA954C7-EF4E-49A5-B0D5-BD8A71711298}"/>
    <cellStyle name="Çıkış 2 5" xfId="768" xr:uid="{FC9E17CF-6272-4983-A5F6-6EE5D784D70E}"/>
    <cellStyle name="Çıkış 2 6" xfId="1174" xr:uid="{5D7D03EE-457B-4CC6-B2B5-D9DF252659A6}"/>
    <cellStyle name="Çıkış 3" xfId="173" xr:uid="{65A887A7-1982-4253-83B2-7B959DC062D6}"/>
    <cellStyle name="Çıkış 3 2" xfId="233" xr:uid="{610237EC-0FC2-4EE9-B868-FF672205274D}"/>
    <cellStyle name="Çıkış 3 3" xfId="447" xr:uid="{33328480-C8D6-4A1B-8A76-87FBE805BECA}"/>
    <cellStyle name="Çıkış 3 4" xfId="658" xr:uid="{E5021515-5CE8-4CEE-853C-8B92AA8F6248}"/>
    <cellStyle name="Çıkış 3 5" xfId="863" xr:uid="{09756535-B857-446C-8612-CD56687C67AA}"/>
    <cellStyle name="Çıkış 3 6" xfId="1272" xr:uid="{D531D579-AF57-4B1A-B19C-E68265B1091D}"/>
    <cellStyle name="Çıkış 4" xfId="388" xr:uid="{7833FACA-2363-42E0-A3E9-E9CCFC3652A5}"/>
    <cellStyle name="Çıkış 4 2" xfId="968" xr:uid="{94FAC46B-C0F6-40A7-97A9-4F6641FC8598}"/>
    <cellStyle name="Çıkış 4 3" xfId="1373" xr:uid="{AC5E1BDC-A6C7-41E4-94A8-1CD9BB61763D}"/>
    <cellStyle name="Çıkış 5" xfId="599" xr:uid="{2E38B049-E027-4CCD-AEBD-3B879A680B74}"/>
    <cellStyle name="Çıkış 5 2" xfId="1020" xr:uid="{0BB89667-9ED5-4F5C-BFCD-1A9E304884ED}"/>
    <cellStyle name="Çıkış 5 3" xfId="1420" xr:uid="{C8FA91EE-D15A-4ADA-9A8F-01E4023D9A80}"/>
    <cellStyle name="Çıkış 6" xfId="806" xr:uid="{D663B7CB-B872-4CE0-9DB7-8F02B282CFB1}"/>
    <cellStyle name="Çıkış 6 2" xfId="1066" xr:uid="{145F0CA1-8E17-40F3-B1E6-1707E3C45468}"/>
    <cellStyle name="Çıkış 6 3" xfId="1463" xr:uid="{35FD746D-4A2F-45FB-885F-425552972BD5}"/>
    <cellStyle name="Çıkış 7" xfId="1111" xr:uid="{DFD560F5-0D66-4028-B5DB-A04F943A1B25}"/>
    <cellStyle name="Çıkış 7 2" xfId="1508" xr:uid="{D4AF890B-230B-4D5C-BE7E-5783D59D7FA1}"/>
    <cellStyle name="Çıkış 8" xfId="1592" xr:uid="{54C1F6A3-262D-4690-8AEB-3F1A6E68BE29}"/>
    <cellStyle name="Çıkış 9" xfId="1634" xr:uid="{456E320B-953E-4A76-A07A-63446711C775}"/>
    <cellStyle name="Giriş" xfId="6" builtinId="20" customBuiltin="1"/>
    <cellStyle name="Giriş 10" xfId="1677" xr:uid="{89D6FF90-E930-453E-A152-1D36D80223CD}"/>
    <cellStyle name="Giriş 11" xfId="1818" xr:uid="{1C839A21-B6BC-4D76-BA4C-8672DD5EC618}"/>
    <cellStyle name="Giriş 12" xfId="1212" xr:uid="{B3B78384-A019-4677-86C4-2E18C9EB6C58}"/>
    <cellStyle name="Giriş 13" xfId="2092" xr:uid="{BA27C26E-5DDF-4E74-9CF5-0AF62ABC41A5}"/>
    <cellStyle name="Giriş 2" xfId="72" xr:uid="{D85C45F8-E701-426B-9D04-F85B235E8CE1}"/>
    <cellStyle name="Giriş 2 2" xfId="135" xr:uid="{5B5CEB81-7DAC-4ABA-A7DF-B3BD8BEF0A6D}"/>
    <cellStyle name="Giriş 2 2 2" xfId="291" xr:uid="{BE7343D4-F8DC-4E94-9595-A59E300D503B}"/>
    <cellStyle name="Giriş 2 2 3" xfId="505" xr:uid="{3A1F1CC6-78DE-4E1E-A9D4-C08AC3BA63E7}"/>
    <cellStyle name="Giriş 2 2 4" xfId="716" xr:uid="{421883DE-108A-4A26-AC2F-4037F48C3150}"/>
    <cellStyle name="Giriş 2 2 5" xfId="921" xr:uid="{F7CB3B98-CCCD-41D9-836F-B7815C4DCE99}"/>
    <cellStyle name="Giriş 2 2 6" xfId="1330" xr:uid="{C13A2074-FF4B-46FF-8F2D-B8A0EA917222}"/>
    <cellStyle name="Giriş 2 3" xfId="350" xr:uid="{DA62A43B-FFB3-4BAE-862C-F8605D698ECF}"/>
    <cellStyle name="Giriş 2 4" xfId="560" xr:uid="{B63189B3-DF99-4F2F-9E63-EFF9587397EB}"/>
    <cellStyle name="Giriş 2 5" xfId="769" xr:uid="{BE065390-4714-458F-8816-6D23C2098D05}"/>
    <cellStyle name="Giriş 2 6" xfId="1175" xr:uid="{507AC6C6-BF2F-48C7-BC53-386A955A6FF2}"/>
    <cellStyle name="Giriş 3" xfId="172" xr:uid="{97AB5770-C3E7-42C9-A1B8-3CEE8AF1F3FF}"/>
    <cellStyle name="Giriş 3 2" xfId="232" xr:uid="{475F7F86-4DFD-463E-AF2D-58CC52846154}"/>
    <cellStyle name="Giriş 3 3" xfId="446" xr:uid="{D3911E59-EDFB-4D95-99BA-71742854F976}"/>
    <cellStyle name="Giriş 3 4" xfId="657" xr:uid="{CE8CB9B2-1C30-48B4-AF86-A540718398C8}"/>
    <cellStyle name="Giriş 3 5" xfId="862" xr:uid="{6350A042-68F9-4FF0-8194-AA6785BF4A6E}"/>
    <cellStyle name="Giriş 3 6" xfId="1271" xr:uid="{1068C475-50FF-4F2A-A596-06ACA6A918A1}"/>
    <cellStyle name="Giriş 4" xfId="387" xr:uid="{FD5D9F5A-928F-4613-96B1-E8B514C211A0}"/>
    <cellStyle name="Giriş 4 2" xfId="967" xr:uid="{8D2FA625-5B03-4F8E-9574-E33020F5CDAE}"/>
    <cellStyle name="Giriş 4 3" xfId="1372" xr:uid="{C9E33815-57ED-4A61-854E-178E0CFB4225}"/>
    <cellStyle name="Giriş 5" xfId="598" xr:uid="{5EF9230E-0D1D-48CB-B378-07A4501D6E7A}"/>
    <cellStyle name="Giriş 5 2" xfId="1019" xr:uid="{E112A2D9-9955-4523-BB46-0B1185975DF2}"/>
    <cellStyle name="Giriş 5 3" xfId="1419" xr:uid="{10FFFAE9-9FF6-4869-99D0-25D299492503}"/>
    <cellStyle name="Giriş 6" xfId="805" xr:uid="{33A89000-9520-4166-8280-5904E267B2C8}"/>
    <cellStyle name="Giriş 6 2" xfId="1065" xr:uid="{CBF3A8E4-AF51-4E6B-930B-E3C521C22E75}"/>
    <cellStyle name="Giriş 6 3" xfId="1462" xr:uid="{55C12BDE-C7D8-4133-8965-891CD719DFE1}"/>
    <cellStyle name="Giriş 7" xfId="1110" xr:uid="{D8472CD8-2CF9-4EAC-A922-F706D700A32B}"/>
    <cellStyle name="Giriş 7 2" xfId="1507" xr:uid="{06BC3FBC-543F-4D59-9B40-4C92A7D329BA}"/>
    <cellStyle name="Giriş 8" xfId="1591" xr:uid="{7A39C42C-54FC-48FA-8DD0-0CD4433D9FA4}"/>
    <cellStyle name="Giriş 9" xfId="1633" xr:uid="{EE5144A9-0CBC-42E1-9093-73813DBE19CB}"/>
    <cellStyle name="Good 2" xfId="36" xr:uid="{44ED2820-06B1-4EBB-85F2-1E7873404384}"/>
    <cellStyle name="Hesaplama 10" xfId="1679" xr:uid="{62FAAB96-1E80-4343-A916-C0AA50DD0357}"/>
    <cellStyle name="Hesaplama 11" xfId="1820" xr:uid="{AA5607B8-38BC-4E55-8391-4996930E75DB}"/>
    <cellStyle name="Hesaplama 12" xfId="1203" xr:uid="{F1F6E2A4-23FE-4B02-ADD9-ADA1D547563A}"/>
    <cellStyle name="Hesaplama 2" xfId="73" xr:uid="{CB6A81EA-4CFD-4001-99EE-CF0EEB069597}"/>
    <cellStyle name="Hesaplama 2 2" xfId="136" xr:uid="{AE30B6CF-A5B8-4905-9B8C-F445D7CFA404}"/>
    <cellStyle name="Hesaplama 2 2 2" xfId="292" xr:uid="{D6A1D78E-1357-41C5-9F61-9CEFD14146B2}"/>
    <cellStyle name="Hesaplama 2 2 3" xfId="506" xr:uid="{E5E9B1DC-32C1-4157-85E0-0758B22E8934}"/>
    <cellStyle name="Hesaplama 2 2 4" xfId="717" xr:uid="{51A5EA70-DD05-4F0F-8EA3-6562A9FBA44F}"/>
    <cellStyle name="Hesaplama 2 2 5" xfId="922" xr:uid="{95D14589-599B-4123-8012-8B2DA22EEA6F}"/>
    <cellStyle name="Hesaplama 2 2 6" xfId="1331" xr:uid="{C59C26E7-2134-4CD2-8845-D587D8614321}"/>
    <cellStyle name="Hesaplama 2 3" xfId="351" xr:uid="{4E2F5E03-82A5-4DA7-8364-9EEA1C1037F7}"/>
    <cellStyle name="Hesaplama 2 3 2" xfId="2083" xr:uid="{C4963B67-3202-4EFE-99AD-C05EEA757B81}"/>
    <cellStyle name="Hesaplama 2 4" xfId="561" xr:uid="{F6FB74C3-81B4-4130-9600-D352D9C39DB6}"/>
    <cellStyle name="Hesaplama 2 5" xfId="770" xr:uid="{0A3C9663-3DC2-45C4-8B8C-CCFE16FFFCE2}"/>
    <cellStyle name="Hesaplama 2 6" xfId="1176" xr:uid="{29456DDA-9F0A-494C-A68E-684302CEE71C}"/>
    <cellStyle name="Hesaplama 2 7" xfId="2081" xr:uid="{FCF5B47E-4F43-46EE-8E4E-13700B07CA6B}"/>
    <cellStyle name="Hesaplama 3" xfId="163" xr:uid="{328AB9CB-B991-4ADC-9E61-59A03451B54C}"/>
    <cellStyle name="Hesaplama 3 2" xfId="234" xr:uid="{03AFFBEE-8FE8-4A42-8A44-75185A588732}"/>
    <cellStyle name="Hesaplama 3 3" xfId="448" xr:uid="{7A1A4C65-E454-4068-8032-2EC5F6105D58}"/>
    <cellStyle name="Hesaplama 3 4" xfId="659" xr:uid="{C1889CF2-48B7-4871-835B-E5D396C378C5}"/>
    <cellStyle name="Hesaplama 3 5" xfId="864" xr:uid="{AFD12937-253E-436F-AB67-E0C8FEBC143F}"/>
    <cellStyle name="Hesaplama 3 6" xfId="1273" xr:uid="{6718C073-4A02-42AE-B1E4-EBBA69C571D6}"/>
    <cellStyle name="Hesaplama 4" xfId="378" xr:uid="{B6CFFF37-FB71-4B09-AE9E-9261926BB076}"/>
    <cellStyle name="Hesaplama 4 2" xfId="969" xr:uid="{5C877E6C-A3EF-4AFA-9502-732287AA3F2A}"/>
    <cellStyle name="Hesaplama 4 3" xfId="1374" xr:uid="{1842F318-3B3B-4E29-9BEB-0F09544969BF}"/>
    <cellStyle name="Hesaplama 5" xfId="589" xr:uid="{19FE848F-8FBA-491A-8EB9-3724581761D6}"/>
    <cellStyle name="Hesaplama 5 2" xfId="1021" xr:uid="{6B231110-6C22-4A2A-B1FF-6F08C6B01AD2}"/>
    <cellStyle name="Hesaplama 5 3" xfId="1421" xr:uid="{FBA49BD2-7D5A-4616-BB28-2B7413E5CEB0}"/>
    <cellStyle name="Hesaplama 6" xfId="796" xr:uid="{9AA43E90-8E8A-4C0B-A85B-F161F6FF55E0}"/>
    <cellStyle name="Hesaplama 6 2" xfId="1067" xr:uid="{9A25E23D-CAA6-461B-A39A-4CB316C18274}"/>
    <cellStyle name="Hesaplama 6 3" xfId="1464" xr:uid="{91F894A1-40B5-4172-8CEE-BFC8CF279C89}"/>
    <cellStyle name="Hesaplama 7" xfId="1112" xr:uid="{A0AE89A7-7F37-4F31-9CF9-81F2A1247291}"/>
    <cellStyle name="Hesaplama 7 2" xfId="1509" xr:uid="{F75A155A-E1F7-40AE-AF5A-0087E57FD55C}"/>
    <cellStyle name="Hesaplama 8" xfId="1593" xr:uid="{F653FAC9-4670-4589-8774-FC05A971EE69}"/>
    <cellStyle name="Hesaplama 9" xfId="1635" xr:uid="{45AEF206-5F1F-4E3E-A0D7-BA73409855D6}"/>
    <cellStyle name="İşaretli Hücre 10" xfId="1681" xr:uid="{68638D1C-3376-48F1-B6D4-3F928BF1176F}"/>
    <cellStyle name="İşaretli Hücre 11" xfId="1822" xr:uid="{84A6CA79-D775-4BA3-88D5-3DD169DFF49A}"/>
    <cellStyle name="İşaretli Hücre 12" xfId="1215" xr:uid="{A2542035-264F-4586-AD16-DAAD608BEA58}"/>
    <cellStyle name="İşaretli Hücre 13" xfId="2095" xr:uid="{35CDB774-E687-4892-A544-8B9EDC7F9287}"/>
    <cellStyle name="İşaretli Hücre 2" xfId="74" xr:uid="{DC6605AB-6B8E-4E95-99BC-66D9479AC101}"/>
    <cellStyle name="İşaretli Hücre 2 2" xfId="137" xr:uid="{27F5C720-4B5A-442D-B97C-983F7E9F2917}"/>
    <cellStyle name="İşaretli Hücre 2 2 2" xfId="293" xr:uid="{35A8AF25-0FB5-4A46-9D40-040667D13DEE}"/>
    <cellStyle name="İşaretli Hücre 2 2 3" xfId="507" xr:uid="{0D63C595-AA76-43BC-8266-AFD1A47A1689}"/>
    <cellStyle name="İşaretli Hücre 2 2 4" xfId="718" xr:uid="{BE3CC6D6-2E4B-4B50-8FD6-2E7616590716}"/>
    <cellStyle name="İşaretli Hücre 2 2 5" xfId="923" xr:uid="{8897EF54-6CE5-401F-8F2B-F70EB5F97E53}"/>
    <cellStyle name="İşaretli Hücre 2 2 6" xfId="1332" xr:uid="{A5F574D6-69F3-4ED7-9844-42B82782E0AE}"/>
    <cellStyle name="İşaretli Hücre 2 3" xfId="352" xr:uid="{36ADB800-2A04-4709-9A66-630F2719DE0E}"/>
    <cellStyle name="İşaretli Hücre 2 4" xfId="562" xr:uid="{94EE50E2-43EE-4E1B-A8C4-A18852432F3E}"/>
    <cellStyle name="İşaretli Hücre 2 5" xfId="771" xr:uid="{D3316F4F-C89C-4BE4-8D47-B080FBC515D0}"/>
    <cellStyle name="İşaretli Hücre 2 6" xfId="1177" xr:uid="{EE042B4F-7ABB-4B10-A159-4AC4713E8615}"/>
    <cellStyle name="İşaretli Hücre 3" xfId="175" xr:uid="{6C6969EA-CB9A-473A-AEB1-4EE39D65663D}"/>
    <cellStyle name="İşaretli Hücre 3 2" xfId="236" xr:uid="{6E7FEC7F-3C0A-412C-91AC-213AF921FF31}"/>
    <cellStyle name="İşaretli Hücre 3 3" xfId="450" xr:uid="{21025DD4-6055-43F2-A82B-BE569B073237}"/>
    <cellStyle name="İşaretli Hücre 3 4" xfId="661" xr:uid="{61C9156D-3B6A-4DA2-B107-C647083A9157}"/>
    <cellStyle name="İşaretli Hücre 3 5" xfId="866" xr:uid="{C6E8C0C9-8E46-4237-8743-CBA54BACD833}"/>
    <cellStyle name="İşaretli Hücre 3 6" xfId="1275" xr:uid="{7A52DC2B-B14C-4A2B-8899-6A83216C9DDB}"/>
    <cellStyle name="İşaretli Hücre 4" xfId="390" xr:uid="{ECC71677-489E-406E-82EC-B671C226D0A7}"/>
    <cellStyle name="İşaretli Hücre 4 2" xfId="971" xr:uid="{C36825B6-6427-4E71-85CC-613CFF4369BA}"/>
    <cellStyle name="İşaretli Hücre 4 3" xfId="1376" xr:uid="{73CC1BD4-7606-4838-A29D-856361AB6705}"/>
    <cellStyle name="İşaretli Hücre 5" xfId="601" xr:uid="{1D5C04EE-8044-480B-9B7A-5848D25EB3F4}"/>
    <cellStyle name="İşaretli Hücre 5 2" xfId="1023" xr:uid="{786E4936-9011-414B-9422-069A3FC4A031}"/>
    <cellStyle name="İşaretli Hücre 5 3" xfId="1423" xr:uid="{C6086CA2-71CF-4FF0-8318-3A24318B93DE}"/>
    <cellStyle name="İşaretli Hücre 6" xfId="808" xr:uid="{28AE190B-C09C-44BB-9E07-294B6E30BEC0}"/>
    <cellStyle name="İşaretli Hücre 6 2" xfId="1069" xr:uid="{14E70D32-E5A5-443B-A5CB-F790700FE55A}"/>
    <cellStyle name="İşaretli Hücre 6 3" xfId="1466" xr:uid="{C945747B-F5AC-4483-80E2-6B13F5D80C48}"/>
    <cellStyle name="İşaretli Hücre 7" xfId="1114" xr:uid="{25234AFA-36EF-4A20-A827-CAA953F08199}"/>
    <cellStyle name="İşaretli Hücre 7 2" xfId="1511" xr:uid="{204C98B0-B858-4D48-BCBF-3B75298753C7}"/>
    <cellStyle name="İşaretli Hücre 8" xfId="1595" xr:uid="{3FAA7A9D-FCA2-498A-BB20-059B79FDA7B1}"/>
    <cellStyle name="İşaretli Hücre 9" xfId="1637" xr:uid="{8853CD1B-F726-4EBD-B64A-BB9F3D61A65C}"/>
    <cellStyle name="İyi 10" xfId="1674" xr:uid="{6F35DA44-8EC5-4B5F-A576-385BE68C242A}"/>
    <cellStyle name="İyi 11" xfId="1815" xr:uid="{F8E17259-D373-4BFB-BC3D-FDC6C03301A1}"/>
    <cellStyle name="İyi 12" xfId="1209" xr:uid="{9A9B7CDC-DC7F-4318-816D-9809FB306F5C}"/>
    <cellStyle name="İyi 13" xfId="2089" xr:uid="{140878B2-2E90-40BA-B7BD-4045C20FFDBE}"/>
    <cellStyle name="İyi 2" xfId="75" xr:uid="{DA501D5E-E75C-405F-8E77-BCB8E7B3E8D9}"/>
    <cellStyle name="İyi 2 2" xfId="138" xr:uid="{FB26AB7F-87CC-435A-AC47-ED939377A788}"/>
    <cellStyle name="İyi 2 2 2" xfId="294" xr:uid="{A199CD1A-6957-4359-8B17-9149819DD3A9}"/>
    <cellStyle name="İyi 2 2 3" xfId="508" xr:uid="{7BDEB831-4CAE-4CD0-959F-2E0435BD6E47}"/>
    <cellStyle name="İyi 2 2 4" xfId="719" xr:uid="{4EAD8936-E8D6-48C2-8EA1-12D3FE1467DA}"/>
    <cellStyle name="İyi 2 2 5" xfId="924" xr:uid="{0C48060B-4630-41CC-8026-3BCE7504F049}"/>
    <cellStyle name="İyi 2 2 6" xfId="1333" xr:uid="{B4EDEA22-A243-4937-92CC-D437B5130C35}"/>
    <cellStyle name="İyi 2 3" xfId="353" xr:uid="{86E49FC2-52D2-409E-A9A1-A70A95ACF2D6}"/>
    <cellStyle name="İyi 2 4" xfId="563" xr:uid="{A8B44DC1-39B5-4D58-84E8-34080E0C2B8F}"/>
    <cellStyle name="İyi 2 5" xfId="772" xr:uid="{F2A49D09-5997-4E1B-84DD-CFE1575CC4B4}"/>
    <cellStyle name="İyi 2 6" xfId="1178" xr:uid="{76D828FB-5AB1-41E0-8FCB-7D7AA5E9F45D}"/>
    <cellStyle name="İyi 3" xfId="169" xr:uid="{0604DD5E-9D7C-462B-96D6-D6A815153E56}"/>
    <cellStyle name="İyi 3 2" xfId="224" xr:uid="{4860A7A1-BED7-4B92-883F-2BA0F5A8E300}"/>
    <cellStyle name="İyi 3 3" xfId="438" xr:uid="{E26772BC-FF23-4918-B0AC-FB35BD4F52A1}"/>
    <cellStyle name="İyi 3 4" xfId="649" xr:uid="{761361BE-6C1E-4B97-A5E9-AF9488DF28C0}"/>
    <cellStyle name="İyi 3 5" xfId="854" xr:uid="{60F24126-E91C-4DD2-A49F-8A9C21DD88BE}"/>
    <cellStyle name="İyi 3 6" xfId="1263" xr:uid="{9D977F16-F35D-4CB4-99F1-1551679DA0FC}"/>
    <cellStyle name="İyi 4" xfId="384" xr:uid="{8CD63E76-C860-447D-A7A9-CA8BA42D4591}"/>
    <cellStyle name="İyi 4 2" xfId="964" xr:uid="{CF1515D7-5ABD-4EC9-A178-2555A734F43D}"/>
    <cellStyle name="İyi 4 3" xfId="1369" xr:uid="{A7291899-CDA1-49A4-B245-032F0FD253AA}"/>
    <cellStyle name="İyi 5" xfId="595" xr:uid="{93ED66D2-01D2-4E9A-A5D7-4CD1BBACA845}"/>
    <cellStyle name="İyi 5 2" xfId="1016" xr:uid="{D56603B8-DDB2-42B9-9D08-28A5426B74BC}"/>
    <cellStyle name="İyi 5 3" xfId="1416" xr:uid="{7F7BF840-B21A-4E44-9B4E-382A4530E4B6}"/>
    <cellStyle name="İyi 6" xfId="802" xr:uid="{2A801F67-805D-491F-9CC7-4A39C6A3208D}"/>
    <cellStyle name="İyi 6 2" xfId="1062" xr:uid="{6ADD34C9-C18E-41FB-8244-C32B0F93556D}"/>
    <cellStyle name="İyi 6 3" xfId="1459" xr:uid="{D72AF13B-E8CF-4A2B-8E45-1EC6D07288FD}"/>
    <cellStyle name="İyi 7" xfId="1107" xr:uid="{B544EC7D-8551-449E-B0F3-5D56CE3A074F}"/>
    <cellStyle name="İyi 7 2" xfId="1504" xr:uid="{C7AFA8B9-BFB3-4268-A034-7EA8642260E6}"/>
    <cellStyle name="İyi 8" xfId="1588" xr:uid="{E7CA78A9-409D-4460-9F2B-5FA7529BEA55}"/>
    <cellStyle name="İyi 9" xfId="1630" xr:uid="{00935A35-24F7-4E3C-AFA1-19F256104AFB}"/>
    <cellStyle name="Kötü 10" xfId="1675" xr:uid="{AD7E3323-DA00-4888-ADE8-27249690FC1A}"/>
    <cellStyle name="Kötü 11" xfId="1816" xr:uid="{62DDF9A4-BA15-4991-BAB2-D0BEA0D02C71}"/>
    <cellStyle name="Kötü 12" xfId="1210" xr:uid="{2CF2036F-8144-4318-B348-E5803D7B8786}"/>
    <cellStyle name="Kötü 13" xfId="2090" xr:uid="{66BF46F2-C810-4716-A7D4-30468C5746C6}"/>
    <cellStyle name="Kötü 2" xfId="76" xr:uid="{014015BA-0CE7-4235-8F6C-4991B53603C6}"/>
    <cellStyle name="Kötü 2 2" xfId="139" xr:uid="{B0153AE4-DECC-4163-9BAB-E39ADD2A3C52}"/>
    <cellStyle name="Kötü 2 2 2" xfId="295" xr:uid="{C2DA4BCB-8E2A-4B77-99B5-A6678E080928}"/>
    <cellStyle name="Kötü 2 2 3" xfId="509" xr:uid="{B4AFAF00-1AD9-46D3-8F43-B1849CDC329A}"/>
    <cellStyle name="Kötü 2 2 4" xfId="720" xr:uid="{E15D5DA7-6DB4-4C5C-902B-413505C28851}"/>
    <cellStyle name="Kötü 2 2 5" xfId="925" xr:uid="{58FD062F-99D0-4DCC-A6AD-E465310F2526}"/>
    <cellStyle name="Kötü 2 2 6" xfId="1334" xr:uid="{D0A65A36-2ABF-4122-BA60-4FAE70372A5D}"/>
    <cellStyle name="Kötü 2 3" xfId="354" xr:uid="{41AA1078-5715-4F05-99CA-8A447EE43F3B}"/>
    <cellStyle name="Kötü 2 4" xfId="564" xr:uid="{C954E5F9-B34D-49AE-9CD7-0799799DA8FB}"/>
    <cellStyle name="Kötü 2 5" xfId="773" xr:uid="{0D482AD3-B437-454E-ABB6-D5F8819CAA0B}"/>
    <cellStyle name="Kötü 2 6" xfId="1179" xr:uid="{A8589706-5B16-40F5-8256-8FB171BE6E7E}"/>
    <cellStyle name="Kötü 3" xfId="170" xr:uid="{C4A5FC6C-8647-46B3-BF96-FA0891E6FB02}"/>
    <cellStyle name="Kötü 3 2" xfId="230" xr:uid="{0A89FF86-1659-4D57-9D49-35CC58D4ECEA}"/>
    <cellStyle name="Kötü 3 3" xfId="444" xr:uid="{E91720B4-6B36-479A-AE9A-2C64D5ECA627}"/>
    <cellStyle name="Kötü 3 4" xfId="655" xr:uid="{2CF48B91-7434-4A35-9932-A66B190D4FCD}"/>
    <cellStyle name="Kötü 3 5" xfId="860" xr:uid="{089A061F-D3EB-4358-89D6-24F44BAA4755}"/>
    <cellStyle name="Kötü 3 6" xfId="1269" xr:uid="{1C5560C0-3028-4DDB-A3F5-1103140D7133}"/>
    <cellStyle name="Kötü 4" xfId="385" xr:uid="{2C8007EA-102D-419C-B915-8F23D58A5F51}"/>
    <cellStyle name="Kötü 4 2" xfId="965" xr:uid="{F8212EA9-1306-4849-906F-AFC005EE6064}"/>
    <cellStyle name="Kötü 4 3" xfId="1370" xr:uid="{25CACFDD-7482-4745-AF96-53FE4948B348}"/>
    <cellStyle name="Kötü 5" xfId="596" xr:uid="{F21069F2-6373-47DF-9804-27642D2D2F9D}"/>
    <cellStyle name="Kötü 5 2" xfId="1017" xr:uid="{A30CE05A-544F-4DEC-959D-612C973D8D8B}"/>
    <cellStyle name="Kötü 5 3" xfId="1417" xr:uid="{9A20BC9D-5DAE-414C-A578-447DA6B644F1}"/>
    <cellStyle name="Kötü 6" xfId="803" xr:uid="{C00C71C3-5766-41A9-A3E9-87129EF938D1}"/>
    <cellStyle name="Kötü 6 2" xfId="1063" xr:uid="{870C7747-ED9E-4005-80CC-3925083CECC5}"/>
    <cellStyle name="Kötü 6 3" xfId="1460" xr:uid="{0CFACA99-EEC6-4A96-B165-766F3568C479}"/>
    <cellStyle name="Kötü 7" xfId="1108" xr:uid="{264A2856-FBEB-484F-AB22-9E784A3A5940}"/>
    <cellStyle name="Kötü 7 2" xfId="1505" xr:uid="{A09681EC-EAC4-4796-8440-4C4836BAB1E3}"/>
    <cellStyle name="Kötü 8" xfId="1589" xr:uid="{618524B1-CC13-4A16-AE48-E117664FD37F}"/>
    <cellStyle name="Kötü 9" xfId="1631" xr:uid="{C6D46CE8-F2BA-4D2C-8063-E48057CD0DDD}"/>
    <cellStyle name="Neutral 2" xfId="27" xr:uid="{897EC0E4-CCD2-4E63-A351-A94A4B6B85EE}"/>
    <cellStyle name="Normal" xfId="0" builtinId="0"/>
    <cellStyle name="Normal 10" xfId="100" xr:uid="{59782D7D-2F9A-49C7-ABB6-B8668F9471D6}"/>
    <cellStyle name="Normal 10 2" xfId="211" xr:uid="{A20F7F94-A9C4-45CC-815C-63FF9FED61E4}"/>
    <cellStyle name="Normal 10 2 2" xfId="1550" xr:uid="{63780C74-F759-4D07-B004-B2100740AF9D}"/>
    <cellStyle name="Normal 10 3" xfId="426" xr:uid="{4125DC62-CF94-4662-A195-C25840FB1D3C}"/>
    <cellStyle name="Normal 10 4" xfId="637" xr:uid="{C93317C5-CAC6-409F-996B-2B91D1273B3E}"/>
    <cellStyle name="Normal 10 5" xfId="844" xr:uid="{7F15EF7A-96AC-43C4-B044-BE7FC0332C0D}"/>
    <cellStyle name="Normal 10 6" xfId="1251" xr:uid="{5B1938A9-E01B-4512-8997-1B0EAE274862}"/>
    <cellStyle name="Normal 11" xfId="101" xr:uid="{14E14625-9DA3-439A-A256-5F3D58E5F06B}"/>
    <cellStyle name="Normal 11 2" xfId="212" xr:uid="{B416EB8A-F5E9-41EA-8177-7433B7C3DF04}"/>
    <cellStyle name="Normal 11 2 2" xfId="1551" xr:uid="{27007D6B-8DA9-4A8D-B14D-447C9B6F77CC}"/>
    <cellStyle name="Normal 11 3" xfId="427" xr:uid="{C3E82727-5C0A-43F9-AD7F-8110A3733E23}"/>
    <cellStyle name="Normal 11 4" xfId="638" xr:uid="{963B871F-3F6A-43AA-8427-CF864E0035C4}"/>
    <cellStyle name="Normal 11 5" xfId="845" xr:uid="{29CEC43B-DFFE-4A21-A8A2-9AE17461875A}"/>
    <cellStyle name="Normal 11 6" xfId="1252" xr:uid="{E7C793FF-2CFE-4D43-993F-337EDC85CD15}"/>
    <cellStyle name="Normal 12" xfId="102" xr:uid="{5E06F634-8E16-4237-AF48-BE3DC0E30B92}"/>
    <cellStyle name="Normal 12 2" xfId="213" xr:uid="{D96807E2-18B5-45BA-853C-6BD619C6F32E}"/>
    <cellStyle name="Normal 12 2 2" xfId="1552" xr:uid="{40F79388-85CE-4989-A64C-B75E209CD902}"/>
    <cellStyle name="Normal 12 3" xfId="428" xr:uid="{B211A756-1A90-4B2D-AE79-7DA6A7622058}"/>
    <cellStyle name="Normal 12 4" xfId="639" xr:uid="{0D9B21BB-A9F4-4DCD-B75D-797E0225A743}"/>
    <cellStyle name="Normal 12 5" xfId="846" xr:uid="{3DAF8B0E-A827-44AD-8DC7-AB378E2FDAFE}"/>
    <cellStyle name="Normal 12 6" xfId="1253" xr:uid="{5DA752D9-7472-42B1-BF6C-33431F01636F}"/>
    <cellStyle name="Normal 13" xfId="103" xr:uid="{8AC22894-73B5-4381-A3E5-F6229129A05B}"/>
    <cellStyle name="Normal 13 2" xfId="214" xr:uid="{7835C74F-098A-43B3-A2C3-F5124EAB98E7}"/>
    <cellStyle name="Normal 13 2 2" xfId="1553" xr:uid="{38296ED6-AC71-46E5-8F9C-933A6E517E9E}"/>
    <cellStyle name="Normal 13 3" xfId="429" xr:uid="{363747DD-14CE-4CFB-93FB-404D85066C2B}"/>
    <cellStyle name="Normal 13 4" xfId="640" xr:uid="{3242458E-2F11-45B1-BB4F-71A00D63132D}"/>
    <cellStyle name="Normal 13 5" xfId="847" xr:uid="{9D391D53-0C91-4D20-B382-10AD0A2F5B8E}"/>
    <cellStyle name="Normal 13 6" xfId="1254" xr:uid="{5882697E-F462-4A50-9F00-D35A550545FB}"/>
    <cellStyle name="Normal 14" xfId="104" xr:uid="{70BF43F3-1047-4A71-A252-5DEA54AA34F2}"/>
    <cellStyle name="Normal 14 2" xfId="215" xr:uid="{CE087907-C08B-41DE-AA48-10228CEA4CF4}"/>
    <cellStyle name="Normal 14 2 2" xfId="1554" xr:uid="{5252F188-18F7-4B91-A558-6B84A9D41240}"/>
    <cellStyle name="Normal 14 3" xfId="430" xr:uid="{3BB4ADDB-4B34-4216-84F5-9157DAADDB5A}"/>
    <cellStyle name="Normal 14 4" xfId="641" xr:uid="{C390495B-96F1-4429-8332-FDE46FB336B8}"/>
    <cellStyle name="Normal 14 5" xfId="848" xr:uid="{65342D08-869E-49D9-8BCD-C472A6396495}"/>
    <cellStyle name="Normal 14 6" xfId="1255" xr:uid="{1684F622-61E6-4A98-A539-D50913543C7C}"/>
    <cellStyle name="Normal 15" xfId="105" xr:uid="{A553F124-5252-4E6E-A6C5-4AD954818ECE}"/>
    <cellStyle name="Normal 15 2" xfId="216" xr:uid="{C456EB93-10C1-4BC7-82E4-04EC371DDAF2}"/>
    <cellStyle name="Normal 15 2 2" xfId="1555" xr:uid="{25BA8F81-8E2E-479F-A89C-38CA7C4AD7AC}"/>
    <cellStyle name="Normal 15 3" xfId="431" xr:uid="{5641D214-2D0F-4ED7-910A-7FDF62EFC4CD}"/>
    <cellStyle name="Normal 15 4" xfId="642" xr:uid="{FE6A328B-C6A5-43ED-AD07-FA20B1AD9E47}"/>
    <cellStyle name="Normal 15 5" xfId="849" xr:uid="{24812952-280F-41F8-A196-C93BE701429B}"/>
    <cellStyle name="Normal 15 6" xfId="1256" xr:uid="{319E1B36-C233-43AC-906B-1B5F5BE82E4C}"/>
    <cellStyle name="Normal 16" xfId="106" xr:uid="{AA28EC7E-3B77-4DF2-A05A-ED98B5F6E430}"/>
    <cellStyle name="Normal 16 2" xfId="217" xr:uid="{FDBF03E2-47FE-494D-A14E-8477BBB25D32}"/>
    <cellStyle name="Normal 16 2 2" xfId="1556" xr:uid="{4C119324-11A5-414B-B05B-80669ADFBE5D}"/>
    <cellStyle name="Normal 16 3" xfId="432" xr:uid="{733F1CCB-8955-4C61-9732-6AC1BA64E92D}"/>
    <cellStyle name="Normal 16 4" xfId="643" xr:uid="{3B76368D-9CD7-49CA-8007-D833E924EECA}"/>
    <cellStyle name="Normal 16 5" xfId="850" xr:uid="{B70A3D57-8A4E-46B9-8482-5C0B8E9588DB}"/>
    <cellStyle name="Normal 16 6" xfId="1257" xr:uid="{9219E8E1-F9DC-438C-BD78-3849CC500B46}"/>
    <cellStyle name="Normal 17" xfId="28" xr:uid="{AB80793D-27F2-481B-BE98-F397A89AB709}"/>
    <cellStyle name="Normal 17 2" xfId="140" xr:uid="{D93CB27D-EC78-479E-A208-3D131E3B71EB}"/>
    <cellStyle name="Normal 17 2 2" xfId="296" xr:uid="{0CB16AA0-E9F8-492C-9759-6E3B7C794C3C}"/>
    <cellStyle name="Normal 17 2 3" xfId="510" xr:uid="{5E93251E-78FC-43A0-ACC3-C693E54AFBC7}"/>
    <cellStyle name="Normal 17 2 4" xfId="721" xr:uid="{C0B8AC7D-14BB-4AC4-BE98-28A5CD1B62BF}"/>
    <cellStyle name="Normal 17 2 5" xfId="926" xr:uid="{F3D291E7-EE98-4AC1-894C-9C07BF4E2EBD}"/>
    <cellStyle name="Normal 17 2 6" xfId="1335" xr:uid="{191B5208-A10E-470F-A609-E3B1F420AD5B}"/>
    <cellStyle name="Normal 17 3" xfId="355" xr:uid="{4B81CDA1-8488-42A4-AD3A-6F6C7F4C6CB7}"/>
    <cellStyle name="Normal 17 4" xfId="565" xr:uid="{984D0FBE-F5E1-463D-8848-78593D9E2BEA}"/>
    <cellStyle name="Normal 17 5" xfId="774" xr:uid="{86739A1D-18D8-4A24-BEAB-4A21A24E0988}"/>
    <cellStyle name="Normal 17 6" xfId="1180" xr:uid="{5006B5B8-31F1-4911-888F-F4931D388C88}"/>
    <cellStyle name="Normal 18" xfId="107" xr:uid="{4FEFD3D4-9B0C-4A6B-83AA-AC9FE9CCF852}"/>
    <cellStyle name="Normal 18 2" xfId="218" xr:uid="{D55072D4-DDA4-4823-9A0D-A2F3209E0D61}"/>
    <cellStyle name="Normal 18 2 2" xfId="1557" xr:uid="{C9B96C29-DD8A-450C-85E1-BCDC356C3790}"/>
    <cellStyle name="Normal 18 3" xfId="433" xr:uid="{8608C9BC-FACD-49D2-8204-8604722148FA}"/>
    <cellStyle name="Normal 18 4" xfId="644" xr:uid="{71071F84-17A9-400C-AD1E-59C0A5454494}"/>
    <cellStyle name="Normal 18 5" xfId="851" xr:uid="{04AA44D7-CF0E-4AE7-A670-24F2FEBE7CB8}"/>
    <cellStyle name="Normal 18 6" xfId="1258" xr:uid="{12AA2F72-E7B4-4D7B-BE2B-CF46DB221DF7}"/>
    <cellStyle name="Normal 19" xfId="108" xr:uid="{7EBDF73A-F49E-408E-BACB-E5E54134254C}"/>
    <cellStyle name="Normal 19 2" xfId="222" xr:uid="{89B629D7-C594-4467-898F-B205CF1EA2FD}"/>
    <cellStyle name="Normal 19 2 2" xfId="2163" xr:uid="{F054141C-1E8F-4E01-96E3-BD1B6822CC8D}"/>
    <cellStyle name="Normal 19 3" xfId="436" xr:uid="{7194D871-E91D-4A9B-8A14-BDDF6968500C}"/>
    <cellStyle name="Normal 19 3 2" xfId="2308" xr:uid="{E4F9DBB7-60AB-4EBE-9B9F-870D43F5507E}"/>
    <cellStyle name="Normal 19 4" xfId="647" xr:uid="{A8335FE8-D568-4954-AF4D-4C57DFEF5B2B}"/>
    <cellStyle name="Normal 19 4 2" xfId="2650" xr:uid="{0D29E730-811F-4A34-8BE4-FFF6768C0450}"/>
    <cellStyle name="Normal 19 5" xfId="852" xr:uid="{2EE8AC59-95C7-4345-A586-758FF3C188FB}"/>
    <cellStyle name="Normal 19 5 2" xfId="2787" xr:uid="{6CB2905F-06C0-4CE0-A970-6C6AE6AC6792}"/>
    <cellStyle name="Normal 19 6" xfId="1261" xr:uid="{4782BCF9-838A-4E1D-9B0C-5E3EE8863F95}"/>
    <cellStyle name="Normal 2" xfId="29" xr:uid="{712B8643-EF67-4825-BCC6-05036B07E05C}"/>
    <cellStyle name="Normal 2 10" xfId="141" xr:uid="{F4EA9A5D-DE3B-414B-B548-5A630A12A077}"/>
    <cellStyle name="Normal 2 10 10" xfId="30" xr:uid="{76A83BAB-A242-423C-BBE0-2294FBF42F51}"/>
    <cellStyle name="Normal 2 10 10 2" xfId="142" xr:uid="{42EDAC89-799B-4717-BAAF-BD84D4400576}"/>
    <cellStyle name="Normal 2 10 10 2 2" xfId="297" xr:uid="{608B4D7D-F699-45D1-B14B-122FFDE5B141}"/>
    <cellStyle name="Normal 2 10 10 2 3" xfId="512" xr:uid="{8AAB5EE8-1B0C-471A-8AE3-377F67584824}"/>
    <cellStyle name="Normal 2 10 10 2 4" xfId="723" xr:uid="{0D28F76E-AD2B-4F12-A1A3-FC100FC5511C}"/>
    <cellStyle name="Normal 2 10 10 2 5" xfId="928" xr:uid="{7F886AC0-E5CC-4652-86DD-F6E262FDB8EB}"/>
    <cellStyle name="Normal 2 10 10 2 6" xfId="1337" xr:uid="{3ECCC83B-0CA7-47F7-A35E-043914B83639}"/>
    <cellStyle name="Normal 2 10 10 3" xfId="357" xr:uid="{266B351C-F060-47BF-8CEE-0A3E32412576}"/>
    <cellStyle name="Normal 2 10 10 4" xfId="567" xr:uid="{F4EBDDDC-3B95-4069-B958-06CDF774CFCD}"/>
    <cellStyle name="Normal 2 10 10 5" xfId="776" xr:uid="{213316DF-AC92-4B09-A479-43ED322E0290}"/>
    <cellStyle name="Normal 2 10 10 6" xfId="1182" xr:uid="{3599C730-433D-4A98-BBF2-4075376DB26A}"/>
    <cellStyle name="Normal 2 10 2" xfId="511" xr:uid="{ACBDD876-EE5C-498B-80FF-E0C3F5149BDF}"/>
    <cellStyle name="Normal 2 10 3" xfId="722" xr:uid="{05EE514D-3D4F-43D8-BC87-8FE5C32FA5CC}"/>
    <cellStyle name="Normal 2 10 4" xfId="927" xr:uid="{A2457217-B701-4389-8C76-B6C5715C15B2}"/>
    <cellStyle name="Normal 2 10 5" xfId="1336" xr:uid="{254A4087-66FE-4B86-A12F-C653836C33BF}"/>
    <cellStyle name="Normal 2 11" xfId="356" xr:uid="{12E3D825-8C09-4F96-9876-CED61B23E27D}"/>
    <cellStyle name="Normal 2 11 2" xfId="2144" xr:uid="{78A03BFC-D8FC-4732-8B17-125C132FD8CD}"/>
    <cellStyle name="Normal 2 12" xfId="566" xr:uid="{F9AEC359-94BA-4446-BA63-98C63830C689}"/>
    <cellStyle name="Normal 2 12 2" xfId="2289" xr:uid="{EA40360C-B633-4291-8DA5-1A8B4993FC75}"/>
    <cellStyle name="Normal 2 13" xfId="775" xr:uid="{AD5505A2-7D04-452D-BA62-38E5A12B428B}"/>
    <cellStyle name="Normal 2 13 2" xfId="2738" xr:uid="{DD25C475-203B-4EFA-B6CC-FB99D7F9E3D1}"/>
    <cellStyle name="Normal 2 14" xfId="1147" xr:uid="{4C880A20-AB25-48D5-9325-DE2032EC6FD4}"/>
    <cellStyle name="Normal 2 14 2" xfId="2770" xr:uid="{03B624D5-3A79-4FD9-828B-EEA24450E7BE}"/>
    <cellStyle name="Normal 2 15" xfId="1181" xr:uid="{45CA3003-28F2-473B-B5FB-535D3DC5841F}"/>
    <cellStyle name="Normal 2 15 2" xfId="2894" xr:uid="{BF9AC5F9-E4D3-47F1-8CF0-9BE196881B83}"/>
    <cellStyle name="Normal 2 16" xfId="2079" xr:uid="{2261A12F-7A42-4005-9C7A-02F7B30F9270}"/>
    <cellStyle name="Normal 2 2" xfId="77" xr:uid="{63280CD3-93CA-4E70-AF80-ADEDCF158E79}"/>
    <cellStyle name="Normal 2 2 2" xfId="143" xr:uid="{4CD08AD7-BA2C-4FCE-9DC5-9E279293F326}"/>
    <cellStyle name="Normal 2 2 2 2" xfId="298" xr:uid="{DAE60127-A7BE-48EE-BD30-FEE4D5C9270B}"/>
    <cellStyle name="Normal 2 2 2 3" xfId="513" xr:uid="{44996B42-C571-41DA-BC85-D054C94CDEBB}"/>
    <cellStyle name="Normal 2 2 2 4" xfId="724" xr:uid="{F07EDA01-870C-44A3-AA85-1A286EF015EB}"/>
    <cellStyle name="Normal 2 2 2 5" xfId="929" xr:uid="{E42A64DE-37EE-4817-8C2F-F9EC159C8F83}"/>
    <cellStyle name="Normal 2 2 2 6" xfId="1338" xr:uid="{F1DEC104-7ED6-407F-9E14-2BFF0200CFC9}"/>
    <cellStyle name="Normal 2 2 3" xfId="358" xr:uid="{B179EBE4-949F-486E-AA70-7CF947034738}"/>
    <cellStyle name="Normal 2 2 4" xfId="568" xr:uid="{2A55DA71-83AC-458F-85A1-5AFCC753FC97}"/>
    <cellStyle name="Normal 2 2 5" xfId="777" xr:uid="{1CCFCDA4-39F0-4661-8806-B4D8BD284572}"/>
    <cellStyle name="Normal 2 2 6" xfId="1183" xr:uid="{7234D781-B9FF-48AB-BAD9-B7D48672721D}"/>
    <cellStyle name="Normal 2 3" xfId="78" xr:uid="{46F98C83-DC39-435E-8B83-4A214B05FD37}"/>
    <cellStyle name="Normal 2 3 2" xfId="144" xr:uid="{BBEB7D72-2238-4810-8FD0-F625D6CF0C1A}"/>
    <cellStyle name="Normal 2 3 2 2" xfId="299" xr:uid="{EF458750-61BE-426A-BCCF-EE22E9DFDB14}"/>
    <cellStyle name="Normal 2 3 2 3" xfId="514" xr:uid="{2977829C-0F2F-474E-A0EF-CF2648D2BA5E}"/>
    <cellStyle name="Normal 2 3 2 4" xfId="725" xr:uid="{871FC3C6-BBB9-4FF0-89DB-A779D601CE64}"/>
    <cellStyle name="Normal 2 3 2 5" xfId="930" xr:uid="{A0DF46B5-5BAA-40DB-998C-15D55F38BA67}"/>
    <cellStyle name="Normal 2 3 2 6" xfId="1339" xr:uid="{93E26F0A-9A46-4B04-9C8D-FCC5BC10A59F}"/>
    <cellStyle name="Normal 2 3 3" xfId="359" xr:uid="{F035C4DB-6578-4CDE-A6A3-0AE0F465CB1A}"/>
    <cellStyle name="Normal 2 3 4" xfId="569" xr:uid="{B7F83B81-6476-4DBF-9B7D-6F3EF0500CBD}"/>
    <cellStyle name="Normal 2 3 5" xfId="778" xr:uid="{59B54F5E-2266-4A49-BAC0-68DA1C68F55E}"/>
    <cellStyle name="Normal 2 3 6" xfId="1184" xr:uid="{D32AB7AA-03A8-488E-9330-657A59E7A863}"/>
    <cellStyle name="Normal 2 4" xfId="79" xr:uid="{0471C00F-528D-4001-9D7D-9550840FE6DA}"/>
    <cellStyle name="Normal 2 4 2" xfId="145" xr:uid="{318C7F3A-7FCB-43D7-ADE4-609571DB9B86}"/>
    <cellStyle name="Normal 2 4 2 2" xfId="300" xr:uid="{4D4019A3-7B92-4892-AFF8-860316492228}"/>
    <cellStyle name="Normal 2 4 2 3" xfId="515" xr:uid="{7C999D7F-6943-4B75-93EC-F5C177396B61}"/>
    <cellStyle name="Normal 2 4 2 4" xfId="726" xr:uid="{680B1E10-017E-4A27-B19F-CE61B726CA5D}"/>
    <cellStyle name="Normal 2 4 2 5" xfId="931" xr:uid="{B6805156-A85F-4190-8502-E3D169EE0F52}"/>
    <cellStyle name="Normal 2 4 2 6" xfId="1340" xr:uid="{2E8FA215-4407-403E-9829-A9337DF46F46}"/>
    <cellStyle name="Normal 2 4 3" xfId="360" xr:uid="{D9835096-33F6-4E8E-808F-70EB78041118}"/>
    <cellStyle name="Normal 2 4 4" xfId="570" xr:uid="{380297B6-7859-4F69-BD75-6731B1DFE654}"/>
    <cellStyle name="Normal 2 4 5" xfId="779" xr:uid="{90600C88-B0F1-4E02-98C6-34ED72AF326F}"/>
    <cellStyle name="Normal 2 4 6" xfId="1185" xr:uid="{56D1F08A-93DA-49CD-9BDF-90019B142856}"/>
    <cellStyle name="Normal 2 5" xfId="80" xr:uid="{C239601D-8E24-4836-ACFC-9A6DB28A8C1D}"/>
    <cellStyle name="Normal 2 5 2" xfId="146" xr:uid="{651CB7F4-3486-4E73-BF22-1E90962E6B21}"/>
    <cellStyle name="Normal 2 5 2 2" xfId="301" xr:uid="{1974CBF1-857F-43CE-8B78-4DF653B3D9E7}"/>
    <cellStyle name="Normal 2 5 2 3" xfId="516" xr:uid="{F9262857-8C35-4204-BDE4-A5166DA33463}"/>
    <cellStyle name="Normal 2 5 2 4" xfId="727" xr:uid="{374269D8-2EEE-4B84-91A3-B29BFA2D3E7D}"/>
    <cellStyle name="Normal 2 5 2 5" xfId="932" xr:uid="{3A40EDB1-F1B2-44A0-872C-F7ABC36C0296}"/>
    <cellStyle name="Normal 2 5 2 6" xfId="1341" xr:uid="{B3A127E6-FB3C-44A1-91EC-1258B8ACB0BD}"/>
    <cellStyle name="Normal 2 5 3" xfId="361" xr:uid="{1C5DB0DC-C8C1-4E8E-837C-CEFFEA6F74E9}"/>
    <cellStyle name="Normal 2 5 4" xfId="571" xr:uid="{925620C0-1A2F-4AA7-8F22-50D8E86B51B5}"/>
    <cellStyle name="Normal 2 5 5" xfId="780" xr:uid="{132A049F-03D5-480C-858D-9021DC91E40F}"/>
    <cellStyle name="Normal 2 5 6" xfId="1186" xr:uid="{D519442C-C807-4E59-9F1A-01B834DAEF8F}"/>
    <cellStyle name="Normal 2 6" xfId="81" xr:uid="{21D89000-DDA7-4A33-B452-0966255B2B1E}"/>
    <cellStyle name="Normal 2 6 2" xfId="147" xr:uid="{FF9B58F3-1A15-41E8-9C70-E20FB5A3C499}"/>
    <cellStyle name="Normal 2 6 2 2" xfId="302" xr:uid="{61887CC0-1ED4-4D45-96DB-16397C5D77B2}"/>
    <cellStyle name="Normal 2 6 2 3" xfId="517" xr:uid="{C1B6A0F6-FE89-4998-B0B1-41EBC4910D07}"/>
    <cellStyle name="Normal 2 6 2 4" xfId="728" xr:uid="{75E85333-79AB-4A9D-807D-7191B19B05FB}"/>
    <cellStyle name="Normal 2 6 2 5" xfId="933" xr:uid="{F598B615-B82E-4E3E-94C8-97A44D967977}"/>
    <cellStyle name="Normal 2 6 2 6" xfId="1342" xr:uid="{4759BBBD-043D-475B-BD9C-E1D47B2BAE42}"/>
    <cellStyle name="Normal 2 6 3" xfId="362" xr:uid="{DB678B5C-6E57-4547-8A7B-D610A96319AF}"/>
    <cellStyle name="Normal 2 6 4" xfId="572" xr:uid="{1A04AE41-F0AE-438D-BBBE-FF24E4205792}"/>
    <cellStyle name="Normal 2 6 5" xfId="781" xr:uid="{651AD115-CB4F-4900-A0FD-C314D68E9A55}"/>
    <cellStyle name="Normal 2 6 6" xfId="1187" xr:uid="{9C50BAD9-3F45-4943-B491-D20FAFD188E1}"/>
    <cellStyle name="Normal 2 7" xfId="82" xr:uid="{FFCE04D7-2BDF-43F6-AA2D-6FD1D925192F}"/>
    <cellStyle name="Normal 2 7 2" xfId="148" xr:uid="{AE919CE5-079F-4168-91BC-39EA1CF0DFF0}"/>
    <cellStyle name="Normal 2 7 2 2" xfId="303" xr:uid="{82FEB5CA-124E-4BCD-8518-72422DAF9C8D}"/>
    <cellStyle name="Normal 2 7 2 3" xfId="518" xr:uid="{DCD80E14-6B14-4143-8E04-4C7249730367}"/>
    <cellStyle name="Normal 2 7 2 4" xfId="729" xr:uid="{9DDAB675-1C33-409B-9851-52D96AAE6F8A}"/>
    <cellStyle name="Normal 2 7 2 5" xfId="934" xr:uid="{BBDF27A8-69FF-44EB-B80C-DAE121723109}"/>
    <cellStyle name="Normal 2 7 2 6" xfId="1343" xr:uid="{75D2052C-504F-49B7-82F6-02DF3BC16124}"/>
    <cellStyle name="Normal 2 7 3" xfId="363" xr:uid="{4BC93440-D486-436E-8496-EED4C17DF307}"/>
    <cellStyle name="Normal 2 7 4" xfId="573" xr:uid="{63DBE881-B114-4291-ABD3-131EEE5D86E9}"/>
    <cellStyle name="Normal 2 7 5" xfId="782" xr:uid="{0F5BFD13-D5AD-482B-80F4-F9392FC51A08}"/>
    <cellStyle name="Normal 2 7 6" xfId="1188" xr:uid="{AD244E3A-FFDD-4749-9A6B-A1A23DF4F77E}"/>
    <cellStyle name="Normal 2 8" xfId="83" xr:uid="{E27BECE0-4DB1-4475-9A43-3F7598ABA96A}"/>
    <cellStyle name="Normal 2 8 2" xfId="149" xr:uid="{C4582F2C-CCE5-4169-8BEA-4BD5AC21D74E}"/>
    <cellStyle name="Normal 2 8 2 2" xfId="304" xr:uid="{C91D881F-8C75-4D7B-A569-EBD25573B6B0}"/>
    <cellStyle name="Normal 2 8 2 3" xfId="519" xr:uid="{39D059E1-0F1D-460F-9656-B94D12712B2D}"/>
    <cellStyle name="Normal 2 8 2 4" xfId="730" xr:uid="{D8B2DB89-524D-4DB3-A1C5-DD64DE15F33F}"/>
    <cellStyle name="Normal 2 8 2 5" xfId="935" xr:uid="{9AB8E09F-002B-4685-99B0-1A67E61658E8}"/>
    <cellStyle name="Normal 2 8 2 6" xfId="1344" xr:uid="{6CA02139-05C3-4C30-B7BB-6D08273F30E6}"/>
    <cellStyle name="Normal 2 8 3" xfId="364" xr:uid="{134BF19D-95E8-4379-990D-AF920B32DBAD}"/>
    <cellStyle name="Normal 2 8 4" xfId="574" xr:uid="{7E401FE7-8871-44A7-A678-5F2755B32939}"/>
    <cellStyle name="Normal 2 8 5" xfId="783" xr:uid="{A7A4AFE8-2FB4-4992-9CC3-2CA3D81905C5}"/>
    <cellStyle name="Normal 2 8 6" xfId="1189" xr:uid="{46F0D02F-B048-4A67-9992-3110BBA331B9}"/>
    <cellStyle name="Normal 2 9" xfId="219" xr:uid="{AA006005-146D-41B6-BBA7-91312F8873ED}"/>
    <cellStyle name="Normal 2 9 2" xfId="1259" xr:uid="{0B878009-62D3-4273-B85B-42D8445EF41F}"/>
    <cellStyle name="Normal 20" xfId="162" xr:uid="{0D78BFBD-BE3D-4C64-AEFD-5AF58F1C429C}"/>
    <cellStyle name="Normal 20 2" xfId="317" xr:uid="{675E23B9-F106-402F-BFE2-A8D73BF28C74}"/>
    <cellStyle name="Normal 20 2 2" xfId="2178" xr:uid="{EBA18F63-653A-4395-83C9-40DC286F40F2}"/>
    <cellStyle name="Normal 20 3" xfId="532" xr:uid="{063061D5-D84A-4303-9FB6-1C0B8BECCAC7}"/>
    <cellStyle name="Normal 20 3 2" xfId="2323" xr:uid="{E1C09BEB-D66B-4B02-9F60-6896B059C326}"/>
    <cellStyle name="Normal 20 4" xfId="743" xr:uid="{6CC681B1-1F8F-4842-919A-5693A50130FA}"/>
    <cellStyle name="Normal 20 4 2" xfId="2649" xr:uid="{4E5A8788-978F-48D4-9D3B-6B3B257C2BF7}"/>
    <cellStyle name="Normal 20 5" xfId="948" xr:uid="{39F1506A-2769-49D2-B0B0-E9B9C09A19CE}"/>
    <cellStyle name="Normal 20 5 2" xfId="2802" xr:uid="{6CB15CF3-8188-40A8-B895-8214E8CC4FBD}"/>
    <cellStyle name="Normal 20 6" xfId="1357" xr:uid="{78115AA3-E062-4C2D-84C9-8C70862237BB}"/>
    <cellStyle name="Normal 21" xfId="221" xr:uid="{44EB84C0-5E9E-4199-BDC4-D0248186C92D}"/>
    <cellStyle name="Normal 21 2" xfId="319" xr:uid="{0B553DDE-0EB1-4FE5-8D49-41359572FE20}"/>
    <cellStyle name="Normal 21 2 2" xfId="2179" xr:uid="{E7FAA200-9433-4775-A118-EFA2C8F0BF1C}"/>
    <cellStyle name="Normal 21 3" xfId="533" xr:uid="{67718FC9-C2C0-4577-9D17-89FF5BD579FE}"/>
    <cellStyle name="Normal 21 3 2" xfId="2324" xr:uid="{536A872E-FDD8-4452-B7AD-F32CBD2B1F5B}"/>
    <cellStyle name="Normal 21 4" xfId="744" xr:uid="{3308DC23-1B14-473F-A51B-4198DB60D3A7}"/>
    <cellStyle name="Normal 21 4 2" xfId="2680" xr:uid="{B5A8EDD6-B41B-48D7-B62A-4396B3D554B1}"/>
    <cellStyle name="Normal 21 5" xfId="949" xr:uid="{9DB0ABB1-7429-411E-B567-37BBE2470162}"/>
    <cellStyle name="Normal 21 5 2" xfId="2803" xr:uid="{061C8EBA-2567-4B58-86FD-D29ADF0FFD38}"/>
    <cellStyle name="Normal 21 6" xfId="1358" xr:uid="{1A4931D4-A4D3-4AAF-BD6D-59F6810C1EB4}"/>
    <cellStyle name="Normal 22" xfId="320" xr:uid="{6950AE71-9B50-4495-B1DB-F885885CC527}"/>
    <cellStyle name="Normal 22 2" xfId="1359" xr:uid="{7BA5CD36-F5A4-4EB8-A318-8CAA6B7C4640}"/>
    <cellStyle name="Normal 22 2 2" xfId="2412" xr:uid="{21CD6313-537F-4F25-8FF4-4DF58ED2347C}"/>
    <cellStyle name="Normal 22 3" xfId="2325" xr:uid="{86F7161F-2D7F-42AD-972B-91782D6DA0A6}"/>
    <cellStyle name="Normal 22 4" xfId="2752" xr:uid="{95A129DD-42A9-4D07-AF5B-34DF38B12A96}"/>
    <cellStyle name="Normal 22 5" xfId="2804" xr:uid="{A74E9C58-E20E-4B8D-91D9-79D58C839DA1}"/>
    <cellStyle name="Normal 22 6" xfId="2912" xr:uid="{4969463A-6E61-4851-BC87-40463A5BC066}"/>
    <cellStyle name="Normal 23" xfId="318" xr:uid="{6F3DF9CA-C0BB-4F26-9C56-B5A62394A7E4}"/>
    <cellStyle name="Normal 23 2" xfId="322" xr:uid="{EFB75C30-5674-42BA-92D1-50E0864DCA28}"/>
    <cellStyle name="Normal 23 2 2" xfId="2180" xr:uid="{AB13992D-0049-40D0-98FA-FC2B09A7560A}"/>
    <cellStyle name="Normal 23 3" xfId="535" xr:uid="{7BC3F9F3-0E95-4F7A-A530-93AC32C58114}"/>
    <cellStyle name="Normal 23 3 2" xfId="2326" xr:uid="{34DDD11F-518F-4968-B2F1-6083FB404EDD}"/>
    <cellStyle name="Normal 23 4" xfId="746" xr:uid="{1F71E661-DE85-4B75-AC1E-EE0DA397A1F5}"/>
    <cellStyle name="Normal 23 4 2" xfId="2743" xr:uid="{E556D02F-5BF1-4542-A320-658F604DA9BF}"/>
    <cellStyle name="Normal 23 5" xfId="950" xr:uid="{A93F21E8-9217-4433-B4C8-8BE70D880AAE}"/>
    <cellStyle name="Normal 23 5 2" xfId="2805" xr:uid="{425001E4-FE73-438E-906F-24DE14570D9B}"/>
    <cellStyle name="Normal 23 6" xfId="1360" xr:uid="{7262EEF3-01CD-451F-810C-176CEEED323C}"/>
    <cellStyle name="Normal 24" xfId="321" xr:uid="{DAF59DDB-9619-433A-88CB-47A822152D3C}"/>
    <cellStyle name="Normal 24 2" xfId="536" xr:uid="{7B4D0301-720E-4D3F-BF70-279A8C98DB06}"/>
    <cellStyle name="Normal 24 2 2" xfId="2181" xr:uid="{FB9EDB35-206B-4575-BEAE-0D41F5C00237}"/>
    <cellStyle name="Normal 24 3" xfId="747" xr:uid="{5DCCD354-8374-47A1-A24C-BFB7D06C5D7C}"/>
    <cellStyle name="Normal 24 3 2" xfId="2327" xr:uid="{894E4285-BA12-4CC2-B626-0D0598BC1946}"/>
    <cellStyle name="Normal 24 4" xfId="951" xr:uid="{A21A686B-EA36-4C6F-83AE-D85CC968DAAC}"/>
    <cellStyle name="Normal 24 4 2" xfId="2737" xr:uid="{874B3EA6-3B77-4CCB-BE85-B98B16AD576D}"/>
    <cellStyle name="Normal 24 5" xfId="1361" xr:uid="{D5635ACF-C4F3-455D-A172-BAEAA1DD9266}"/>
    <cellStyle name="Normal 24 6" xfId="2913" xr:uid="{3C3EE488-A9A8-4A48-94D2-175F3F05A42F}"/>
    <cellStyle name="Normal 25" xfId="956" xr:uid="{B2074837-BC2F-47B9-B8F8-8AF4462730A2}"/>
    <cellStyle name="Normal 25 2" xfId="537" xr:uid="{35087384-75BF-4B3A-A1B8-0B314665E962}"/>
    <cellStyle name="Normal 25 2 2" xfId="2182" xr:uid="{A84B78F9-623C-4524-9EB8-4DDBA644C6A9}"/>
    <cellStyle name="Normal 25 3" xfId="748" xr:uid="{A43EBA74-BBB4-4DF7-A4F2-D107ED07C935}"/>
    <cellStyle name="Normal 25 3 2" xfId="2328" xr:uid="{A7F0A6B2-AC5A-4D7C-8AE0-6E7827FFFB3E}"/>
    <cellStyle name="Normal 25 4" xfId="952" xr:uid="{8560E2B8-B360-49E6-B26B-B707544E107F}"/>
    <cellStyle name="Normal 25 4 2" xfId="2654" xr:uid="{01E85E12-F8DD-42E2-889F-BB22193E4E69}"/>
    <cellStyle name="Normal 25 5" xfId="1362" xr:uid="{8589CDE9-CB9F-43C8-BF87-80F615DFF132}"/>
    <cellStyle name="Normal 25 6" xfId="2914" xr:uid="{9EF03341-532F-45A1-8579-55AF6CBFAC45}"/>
    <cellStyle name="Normal 26" xfId="953" xr:uid="{8B2701CC-8547-4793-A96F-A6C30F70DC91}"/>
    <cellStyle name="Normal 26 2" xfId="958" xr:uid="{0C371A20-7C31-4304-BA98-CEC87551067A}"/>
    <cellStyle name="Normal 26 2 2" xfId="1558" xr:uid="{E2CCB6D6-27BE-4047-A18E-5F4F380B9003}"/>
    <cellStyle name="Normal 26 3" xfId="1363" xr:uid="{119E03E0-48B1-45D9-8AC9-02E0C25310F0}"/>
    <cellStyle name="Normal 27" xfId="954" xr:uid="{9891D141-BCF6-429F-B6E7-14AAB630002A}"/>
    <cellStyle name="Normal 27 2" xfId="1000" xr:uid="{ADF62BDC-C5C8-4DC2-846E-156E8A13084C}"/>
    <cellStyle name="Normal 27 2 2" xfId="1559" xr:uid="{D19C1D06-67C7-4E7C-A496-DBE5730B0786}"/>
    <cellStyle name="Normal 27 3" xfId="1405" xr:uid="{A49B2329-EEF8-46D8-951C-EE1080245452}"/>
    <cellStyle name="Normal 28" xfId="955" xr:uid="{8E1EDC08-145B-4638-85F8-25C3E8A339A0}"/>
    <cellStyle name="Normal 28 2" xfId="1001" xr:uid="{AE854994-21B7-4C78-9A41-EBF89D88F3A8}"/>
    <cellStyle name="Normal 28 2 2" xfId="1560" xr:uid="{F121805B-E769-4327-B361-FA71FBFC670E}"/>
    <cellStyle name="Normal 28 3" xfId="1406" xr:uid="{38B707BC-EC66-4D25-AD73-6C732A0B5A3B}"/>
    <cellStyle name="Normal 29" xfId="957" xr:uid="{6F876083-81CE-433D-A48F-103BE4000204}"/>
    <cellStyle name="Normal 29 10 13" xfId="31" xr:uid="{D9FF2113-F89A-4F0B-A1D7-31F7262EC2DC}"/>
    <cellStyle name="Normal 29 10 13 2" xfId="150" xr:uid="{6A36B6DA-D77C-4BC5-83BB-6DCE038C8A7F}"/>
    <cellStyle name="Normal 29 10 13 2 2" xfId="305" xr:uid="{338F5D17-BBD2-4595-BE1A-867154E785A8}"/>
    <cellStyle name="Normal 29 10 13 2 2 2" xfId="2177" xr:uid="{DDE1A1E9-6B84-48DD-B440-6B304AF7AFCE}"/>
    <cellStyle name="Normal 29 10 13 2 3" xfId="520" xr:uid="{AB94BFF8-E183-4C7D-B730-38EA901C30B0}"/>
    <cellStyle name="Normal 29 10 13 2 3 2" xfId="2322" xr:uid="{D9E353BC-F1D6-4E5E-9AC9-02CBAF22072D}"/>
    <cellStyle name="Normal 29 10 13 2 4" xfId="731" xr:uid="{E19C71D6-AFC5-41B3-A2E1-DBB2D0BBDDCC}"/>
    <cellStyle name="Normal 29 10 13 2 4 2" xfId="2751" xr:uid="{41A71840-343D-41F5-8D90-4F572C28F7AC}"/>
    <cellStyle name="Normal 29 10 13 2 5" xfId="936" xr:uid="{12649246-253D-45EA-BE58-7B08057B5B52}"/>
    <cellStyle name="Normal 29 10 13 2 5 2" xfId="2801" xr:uid="{E6EEA1EE-A62B-4E9C-BD00-4DA80B1A5F78}"/>
    <cellStyle name="Normal 29 10 13 2 6" xfId="1345" xr:uid="{F9D97C7C-89CA-473D-BEEA-DF810F9666D1}"/>
    <cellStyle name="Normal 29 10 13 3" xfId="365" xr:uid="{BAB8F666-DD51-4317-AA5C-F76FCACC80A7}"/>
    <cellStyle name="Normal 29 10 13 3 2" xfId="2149" xr:uid="{273178E4-FD61-4C75-B88B-75A46BA4E542}"/>
    <cellStyle name="Normal 29 10 13 4" xfId="575" xr:uid="{B5AFB9A5-E676-4F57-92A6-33E4393DE0DD}"/>
    <cellStyle name="Normal 29 10 13 4 2" xfId="2294" xr:uid="{CA9058D9-89FD-42C6-A78B-3D9CAD7EB849}"/>
    <cellStyle name="Normal 29 10 13 5" xfId="784" xr:uid="{F145A575-EE6F-437C-9C77-8B3FE2CCE700}"/>
    <cellStyle name="Normal 29 10 13 5 2" xfId="2726" xr:uid="{B418BF07-C46F-4AC8-A9A9-D0AE29DC0E41}"/>
    <cellStyle name="Normal 29 10 13 6" xfId="1190" xr:uid="{5056F4CC-2AE1-412B-B0E5-33740FDCB87C}"/>
    <cellStyle name="Normal 29 10 13 7" xfId="2898" xr:uid="{DE3751D3-806B-446B-AA41-1F17094DC131}"/>
    <cellStyle name="Normal 29 2" xfId="1005" xr:uid="{CF5C35FA-D6B5-4642-ABF0-87F4C21AF327}"/>
    <cellStyle name="Normal 29 2 2" xfId="1561" xr:uid="{F29A1822-A9A8-4ED5-AA35-614ADA2B9B2B}"/>
    <cellStyle name="Normal 29 3" xfId="1007" xr:uid="{9DC74B50-F2E1-4623-8BEB-46DA01E2FA28}"/>
    <cellStyle name="Normal 29 4" xfId="1407" xr:uid="{169C39D3-6FC2-4E6B-A89D-BFA908BE0360}"/>
    <cellStyle name="Normal 3" xfId="93" xr:uid="{AF0CF64A-2CB8-492C-848F-BF2A7FC531CC}"/>
    <cellStyle name="Normal 3 2" xfId="204" xr:uid="{CA473285-A81C-47FB-AF04-D59899AFA0AF}"/>
    <cellStyle name="Normal 3 2 2" xfId="316" xr:uid="{FB2B18B8-7883-447E-BA91-F822A1FDCE55}"/>
    <cellStyle name="Normal 3 2 3" xfId="531" xr:uid="{9A265D97-6B45-4E8D-B981-6183B330ED12}"/>
    <cellStyle name="Normal 3 2 4" xfId="742" xr:uid="{2D13304F-677D-4734-A4EA-064198D85D1A}"/>
    <cellStyle name="Normal 3 2 5" xfId="947" xr:uid="{EC9E0A8A-A062-4AB3-B851-8FBECFFA09CE}"/>
    <cellStyle name="Normal 3 2 6" xfId="1356" xr:uid="{8D65D082-B68F-43D4-A4AF-53EC93A93312}"/>
    <cellStyle name="Normal 3 3" xfId="419" xr:uid="{3C7AB6AD-8F2E-4089-A51E-AA39A4A3E501}"/>
    <cellStyle name="Normal 3 4" xfId="630" xr:uid="{D189FCA5-A4A6-4977-8A02-3F5B19CC1653}"/>
    <cellStyle name="Normal 3 5" xfId="837" xr:uid="{4F0890F8-F8FA-46B1-AB1E-A966196589DA}"/>
    <cellStyle name="Normal 3 6" xfId="1244" xr:uid="{8E98FEF4-5589-4BE5-B833-BED74946B8C0}"/>
    <cellStyle name="Normal 30" xfId="1002" xr:uid="{1AD6DA62-FD0C-4D13-A58F-50C817029055}"/>
    <cellStyle name="Normal 30 2" xfId="1008" xr:uid="{085B2B49-BB87-4254-8F72-45C154BEF576}"/>
    <cellStyle name="Normal 30 2 2" xfId="1562" xr:uid="{3A80C281-BE51-4ADC-8944-349648DF15B4}"/>
    <cellStyle name="Normal 30 3" xfId="1408" xr:uid="{3A056182-AF4E-461F-90A6-6D30845DA5FC}"/>
    <cellStyle name="Normal 31" xfId="1003" xr:uid="{64D69ECE-45ED-44D8-8392-8B85ED9373AE}"/>
    <cellStyle name="Normal 31 2" xfId="1009" xr:uid="{8EBBFF54-71C9-4464-83CB-E344A90B8469}"/>
    <cellStyle name="Normal 31 2 2" xfId="1563" xr:uid="{6AC401BE-4C71-45C5-886C-F43DE4BD31F8}"/>
    <cellStyle name="Normal 31 3" xfId="1409" xr:uid="{0B216D53-3548-43DB-9270-5B6C53E659B2}"/>
    <cellStyle name="Normal 32" xfId="1004" xr:uid="{6325B183-2F2E-4211-9137-080B5E24A4BF}"/>
    <cellStyle name="Normal 32 2" xfId="1010" xr:uid="{0B99FBE7-342F-4544-AAEF-7B9EB11B3124}"/>
    <cellStyle name="Normal 32 2 2" xfId="1564" xr:uid="{2139443D-94C2-4F80-A6FC-58611EA60EDB}"/>
    <cellStyle name="Normal 32 3" xfId="1410" xr:uid="{802DB071-201E-47AD-935D-0D9B14E1A7CC}"/>
    <cellStyle name="Normal 33" xfId="1006" xr:uid="{DF76C1BD-5BA3-4B85-A457-4AA5F667CEBA}"/>
    <cellStyle name="Normal 33 2" xfId="1055" xr:uid="{9CCD522C-58A2-46CE-8F65-0FD76E56555D}"/>
    <cellStyle name="Normal 33 2 2" xfId="1565" xr:uid="{5F787A79-D822-401E-B745-62C5C3C14E8B}"/>
    <cellStyle name="Normal 33 3" xfId="1452" xr:uid="{BE26ED86-3ABC-4897-ACAE-8B2CC2C02A7E}"/>
    <cellStyle name="Normal 34" xfId="1056" xr:uid="{908FAC14-5A07-407B-8580-1C8AB7F97D20}"/>
    <cellStyle name="Normal 34 2" xfId="1566" xr:uid="{DBC2251A-1EFD-4F81-999A-86F95A3A6463}"/>
    <cellStyle name="Normal 34 3" xfId="1453" xr:uid="{A53F5852-DE22-4636-A901-1C88C8DD25A3}"/>
    <cellStyle name="Normal 35" xfId="1098" xr:uid="{8E64B79C-D629-4D04-AD48-E8B90B8E9390}"/>
    <cellStyle name="Normal 35 2" xfId="1567" xr:uid="{00CA9D24-7535-4F0E-BA03-2B262224AD49}"/>
    <cellStyle name="Normal 35 3" xfId="1495" xr:uid="{DFAE846B-35FA-4316-80A5-1B6F6F93A47E}"/>
    <cellStyle name="Normal 36" xfId="1099" xr:uid="{4C8BF01E-8FBD-44A6-8D04-544C0CF73D87}"/>
    <cellStyle name="Normal 36 2" xfId="1568" xr:uid="{4321F3AE-01BF-4D96-904F-DCC55A0F21A7}"/>
    <cellStyle name="Normal 36 3" xfId="1496" xr:uid="{F4A41710-5B62-45C9-81D7-F0AF3AB40862}"/>
    <cellStyle name="Normal 37" xfId="1100" xr:uid="{ECD9ABD8-EA04-4997-9079-1DC5E4AB966C}"/>
    <cellStyle name="Normal 37 2" xfId="1569" xr:uid="{5192E275-C172-45F9-B898-AE5C9B5662E0}"/>
    <cellStyle name="Normal 37 3" xfId="1497" xr:uid="{91D7DFC4-3322-42E0-B19F-44D97D767094}"/>
    <cellStyle name="Normal 38" xfId="1101" xr:uid="{6056E402-5619-49B0-8954-F3DAF8032166}"/>
    <cellStyle name="Normal 38 2" xfId="1570" xr:uid="{33DE0389-0C97-4C7D-8246-DD4B827418C7}"/>
    <cellStyle name="Normal 38 3" xfId="1498" xr:uid="{9034692D-AD07-480B-BDDD-B2812361C2F9}"/>
    <cellStyle name="Normal 39" xfId="1143" xr:uid="{243B5202-A75B-4E3E-AE33-0EB034D902D0}"/>
    <cellStyle name="Normal 39 2" xfId="1571" xr:uid="{83A880EF-BA10-42DC-AC7E-2BEAD21586C9}"/>
    <cellStyle name="Normal 39 3" xfId="1540" xr:uid="{94901D14-ECDF-4222-9F11-D2954EB01C1E}"/>
    <cellStyle name="Normal 4" xfId="94" xr:uid="{982A6A45-25E1-4965-821D-7078E0ADDFCF}"/>
    <cellStyle name="Normal 4 2" xfId="220" xr:uid="{CD6EE78E-6126-42F8-B7BD-C1DDABE43536}"/>
    <cellStyle name="Normal 4 2 2" xfId="1260" xr:uid="{958A369D-421E-41C3-A558-5709F60E9410}"/>
    <cellStyle name="Normal 4 3" xfId="205" xr:uid="{3A8F3E26-6FCB-455F-9DBD-26EA2E0F008E}"/>
    <cellStyle name="Normal 4 4" xfId="420" xr:uid="{10C725D6-BD67-417A-A135-B68EDB7C85B9}"/>
    <cellStyle name="Normal 4 5" xfId="631" xr:uid="{64D5EC9D-3551-4458-A96B-9D715460472C}"/>
    <cellStyle name="Normal 4 6" xfId="838" xr:uid="{5A7EC590-6076-4549-A09C-1655A3A1111B}"/>
    <cellStyle name="Normal 4 7" xfId="1245" xr:uid="{74948F0B-0457-484E-9D55-0908C49837F4}"/>
    <cellStyle name="Normal 40" xfId="1144" xr:uid="{3D78224B-F4A3-4A83-8173-AB63D6BB6EA5}"/>
    <cellStyle name="Normal 40 2" xfId="1541" xr:uid="{E88852BF-1A7A-4999-9DF2-554C90CFFFFA}"/>
    <cellStyle name="Normal 40 2 2" xfId="2426" xr:uid="{5B4FA81B-97AC-4CB5-BF6D-8986F8C607E3}"/>
    <cellStyle name="Normal 40 3" xfId="2342" xr:uid="{F965339B-42B9-4E35-AB64-747C89987B1B}"/>
    <cellStyle name="Normal 40 4" xfId="2729" xr:uid="{49A8EA91-7C8D-40F0-94D6-4DBCEDF1F289}"/>
    <cellStyle name="Normal 40 5" xfId="2858" xr:uid="{3675B306-FB7E-4681-B4F7-F20519F5FA01}"/>
    <cellStyle name="Normal 40 6" xfId="2967" xr:uid="{A6A5641E-19BB-4103-9E8C-EBF315F3C48C}"/>
    <cellStyle name="Normal 41" xfId="1145" xr:uid="{0C971BD1-5C3E-438E-B9EB-F6ED6BC97117}"/>
    <cellStyle name="Normal 41 2" xfId="1572" xr:uid="{2BA29B31-398D-49B4-9415-AFEA6CC46AC6}"/>
    <cellStyle name="Normal 41 3" xfId="1542" xr:uid="{BD2DD6CE-8E40-42E5-8E1C-BC31AACE8835}"/>
    <cellStyle name="Normal 42" xfId="1146" xr:uid="{9030753D-BCBE-46B8-BC7E-B914D20CD29E}"/>
    <cellStyle name="Normal 42 2" xfId="1573" xr:uid="{E9E593B9-9FB2-42BD-91FB-A5A4E2FA12CE}"/>
    <cellStyle name="Normal 42 3" xfId="1543" xr:uid="{0189E897-7DC4-4356-8DDB-E6638F9C49CC}"/>
    <cellStyle name="Normal 43" xfId="1052" xr:uid="{AFFFA24C-F155-4A9B-8ED2-9E729D32B6E1}"/>
    <cellStyle name="Normal 43 2" xfId="1666" xr:uid="{D7AE5AEB-A58F-4519-A168-52E498E4A9FA}"/>
    <cellStyle name="Normal 43 3" xfId="1544" xr:uid="{323EBE1F-8EE2-47E2-8A4F-73AAE104424C}"/>
    <cellStyle name="Normal 44" xfId="1053" xr:uid="{0E43A410-7818-40CB-BEEC-D5ABAFE29FD5}"/>
    <cellStyle name="Normal 44 2" xfId="1574" xr:uid="{7C16B9AC-56C8-41D1-9CE9-F95B5F6CD8FF}"/>
    <cellStyle name="Normal 44 2 2" xfId="2427" xr:uid="{817BA0EA-1B28-4B5A-A5D7-B639C1F0F0E9}"/>
    <cellStyle name="Normal 44 3" xfId="2343" xr:uid="{24F28FEF-D1FF-46D5-B606-83F61EE90101}"/>
    <cellStyle name="Normal 44 4" xfId="2701" xr:uid="{0D37BF67-9E47-4B17-BAF7-352E98CD5A7D}"/>
    <cellStyle name="Normal 44 5" xfId="2859" xr:uid="{09839C52-A823-4C20-AB2C-2AF16F826FF2}"/>
    <cellStyle name="Normal 44 6" xfId="2968" xr:uid="{73BC6281-119A-4FAF-B767-0E300B87A88C}"/>
    <cellStyle name="Normal 45" xfId="1054" xr:uid="{07697572-3668-447A-B47C-1FEABD0A8F00}"/>
    <cellStyle name="Normal 45 2" xfId="1575" xr:uid="{8A3ED2C4-25AF-48A6-B906-EDD2B96CA51B}"/>
    <cellStyle name="Normal 45 2 2" xfId="2428" xr:uid="{8160ABA8-EA1B-447C-87D3-B9170F297693}"/>
    <cellStyle name="Normal 45 3" xfId="2344" xr:uid="{3EBEC65E-6DED-4988-8935-1318A38236F0}"/>
    <cellStyle name="Normal 45 4" xfId="2747" xr:uid="{695D2954-E5C1-48A1-BD46-2F32A64B120C}"/>
    <cellStyle name="Normal 45 5" xfId="2860" xr:uid="{2B145915-AC2F-4E1F-901C-B6819683974C}"/>
    <cellStyle name="Normal 45 6" xfId="2969" xr:uid="{B99E7B50-98DE-4E6F-A766-FD22018811AA}"/>
    <cellStyle name="Normal 46" xfId="1577" xr:uid="{6EFD15C9-BF28-426A-B155-E480E51EB9EC}"/>
    <cellStyle name="Normal 46 2" xfId="2223" xr:uid="{50C2BA17-7171-4337-AC5F-EDC40CDC44C0}"/>
    <cellStyle name="Normal 46 2 2" xfId="2430" xr:uid="{A9B2E224-D98D-4274-857D-BE9096E609A0}"/>
    <cellStyle name="Normal 46 3" xfId="2346" xr:uid="{5BB01167-3B5C-4131-899E-0C5ED459F346}"/>
    <cellStyle name="Normal 46 4" xfId="2731" xr:uid="{B72F7BB8-A91A-48C7-8BF6-855EA09F6C51}"/>
    <cellStyle name="Normal 46 5" xfId="2862" xr:uid="{08B3B4B3-520D-4ACB-B120-0FC467003710}"/>
    <cellStyle name="Normal 46 6" xfId="2971" xr:uid="{F87E0404-B9F9-44D3-9B7F-CF6C3CAFEF8B}"/>
    <cellStyle name="Normal 47" xfId="1579" xr:uid="{5A6B62DD-7B34-4462-AC2F-03EEC7CA1715}"/>
    <cellStyle name="Normal 47 2" xfId="2225" xr:uid="{90E21784-2EC1-4292-ACE4-CD68A9E06A40}"/>
    <cellStyle name="Normal 47 2 2" xfId="2432" xr:uid="{9B85FB1E-8933-48B6-964F-4BAB6698443B}"/>
    <cellStyle name="Normal 47 3" xfId="2348" xr:uid="{10F45061-0F22-40EB-997A-D708F1EBC66E}"/>
    <cellStyle name="Normal 47 4" xfId="2645" xr:uid="{1B88E397-C68E-44B2-922F-960EB39FCE41}"/>
    <cellStyle name="Normal 47 5" xfId="2864" xr:uid="{D50CD5DA-F46A-4BDA-9DE7-523F688C8AA4}"/>
    <cellStyle name="Normal 47 6" xfId="2972" xr:uid="{BB1B74A9-59B8-4C9C-A3F2-75523D98BC57}"/>
    <cellStyle name="Normal 48" xfId="1580" xr:uid="{5020E25F-E106-4050-85A3-3298578512C2}"/>
    <cellStyle name="Normal 48 2" xfId="2226" xr:uid="{6632066D-6C99-41FF-94AA-B68625AF4149}"/>
    <cellStyle name="Normal 48 2 2" xfId="2433" xr:uid="{33372395-FC2F-490C-B4DB-32E6643AF2E2}"/>
    <cellStyle name="Normal 48 3" xfId="2349" xr:uid="{FCAA943C-1D5A-4B23-924F-FE5BE458934C}"/>
    <cellStyle name="Normal 48 4" xfId="2707" xr:uid="{8D7C88FA-C67C-4A8A-A870-75EC152254CB}"/>
    <cellStyle name="Normal 48 5" xfId="2865" xr:uid="{0F5F8A1A-91A8-49F7-8AB7-B5832E9AB75A}"/>
    <cellStyle name="Normal 48 6" xfId="2973" xr:uid="{C75163BC-4BA7-46DB-9757-110152BB46FD}"/>
    <cellStyle name="Normal 49" xfId="1581" xr:uid="{AB621D67-DCC8-4C83-911E-5F692EB3BFE7}"/>
    <cellStyle name="Normal 49 2" xfId="2227" xr:uid="{CFD6B3DD-C4DE-44A4-827A-EE82A9A1A886}"/>
    <cellStyle name="Normal 49 2 2" xfId="2434" xr:uid="{8D3C6829-7392-47D1-8481-E054C8B3A59C}"/>
    <cellStyle name="Normal 49 3" xfId="2350" xr:uid="{B01018B3-107F-42A2-873F-B81F293CB465}"/>
    <cellStyle name="Normal 49 4" xfId="2686" xr:uid="{B2FCC715-4F12-4A15-92CA-FCC50718A6F7}"/>
    <cellStyle name="Normal 49 5" xfId="2866" xr:uid="{036BCB9D-94E5-48D7-AE18-60117CEBA45F}"/>
    <cellStyle name="Normal 49 6" xfId="2974" xr:uid="{B3DF70EB-D87B-441D-BF55-A9292ABEA383}"/>
    <cellStyle name="Normal 5" xfId="95" xr:uid="{B2D5ED5C-5D44-4E33-B10B-313A375F9588}"/>
    <cellStyle name="Normal 5 2" xfId="206" xr:uid="{281FF509-17F6-4F07-963E-85C2AF58C06B}"/>
    <cellStyle name="Normal 5 2 2" xfId="1545" xr:uid="{6A03D624-6991-4B0E-8D0D-DA22B01244B2}"/>
    <cellStyle name="Normal 5 3" xfId="421" xr:uid="{DF163F7A-4A73-4BD9-9952-4399AD15D927}"/>
    <cellStyle name="Normal 5 4" xfId="632" xr:uid="{3BF29487-A068-47CF-B098-35335CADDFB6}"/>
    <cellStyle name="Normal 5 5" xfId="839" xr:uid="{FAE3A505-948E-49C4-8471-B8DCD58388C2}"/>
    <cellStyle name="Normal 5 6" xfId="1246" xr:uid="{5CC3D15C-B9BB-4F7E-B224-7EFBF31E2710}"/>
    <cellStyle name="Normal 50" xfId="1582" xr:uid="{F76F7ACC-DB89-43B6-8F07-897177B389D3}"/>
    <cellStyle name="Normal 51" xfId="1624" xr:uid="{C91640B3-BABF-497A-8A58-3F03278901BA}"/>
    <cellStyle name="Normal 52" xfId="1668" xr:uid="{A5C0E1A8-11D2-4365-AF1F-BDBC56076A3D}"/>
    <cellStyle name="Normal 53" xfId="1710" xr:uid="{2A0CAF05-7CCF-495F-AB68-33D1B6E735DA}"/>
    <cellStyle name="Normal 54" xfId="1725" xr:uid="{23C8AE70-5B1E-48AE-9451-2EFF5C87CF52}"/>
    <cellStyle name="Normal 55" xfId="1739" xr:uid="{C97E38B0-28EE-42B6-A084-9DBA341E475A}"/>
    <cellStyle name="Normal 56" xfId="1753" xr:uid="{7F1E4D1E-19BB-4486-94C7-EB468ED799CA}"/>
    <cellStyle name="Normal 57" xfId="1767" xr:uid="{46C2DA08-A872-4949-8F35-33EC0ACA4724}"/>
    <cellStyle name="Normal 58" xfId="1781" xr:uid="{B4075620-43AA-44E0-8B47-0ADC77BFE8D8}"/>
    <cellStyle name="Normal 59" xfId="1795" xr:uid="{5D8CBFEB-1D97-4EE3-9C5A-7A55194B6338}"/>
    <cellStyle name="Normal 6" xfId="96" xr:uid="{9FBBA1B0-CBF4-4FF7-8D18-AC83CF7CE164}"/>
    <cellStyle name="Normal 6 2" xfId="207" xr:uid="{A6598E12-033D-4A23-B62F-0A616F5F5C7D}"/>
    <cellStyle name="Normal 6 2 2" xfId="1546" xr:uid="{1AF68317-A74B-45DB-AA5F-9BE7E12BF765}"/>
    <cellStyle name="Normal 6 3" xfId="422" xr:uid="{13592AD0-33FD-465B-8E5C-BC0431242B2A}"/>
    <cellStyle name="Normal 6 4" xfId="633" xr:uid="{12F1AC44-8DE0-42D4-9C0C-E646EB87C3E6}"/>
    <cellStyle name="Normal 6 5" xfId="840" xr:uid="{C106A798-93CF-4300-8912-859FACDA2301}"/>
    <cellStyle name="Normal 6 6" xfId="1247" xr:uid="{7182C86F-7CDF-4767-8ECE-D07AB20A496D}"/>
    <cellStyle name="Normal 60" xfId="1809" xr:uid="{0107AA08-C404-4575-A823-E7D854EF453A}"/>
    <cellStyle name="Normal 61" xfId="1148" xr:uid="{4F4B922E-3BC1-4905-97AD-543E9F7F03AC}"/>
    <cellStyle name="Normal 61 2" xfId="1864" xr:uid="{DCED4AD2-CBAA-4640-A7D1-987F59545803}"/>
    <cellStyle name="Normal 62" xfId="1202" xr:uid="{301A1F0B-8F0F-462C-B37F-C7696A758439}"/>
    <cellStyle name="Normal 62 2" xfId="1878" xr:uid="{D6C60CE9-7FC8-4496-A874-4E65A036C98E}"/>
    <cellStyle name="Normal 63" xfId="1851" xr:uid="{EDFDEA9A-D084-465C-9C8A-3F4EA0F672E6}"/>
    <cellStyle name="Normal 63 2" xfId="1892" xr:uid="{834A88FB-7DC2-4EE5-9E49-7E7739AE71C6}"/>
    <cellStyle name="Normal 64" xfId="1852" xr:uid="{9E38255A-FB0A-4A22-9A1F-67C94BFA772B}"/>
    <cellStyle name="Normal 64 2" xfId="1906" xr:uid="{77E1C0A3-E77C-4B05-BF5D-68A0D37B2330}"/>
    <cellStyle name="Normal 65" xfId="1855" xr:uid="{E075E4DC-D823-43F6-88CF-0E94BB8EEAFB}"/>
    <cellStyle name="Normal 65 2" xfId="1920" xr:uid="{0D3E9C70-B5BF-4D51-9920-423AD6517DCC}"/>
    <cellStyle name="Normal 66" xfId="1858" xr:uid="{D6687987-FBA2-49EA-9370-779216082DA4}"/>
    <cellStyle name="Normal 66 2" xfId="1934" xr:uid="{7EED2322-766D-434B-A0B2-96A5287E305D}"/>
    <cellStyle name="Normal 67" xfId="1948" xr:uid="{5363EE13-A4DA-44D6-9586-4A2E1CB9FD1B}"/>
    <cellStyle name="Normal 68" xfId="1962" xr:uid="{C127F0B5-3BD4-4AC3-B32E-91679685577A}"/>
    <cellStyle name="Normal 69" xfId="1976" xr:uid="{C07FD9FC-CE52-4026-BC7E-A0405CC86A50}"/>
    <cellStyle name="Normal 7" xfId="97" xr:uid="{65DFED32-6899-49C5-B72A-6BB7D5C83DD9}"/>
    <cellStyle name="Normal 7 2" xfId="208" xr:uid="{4008C543-48D7-4FE7-A697-F15CD1C19139}"/>
    <cellStyle name="Normal 7 2 2" xfId="1547" xr:uid="{E1F04D86-0A32-45EE-8B4C-55D6C2132760}"/>
    <cellStyle name="Normal 7 3" xfId="423" xr:uid="{563FDC46-4175-4668-891F-E17232792DDC}"/>
    <cellStyle name="Normal 7 4" xfId="634" xr:uid="{19573557-62BC-4EBA-9C51-965B432485B2}"/>
    <cellStyle name="Normal 7 5" xfId="841" xr:uid="{35DEF37A-DB3C-4FB0-B88F-0C90EA258C43}"/>
    <cellStyle name="Normal 7 6" xfId="1248" xr:uid="{4BF39D38-E8BB-4952-B0F5-F5A03293903B}"/>
    <cellStyle name="Normal 70" xfId="1990" xr:uid="{99BBE9C9-D185-4508-ABC1-1BFC8C6D1595}"/>
    <cellStyle name="Normal 71" xfId="1861" xr:uid="{EB1EF803-0AD2-4154-A8A4-E8ACB51209DD}"/>
    <cellStyle name="Normal 71 2" xfId="2031" xr:uid="{42994506-B4B2-457F-9E00-3EC6C278D6B8}"/>
    <cellStyle name="Normal 72" xfId="2004" xr:uid="{F5050761-70A4-4831-BB2B-904459A2149B}"/>
    <cellStyle name="Normal 72 2" xfId="2255" xr:uid="{98D23660-4AA1-4794-8249-60B329678870}"/>
    <cellStyle name="Normal 72 2 2" xfId="2462" xr:uid="{7F1DD3DE-6318-47E1-8AF0-C0767D6E0446}"/>
    <cellStyle name="Normal 72 3" xfId="2378" xr:uid="{530AA0BF-599B-40CD-BD75-3215057DC9AC}"/>
    <cellStyle name="Normal 72 4" xfId="2655" xr:uid="{E1E0F9EB-0DB7-4FD4-ACDE-960338228114}"/>
    <cellStyle name="Normal 72 5" xfId="2772" xr:uid="{DA350372-2F7E-4CC8-BDAB-2D0D494DFA5E}"/>
    <cellStyle name="Normal 72 6" xfId="2896" xr:uid="{E987B896-4AC6-4DE3-B19D-FE9A3AE1BA65}"/>
    <cellStyle name="Normal 73" xfId="2007" xr:uid="{0C3F3E8F-9D8B-4B27-8005-8F7B0C01A397}"/>
    <cellStyle name="Normal 73 2" xfId="2129" xr:uid="{42A28042-B252-41D5-9D52-F44687BAB27D}"/>
    <cellStyle name="Normal 74" xfId="2010" xr:uid="{A7A23293-9A75-4BC7-A060-1C365C2438DC}"/>
    <cellStyle name="Normal 74 2" xfId="2147" xr:uid="{5635EA7F-5EE6-4196-9CC7-9E3573F052DE}"/>
    <cellStyle name="Normal 74 2 2" xfId="2397" xr:uid="{CFDF5F70-51EB-4B2E-A504-521BD4B5A8C1}"/>
    <cellStyle name="Normal 74 3" xfId="2292" xr:uid="{FCB50E55-CD12-4E13-8BC5-1516F28CF9E0}"/>
    <cellStyle name="Normal 75" xfId="2012" xr:uid="{88732188-ABCF-4727-8729-E0564B049FC0}"/>
    <cellStyle name="Normal 76" xfId="2013" xr:uid="{FA38E140-A3BD-4B50-A157-0B4084089231}"/>
    <cellStyle name="Normal 77" xfId="2016" xr:uid="{CC5ED4BC-7876-4BB7-B9F9-6BC985453C92}"/>
    <cellStyle name="Normal 78" xfId="2019" xr:uid="{FEC8AC07-402E-44EC-90DC-6B6513E91D49}"/>
    <cellStyle name="Normal 79" xfId="2022" xr:uid="{141E4D51-4574-4562-A68B-D1D0B858F7BE}"/>
    <cellStyle name="Normal 8" xfId="98" xr:uid="{46F70240-7D90-411E-A1D5-A4D53D65E548}"/>
    <cellStyle name="Normal 8 2" xfId="209" xr:uid="{328377B0-A7E4-4F8D-B7C0-CCC6A6CBF3F4}"/>
    <cellStyle name="Normal 8 2 2" xfId="1548" xr:uid="{ED55F4EF-1A92-4A82-9C50-1707E1D8AEAC}"/>
    <cellStyle name="Normal 8 3" xfId="424" xr:uid="{439056DD-AA66-4822-96D7-2D177A0E7B89}"/>
    <cellStyle name="Normal 8 4" xfId="635" xr:uid="{F69085DF-348C-41C2-8A2D-049C840530A8}"/>
    <cellStyle name="Normal 8 5" xfId="842" xr:uid="{E6B6FD07-7BD2-42DA-B23F-184831DB3CEA}"/>
    <cellStyle name="Normal 8 6" xfId="1249" xr:uid="{61BEF1AF-396A-41C5-A54C-A0E9D4A0F5CE}"/>
    <cellStyle name="Normal 80" xfId="2025" xr:uid="{CD8DF917-E66C-431F-8CF7-6B4F224BC75B}"/>
    <cellStyle name="Normal 81" xfId="2028" xr:uid="{99231950-47F7-4A83-B662-9B675E574C3A}"/>
    <cellStyle name="Normal 82" xfId="2061" xr:uid="{FBB2EECD-F2F1-4948-BF42-B396E150CEBD}"/>
    <cellStyle name="Normal 83" xfId="2064" xr:uid="{A20347D2-6C90-4768-BE1C-5ACA9EC4BA09}"/>
    <cellStyle name="Normal 84" xfId="2067" xr:uid="{DE51E6BD-4F03-4BC1-9D53-011BB8DF0196}"/>
    <cellStyle name="Normal 85" xfId="2071" xr:uid="{46D7AEAE-34EC-4EB4-AA58-6A74AD9A02F5}"/>
    <cellStyle name="Normal 86" xfId="2070" xr:uid="{B40E5909-C630-4F58-9505-FB1AF713EFB6}"/>
    <cellStyle name="Normal 87" xfId="2074" xr:uid="{7E96F04E-50D1-476B-9BD5-5044C870964F}"/>
    <cellStyle name="Normal 88" xfId="25" xr:uid="{8BB352CC-0ADD-4FE1-A79A-028303FD4271}"/>
    <cellStyle name="Normal 9" xfId="99" xr:uid="{1474BCBD-F5C0-4D76-875D-A61244AB52A3}"/>
    <cellStyle name="Normal 9 2" xfId="210" xr:uid="{886F3133-BBA0-4C19-BB9E-8BDA3D27ACA9}"/>
    <cellStyle name="Normal 9 2 2" xfId="1549" xr:uid="{4321A1AD-8622-464F-965C-3414D6A10CD2}"/>
    <cellStyle name="Normal 9 3" xfId="425" xr:uid="{3E815ECB-5281-4D39-8268-1F7D123A65FB}"/>
    <cellStyle name="Normal 9 4" xfId="636" xr:uid="{81523E42-51A8-46E0-BCDB-33D738A460D1}"/>
    <cellStyle name="Normal 9 5" xfId="843" xr:uid="{F9E36FB7-976E-444A-9CF9-165B0CFF415C}"/>
    <cellStyle name="Normal 9 6" xfId="1250" xr:uid="{85EE8388-7447-4AFF-8CED-B10D82747A9E}"/>
    <cellStyle name="Not" xfId="10" builtinId="10" customBuiltin="1"/>
    <cellStyle name="Not 10" xfId="1683" xr:uid="{E6450ACC-E2F5-440F-A7C1-033EB1B711A8}"/>
    <cellStyle name="Not 11" xfId="1712" xr:uid="{CD938AB7-26C9-4A7A-858F-C19817B3B695}"/>
    <cellStyle name="Not 12" xfId="1726" xr:uid="{82B3B901-F4E1-4229-97F1-9C98DD5BEC87}"/>
    <cellStyle name="Not 13" xfId="1740" xr:uid="{92DF6AC2-60F9-4019-976D-BC4C0466A50A}"/>
    <cellStyle name="Not 14" xfId="1754" xr:uid="{B101563E-E126-464C-9E60-D58EEE869CD3}"/>
    <cellStyle name="Not 15" xfId="1768" xr:uid="{A75A06AF-D078-4497-8FE3-925DAF131994}"/>
    <cellStyle name="Not 16" xfId="1782" xr:uid="{322DA18A-4DC6-4DAE-956D-C6EC6F333B57}"/>
    <cellStyle name="Not 17" xfId="1796" xr:uid="{8F6F51DB-AB30-4BA0-801A-F16A3B096B99}"/>
    <cellStyle name="Not 18" xfId="1824" xr:uid="{650B5338-7C50-42CA-8B01-298383E58D3C}"/>
    <cellStyle name="Not 19" xfId="1217" xr:uid="{5CC4DBF5-DC12-4DA0-9D13-28D131A80F37}"/>
    <cellStyle name="Not 19 2" xfId="1865" xr:uid="{4C7142E7-E838-49AF-A99D-CF1012D600C5}"/>
    <cellStyle name="Not 2" xfId="84" xr:uid="{C5672496-975A-40D7-BB90-BEF019984E58}"/>
    <cellStyle name="Not 2 2" xfId="151" xr:uid="{A56EA3C7-AED0-4356-A5E7-DF87C40EC751}"/>
    <cellStyle name="Not 2 2 2" xfId="306" xr:uid="{DA77B634-910E-470D-B250-61291D4D9DDE}"/>
    <cellStyle name="Not 2 2 3" xfId="521" xr:uid="{054218CD-A379-430B-96E9-0CFDF8184B06}"/>
    <cellStyle name="Not 2 2 4" xfId="732" xr:uid="{777019A0-AC2E-4793-A941-5953B9DE2EC8}"/>
    <cellStyle name="Not 2 2 5" xfId="937" xr:uid="{29ED4D9B-8C40-4212-BABC-26E92E0C289B}"/>
    <cellStyle name="Not 2 2 6" xfId="1346" xr:uid="{8FCA9555-3069-4EBD-BE81-4A2F0333C894}"/>
    <cellStyle name="Not 2 3" xfId="366" xr:uid="{9E8A956B-F015-4BEA-B247-7565B89A3300}"/>
    <cellStyle name="Not 2 4" xfId="578" xr:uid="{7C9E9936-DFE5-49D1-906C-68D459B34D50}"/>
    <cellStyle name="Not 2 5" xfId="785" xr:uid="{1293CECB-20E8-404A-BDC9-9221E7D9AC57}"/>
    <cellStyle name="Not 2 6" xfId="1191" xr:uid="{25D4E92F-378C-4065-8DDD-6544CE8094A6}"/>
    <cellStyle name="Not 20" xfId="1879" xr:uid="{5B236B62-425B-495C-A7F6-EB14A7B2EE0B}"/>
    <cellStyle name="Not 21" xfId="1893" xr:uid="{B28022EC-DB6B-4BB6-B71F-575F7EFB5E61}"/>
    <cellStyle name="Not 22" xfId="1907" xr:uid="{E641046A-945A-41D6-B212-43B1991700CA}"/>
    <cellStyle name="Not 23" xfId="1921" xr:uid="{EA33FB92-3D1A-4CF7-8B0D-41A5AE6D3CA7}"/>
    <cellStyle name="Not 24" xfId="1935" xr:uid="{A0D46A6B-4EBF-4D11-BD90-B718949E285E}"/>
    <cellStyle name="Not 25" xfId="1949" xr:uid="{61CEDEEB-3864-4922-AB57-7AA13A0B045C}"/>
    <cellStyle name="Not 26" xfId="1963" xr:uid="{D533B6F2-C05B-4A37-A3B6-14F0649BA413}"/>
    <cellStyle name="Not 27" xfId="1977" xr:uid="{19F03F4D-1F01-4ADA-A0D8-98BD0B236143}"/>
    <cellStyle name="Not 28" xfId="1991" xr:uid="{4C02C720-F6D3-44B9-8714-573675874564}"/>
    <cellStyle name="Not 29" xfId="2032" xr:uid="{6CFE1EA8-5262-44F7-A2A2-C0F308F7DF8B}"/>
    <cellStyle name="Not 3" xfId="177" xr:uid="{2CDBD291-9DBE-4F96-993B-26DB9EAFBE0C}"/>
    <cellStyle name="Not 3 2" xfId="238" xr:uid="{CB740543-A809-42A9-A1AB-9617F80D8FD4}"/>
    <cellStyle name="Not 3 2 2" xfId="2164" xr:uid="{5DA959F2-D131-4CCE-AE28-A12154686F55}"/>
    <cellStyle name="Not 3 3" xfId="452" xr:uid="{85F5A669-96B7-4576-A786-ACA36B7D6FC4}"/>
    <cellStyle name="Not 3 3 2" xfId="2309" xr:uid="{38451A6A-23B4-4E3F-BA79-264080AF88F3}"/>
    <cellStyle name="Not 3 4" xfId="663" xr:uid="{C9993F58-B0A9-4130-8E17-B7EA78536193}"/>
    <cellStyle name="Not 3 4 2" xfId="2746" xr:uid="{291D65AD-17F8-4DD0-96EE-16F75425C2F9}"/>
    <cellStyle name="Not 3 5" xfId="868" xr:uid="{B4C53D16-A646-4CE7-84FA-60F2EDB53E51}"/>
    <cellStyle name="Not 3 5 2" xfId="2788" xr:uid="{40B2192D-304E-4942-971D-DE11DDA0B7D8}"/>
    <cellStyle name="Not 3 6" xfId="1277" xr:uid="{A4997604-E640-456F-9612-2BAC1B46A051}"/>
    <cellStyle name="Not 30" xfId="2046" xr:uid="{D45C4D47-8039-41B4-A7FC-18CDB01A9654}"/>
    <cellStyle name="Not 30 2" xfId="2257" xr:uid="{17A65C09-FD41-4462-92AA-AF3B3FB7580D}"/>
    <cellStyle name="Not 30 2 2" xfId="2464" xr:uid="{F667AD65-D91C-4B1A-95DF-69A29252D521}"/>
    <cellStyle name="Not 30 3" xfId="2380" xr:uid="{3BC6F044-98F5-4FC9-AC28-C39400C00994}"/>
    <cellStyle name="Not 30 4" xfId="2671" xr:uid="{47CEDD45-935F-4C67-951A-704DE545AFDD}"/>
    <cellStyle name="Not 30 5" xfId="2774" xr:uid="{63E31312-C15D-4CD3-B35B-52A0E008F75C}"/>
    <cellStyle name="Not 30 6" xfId="2899" xr:uid="{436BB705-F146-45A9-8FBA-F42C60A9478E}"/>
    <cellStyle name="Not 31" xfId="2130" xr:uid="{199D7AE3-0694-44FD-AC20-92387D3078A4}"/>
    <cellStyle name="Not 32" xfId="2097" xr:uid="{5665D1BB-90DD-4E9B-BDB8-DC446829E07F}"/>
    <cellStyle name="Not 32 2" xfId="2150" xr:uid="{08467B23-B0C0-4221-A4AC-CCD8699CB980}"/>
    <cellStyle name="Not 32 2 2" xfId="2399" xr:uid="{8E6F50A0-2722-456A-A017-D10F9347E606}"/>
    <cellStyle name="Not 32 3" xfId="2295" xr:uid="{61E87401-921B-4AD5-B830-B134E8EF7673}"/>
    <cellStyle name="Not 4" xfId="392" xr:uid="{483A246A-E33A-4713-AC04-B3F213E808A2}"/>
    <cellStyle name="Not 4 2" xfId="973" xr:uid="{F795EA26-BE85-41EE-8B4A-82A3EC2BA682}"/>
    <cellStyle name="Not 4 2 2" xfId="2183" xr:uid="{31250398-D623-467A-991F-5079DC06D592}"/>
    <cellStyle name="Not 4 3" xfId="1378" xr:uid="{89485690-FD21-4227-B778-1126E52F2BC1}"/>
    <cellStyle name="Not 4 4" xfId="2709" xr:uid="{224D80C5-BA36-420F-8DB1-EF48F375FC60}"/>
    <cellStyle name="Not 4 5" xfId="2806" xr:uid="{FF9DCA6D-04D1-4E8C-9032-B7C2EE7B34C9}"/>
    <cellStyle name="Not 4 6" xfId="2915" xr:uid="{1FCCE569-0776-473E-B99A-C16D1ED77192}"/>
    <cellStyle name="Not 5" xfId="603" xr:uid="{81F9DEA0-EB95-45CE-8DD1-EE37F8DC3C1C}"/>
    <cellStyle name="Not 5 2" xfId="1025" xr:uid="{1F2F9EC2-931F-4263-90F9-C0B3517B98B0}"/>
    <cellStyle name="Not 5 2 2" xfId="2196" xr:uid="{87E34B8D-F4F5-4963-89F4-EA97BF4DEDA5}"/>
    <cellStyle name="Not 5 3" xfId="1425" xr:uid="{791E4F52-F5B3-40CD-AB34-3AC28F8574A1}"/>
    <cellStyle name="Not 5 4" xfId="2706" xr:uid="{9FCF2B17-B910-4862-B30C-E7ED7B938A81}"/>
    <cellStyle name="Not 5 5" xfId="2819" xr:uid="{292007C9-B30A-4B71-8617-9DF40A01DFC3}"/>
    <cellStyle name="Not 5 6" xfId="2928" xr:uid="{284F74D5-3311-4989-82C1-2521F446551A}"/>
    <cellStyle name="Not 6" xfId="810" xr:uid="{FFF58A4D-7CCC-48AA-BF81-3059DF45B57E}"/>
    <cellStyle name="Not 6 2" xfId="1071" xr:uid="{94E26618-9946-42D5-AC54-EC9A5856FA40}"/>
    <cellStyle name="Not 6 2 2" xfId="2209" xr:uid="{700AC167-BC8C-418B-9ED6-5EF75ABD049D}"/>
    <cellStyle name="Not 6 3" xfId="1468" xr:uid="{9C7A4039-6CB8-4CE0-B1B9-9F65B49A1489}"/>
    <cellStyle name="Not 6 4" xfId="2754" xr:uid="{3D780523-4979-4692-84D1-BD5FA14D5060}"/>
    <cellStyle name="Not 6 5" xfId="2832" xr:uid="{428CBFEA-1B6A-4DFE-A45F-D58341AF6B04}"/>
    <cellStyle name="Not 6 6" xfId="2941" xr:uid="{0EC893F8-7A54-46DF-97B0-DE4B1BB9C9BE}"/>
    <cellStyle name="Not 7" xfId="1116" xr:uid="{969CB1A7-B62D-41CA-9D73-694F2CD30718}"/>
    <cellStyle name="Not 7 2" xfId="1513" xr:uid="{3057E246-C744-4069-808D-461E2B10AE8D}"/>
    <cellStyle name="Not 7 2 2" xfId="2413" xr:uid="{5C2D2B33-41A7-43C9-A3E2-882C195C0CD3}"/>
    <cellStyle name="Not 7 3" xfId="2329" xr:uid="{DA653D23-C7E9-4C1F-B324-CE4379CA57E0}"/>
    <cellStyle name="Not 7 4" xfId="2669" xr:uid="{23306F1C-6EB4-47D1-8FCB-0D10E9CE6440}"/>
    <cellStyle name="Not 7 5" xfId="2845" xr:uid="{EBA024E6-95F9-4FD2-A959-8A7AF648888D}"/>
    <cellStyle name="Not 7 6" xfId="2954" xr:uid="{1DC0B3B7-0B20-4FC1-A935-7A44CBDC8D1B}"/>
    <cellStyle name="Not 8" xfId="1597" xr:uid="{8750AB5B-A60F-43B3-B38F-CB12344AA99E}"/>
    <cellStyle name="Not 8 2" xfId="2228" xr:uid="{B73AC141-B510-447E-8390-B248F6EFBC66}"/>
    <cellStyle name="Not 8 2 2" xfId="2435" xr:uid="{0D720143-59D5-4B3A-A17F-590229E03615}"/>
    <cellStyle name="Not 8 3" xfId="2351" xr:uid="{0A01F6D2-B715-49BC-94FB-42104F2A5C06}"/>
    <cellStyle name="Not 8 4" xfId="2642" xr:uid="{D5CE04C0-453D-4CD2-B7DB-2D7F15553C28}"/>
    <cellStyle name="Not 8 5" xfId="2867" xr:uid="{F47C6CA0-EC8D-4BC4-8E33-4622573150B1}"/>
    <cellStyle name="Not 8 6" xfId="2975" xr:uid="{EA41A0BF-C6AE-475F-9724-BFBAE7E577D0}"/>
    <cellStyle name="Not 9" xfId="1639" xr:uid="{27528774-0E1F-4D89-B97C-9B767D75693F}"/>
    <cellStyle name="Not 9 2" xfId="2241" xr:uid="{39561C5E-9CA0-41AA-92A9-93DE2603D024}"/>
    <cellStyle name="Not 9 2 2" xfId="2448" xr:uid="{985F616B-EAB3-4617-B001-F498247E1C1A}"/>
    <cellStyle name="Not 9 3" xfId="2364" xr:uid="{BD19E8B4-B5CE-47C4-A650-2CE282A4F34A}"/>
    <cellStyle name="Not 9 4" xfId="2756" xr:uid="{CEC82D8E-EF8F-4FC7-A57B-E5648F6EBD72}"/>
    <cellStyle name="Not 9 5" xfId="2880" xr:uid="{84682521-C7FA-4E78-BE2B-39054015C9D9}"/>
    <cellStyle name="Not 9 6" xfId="2988" xr:uid="{3F62F02C-9AC4-4CCE-9EC2-78B7CC06A607}"/>
    <cellStyle name="Nötr 10" xfId="1676" xr:uid="{9564543E-C7E5-4649-BF6B-D2031E7DB0FA}"/>
    <cellStyle name="Nötr 11" xfId="1817" xr:uid="{83DB5070-6DEF-4929-858B-1171DA8ADD30}"/>
    <cellStyle name="Nötr 12" xfId="1211" xr:uid="{98C4AFDB-83E0-4978-BB8A-D12251ACEF1C}"/>
    <cellStyle name="Nötr 13" xfId="2091" xr:uid="{0B25E20B-A9F0-4A25-9E09-E6FA6BFD2AE0}"/>
    <cellStyle name="Nötr 2" xfId="85" xr:uid="{E6B3F22B-1ACB-4814-9323-D60D31C66144}"/>
    <cellStyle name="Nötr 2 2" xfId="152" xr:uid="{DE1EF1EC-BAC0-4D83-993D-B6F04BA42EBA}"/>
    <cellStyle name="Nötr 2 2 2" xfId="307" xr:uid="{5C4649F5-A89C-495A-83A6-5D6CAAAF9F15}"/>
    <cellStyle name="Nötr 2 2 3" xfId="522" xr:uid="{BECB7F78-7C0A-4DA1-887E-37D27B318E9F}"/>
    <cellStyle name="Nötr 2 2 4" xfId="733" xr:uid="{47D274C3-52D5-462C-9616-C28731FAF4BE}"/>
    <cellStyle name="Nötr 2 2 5" xfId="938" xr:uid="{61E37D5D-4CE4-4E29-9966-CBDF6C7F01C4}"/>
    <cellStyle name="Nötr 2 2 6" xfId="1347" xr:uid="{E2B082C3-7CAF-48AD-BF40-EDA8DA880D74}"/>
    <cellStyle name="Nötr 2 3" xfId="367" xr:uid="{386AB618-5232-43D5-9590-0E534785FC06}"/>
    <cellStyle name="Nötr 2 4" xfId="579" xr:uid="{87EE1B94-57AF-488E-8AA3-A964DE80AB38}"/>
    <cellStyle name="Nötr 2 5" xfId="786" xr:uid="{C988F978-9E6C-481B-B04E-7AFA12FC3A9F}"/>
    <cellStyle name="Nötr 2 6" xfId="1192" xr:uid="{E92FF058-C09B-4998-A13E-69DED0BF939B}"/>
    <cellStyle name="Nötr 3" xfId="171" xr:uid="{FD6F5EA3-B672-44CB-A7F7-7CFADBBD7319}"/>
    <cellStyle name="Nötr 3 2" xfId="231" xr:uid="{CD44EBE2-D516-4BAC-B69F-0D5731BD5E26}"/>
    <cellStyle name="Nötr 3 3" xfId="445" xr:uid="{86E58601-78DD-49DB-9D81-600AA7E69A1D}"/>
    <cellStyle name="Nötr 3 4" xfId="656" xr:uid="{B0B6EE4C-63D1-4B22-AEDC-7E3B52A0412B}"/>
    <cellStyle name="Nötr 3 5" xfId="861" xr:uid="{798CF036-67E5-488C-A3FA-8BCA827DE9BA}"/>
    <cellStyle name="Nötr 3 6" xfId="1270" xr:uid="{0CD12F92-2E0B-468E-BB6C-4611AED35774}"/>
    <cellStyle name="Nötr 4" xfId="386" xr:uid="{8456823F-BAD2-4CC5-8791-AA1EB6C0D20C}"/>
    <cellStyle name="Nötr 4 2" xfId="966" xr:uid="{F1C6C28F-2216-4A4E-932B-EB997956C51C}"/>
    <cellStyle name="Nötr 4 3" xfId="1371" xr:uid="{D553CE79-F820-4A20-9E61-6780F7B98229}"/>
    <cellStyle name="Nötr 5" xfId="597" xr:uid="{10B4B9A1-83F8-46EF-9499-63E85A1096DB}"/>
    <cellStyle name="Nötr 5 2" xfId="1018" xr:uid="{97B1C1D4-AB8F-4408-9D77-65DC1EDDE1F8}"/>
    <cellStyle name="Nötr 5 3" xfId="1418" xr:uid="{B2FE6EC3-8E81-41AD-AB63-D439258BC95B}"/>
    <cellStyle name="Nötr 6" xfId="804" xr:uid="{781CEA8B-4F91-4A34-9859-5F81AF449159}"/>
    <cellStyle name="Nötr 6 2" xfId="1064" xr:uid="{1CBF07D7-934E-4897-94EF-3CB2858EAE3F}"/>
    <cellStyle name="Nötr 6 3" xfId="1461" xr:uid="{8EC31837-0B28-4F88-801A-F7FFC66D9555}"/>
    <cellStyle name="Nötr 7" xfId="1109" xr:uid="{F2F0F53B-51E1-4C75-B27C-83042813FB0B}"/>
    <cellStyle name="Nötr 7 2" xfId="1506" xr:uid="{5244AB5C-9ECA-4F33-8FC4-3BC99BD53CA3}"/>
    <cellStyle name="Nötr 8" xfId="1590" xr:uid="{873FFE9E-AD9F-4C7A-B375-8275CDF64475}"/>
    <cellStyle name="Nötr 9" xfId="1632" xr:uid="{3F2A7BE0-1AF4-438E-B271-3B55FF1DF472}"/>
    <cellStyle name="ParaBirimi 2" xfId="1576" xr:uid="{CEACD6F9-E59E-48BE-B083-44BF1493225B}"/>
    <cellStyle name="ParaBirimi 2 2" xfId="2222" xr:uid="{5990BB8F-ECF4-489B-8A5A-74638B2A3917}"/>
    <cellStyle name="ParaBirimi 2 2 2" xfId="2429" xr:uid="{4992BFD3-CA72-4BD1-9D24-364319EF4213}"/>
    <cellStyle name="ParaBirimi 2 3" xfId="2345" xr:uid="{4893B2B7-1EED-4F45-BE1D-D0F6BA284C79}"/>
    <cellStyle name="ParaBirimi 2 4" xfId="2735" xr:uid="{BF575BC7-764D-4E77-8E1F-08BC6024C5CA}"/>
    <cellStyle name="ParaBirimi 2 5" xfId="2861" xr:uid="{FF85D6B7-EBC1-430A-BCC8-E15B2879F538}"/>
    <cellStyle name="ParaBirimi 2 6" xfId="2970" xr:uid="{4118A5B9-630C-4ED8-9AEF-7CBA8F0D1A7E}"/>
    <cellStyle name="Percent 2" xfId="26" xr:uid="{76BA1F96-B6DD-45D7-A28F-574C35D1B93C}"/>
    <cellStyle name="Title 2" xfId="2278" xr:uid="{92B41F75-909C-4F0A-9054-9EC99F18B517}"/>
    <cellStyle name="Toplam" xfId="12" builtinId="25" customBuiltin="1"/>
    <cellStyle name="Toplam 10" xfId="1685" xr:uid="{98583433-AD64-4DF9-A00C-BF998E860B25}"/>
    <cellStyle name="Toplam 11" xfId="1826" xr:uid="{4379444D-3FB1-464F-A1A0-481E2C48A212}"/>
    <cellStyle name="Toplam 12" xfId="1219" xr:uid="{93150589-0342-4DC5-B4D3-69DAE45758E4}"/>
    <cellStyle name="Toplam 13" xfId="2099" xr:uid="{342F1AB1-0798-473B-8674-CCA691811893}"/>
    <cellStyle name="Toplam 14" xfId="2688" xr:uid="{15CA4747-712A-450D-93F4-4B2D30176E44}"/>
    <cellStyle name="Toplam 2" xfId="86" xr:uid="{623C07B0-E309-443B-8534-0663815EAFC1}"/>
    <cellStyle name="Toplam 2 2" xfId="153" xr:uid="{E858FFF4-AD51-48C6-B156-A460E9499F84}"/>
    <cellStyle name="Toplam 2 2 2" xfId="308" xr:uid="{53D69361-3FB3-4468-90A5-88D53F15003C}"/>
    <cellStyle name="Toplam 2 2 3" xfId="523" xr:uid="{96937467-5ABF-4CDF-A631-91CB060F1C8F}"/>
    <cellStyle name="Toplam 2 2 4" xfId="734" xr:uid="{248838E3-7A11-4DF4-8BED-E2C2AAC442F2}"/>
    <cellStyle name="Toplam 2 2 5" xfId="939" xr:uid="{D21B3F07-AD1B-41C4-A80E-BC58D1EE6E03}"/>
    <cellStyle name="Toplam 2 2 6" xfId="1348" xr:uid="{1F8E2474-B2A3-43EA-9B86-6E09FBED9254}"/>
    <cellStyle name="Toplam 2 3" xfId="368" xr:uid="{5E483A18-6BAC-420B-A9A1-ED3009287994}"/>
    <cellStyle name="Toplam 2 4" xfId="580" xr:uid="{F82507B2-5696-4FF8-A099-60FD5AA57A36}"/>
    <cellStyle name="Toplam 2 5" xfId="787" xr:uid="{136D4DF0-1304-492F-A8D1-0A83A976C60C}"/>
    <cellStyle name="Toplam 2 6" xfId="1193" xr:uid="{3A3F8134-76F5-4024-9248-052FB0B8F5A6}"/>
    <cellStyle name="Toplam 3" xfId="179" xr:uid="{53A7DF59-C664-416C-95CE-79BE1954DFEA}"/>
    <cellStyle name="Toplam 3 2" xfId="240" xr:uid="{44ED7353-DB60-47A7-8B60-498B1400392D}"/>
    <cellStyle name="Toplam 3 3" xfId="454" xr:uid="{43F17BC1-575D-4731-86E6-54D3424FC6B4}"/>
    <cellStyle name="Toplam 3 4" xfId="665" xr:uid="{498DD91F-BA7E-47EC-BA4F-69F299B48DC4}"/>
    <cellStyle name="Toplam 3 5" xfId="870" xr:uid="{9AF3C8C6-AA3F-4A90-8240-7152E1290870}"/>
    <cellStyle name="Toplam 3 6" xfId="1279" xr:uid="{E4A97C4C-5FA4-4884-8A86-F5B6BC9A9C45}"/>
    <cellStyle name="Toplam 4" xfId="394" xr:uid="{EA3CA275-A99A-4193-A265-864858B44A1A}"/>
    <cellStyle name="Toplam 4 2" xfId="975" xr:uid="{8A3254A5-9D4E-43A8-AAF5-7B88DE72E304}"/>
    <cellStyle name="Toplam 4 3" xfId="1380" xr:uid="{4F0BC648-6E3E-4E4A-A4AB-314AB81D883B}"/>
    <cellStyle name="Toplam 5" xfId="605" xr:uid="{2F995B8C-C01B-4D69-B570-57FDCA5DC186}"/>
    <cellStyle name="Toplam 5 2" xfId="1027" xr:uid="{6913F971-CD9F-497A-96FE-40D926296B9E}"/>
    <cellStyle name="Toplam 5 3" xfId="1427" xr:uid="{0CA88DB4-3E38-4A49-B80D-39882E235807}"/>
    <cellStyle name="Toplam 6" xfId="812" xr:uid="{8C5CB224-A912-44CB-AD7C-73B359FE3AC0}"/>
    <cellStyle name="Toplam 6 2" xfId="1073" xr:uid="{8F23087F-0E70-4E0C-84FB-55ECF3743A63}"/>
    <cellStyle name="Toplam 6 3" xfId="1470" xr:uid="{C91A2DD7-331B-4098-A39C-7198F12EA21F}"/>
    <cellStyle name="Toplam 7" xfId="1118" xr:uid="{8214DE74-AA72-46D5-A052-E83EFB62A413}"/>
    <cellStyle name="Toplam 7 2" xfId="1515" xr:uid="{C045C3D5-301F-424A-B0AD-222457B107A9}"/>
    <cellStyle name="Toplam 8" xfId="1599" xr:uid="{6E4B5A13-5C88-4D1A-9114-2183AAC238B9}"/>
    <cellStyle name="Toplam 9" xfId="1641" xr:uid="{9DACFAA4-EB13-45C9-AA96-A18082A309C4}"/>
    <cellStyle name="Uyarı Metni" xfId="9" builtinId="11" customBuiltin="1"/>
    <cellStyle name="Uyarı Metni 10" xfId="1682" xr:uid="{82D3A9BC-4694-446B-B499-E5DCA20AD574}"/>
    <cellStyle name="Uyarı Metni 11" xfId="1823" xr:uid="{4DD25B9C-6B7B-4DA7-B5BD-B5A5250FFEF1}"/>
    <cellStyle name="Uyarı Metni 12" xfId="1216" xr:uid="{C2459E9C-E858-4E14-9783-61099B765D12}"/>
    <cellStyle name="Uyarı Metni 13" xfId="2096" xr:uid="{46E3C647-48D8-4589-B486-1DD381B3710A}"/>
    <cellStyle name="Uyarı Metni 2" xfId="87" xr:uid="{D4CD957A-7207-4BD6-A87E-BED851790A02}"/>
    <cellStyle name="Uyarı Metni 2 2" xfId="154" xr:uid="{828EC975-E4BB-4B2C-9079-F36019425E47}"/>
    <cellStyle name="Uyarı Metni 2 2 2" xfId="309" xr:uid="{D57699D3-39DC-4947-AE29-9C6D296B3FA0}"/>
    <cellStyle name="Uyarı Metni 2 2 3" xfId="524" xr:uid="{5FC165A1-CA2D-4687-8E99-71332B7526C6}"/>
    <cellStyle name="Uyarı Metni 2 2 4" xfId="735" xr:uid="{4835A3AD-3643-448E-8884-3315B516286C}"/>
    <cellStyle name="Uyarı Metni 2 2 5" xfId="940" xr:uid="{DEF4AF7D-5F89-4180-9712-476C06005629}"/>
    <cellStyle name="Uyarı Metni 2 2 6" xfId="1349" xr:uid="{7FEDDD97-96D2-4D16-93E1-D522F3AD3FC8}"/>
    <cellStyle name="Uyarı Metni 2 3" xfId="369" xr:uid="{DE7DE512-35C3-401A-96EB-F7387F70C45B}"/>
    <cellStyle name="Uyarı Metni 2 4" xfId="581" xr:uid="{D2DDF815-B34F-483D-A67E-3E34421079D6}"/>
    <cellStyle name="Uyarı Metni 2 5" xfId="788" xr:uid="{3076E1B8-B3E9-47FD-9794-7AED35E34EE0}"/>
    <cellStyle name="Uyarı Metni 2 6" xfId="1194" xr:uid="{1764DCC5-29AE-4147-8E6C-3D6D3AA95DAD}"/>
    <cellStyle name="Uyarı Metni 3" xfId="176" xr:uid="{B9ACFD3F-8143-49FA-8252-1AB56FC4BC4B}"/>
    <cellStyle name="Uyarı Metni 3 2" xfId="237" xr:uid="{646E7867-63F5-43D0-80D8-EF5764E4939A}"/>
    <cellStyle name="Uyarı Metni 3 3" xfId="451" xr:uid="{BA2451B4-1403-4155-9ADB-0C607B8D440C}"/>
    <cellStyle name="Uyarı Metni 3 4" xfId="662" xr:uid="{13CE82AF-0F96-4C2C-8477-06BDABF480F0}"/>
    <cellStyle name="Uyarı Metni 3 5" xfId="867" xr:uid="{5315ED3E-0B05-45B5-AC72-FCCFA4028617}"/>
    <cellStyle name="Uyarı Metni 3 6" xfId="1276" xr:uid="{B71D86FA-0B9B-4ED7-A597-5B06E882F78D}"/>
    <cellStyle name="Uyarı Metni 4" xfId="391" xr:uid="{B16EB400-D952-4F40-BE0D-1D1E695ABC58}"/>
    <cellStyle name="Uyarı Metni 4 2" xfId="972" xr:uid="{C0052679-8B16-40D0-967B-CAF550B57470}"/>
    <cellStyle name="Uyarı Metni 4 3" xfId="1377" xr:uid="{40E1CE52-D5D7-4CA1-AF21-F2A05146FEC0}"/>
    <cellStyle name="Uyarı Metni 5" xfId="602" xr:uid="{81E5E491-F565-490B-B224-05A755F14944}"/>
    <cellStyle name="Uyarı Metni 5 2" xfId="1024" xr:uid="{A424D31A-1885-4CCC-B2CA-41F7C6EEC432}"/>
    <cellStyle name="Uyarı Metni 5 3" xfId="1424" xr:uid="{311B4355-F8D1-45A0-923A-9A318F1BEE3D}"/>
    <cellStyle name="Uyarı Metni 6" xfId="809" xr:uid="{EC443C40-EB74-47AD-B3C8-3C23C63F9066}"/>
    <cellStyle name="Uyarı Metni 6 2" xfId="1070" xr:uid="{86958AD5-95CC-4D3A-A14A-F10006FB8D1F}"/>
    <cellStyle name="Uyarı Metni 6 3" xfId="1467" xr:uid="{4B80E537-0331-4CC6-88B5-080B3D7F034A}"/>
    <cellStyle name="Uyarı Metni 7" xfId="1115" xr:uid="{9C634656-E3B8-434A-BC47-05AC2DE6F659}"/>
    <cellStyle name="Uyarı Metni 7 2" xfId="1512" xr:uid="{AC749CFC-A663-476E-AB46-99E333E2B55C}"/>
    <cellStyle name="Uyarı Metni 8" xfId="1596" xr:uid="{32E03D96-5983-40E8-BCBD-789FCC23C7BB}"/>
    <cellStyle name="Uyarı Metni 9" xfId="1638" xr:uid="{1D6F8C79-780F-4CA8-8742-80DC0E7FD434}"/>
    <cellStyle name="Virgül 10" xfId="2014" xr:uid="{E7AE9287-E3C9-43DA-B9EC-6825AC451E49}"/>
    <cellStyle name="Virgül 11" xfId="2017" xr:uid="{9C2B5BBB-CA8A-4962-AFF3-5EC02FDC6AD9}"/>
    <cellStyle name="Virgül 12" xfId="2020" xr:uid="{30AA24BA-FC88-4E93-B568-84693EAC71CF}"/>
    <cellStyle name="Virgül 13" xfId="2023" xr:uid="{6A43205B-26D9-420C-8BA4-27E1D9860CD6}"/>
    <cellStyle name="Virgül 14" xfId="2026" xr:uid="{A6457C70-6810-466A-B8BB-1790D905A7EF}"/>
    <cellStyle name="Virgül 15" xfId="2029" xr:uid="{4709B885-4B0B-491A-9CC2-29D901312C63}"/>
    <cellStyle name="Virgül 16" xfId="2062" xr:uid="{B5AE173E-799B-4196-BE25-7D86CCDA2CE0}"/>
    <cellStyle name="Virgül 17" xfId="2068" xr:uid="{A621CD64-6FE5-4573-BB81-9B37A210545A}"/>
    <cellStyle name="Virgül 18" xfId="2075" xr:uid="{25131CE9-675D-44E6-B32E-29A016289AEB}"/>
    <cellStyle name="Virgül 2" xfId="1667" xr:uid="{022233ED-D714-456A-80EA-D31C5C7C364D}"/>
    <cellStyle name="Virgül 2 10" xfId="2021" xr:uid="{BDC2867A-44AE-4599-B0CB-240A6D3BBC5F}"/>
    <cellStyle name="Virgül 2 11" xfId="2024" xr:uid="{F34F5F24-6CA0-4501-9D48-1C7D104864BA}"/>
    <cellStyle name="Virgül 2 12" xfId="2027" xr:uid="{6DA6539B-2E1D-41F0-A521-18036CA3C13E}"/>
    <cellStyle name="Virgül 2 13" xfId="2030" xr:uid="{46065776-D269-4232-8A1B-F15C0CF8D84D}"/>
    <cellStyle name="Virgül 2 14" xfId="2063" xr:uid="{DF15632F-FCA9-48D3-8488-DE1B11CA8179}"/>
    <cellStyle name="Virgül 2 15" xfId="2069" xr:uid="{51390654-6F9C-4A0E-B18A-0742ECCA1900}"/>
    <cellStyle name="Virgül 2 16" xfId="2076" xr:uid="{7251F852-D819-4E4D-8D79-2E325C76F43F}"/>
    <cellStyle name="Virgül 2 17" xfId="2080" xr:uid="{BA28FE85-79DB-485F-ACD6-D26D5CCD8055}"/>
    <cellStyle name="Virgül 2 18" xfId="2279" xr:uid="{117541C0-7335-4DB6-99E5-953E5759B1B0}"/>
    <cellStyle name="Virgül 2 19" xfId="2479" xr:uid="{7DC4FCA6-E643-4C2B-B35D-03F8BAEB2060}"/>
    <cellStyle name="Virgül 2 2" xfId="1854" xr:uid="{A3400320-25FB-4231-8EE7-B66D87C7EE5C}"/>
    <cellStyle name="Virgül 2 2 10" xfId="2523" xr:uid="{E2882ABF-F664-427C-913A-1268E3154805}"/>
    <cellStyle name="Virgül 2 2 11" xfId="2543" xr:uid="{590A4B65-E7E7-49CB-BB8C-886E278C1DBB}"/>
    <cellStyle name="Virgül 2 2 12" xfId="2563" xr:uid="{278F44F3-CAB4-4A23-B129-C76A00198EBE}"/>
    <cellStyle name="Virgül 2 2 13" xfId="2583" xr:uid="{2F2A2F71-449A-46D0-A28E-EDF9C7BC39D7}"/>
    <cellStyle name="Virgül 2 2 14" xfId="2603" xr:uid="{D31EB1CD-CEB1-4EAE-889F-A270D7F29792}"/>
    <cellStyle name="Virgül 2 2 15" xfId="2623" xr:uid="{C0238255-968A-4F23-979C-D2D414EB44C7}"/>
    <cellStyle name="Virgül 2 2 2" xfId="2060" xr:uid="{4EF3B780-9EF8-456F-9BFC-798E3A5D07C3}"/>
    <cellStyle name="Virgül 2 2 2 10" xfId="2608" xr:uid="{EBA28690-1E2C-4F1E-80F3-29B19DA58E29}"/>
    <cellStyle name="Virgül 2 2 2 11" xfId="2628" xr:uid="{236E086D-6972-440C-976F-A63CFF77CF75}"/>
    <cellStyle name="Virgül 2 2 2 2" xfId="2271" xr:uid="{1B6162FB-5834-47A4-8BE3-CF58CEE95A28}"/>
    <cellStyle name="Virgül 2 2 2 2 10" xfId="2638" xr:uid="{0311FFDF-B839-4502-AB3F-618F583DEE48}"/>
    <cellStyle name="Virgül 2 2 2 2 2" xfId="2478" xr:uid="{10B80D39-5A7D-4E77-A8B7-8D5BFF7AA98C}"/>
    <cellStyle name="Virgül 2 2 2 2 3" xfId="2498" xr:uid="{272EA7F2-FE6A-4801-A148-F353B094B955}"/>
    <cellStyle name="Virgül 2 2 2 2 4" xfId="2518" xr:uid="{E64D040E-331E-4250-9550-8279E8C04F16}"/>
    <cellStyle name="Virgül 2 2 2 2 5" xfId="2538" xr:uid="{B269ECF7-0D4C-4B69-8BA2-DD0EB6B8E5B1}"/>
    <cellStyle name="Virgül 2 2 2 2 6" xfId="2558" xr:uid="{1069CA30-587D-43F1-84DF-CD7CBE575A48}"/>
    <cellStyle name="Virgül 2 2 2 2 7" xfId="2578" xr:uid="{2D06DD14-6270-420D-A842-B4D2D9B71760}"/>
    <cellStyle name="Virgül 2 2 2 2 8" xfId="2598" xr:uid="{163E0795-2D11-4AB3-AA0C-5A88B0F7E450}"/>
    <cellStyle name="Virgül 2 2 2 2 9" xfId="2618" xr:uid="{BFFBB40E-11E6-45F5-BA13-F72DDEF780CD}"/>
    <cellStyle name="Virgül 2 2 2 3" xfId="2288" xr:uid="{9FB71880-ED91-4FF5-B651-3AE00FADFD9A}"/>
    <cellStyle name="Virgül 2 2 2 4" xfId="2488" xr:uid="{8031063A-DD81-4876-8C06-E9B013B54113}"/>
    <cellStyle name="Virgül 2 2 2 5" xfId="2508" xr:uid="{5DFF8155-EA6B-4C31-BAAB-B06FD0984B50}"/>
    <cellStyle name="Virgül 2 2 2 6" xfId="2528" xr:uid="{4B3A58F2-9D49-46CC-9CD6-8C7F43B7B1ED}"/>
    <cellStyle name="Virgül 2 2 2 7" xfId="2548" xr:uid="{D23880F9-2D6E-4A6F-B20E-1A2035273F5C}"/>
    <cellStyle name="Virgül 2 2 2 8" xfId="2568" xr:uid="{5143F967-DB32-4BA6-9DDD-841A01F4048F}"/>
    <cellStyle name="Virgül 2 2 2 9" xfId="2588" xr:uid="{46C22EF6-26E7-459C-8A25-70B44DAD0327}"/>
    <cellStyle name="Virgül 2 2 3" xfId="2066" xr:uid="{10788B61-39CC-4BB6-AD3D-D2429589B5C5}"/>
    <cellStyle name="Virgül 2 2 3 10" xfId="2633" xr:uid="{869AD622-94D2-43A5-AF69-A3975B6FFFD7}"/>
    <cellStyle name="Virgül 2 2 3 2" xfId="2394" xr:uid="{59947EC9-EF50-4434-A220-9D1B8A6B71C0}"/>
    <cellStyle name="Virgül 2 2 3 3" xfId="2493" xr:uid="{D574A192-31AD-4204-8ADC-01B818738038}"/>
    <cellStyle name="Virgül 2 2 3 4" xfId="2513" xr:uid="{017D31A4-4625-4446-91FE-804440A43EB0}"/>
    <cellStyle name="Virgül 2 2 3 5" xfId="2533" xr:uid="{A5CF0A49-EC47-459F-AF32-94D567BF0921}"/>
    <cellStyle name="Virgül 2 2 3 6" xfId="2553" xr:uid="{A04CCB94-4B05-4C73-9B86-355403B63A29}"/>
    <cellStyle name="Virgül 2 2 3 7" xfId="2573" xr:uid="{5421AF94-4E21-4A49-890F-14FCF9154AC5}"/>
    <cellStyle name="Virgül 2 2 3 8" xfId="2593" xr:uid="{4B7424FC-8F90-4B7E-800A-C01A7879DC2D}"/>
    <cellStyle name="Virgül 2 2 3 9" xfId="2613" xr:uid="{A77E93D9-E93F-4DD9-AF15-FA4E46CA636D}"/>
    <cellStyle name="Virgül 2 2 4" xfId="2073" xr:uid="{5B7F6CF1-B265-4512-888E-5A6E708BA7DD}"/>
    <cellStyle name="Virgül 2 2 4 2" xfId="2769" xr:uid="{2E4CE495-B43F-46BF-BEE5-732313BD6E34}"/>
    <cellStyle name="Virgül 2 2 5" xfId="2078" xr:uid="{B44B8AAD-8E15-4222-8D63-9486A960998C}"/>
    <cellStyle name="Virgül 2 2 5 2" xfId="2893" xr:uid="{3D6AE068-162B-45FA-9E4B-5E9453547FBA}"/>
    <cellStyle name="Virgül 2 2 6" xfId="2128" xr:uid="{C3F378DB-4918-49E7-B152-A3F76494A417}"/>
    <cellStyle name="Virgül 2 2 7" xfId="2283" xr:uid="{4B46C886-B1EE-40CE-9E03-16F4FDE2EA9A}"/>
    <cellStyle name="Virgül 2 2 8" xfId="2483" xr:uid="{B523169C-2B26-4992-B134-D9E4770C8AB5}"/>
    <cellStyle name="Virgül 2 2 9" xfId="2503" xr:uid="{2B1F9C67-F381-426E-AFD3-7ABD42552E26}"/>
    <cellStyle name="Virgül 2 20" xfId="2499" xr:uid="{8558AEA2-49EE-4F22-BFC2-9B97C8BE230E}"/>
    <cellStyle name="Virgül 2 21" xfId="2519" xr:uid="{29ECECF0-7DAA-44AD-819E-41A5544C51CA}"/>
    <cellStyle name="Virgül 2 22" xfId="2539" xr:uid="{5B790047-4028-45E9-A14B-C94F8C0B038F}"/>
    <cellStyle name="Virgül 2 23" xfId="2559" xr:uid="{DB8F755D-C87F-4A66-986B-7A4352F32514}"/>
    <cellStyle name="Virgül 2 24" xfId="2579" xr:uid="{D26D692C-F47A-4BEC-BA22-47AB20B013E6}"/>
    <cellStyle name="Virgül 2 25" xfId="2599" xr:uid="{E62695CF-ECF4-43BE-97EF-6C38B38F26F9}"/>
    <cellStyle name="Virgül 2 26" xfId="2619" xr:uid="{3E5DDDFD-B31C-43D9-B999-82DABDF93A72}"/>
    <cellStyle name="Virgül 2 3" xfId="1857" xr:uid="{538BEA56-484E-460D-A9B4-0CE65DD03B94}"/>
    <cellStyle name="Virgül 2 3 10" xfId="2581" xr:uid="{A91287BB-2D8E-47B4-A688-571464D03F60}"/>
    <cellStyle name="Virgül 2 3 11" xfId="2601" xr:uid="{C37F35AC-B21E-4FB2-9E2A-0FE3A141B480}"/>
    <cellStyle name="Virgül 2 3 12" xfId="2621" xr:uid="{7AE80058-3618-4FC5-82D6-C53CC18AB073}"/>
    <cellStyle name="Virgül 2 3 2" xfId="2254" xr:uid="{0CDBAE24-A997-40A8-AACA-5A0B15963DD9}"/>
    <cellStyle name="Virgül 2 3 2 10" xfId="2606" xr:uid="{A9FBBE3F-80C3-46FB-B0B8-B81BCC8B31EF}"/>
    <cellStyle name="Virgül 2 3 2 11" xfId="2626" xr:uid="{4D7D9B1A-B766-4AB4-8B35-5230BA10146F}"/>
    <cellStyle name="Virgül 2 3 2 2" xfId="2461" xr:uid="{8E61D6F3-2B90-42DD-B6B9-5CBF8E3B05EC}"/>
    <cellStyle name="Virgül 2 3 2 2 2" xfId="2496" xr:uid="{8A8CE8E5-E4BF-4DAE-809D-B199794AFB21}"/>
    <cellStyle name="Virgül 2 3 2 2 3" xfId="2516" xr:uid="{812C82D7-D1BC-4564-A008-67C4490F03A0}"/>
    <cellStyle name="Virgül 2 3 2 2 4" xfId="2536" xr:uid="{17F43309-F16B-4B30-8439-787965175763}"/>
    <cellStyle name="Virgül 2 3 2 2 5" xfId="2556" xr:uid="{EDCFE93F-8459-4BAF-8EF2-D8C7AD852F3D}"/>
    <cellStyle name="Virgül 2 3 2 2 6" xfId="2576" xr:uid="{86EADD32-33A2-469A-AB07-ADFB8FAFBB48}"/>
    <cellStyle name="Virgül 2 3 2 2 7" xfId="2596" xr:uid="{91C091B6-9B89-494C-887E-955BE5EC29CA}"/>
    <cellStyle name="Virgül 2 3 2 2 8" xfId="2616" xr:uid="{6E77FC31-D565-4FE6-89E5-2E1E2D225019}"/>
    <cellStyle name="Virgül 2 3 2 2 9" xfId="2636" xr:uid="{FF0AA25A-80F7-45EC-90C8-7B8258AAF701}"/>
    <cellStyle name="Virgül 2 3 2 3" xfId="2286" xr:uid="{072BDB47-90A5-4462-8BA2-E988F9C162AF}"/>
    <cellStyle name="Virgül 2 3 2 4" xfId="2486" xr:uid="{0F079423-6E35-43FB-8DEA-835EC851D688}"/>
    <cellStyle name="Virgül 2 3 2 5" xfId="2506" xr:uid="{6A9E95B8-13A2-4FD1-B104-F923496CDB02}"/>
    <cellStyle name="Virgül 2 3 2 6" xfId="2526" xr:uid="{3D5EDE41-56F3-40E0-B885-F79B2832B760}"/>
    <cellStyle name="Virgül 2 3 2 7" xfId="2546" xr:uid="{6FC58C97-38ED-4B79-8EF4-B7864D85D4FA}"/>
    <cellStyle name="Virgül 2 3 2 8" xfId="2566" xr:uid="{F86A5903-ED7C-4EFA-96B1-5B40D6A77AF9}"/>
    <cellStyle name="Virgül 2 3 2 9" xfId="2586" xr:uid="{B3BD27AB-824D-4219-858D-6892020036D3}"/>
    <cellStyle name="Virgül 2 3 3" xfId="2125" xr:uid="{38264B13-173D-4650-AC80-FA5CA023DAFF}"/>
    <cellStyle name="Virgül 2 3 3 10" xfId="2631" xr:uid="{2FB7D1C2-2D22-46A9-81F3-2C8C122169C5}"/>
    <cellStyle name="Virgül 2 3 3 2" xfId="2377" xr:uid="{575811B1-69E8-4667-ACCA-4C4F2F6E8435}"/>
    <cellStyle name="Virgül 2 3 3 3" xfId="2491" xr:uid="{FFB604EF-4A37-430E-89CE-53B7D6C2CED2}"/>
    <cellStyle name="Virgül 2 3 3 4" xfId="2511" xr:uid="{1FBFFD02-66E8-4013-911D-EE539672CEA9}"/>
    <cellStyle name="Virgül 2 3 3 5" xfId="2531" xr:uid="{40F39DDD-27CC-4E39-B452-22A91D5E3E23}"/>
    <cellStyle name="Virgül 2 3 3 6" xfId="2551" xr:uid="{787905D8-984C-4005-9C4E-449632BE20D3}"/>
    <cellStyle name="Virgül 2 3 3 7" xfId="2571" xr:uid="{6DAB66B5-3450-4407-B871-69A081E02D50}"/>
    <cellStyle name="Virgül 2 3 3 8" xfId="2591" xr:uid="{99D33CB5-2B01-484F-B2EE-520503FD930E}"/>
    <cellStyle name="Virgül 2 3 3 9" xfId="2611" xr:uid="{7EC2B273-7E0C-466B-AA22-C1D1E5AAB16C}"/>
    <cellStyle name="Virgül 2 3 4" xfId="2281" xr:uid="{F86C6F98-23D6-41CD-B200-613DA219196C}"/>
    <cellStyle name="Virgül 2 3 5" xfId="2481" xr:uid="{E9A1F34E-66CD-4376-B9A6-C12DCDD86CE0}"/>
    <cellStyle name="Virgül 2 3 6" xfId="2501" xr:uid="{421855F3-9944-4839-BD7C-C46CA36B250E}"/>
    <cellStyle name="Virgül 2 3 7" xfId="2521" xr:uid="{AF9B809F-0F6A-4564-BC75-208E56183C1D}"/>
    <cellStyle name="Virgül 2 3 8" xfId="2541" xr:uid="{579208E7-A02A-4229-A4B2-A192638A5C16}"/>
    <cellStyle name="Virgül 2 3 9" xfId="2561" xr:uid="{5BBB8638-D3EB-43D5-A462-88F1CE14C93E}"/>
    <cellStyle name="Virgül 2 4" xfId="1860" xr:uid="{51E21288-6E38-4E17-A5E7-BFD4809A14FA}"/>
    <cellStyle name="Virgül 2 4 10" xfId="2604" xr:uid="{E8BFF43F-31E6-41C9-9615-7B05A66012A3}"/>
    <cellStyle name="Virgül 2 4 11" xfId="2624" xr:uid="{ED88709F-69CE-4AD7-9819-FDAB33A0E09C}"/>
    <cellStyle name="Virgül 2 4 2" xfId="2145" xr:uid="{CA51DC1F-D2E4-4BA8-B1A3-3BEC00DA9C01}"/>
    <cellStyle name="Virgül 2 4 2 10" xfId="2634" xr:uid="{7B083205-6692-427A-8B0E-6FB603A56C97}"/>
    <cellStyle name="Virgül 2 4 2 2" xfId="2395" xr:uid="{3F5DAD5F-758B-409F-BEAD-5E0A80B9E046}"/>
    <cellStyle name="Virgül 2 4 2 3" xfId="2494" xr:uid="{F1460070-0CAF-4C93-8FD4-A781DEC17F38}"/>
    <cellStyle name="Virgül 2 4 2 4" xfId="2514" xr:uid="{0E8DAE4C-CA6A-449D-9E82-F37E6F69F95F}"/>
    <cellStyle name="Virgül 2 4 2 5" xfId="2534" xr:uid="{9EB1DDEE-63B1-4A72-9D28-64AE32E1B4A7}"/>
    <cellStyle name="Virgül 2 4 2 6" xfId="2554" xr:uid="{F37BA660-4ADA-4008-B6A6-2A4228F38F3B}"/>
    <cellStyle name="Virgül 2 4 2 7" xfId="2574" xr:uid="{BAFD2653-63A5-4AE6-B8A8-69AA129A6F6B}"/>
    <cellStyle name="Virgül 2 4 2 8" xfId="2594" xr:uid="{AA7CE6E8-4D80-47A6-949C-9D1E35441428}"/>
    <cellStyle name="Virgül 2 4 2 9" xfId="2614" xr:uid="{F6122E41-C81C-4B81-8D38-6A9C15CE024A}"/>
    <cellStyle name="Virgül 2 4 3" xfId="2284" xr:uid="{72100073-730B-43B2-8162-0A322EE60629}"/>
    <cellStyle name="Virgül 2 4 4" xfId="2484" xr:uid="{8DE2B8CC-1E71-41D7-A326-07B3FE3F1DB9}"/>
    <cellStyle name="Virgül 2 4 5" xfId="2504" xr:uid="{77A49E7A-0A49-4FD4-ACD7-602DFED7BB13}"/>
    <cellStyle name="Virgül 2 4 6" xfId="2524" xr:uid="{8C22D0DC-57AA-4F6E-9DEA-950561D22217}"/>
    <cellStyle name="Virgül 2 4 7" xfId="2544" xr:uid="{98CC796E-E474-4A06-9A19-4BF5496425FB}"/>
    <cellStyle name="Virgül 2 4 8" xfId="2564" xr:uid="{11A766E2-3899-4509-8173-49D833BE0A51}"/>
    <cellStyle name="Virgül 2 4 9" xfId="2584" xr:uid="{0A2903B8-8A39-44FF-B26A-1A00E4193CE2}"/>
    <cellStyle name="Virgül 2 5" xfId="1863" xr:uid="{4BF24754-53E0-4938-9CC7-A86EFFE54CB9}"/>
    <cellStyle name="Virgül 2 5 10" xfId="2629" xr:uid="{F39CF827-C66D-4C58-AF45-5575B5096256}"/>
    <cellStyle name="Virgül 2 5 2" xfId="2290" xr:uid="{F1ECF2ED-5F86-446B-93CA-A98D63345DD2}"/>
    <cellStyle name="Virgül 2 5 3" xfId="2489" xr:uid="{C8173ED3-A0DE-483A-8B75-292523821E45}"/>
    <cellStyle name="Virgül 2 5 4" xfId="2509" xr:uid="{A6CB7B48-0006-4115-9D07-2DBA423B6142}"/>
    <cellStyle name="Virgül 2 5 5" xfId="2529" xr:uid="{59FE22A0-84F3-483D-9001-5663CF348F5D}"/>
    <cellStyle name="Virgül 2 5 6" xfId="2549" xr:uid="{943AE3FB-DBAE-4DD8-B66E-6F4B18F441D4}"/>
    <cellStyle name="Virgül 2 5 7" xfId="2569" xr:uid="{2DB78CB1-2C6F-4E83-87B1-62C870C409E1}"/>
    <cellStyle name="Virgül 2 5 8" xfId="2589" xr:uid="{A6EC101A-ED42-4286-BFFD-A0DBEC3BED09}"/>
    <cellStyle name="Virgül 2 5 9" xfId="2609" xr:uid="{44401C46-D63D-4FEE-A3DB-50759F11A24B}"/>
    <cellStyle name="Virgül 2 6" xfId="2006" xr:uid="{856664AD-76AC-47C1-B51E-936685FCFFBB}"/>
    <cellStyle name="Virgül 2 6 2" xfId="2685" xr:uid="{10E2FEEC-CFDB-4E13-82BB-B9E4AFD00E50}"/>
    <cellStyle name="Virgül 2 7" xfId="2009" xr:uid="{5BD6FF80-BD05-4C60-94FC-8097070FEE99}"/>
    <cellStyle name="Virgül 2 7 2" xfId="2771" xr:uid="{0B1402CC-F097-4E84-AE8E-F772F8F12166}"/>
    <cellStyle name="Virgül 2 8" xfId="2015" xr:uid="{63AECC6B-0835-43A6-9747-18F3C26F6301}"/>
    <cellStyle name="Virgül 2 8 2" xfId="2895" xr:uid="{06552902-2937-4C93-95D6-F61A4ED6CA38}"/>
    <cellStyle name="Virgül 2 9" xfId="2018" xr:uid="{8216EC16-84FC-4BF6-B85C-2E2C1BD76ED9}"/>
    <cellStyle name="Virgül 3" xfId="1578" xr:uid="{1B85C178-BE9F-4D08-8759-03A077E41281}"/>
    <cellStyle name="Virgül 3 10" xfId="2522" xr:uid="{4BEBEE84-661E-47C1-81CA-45D4E086E291}"/>
    <cellStyle name="Virgül 3 11" xfId="2542" xr:uid="{5702B41F-3294-4611-80A2-0C25DDE9608F}"/>
    <cellStyle name="Virgül 3 12" xfId="2562" xr:uid="{7A28260A-ADBE-4CAA-9640-847CF3437F6B}"/>
    <cellStyle name="Virgül 3 13" xfId="2582" xr:uid="{6CEFE6AC-0CCA-4001-B453-72ED81B81A69}"/>
    <cellStyle name="Virgül 3 14" xfId="2602" xr:uid="{1A0A9204-1AAA-4963-AD03-B890C8DC8664}"/>
    <cellStyle name="Virgül 3 15" xfId="2622" xr:uid="{F6C3335A-582C-4329-8F00-F92967C435E5}"/>
    <cellStyle name="Virgül 3 2" xfId="2059" xr:uid="{ECF50928-BA98-4723-8811-98694A18C31E}"/>
    <cellStyle name="Virgül 3 2 10" xfId="2607" xr:uid="{5A6DD155-FC33-436A-925B-94FA63517760}"/>
    <cellStyle name="Virgül 3 2 11" xfId="2627" xr:uid="{A9BB3A80-CB75-4F91-853A-4E20E0E7E97A}"/>
    <cellStyle name="Virgül 3 2 2" xfId="2270" xr:uid="{90A9B4D2-45CD-461F-8362-50454FADBFC1}"/>
    <cellStyle name="Virgül 3 2 2 10" xfId="2637" xr:uid="{792C95A5-8259-4B2D-937F-9B0EE062A526}"/>
    <cellStyle name="Virgül 3 2 2 2" xfId="2477" xr:uid="{063088AA-45EE-4104-A306-836402E0570A}"/>
    <cellStyle name="Virgül 3 2 2 3" xfId="2497" xr:uid="{20D5F9F0-14C9-499F-82A3-DEF1438BD382}"/>
    <cellStyle name="Virgül 3 2 2 4" xfId="2517" xr:uid="{46EE6FDF-1A9B-4438-83AB-932958F032D3}"/>
    <cellStyle name="Virgül 3 2 2 5" xfId="2537" xr:uid="{5A4243FD-8F80-4F2D-931E-D45A3F96ED15}"/>
    <cellStyle name="Virgül 3 2 2 6" xfId="2557" xr:uid="{A42382AB-1F40-4DDC-86E4-85457B871066}"/>
    <cellStyle name="Virgül 3 2 2 7" xfId="2577" xr:uid="{A38020C3-0A0D-48F6-9B38-69BF7505F8E4}"/>
    <cellStyle name="Virgül 3 2 2 8" xfId="2597" xr:uid="{FD33A637-995C-4E63-85C3-B58359ACD430}"/>
    <cellStyle name="Virgül 3 2 2 9" xfId="2617" xr:uid="{1838D73D-7C22-430B-92C3-D1A45C3AFE17}"/>
    <cellStyle name="Virgül 3 2 3" xfId="2287" xr:uid="{49C84255-C8EB-4CE1-B7FC-E54B93022411}"/>
    <cellStyle name="Virgül 3 2 4" xfId="2487" xr:uid="{FB74BAE2-56B0-4B91-9603-0172B58C0B4A}"/>
    <cellStyle name="Virgül 3 2 5" xfId="2507" xr:uid="{7E33FBF8-D7B4-475C-8592-C95E67C0257C}"/>
    <cellStyle name="Virgül 3 2 6" xfId="2527" xr:uid="{04D0643F-1004-4E4B-AB65-6CE3A59CBFB3}"/>
    <cellStyle name="Virgül 3 2 7" xfId="2547" xr:uid="{3C804F07-B611-400E-89CB-729AF30AAA22}"/>
    <cellStyle name="Virgül 3 2 8" xfId="2567" xr:uid="{148727E8-2619-42E1-A389-4FBF0E90153B}"/>
    <cellStyle name="Virgül 3 2 9" xfId="2587" xr:uid="{62766CDB-0E0F-4E4B-B391-3EE5D62FA32C}"/>
    <cellStyle name="Virgül 3 3" xfId="2065" xr:uid="{B80DD59E-A890-4DD6-8D1F-96887970399F}"/>
    <cellStyle name="Virgül 3 3 10" xfId="2632" xr:uid="{EA554904-6B75-4E1C-9CC8-03FA85C5CAE4}"/>
    <cellStyle name="Virgül 3 3 2" xfId="2393" xr:uid="{B3720905-2CA0-4121-87BC-31F0CCBA8AEC}"/>
    <cellStyle name="Virgül 3 3 3" xfId="2492" xr:uid="{7AB30237-1085-4CB1-9B05-1FAA494E169A}"/>
    <cellStyle name="Virgül 3 3 4" xfId="2512" xr:uid="{7736A962-247A-4E49-A895-8E22A708D54F}"/>
    <cellStyle name="Virgül 3 3 5" xfId="2532" xr:uid="{0A355536-B180-4AA5-B852-96972A299CD3}"/>
    <cellStyle name="Virgül 3 3 6" xfId="2552" xr:uid="{3FC0803E-B196-405B-BCFB-5E07981113CF}"/>
    <cellStyle name="Virgül 3 3 7" xfId="2572" xr:uid="{F07BBABF-D8F7-45A2-87DB-7C031D615ACE}"/>
    <cellStyle name="Virgül 3 3 8" xfId="2592" xr:uid="{B3DCB268-7513-45C1-80B6-977D4F7D9FBF}"/>
    <cellStyle name="Virgül 3 3 9" xfId="2612" xr:uid="{92D81E36-593B-43BD-AF76-1F6CA382C36C}"/>
    <cellStyle name="Virgül 3 4" xfId="2072" xr:uid="{1B2E1F33-5DDE-4620-8ED3-1D866A7A21CF}"/>
    <cellStyle name="Virgül 3 4 2" xfId="2691" xr:uid="{FFA25268-A1B5-4FD2-9A5E-327E2161A881}"/>
    <cellStyle name="Virgül 3 5" xfId="2077" xr:uid="{D9B56FB5-BB95-4807-8846-B3C300722E79}"/>
    <cellStyle name="Virgül 3 5 2" xfId="2863" xr:uid="{B3A7D5EF-DF04-41D0-B892-5D3E45D967E9}"/>
    <cellStyle name="Virgül 3 6" xfId="2127" xr:uid="{99FAF138-D342-416D-9CEA-B461C32F92B1}"/>
    <cellStyle name="Virgül 3 7" xfId="2282" xr:uid="{A6BFED6D-AFA6-4D59-86AC-3AA0BAB5100D}"/>
    <cellStyle name="Virgül 3 8" xfId="2482" xr:uid="{FAAD405E-FE07-49CB-BB28-FFC5660FE0CA}"/>
    <cellStyle name="Virgül 3 9" xfId="2502" xr:uid="{420575A5-0A5B-44F6-A597-A8EC0DDF2A72}"/>
    <cellStyle name="Virgül 4" xfId="1853" xr:uid="{D1BADD42-1356-46DE-86D6-E8E4C6A615F7}"/>
    <cellStyle name="Virgül 4 10" xfId="2580" xr:uid="{2279BA75-A46F-4EAA-A6A2-A516958407F4}"/>
    <cellStyle name="Virgül 4 11" xfId="2600" xr:uid="{5F69B052-2E65-4495-88CB-114853E7AA76}"/>
    <cellStyle name="Virgül 4 12" xfId="2620" xr:uid="{BAEE4D9F-A83B-48CF-B75F-8FF7D5627588}"/>
    <cellStyle name="Virgül 4 2" xfId="2224" xr:uid="{DD57FAA3-2AAD-4CDD-953D-5A4E11EC4AD3}"/>
    <cellStyle name="Virgül 4 2 10" xfId="2605" xr:uid="{3BB97FE5-001E-440F-AACE-027B264E14DD}"/>
    <cellStyle name="Virgül 4 2 11" xfId="2625" xr:uid="{255BCCDA-C1BC-4563-B78B-EC9209860A08}"/>
    <cellStyle name="Virgül 4 2 2" xfId="2431" xr:uid="{851C9CEC-A1B3-4D21-8D66-AFEB144F4D1C}"/>
    <cellStyle name="Virgül 4 2 2 2" xfId="2495" xr:uid="{C248DF01-A6FF-471B-99A2-A4594A6E82A3}"/>
    <cellStyle name="Virgül 4 2 2 3" xfId="2515" xr:uid="{F1A9C470-8B3B-4E34-A948-CB84FA454A9C}"/>
    <cellStyle name="Virgül 4 2 2 4" xfId="2535" xr:uid="{586B2554-C6EA-4EEB-AE85-FA27F99C90DA}"/>
    <cellStyle name="Virgül 4 2 2 5" xfId="2555" xr:uid="{B073D1B0-470C-4070-8C6C-FBD485C8BF37}"/>
    <cellStyle name="Virgül 4 2 2 6" xfId="2575" xr:uid="{BF6D4DA0-7574-4EDA-B6CB-54DABCF40622}"/>
    <cellStyle name="Virgül 4 2 2 7" xfId="2595" xr:uid="{CFEF22C6-F2BD-45DE-BE59-C5EFD167BF47}"/>
    <cellStyle name="Virgül 4 2 2 8" xfId="2615" xr:uid="{50F4DFB4-9F04-4E0A-9A81-944F6B9FC329}"/>
    <cellStyle name="Virgül 4 2 2 9" xfId="2635" xr:uid="{58F2CDBF-EC07-4A79-8CD1-1677312BC00F}"/>
    <cellStyle name="Virgül 4 2 3" xfId="2285" xr:uid="{192FB493-EFA8-4C12-A068-0A8FAFEB0210}"/>
    <cellStyle name="Virgül 4 2 4" xfId="2485" xr:uid="{9E69342F-8DFB-4279-8E29-95513C54047E}"/>
    <cellStyle name="Virgül 4 2 5" xfId="2505" xr:uid="{BAA5359A-39E4-4B0C-A5BE-818E2522481C}"/>
    <cellStyle name="Virgül 4 2 6" xfId="2525" xr:uid="{78B9D7A8-71A5-41D5-803A-520D98425638}"/>
    <cellStyle name="Virgül 4 2 7" xfId="2545" xr:uid="{2491B249-9DE5-4A03-AE50-0CA73C23889C}"/>
    <cellStyle name="Virgül 4 2 8" xfId="2565" xr:uid="{7D08B669-1CB1-4605-B2B8-2BB7799BBB75}"/>
    <cellStyle name="Virgül 4 2 9" xfId="2585" xr:uid="{1B4D15F4-BB45-43F2-95C5-F1C5E346178C}"/>
    <cellStyle name="Virgül 4 3" xfId="2124" xr:uid="{2FFAC7BF-D186-4EDF-8DB7-5B4A7B311FBA}"/>
    <cellStyle name="Virgül 4 3 10" xfId="2630" xr:uid="{815C449B-DC3E-43AD-A868-8D93393D43B9}"/>
    <cellStyle name="Virgül 4 3 2" xfId="2347" xr:uid="{79365255-81D4-4DE9-B9ED-8BA13A209C50}"/>
    <cellStyle name="Virgül 4 3 3" xfId="2490" xr:uid="{525A4128-9669-46A0-9F98-15B54F3E4C8B}"/>
    <cellStyle name="Virgül 4 3 4" xfId="2510" xr:uid="{AF43C1F3-2039-4316-95CE-87067634F756}"/>
    <cellStyle name="Virgül 4 3 5" xfId="2530" xr:uid="{4434AE43-226A-4C6E-9597-B499A6D42E18}"/>
    <cellStyle name="Virgül 4 3 6" xfId="2550" xr:uid="{CE8E3020-CCA3-44F0-BAC3-33C674F58870}"/>
    <cellStyle name="Virgül 4 3 7" xfId="2570" xr:uid="{4AEE5FF6-8AF4-46F7-BDFF-8F8B77160C99}"/>
    <cellStyle name="Virgül 4 3 8" xfId="2590" xr:uid="{C53FD296-3822-454D-A87D-DDE1AF92EF1C}"/>
    <cellStyle name="Virgül 4 3 9" xfId="2610" xr:uid="{866FBEFD-434D-4C8F-A5D2-5FE0B0139ADF}"/>
    <cellStyle name="Virgül 4 4" xfId="2280" xr:uid="{DA6D255D-E34D-4AEA-83AB-D8ED89FE321B}"/>
    <cellStyle name="Virgül 4 5" xfId="2480" xr:uid="{45E99946-F73A-412E-97E4-14065FA85D08}"/>
    <cellStyle name="Virgül 4 6" xfId="2500" xr:uid="{E4155557-573F-4C30-A7A7-DCAD81043871}"/>
    <cellStyle name="Virgül 4 7" xfId="2520" xr:uid="{F1EB1665-44CB-4DB5-9037-97D48EECF2A6}"/>
    <cellStyle name="Virgül 4 8" xfId="2540" xr:uid="{0E7E056D-8BA9-470E-B6D4-99BD2B8C27CA}"/>
    <cellStyle name="Virgül 4 9" xfId="2560" xr:uid="{6BE84B7F-2C16-4BB7-86A4-0936005A8DE5}"/>
    <cellStyle name="Virgül 5" xfId="1856" xr:uid="{E5194EB2-07CA-435E-870A-4A0FD33FDB5B}"/>
    <cellStyle name="Virgül 6" xfId="1859" xr:uid="{B5339002-D188-4897-9967-6EB1577F3DDE}"/>
    <cellStyle name="Virgül 7" xfId="1862" xr:uid="{B3C5D839-707A-4DAF-AC27-70B8AA9C572A}"/>
    <cellStyle name="Virgül 8" xfId="2005" xr:uid="{026B02AE-CA52-441F-9C70-E5341E9934D4}"/>
    <cellStyle name="Virgül 9" xfId="2008" xr:uid="{5998EA05-41BD-4532-9865-E92E9FF3E5F7}"/>
    <cellStyle name="Vurgu1 10" xfId="1686" xr:uid="{FD014C8A-BA5B-4E38-B62D-375D7D742A1E}"/>
    <cellStyle name="Vurgu1 11" xfId="1827" xr:uid="{10CB3F10-8A38-4BC8-9485-7C08E3043C0F}"/>
    <cellStyle name="Vurgu1 12" xfId="1220" xr:uid="{08430506-D311-42AC-8867-EC0D0F321871}"/>
    <cellStyle name="Vurgu1 13" xfId="2100" xr:uid="{E0860B69-E7F4-4A8D-8423-CF26EEE0830B}"/>
    <cellStyle name="Vurgu1 2" xfId="88" xr:uid="{A89D8D27-BA5C-4963-B4AB-B7D699B5BCBE}"/>
    <cellStyle name="Vurgu1 2 2" xfId="155" xr:uid="{B797316A-C8B6-46B8-B75C-AA667339DB26}"/>
    <cellStyle name="Vurgu1 2 2 2" xfId="310" xr:uid="{F9283F48-3E47-4F76-963A-80F1FF5F91BE}"/>
    <cellStyle name="Vurgu1 2 2 3" xfId="525" xr:uid="{BE061DE9-B2AC-4EEF-8179-A80ABA46824E}"/>
    <cellStyle name="Vurgu1 2 2 4" xfId="736" xr:uid="{D5C31FB1-C1BC-4A40-99C9-7F438F2481F7}"/>
    <cellStyle name="Vurgu1 2 2 5" xfId="941" xr:uid="{2BEF05CA-8B8B-4103-9337-78180DB8EEED}"/>
    <cellStyle name="Vurgu1 2 2 6" xfId="1350" xr:uid="{5A1EF020-6F65-496E-97E1-6DF529DD6F66}"/>
    <cellStyle name="Vurgu1 2 3" xfId="370" xr:uid="{5463D5C9-4A54-4E74-A8A5-19B7F5A35058}"/>
    <cellStyle name="Vurgu1 2 4" xfId="582" xr:uid="{13C7664E-5736-492E-B71D-88113A7F6477}"/>
    <cellStyle name="Vurgu1 2 5" xfId="789" xr:uid="{BA8485EA-6CA7-493C-A60D-D7FFFDB29125}"/>
    <cellStyle name="Vurgu1 2 6" xfId="1195" xr:uid="{C3073F12-C3B3-497C-8A5B-F2BF9C132E34}"/>
    <cellStyle name="Vurgu1 3" xfId="180" xr:uid="{B51DF34A-B12C-46F4-ABCF-0861472FB257}"/>
    <cellStyle name="Vurgu1 3 2" xfId="241" xr:uid="{B1419FE2-AFA5-46F4-BE7D-E7682CD88F21}"/>
    <cellStyle name="Vurgu1 3 3" xfId="455" xr:uid="{824B4FF3-D8F2-4CEB-9BE3-9D00B8924560}"/>
    <cellStyle name="Vurgu1 3 4" xfId="666" xr:uid="{C8E1499B-57AC-4E41-AA97-2214B10BE325}"/>
    <cellStyle name="Vurgu1 3 5" xfId="871" xr:uid="{BE9642E9-01AC-4AFF-A3E4-A91399577958}"/>
    <cellStyle name="Vurgu1 3 6" xfId="1280" xr:uid="{561AA2C8-22A0-44F2-8282-5584C7CFFB27}"/>
    <cellStyle name="Vurgu1 4" xfId="395" xr:uid="{81A6DF47-65E0-41E2-A9A6-1BE4361BF0E8}"/>
    <cellStyle name="Vurgu1 4 2" xfId="976" xr:uid="{3F7A72C8-D5FE-4A56-BAC5-3D2A60295D3C}"/>
    <cellStyle name="Vurgu1 4 3" xfId="1381" xr:uid="{92BE37A6-3B9D-424D-BD92-0CA8488AF445}"/>
    <cellStyle name="Vurgu1 5" xfId="606" xr:uid="{5913E230-916D-4D34-8D2E-283232494738}"/>
    <cellStyle name="Vurgu1 5 2" xfId="1028" xr:uid="{AB5316D9-1B28-462E-8F4F-2E6D6043302B}"/>
    <cellStyle name="Vurgu1 5 3" xfId="1428" xr:uid="{F7A6058E-50A0-44B3-8968-90CACD7297F1}"/>
    <cellStyle name="Vurgu1 6" xfId="813" xr:uid="{F5A97D48-5A63-43D4-85E8-8C08382C7ED7}"/>
    <cellStyle name="Vurgu1 6 2" xfId="1074" xr:uid="{2E8B86E5-291F-4EF6-BD8F-B7F33201BBEF}"/>
    <cellStyle name="Vurgu1 6 3" xfId="1471" xr:uid="{7EBB8117-CEEE-4841-86D3-961923DEB9A0}"/>
    <cellStyle name="Vurgu1 7" xfId="1119" xr:uid="{23C0DF09-165B-41F6-804F-E2DB2D533314}"/>
    <cellStyle name="Vurgu1 7 2" xfId="1516" xr:uid="{AB806D96-CAAD-457E-8D23-8652197A9603}"/>
    <cellStyle name="Vurgu1 8" xfId="1600" xr:uid="{C70DE7AC-D4F7-442D-85DE-7124A7DD1A9F}"/>
    <cellStyle name="Vurgu1 9" xfId="1642" xr:uid="{71CF1BC7-6C18-403D-8A48-239AF53E6541}"/>
    <cellStyle name="Vurgu2 10" xfId="1690" xr:uid="{4B6FB78B-7D0D-4884-BB17-5C3EB8F68299}"/>
    <cellStyle name="Vurgu2 11" xfId="1831" xr:uid="{7DC15B58-16EC-492F-9260-E69483D84673}"/>
    <cellStyle name="Vurgu2 12" xfId="1224" xr:uid="{EA29902C-9302-4875-9208-19B995712DEB}"/>
    <cellStyle name="Vurgu2 13" xfId="2104" xr:uid="{52A4577A-2F7D-413A-98A7-F29F16E912F8}"/>
    <cellStyle name="Vurgu2 2" xfId="89" xr:uid="{D10743B1-4516-40BB-9563-D29E3D8FC5E8}"/>
    <cellStyle name="Vurgu2 2 2" xfId="156" xr:uid="{812055E8-0333-40BB-B4F6-EEF42FCB41C5}"/>
    <cellStyle name="Vurgu2 2 2 2" xfId="311" xr:uid="{D8111488-B4D5-4D2B-98FA-B980AE04472D}"/>
    <cellStyle name="Vurgu2 2 2 3" xfId="526" xr:uid="{41D3C3E3-56E8-4425-8EB4-A8D819719C37}"/>
    <cellStyle name="Vurgu2 2 2 4" xfId="737" xr:uid="{DE07AF9C-D741-4BA0-89AD-1CA9DC45DB5B}"/>
    <cellStyle name="Vurgu2 2 2 5" xfId="942" xr:uid="{7BFED233-AD16-49C1-B476-32B92C3AEEEE}"/>
    <cellStyle name="Vurgu2 2 2 6" xfId="1351" xr:uid="{F8BD0F19-A959-4865-B9FB-F9D77465CF67}"/>
    <cellStyle name="Vurgu2 2 3" xfId="371" xr:uid="{5736EC0B-2F2F-4A13-A49F-5098E5548035}"/>
    <cellStyle name="Vurgu2 2 4" xfId="583" xr:uid="{A6E5E3CC-723D-41AF-B996-7008B4B3B616}"/>
    <cellStyle name="Vurgu2 2 5" xfId="790" xr:uid="{A47F7498-BD18-4CA2-A550-5E26973A1E29}"/>
    <cellStyle name="Vurgu2 2 6" xfId="1196" xr:uid="{C952EE15-4DE5-4E9A-8647-08A2EED55929}"/>
    <cellStyle name="Vurgu2 3" xfId="184" xr:uid="{9261E56E-4AED-4599-97A4-ADBA8201125A}"/>
    <cellStyle name="Vurgu2 3 2" xfId="245" xr:uid="{405C688F-6011-4E23-8E41-21A638AF4F8C}"/>
    <cellStyle name="Vurgu2 3 3" xfId="459" xr:uid="{0B16D4E7-93AE-486E-8D26-89390A9C239A}"/>
    <cellStyle name="Vurgu2 3 4" xfId="670" xr:uid="{C94C0E16-78F8-4DC3-98FC-CC87281CA382}"/>
    <cellStyle name="Vurgu2 3 5" xfId="875" xr:uid="{382B68B4-161D-4BCD-87FA-B8333A5C686A}"/>
    <cellStyle name="Vurgu2 3 6" xfId="1284" xr:uid="{9009262F-122C-4D8E-86C6-C9414BE7DB4C}"/>
    <cellStyle name="Vurgu2 4" xfId="399" xr:uid="{03B3D240-87E9-4D1D-853A-BFDA0C021F0D}"/>
    <cellStyle name="Vurgu2 4 2" xfId="980" xr:uid="{9A1447AF-F1A1-4428-B2C5-5610E8371B93}"/>
    <cellStyle name="Vurgu2 4 3" xfId="1385" xr:uid="{84880BB2-42F7-4D27-96D6-891F418A3C4F}"/>
    <cellStyle name="Vurgu2 5" xfId="610" xr:uid="{FB2BBF40-5FA9-4B38-AB06-89A7CFEBBCBA}"/>
    <cellStyle name="Vurgu2 5 2" xfId="1032" xr:uid="{D1DC1DFA-F2D1-45FB-AFC6-3FFAAE88DA3B}"/>
    <cellStyle name="Vurgu2 5 3" xfId="1432" xr:uid="{9532ED8D-CC70-40C4-928B-E480E5C89273}"/>
    <cellStyle name="Vurgu2 6" xfId="817" xr:uid="{EED02437-5814-4190-8510-90B4C6FB4923}"/>
    <cellStyle name="Vurgu2 6 2" xfId="1078" xr:uid="{C5B6025D-4405-4265-84B0-FB5024E90139}"/>
    <cellStyle name="Vurgu2 6 3" xfId="1475" xr:uid="{72EDE049-B72E-4A28-AFE1-E6840E728B26}"/>
    <cellStyle name="Vurgu2 7" xfId="1123" xr:uid="{FF3E0312-02D7-48E8-8075-A2820E4A513E}"/>
    <cellStyle name="Vurgu2 7 2" xfId="1520" xr:uid="{F06D4FC7-0EED-4CBA-A776-3EAE93E8203F}"/>
    <cellStyle name="Vurgu2 8" xfId="1604" xr:uid="{E5EEA477-616F-4F04-AB04-BC84E633E892}"/>
    <cellStyle name="Vurgu2 9" xfId="1646" xr:uid="{AF3603B4-23A1-4B10-9444-5D2474BB4535}"/>
    <cellStyle name="Vurgu3 10" xfId="1694" xr:uid="{9B3C3BB1-D92D-4556-B045-D7FF67582BE8}"/>
    <cellStyle name="Vurgu3 11" xfId="1835" xr:uid="{C15438A8-2062-40DF-9472-A3D96FD5378B}"/>
    <cellStyle name="Vurgu3 12" xfId="1228" xr:uid="{AF7798A4-AA9E-49C2-8FC3-3DE22A9B022F}"/>
    <cellStyle name="Vurgu3 13" xfId="2108" xr:uid="{F4D6139D-6CCE-40CC-BC7C-EE6D308B1458}"/>
    <cellStyle name="Vurgu3 2" xfId="90" xr:uid="{7BA097B7-5979-4A21-AD5F-5E67A845E5D0}"/>
    <cellStyle name="Vurgu3 2 2" xfId="157" xr:uid="{B3E5B4FF-7777-47FE-BEDF-CB297D5D9FAE}"/>
    <cellStyle name="Vurgu3 2 2 2" xfId="312" xr:uid="{88A49643-CCF6-4E55-A328-5031C2B3768D}"/>
    <cellStyle name="Vurgu3 2 2 3" xfId="527" xr:uid="{1A62B880-1605-4906-A83B-BD813A705144}"/>
    <cellStyle name="Vurgu3 2 2 4" xfId="738" xr:uid="{742F823A-798E-48D1-B53E-50BA858E6931}"/>
    <cellStyle name="Vurgu3 2 2 5" xfId="943" xr:uid="{E6050FE3-B6D5-4825-93AE-02160C28D8FB}"/>
    <cellStyle name="Vurgu3 2 2 6" xfId="1352" xr:uid="{F28B1B58-94C1-408A-804A-0E474E6A7728}"/>
    <cellStyle name="Vurgu3 2 3" xfId="372" xr:uid="{077A207C-3C83-4A21-866B-F36AAC42A5E3}"/>
    <cellStyle name="Vurgu3 2 4" xfId="584" xr:uid="{92EE465A-6F8A-43B7-9CB2-7AD6A4A2594C}"/>
    <cellStyle name="Vurgu3 2 5" xfId="791" xr:uid="{F0D2021B-9069-410D-895E-AD31E31FBB8F}"/>
    <cellStyle name="Vurgu3 2 6" xfId="1197" xr:uid="{3A5D2063-EB14-4822-93A5-BE57A53E4C1D}"/>
    <cellStyle name="Vurgu3 3" xfId="188" xr:uid="{577AF456-773F-447E-BECC-A26DFE683F54}"/>
    <cellStyle name="Vurgu3 3 2" xfId="249" xr:uid="{905979D7-6E1F-4E60-A5BB-73F141306094}"/>
    <cellStyle name="Vurgu3 3 3" xfId="463" xr:uid="{6D54EA61-3130-4FD2-8267-5080257F36FD}"/>
    <cellStyle name="Vurgu3 3 4" xfId="674" xr:uid="{60E3D412-F6D1-4EA8-BD4B-D8F86D1E4D1D}"/>
    <cellStyle name="Vurgu3 3 5" xfId="879" xr:uid="{D3D410E5-0258-4221-9572-CF0747218B1C}"/>
    <cellStyle name="Vurgu3 3 6" xfId="1288" xr:uid="{7DC45943-66E9-4114-BBA1-D852132FD6F0}"/>
    <cellStyle name="Vurgu3 4" xfId="403" xr:uid="{84BE5E2F-B242-497E-9301-328E58A16A01}"/>
    <cellStyle name="Vurgu3 4 2" xfId="984" xr:uid="{BFDEA698-CA8A-4ECF-AB8A-723F742EE9B4}"/>
    <cellStyle name="Vurgu3 4 3" xfId="1389" xr:uid="{70B9F84A-43B7-4D11-9F04-6B67155F5651}"/>
    <cellStyle name="Vurgu3 5" xfId="614" xr:uid="{5E9DB124-0960-4CF1-87CA-A17346229D46}"/>
    <cellStyle name="Vurgu3 5 2" xfId="1036" xr:uid="{12764790-976B-48AC-BBC2-37493447F007}"/>
    <cellStyle name="Vurgu3 5 3" xfId="1436" xr:uid="{2B3536AB-908B-48C4-9E2D-B67B785DD2F6}"/>
    <cellStyle name="Vurgu3 6" xfId="821" xr:uid="{F9F739CB-B2CE-4AF9-8A72-5A216C77C084}"/>
    <cellStyle name="Vurgu3 6 2" xfId="1082" xr:uid="{A6CE86D8-6EA3-4939-8254-E96CEA1EC003}"/>
    <cellStyle name="Vurgu3 6 3" xfId="1479" xr:uid="{192BFAE7-365D-41B3-9643-C9001FEE5129}"/>
    <cellStyle name="Vurgu3 7" xfId="1127" xr:uid="{8838D68D-86E8-46D9-8F6D-5ED23AED94B7}"/>
    <cellStyle name="Vurgu3 7 2" xfId="1524" xr:uid="{F9E4E16F-5C28-4BDF-907D-873E93CE302A}"/>
    <cellStyle name="Vurgu3 8" xfId="1608" xr:uid="{5C7BC807-DB11-4F4B-A329-F94D0416476D}"/>
    <cellStyle name="Vurgu3 9" xfId="1650" xr:uid="{6F6B369E-69AA-4B79-ACB2-8A9ACA0591D0}"/>
    <cellStyle name="Vurgu4 10" xfId="1698" xr:uid="{A755D8F3-0F68-4147-869D-DC492F2AE6FA}"/>
    <cellStyle name="Vurgu4 11" xfId="1839" xr:uid="{1E61FA62-FD59-4E46-A613-49D71BE43640}"/>
    <cellStyle name="Vurgu4 12" xfId="1232" xr:uid="{22AD7F17-1597-47A6-AD26-A206AE4DCDF1}"/>
    <cellStyle name="Vurgu4 13" xfId="2112" xr:uid="{FB6FE146-C917-485A-8D81-96F51169E055}"/>
    <cellStyle name="Vurgu4 2" xfId="32" xr:uid="{B067D9DF-AD86-453E-9EDD-4CC55AC95E6B}"/>
    <cellStyle name="Vurgu4 2 2" xfId="158" xr:uid="{9381C905-27CA-42D2-AB0F-19F788373B88}"/>
    <cellStyle name="Vurgu4 2 2 2" xfId="223" xr:uid="{82EE18DF-A4C7-4F1A-BC54-2D57ABA364AA}"/>
    <cellStyle name="Vurgu4 2 2 3" xfId="437" xr:uid="{96C1AE9F-F67E-4FEC-8769-1F42F81AD3FB}"/>
    <cellStyle name="Vurgu4 2 2 4" xfId="648" xr:uid="{D62E24E5-4E05-40D4-9A1A-D915BA6C89D6}"/>
    <cellStyle name="Vurgu4 2 2 5" xfId="853" xr:uid="{1E000FEB-D9F5-420B-8089-CEF22DC352BD}"/>
    <cellStyle name="Vurgu4 2 2 6" xfId="1262" xr:uid="{E2DBB350-B265-4DB2-87BE-04923F7885EA}"/>
    <cellStyle name="Vurgu4 2 3" xfId="373" xr:uid="{5BBEDFFF-2192-4632-AD49-A73F53C09DD7}"/>
    <cellStyle name="Vurgu4 2 3 2" xfId="2045" xr:uid="{F1EB6A7E-EAB5-4A93-9B18-716B788394F6}"/>
    <cellStyle name="Vurgu4 2 33" xfId="33" xr:uid="{98C0CAE3-16A8-4487-AC9A-5712C1AE343F}"/>
    <cellStyle name="Vurgu4 2 33 2" xfId="159" xr:uid="{9D9BB641-345F-446B-B616-ED6A1242A86E}"/>
    <cellStyle name="Vurgu4 2 33 2 2" xfId="313" xr:uid="{114E89F7-05C7-487A-902C-A6AD574E1B71}"/>
    <cellStyle name="Vurgu4 2 33 2 3" xfId="528" xr:uid="{C8EAFCA9-6D4D-4A53-AFA3-AA0DAB27EFCA}"/>
    <cellStyle name="Vurgu4 2 33 2 4" xfId="739" xr:uid="{8FF4C371-F328-42CD-91A6-9438218AD0EF}"/>
    <cellStyle name="Vurgu4 2 33 2 5" xfId="944" xr:uid="{22EA3EA2-FA0F-486E-8309-B9F1DF4A6FF8}"/>
    <cellStyle name="Vurgu4 2 33 2 6" xfId="1353" xr:uid="{55DB2D9D-EFD6-4DBE-8016-E1E47480ACB9}"/>
    <cellStyle name="Vurgu4 2 33 3" xfId="374" xr:uid="{EACD3D20-56F8-4D20-A4B4-95A63762B973}"/>
    <cellStyle name="Vurgu4 2 33 4" xfId="586" xr:uid="{13E3E140-EC9F-4C36-A262-83BC2D523299}"/>
    <cellStyle name="Vurgu4 2 33 5" xfId="793" xr:uid="{A2971CC1-153C-40B0-8557-13EFDEF5B6D4}"/>
    <cellStyle name="Vurgu4 2 33 6" xfId="1199" xr:uid="{3480A827-480B-466E-AB64-B1DC8CDF42F7}"/>
    <cellStyle name="Vurgu4 2 4" xfId="585" xr:uid="{D39B3D24-2571-40FD-B8F0-355C488A0D1E}"/>
    <cellStyle name="Vurgu4 2 4 2" xfId="2698" xr:uid="{5C3016FF-962E-4615-8239-8158EB9196C9}"/>
    <cellStyle name="Vurgu4 2 5" xfId="792" xr:uid="{0928FB80-452B-4925-B07D-A86FCAF1232B}"/>
    <cellStyle name="Vurgu4 2 6" xfId="1198" xr:uid="{CB095F90-E2DE-40BE-B727-72C9B9B6F737}"/>
    <cellStyle name="Vurgu4 3" xfId="192" xr:uid="{3142D22E-7786-477C-BB50-18CDC6C46F1E}"/>
    <cellStyle name="Vurgu4 3 2" xfId="253" xr:uid="{8D449494-749E-487A-B6E0-7EE61C12D5AD}"/>
    <cellStyle name="Vurgu4 3 3" xfId="467" xr:uid="{E48B04E5-0092-4EDE-9B1D-66925A197414}"/>
    <cellStyle name="Vurgu4 3 4" xfId="678" xr:uid="{A75BBA3B-B96C-480E-A3A1-F00252B90B34}"/>
    <cellStyle name="Vurgu4 3 5" xfId="883" xr:uid="{04E4BBDC-1BC2-4E0A-A6A9-5BF2E796162F}"/>
    <cellStyle name="Vurgu4 3 6" xfId="1292" xr:uid="{31554B56-3D3D-40D4-8830-917F33173EC2}"/>
    <cellStyle name="Vurgu4 4" xfId="407" xr:uid="{264EB060-3646-4643-9FBE-75E35349D860}"/>
    <cellStyle name="Vurgu4 4 2" xfId="988" xr:uid="{F1E02261-E45A-437B-9171-73425D87A2B3}"/>
    <cellStyle name="Vurgu4 4 3" xfId="1393" xr:uid="{EAB79CB0-8ED9-452C-9EB3-581E75FD101F}"/>
    <cellStyle name="Vurgu4 5" xfId="618" xr:uid="{B8BAEDF5-8DAC-47B7-A0D9-F6A0524B86D6}"/>
    <cellStyle name="Vurgu4 5 2" xfId="1040" xr:uid="{14CA933C-1065-4DE4-AA12-DE6C2EF66A13}"/>
    <cellStyle name="Vurgu4 5 3" xfId="1440" xr:uid="{9C61F677-BC66-4D59-808B-62A1F304262F}"/>
    <cellStyle name="Vurgu4 6" xfId="825" xr:uid="{17400202-345D-4BCE-9D7A-11E513DFC72D}"/>
    <cellStyle name="Vurgu4 6 2" xfId="1086" xr:uid="{3D2C2428-2EB0-41B0-8188-7312BD41F369}"/>
    <cellStyle name="Vurgu4 6 3" xfId="1483" xr:uid="{69040A85-B0EA-409C-B759-BF54AE1FF7A8}"/>
    <cellStyle name="Vurgu4 7" xfId="1131" xr:uid="{ED5026A0-C8DD-4477-88B4-32D7CE41555B}"/>
    <cellStyle name="Vurgu4 7 2" xfId="1528" xr:uid="{269D4E81-929B-4A00-9E9F-7A1CFCD558C0}"/>
    <cellStyle name="Vurgu4 8" xfId="1612" xr:uid="{FFF0D699-1323-4E45-B1F8-FCB7F4C027BE}"/>
    <cellStyle name="Vurgu4 9" xfId="1654" xr:uid="{8719D429-0B83-41A5-AFD9-D4EB54037492}"/>
    <cellStyle name="Vurgu5 10" xfId="1702" xr:uid="{F0042C77-4A0E-437B-8ED4-6075E15DAA8F}"/>
    <cellStyle name="Vurgu5 11" xfId="1843" xr:uid="{27C4EC73-9C11-49C3-A8DC-C9BA4ED95726}"/>
    <cellStyle name="Vurgu5 12" xfId="1236" xr:uid="{7001D0CF-7BC3-4F43-A771-6EB2D3E57C4D}"/>
    <cellStyle name="Vurgu5 13" xfId="2116" xr:uid="{D68F0F42-B977-4E70-ACB6-2F7D70961559}"/>
    <cellStyle name="Vurgu5 2" xfId="91" xr:uid="{93AE9ADD-EC20-42A1-8AD9-D74ED9A9CDA4}"/>
    <cellStyle name="Vurgu5 2 2" xfId="160" xr:uid="{ED71B091-0CE4-4DAD-BC18-9C3B72164D8A}"/>
    <cellStyle name="Vurgu5 2 2 2" xfId="314" xr:uid="{6288CE27-A012-4C8A-A78D-533410C3A7C8}"/>
    <cellStyle name="Vurgu5 2 2 3" xfId="529" xr:uid="{744238F0-A295-4FC5-99CD-DED6D74E9454}"/>
    <cellStyle name="Vurgu5 2 2 4" xfId="740" xr:uid="{9CE13B13-48F9-4066-ACFF-370D916410E6}"/>
    <cellStyle name="Vurgu5 2 2 5" xfId="945" xr:uid="{22184663-EAC6-4B6A-8EBD-751C369A967E}"/>
    <cellStyle name="Vurgu5 2 2 6" xfId="1354" xr:uid="{FEAC877F-8703-4FEB-867E-0926AB97D6CC}"/>
    <cellStyle name="Vurgu5 2 3" xfId="375" xr:uid="{FB2023B0-B7C2-4F24-85C8-36445511F8D9}"/>
    <cellStyle name="Vurgu5 2 4" xfId="587" xr:uid="{7318871B-301F-454E-813A-FF4E1B833FE7}"/>
    <cellStyle name="Vurgu5 2 5" xfId="794" xr:uid="{52276589-F360-4CA4-894E-31A437C7BA3E}"/>
    <cellStyle name="Vurgu5 2 6" xfId="1200" xr:uid="{3492358C-5E76-4659-8D37-AB875A0FF803}"/>
    <cellStyle name="Vurgu5 3" xfId="196" xr:uid="{CDF55359-753A-4EDD-961B-B5C5AFA97EAB}"/>
    <cellStyle name="Vurgu5 3 2" xfId="257" xr:uid="{C59413BE-8299-47C7-A508-3BD0B7F0F230}"/>
    <cellStyle name="Vurgu5 3 3" xfId="471" xr:uid="{701BEE49-4F0A-4E38-A142-502B6BCE3E17}"/>
    <cellStyle name="Vurgu5 3 4" xfId="682" xr:uid="{0F191BC8-E849-467E-8E7F-14126BDB5231}"/>
    <cellStyle name="Vurgu5 3 5" xfId="887" xr:uid="{FEF40E90-C0C4-402B-ADEB-2FA0B78229AB}"/>
    <cellStyle name="Vurgu5 3 6" xfId="1296" xr:uid="{FDC2FDE8-BAD8-43D1-8014-3761CDAA245A}"/>
    <cellStyle name="Vurgu5 4" xfId="411" xr:uid="{B2920267-901F-4961-AE41-A828EF6C6710}"/>
    <cellStyle name="Vurgu5 4 2" xfId="992" xr:uid="{12122E7C-9532-45BD-8BC4-8DBBBF0D8E91}"/>
    <cellStyle name="Vurgu5 4 3" xfId="1397" xr:uid="{528EDC8A-9F09-4949-8AB0-07F9CFDDCF3F}"/>
    <cellStyle name="Vurgu5 5" xfId="622" xr:uid="{0526D972-74FF-46EB-8574-90B3C5E7BDC1}"/>
    <cellStyle name="Vurgu5 5 2" xfId="1044" xr:uid="{C6E266DB-AF9A-4400-88EE-4B4CA68EC03A}"/>
    <cellStyle name="Vurgu5 5 3" xfId="1444" xr:uid="{058D3DFB-D5EC-4B9B-AFF9-A195B3ADBE48}"/>
    <cellStyle name="Vurgu5 6" xfId="829" xr:uid="{18AA6565-922B-4CE5-B622-5DDA22A3A378}"/>
    <cellStyle name="Vurgu5 6 2" xfId="1090" xr:uid="{2EEAB043-DF6E-4014-92D2-4E606F5856B9}"/>
    <cellStyle name="Vurgu5 6 3" xfId="1487" xr:uid="{4C5172C8-3175-4724-9539-6BEC59AC5500}"/>
    <cellStyle name="Vurgu5 7" xfId="1135" xr:uid="{FAA89985-3112-4F2C-A5C2-57818A98C064}"/>
    <cellStyle name="Vurgu5 7 2" xfId="1532" xr:uid="{F8DBD951-92AE-42C7-A0CA-34918C0A6DDF}"/>
    <cellStyle name="Vurgu5 8" xfId="1616" xr:uid="{C810D853-B460-46E7-9E21-45F4D7436341}"/>
    <cellStyle name="Vurgu5 9" xfId="1658" xr:uid="{19917598-5748-4AE7-983C-93B54716B28A}"/>
    <cellStyle name="Vurgu6 10" xfId="1706" xr:uid="{3DA56E91-BDF4-4F2D-A8B2-650287FDBCE2}"/>
    <cellStyle name="Vurgu6 11" xfId="1847" xr:uid="{5C6B6EE8-7D15-4371-A92B-44A361B9ECCF}"/>
    <cellStyle name="Vurgu6 12" xfId="1240" xr:uid="{AC3F4C7E-3330-4193-940C-820E920C6922}"/>
    <cellStyle name="Vurgu6 13" xfId="2120" xr:uid="{94DAF501-88C4-4D65-8F1A-F662DEFEDAFF}"/>
    <cellStyle name="Vurgu6 2" xfId="92" xr:uid="{1B722145-4370-4CCD-894C-FC108695463A}"/>
    <cellStyle name="Vurgu6 2 2" xfId="161" xr:uid="{117A708D-AB1C-4B8C-BB88-A14D8D0370FD}"/>
    <cellStyle name="Vurgu6 2 2 2" xfId="315" xr:uid="{32A83FB2-2201-4B08-B3DA-BCE8F326AC49}"/>
    <cellStyle name="Vurgu6 2 2 3" xfId="530" xr:uid="{F0F40E7C-CCFC-4E2F-B7FC-5504399E2AC7}"/>
    <cellStyle name="Vurgu6 2 2 4" xfId="741" xr:uid="{DE9B4C51-4CA6-43DE-92F4-3FF7B5F145B1}"/>
    <cellStyle name="Vurgu6 2 2 5" xfId="946" xr:uid="{A6CF59DF-EEED-47B4-97CE-D1CB49064C72}"/>
    <cellStyle name="Vurgu6 2 2 6" xfId="1355" xr:uid="{EBAE8624-4DA6-4402-9379-597A89FDD79E}"/>
    <cellStyle name="Vurgu6 2 3" xfId="376" xr:uid="{2CB1CA98-140E-48D5-95A6-C432F5F31BE1}"/>
    <cellStyle name="Vurgu6 2 4" xfId="588" xr:uid="{729FD1B3-C77B-49EF-AC42-7487D6B13C7B}"/>
    <cellStyle name="Vurgu6 2 5" xfId="795" xr:uid="{630050CD-35F0-4A7B-ADED-C3907AA0B830}"/>
    <cellStyle name="Vurgu6 2 6" xfId="1201" xr:uid="{F7383EA3-2F3E-4B3C-9DC3-9BCF25564C38}"/>
    <cellStyle name="Vurgu6 3" xfId="200" xr:uid="{EB1682CF-37B1-4C83-BAD5-F77252C00349}"/>
    <cellStyle name="Vurgu6 3 2" xfId="261" xr:uid="{3649B189-CC01-4302-8B02-F72551405EEE}"/>
    <cellStyle name="Vurgu6 3 3" xfId="475" xr:uid="{C0A48434-AE9F-4D32-A298-1C3B30B4F947}"/>
    <cellStyle name="Vurgu6 3 4" xfId="686" xr:uid="{F395A3E6-DB4B-4B50-9DE4-3264D3530EC9}"/>
    <cellStyle name="Vurgu6 3 5" xfId="891" xr:uid="{3CB1DBB3-5E16-4C8C-AB0D-44F276131E13}"/>
    <cellStyle name="Vurgu6 3 6" xfId="1300" xr:uid="{01C01D8C-90A3-4054-8481-9D12DEC9486C}"/>
    <cellStyle name="Vurgu6 4" xfId="415" xr:uid="{5F8A5459-F276-4D14-8650-70DD2F2CB019}"/>
    <cellStyle name="Vurgu6 4 2" xfId="996" xr:uid="{21611FD8-3813-4379-A47C-FC5DB44F337F}"/>
    <cellStyle name="Vurgu6 4 3" xfId="1401" xr:uid="{A1E6FA74-54FA-416C-89FC-08B7C84B5FC0}"/>
    <cellStyle name="Vurgu6 5" xfId="626" xr:uid="{1341EFB3-005A-4BAF-A786-2F50ED5FF546}"/>
    <cellStyle name="Vurgu6 5 2" xfId="1048" xr:uid="{C1085694-C62E-46D2-BB46-E8B0DE7AB415}"/>
    <cellStyle name="Vurgu6 5 3" xfId="1448" xr:uid="{1F2D33D6-E542-4D1F-A97C-0FD350EF5B26}"/>
    <cellStyle name="Vurgu6 6" xfId="833" xr:uid="{848627B3-0A1E-4E31-84B1-6A1C3E96B9AD}"/>
    <cellStyle name="Vurgu6 6 2" xfId="1094" xr:uid="{C9075A89-1621-4BFC-8AC7-8CB2D2E87FEF}"/>
    <cellStyle name="Vurgu6 6 3" xfId="1491" xr:uid="{9CB20CE4-DD13-4696-981B-19268EC9DAB2}"/>
    <cellStyle name="Vurgu6 7" xfId="1139" xr:uid="{B890A6D2-97CB-443E-9F4E-D785DB912A8B}"/>
    <cellStyle name="Vurgu6 7 2" xfId="1536" xr:uid="{8B84F181-BFF7-4DBA-BB56-94FFB778957F}"/>
    <cellStyle name="Vurgu6 8" xfId="1620" xr:uid="{6341C9AA-A6BC-4FAB-91D1-7EAFAE8E17B4}"/>
    <cellStyle name="Vurgu6 9" xfId="1662" xr:uid="{BF6B84B7-936A-40DC-A0E1-53992D36988E}"/>
    <cellStyle name="Yüzde" xfId="1" builtinId="5"/>
    <cellStyle name="Yüzde 2" xfId="34" xr:uid="{4F38712A-19A6-4A7D-8BCB-C0414275FFB1}"/>
    <cellStyle name="Yüzde 2 10 11" xfId="35" xr:uid="{5D2F1F61-1C87-48D4-8726-CF2715AB6683}"/>
    <cellStyle name="Yüzde 3" xfId="2011" xr:uid="{DC98AD6B-2A67-4DE4-AD0D-818542C16372}"/>
    <cellStyle name="Yüzde 3 2" xfId="2126" xr:uid="{E57D5968-3AE5-4D99-9EC7-D65A60FAD8D3}"/>
    <cellStyle name="Yüzde 3 2 2" xfId="2256" xr:uid="{42260D5C-05A5-4D93-8906-C62F16782EF9}"/>
    <cellStyle name="Yüzde 3 2 2 2" xfId="2463" xr:uid="{EFB431CC-5CE9-4BB3-8A44-4B81B2A3EEE0}"/>
    <cellStyle name="Yüzde 3 2 3" xfId="2379" xr:uid="{9F585C8C-FCB0-4F6C-B1A9-AFF9AB10D4B2}"/>
    <cellStyle name="Yüzde 3 3" xfId="2146" xr:uid="{4B0EC231-7566-41E7-8453-2873A03F273E}"/>
    <cellStyle name="Yüzde 3 3 2" xfId="2396" xr:uid="{F1B11287-B912-4946-829F-1E34A384114C}"/>
    <cellStyle name="Yüzde 3 4" xfId="2291" xr:uid="{227A5873-52BC-485C-845B-69F96B68EC38}"/>
    <cellStyle name="Yüzde 3 5" xfId="2646" xr:uid="{2EB4A422-2E85-410B-A431-15C55775458F}"/>
    <cellStyle name="Yüzde 3 6" xfId="2773" xr:uid="{6E5BC0AE-8874-4F81-B685-B953E60D8963}"/>
    <cellStyle name="Yüzde 3 7" xfId="2897" xr:uid="{DE250AF3-0AD0-4AAF-8DC7-4CB26C13402E}"/>
    <cellStyle name="Yüzde 4" xfId="2082" xr:uid="{B8EDDE72-6D60-489E-BE88-0EDEC9FAD05B}"/>
    <cellStyle name="Yüzde 4 2" xfId="2148" xr:uid="{003BF2CF-E5BA-40C6-B846-A17E096B820A}"/>
    <cellStyle name="Yüzde 4 2 2" xfId="2398" xr:uid="{DFC444F3-06B8-46FA-8668-858C001060B3}"/>
    <cellStyle name="Yüzde 4 3" xfId="2293" xr:uid="{33B0AB73-23D1-454F-8B2D-6DF2D200E62A}"/>
    <cellStyle name="Yüzde 5" xfId="2143" xr:uid="{9A14B005-157C-4923-951D-DCCF2501F895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71" formatCode="dd/m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E552B-7CC5-4A2A-B793-2CF084BE8040}" name="YieldByGroup" displayName="YieldByGroup" ref="C1:H6527" totalsRowShown="0" dataDxfId="8">
  <autoFilter ref="C1:H6527" xr:uid="{F2CE552B-7CC5-4A2A-B793-2CF084BE8040}"/>
  <tableColumns count="6">
    <tableColumn id="1" xr3:uid="{3AB8245A-FA6D-4B59-93F1-2FA846CE4158}" name="Group Number" dataDxfId="7"/>
    <tableColumn id="7" xr3:uid="{7E6CB377-7789-4F74-9A89-9B7D8F0EDA3A}" name="Sütun1" dataDxfId="6"/>
    <tableColumn id="2" xr3:uid="{E5A56F3F-81AD-4D9C-9AD0-3CC2FA148554}" name="Avg. Yield " dataDxfId="5"/>
    <tableColumn id="4" xr3:uid="{A77AA94C-5DF9-4030-B48B-F2CBE5668A3B}" name="Yield Difference" dataDxfId="4">
      <calculatedColumnFormula>IFERROR((E2-#REF!)/#REF!,"")</calculatedColumnFormula>
    </tableColumn>
    <tableColumn id="5" xr3:uid="{2B518554-0B33-4A9A-A5CA-73702448F55C}" name="Avg Yield" dataDxfId="3" dataCellStyle="Yüzde"/>
    <tableColumn id="3" xr3:uid="{3B058830-94BF-49A9-AEB9-43037491E9FA}" name="Dat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C82E-08FF-457A-B531-97A20A96E249}">
  <dimension ref="C1:O6527"/>
  <sheetViews>
    <sheetView tabSelected="1" topLeftCell="A6501" zoomScaleNormal="100" workbookViewId="0">
      <selection activeCell="B6527" sqref="B6527"/>
    </sheetView>
  </sheetViews>
  <sheetFormatPr defaultRowHeight="15" x14ac:dyDescent="0.25"/>
  <cols>
    <col min="3" max="4" width="17.140625" style="2" customWidth="1"/>
    <col min="5" max="5" width="19.140625" style="2" bestFit="1" customWidth="1"/>
    <col min="6" max="6" width="19.140625" customWidth="1"/>
    <col min="7" max="7" width="19.140625" style="36" customWidth="1"/>
    <col min="8" max="8" width="15" style="2" customWidth="1"/>
    <col min="12" max="13" width="10.140625" customWidth="1"/>
    <col min="14" max="14" width="10.140625" bestFit="1" customWidth="1"/>
  </cols>
  <sheetData>
    <row r="1" spans="3:8" x14ac:dyDescent="0.25">
      <c r="C1" s="675" t="s">
        <v>0</v>
      </c>
      <c r="D1" s="1" t="s">
        <v>5</v>
      </c>
      <c r="E1" s="1" t="s">
        <v>1</v>
      </c>
      <c r="F1" t="s">
        <v>3</v>
      </c>
      <c r="G1" s="36" t="s">
        <v>11</v>
      </c>
      <c r="H1" s="2" t="s">
        <v>2</v>
      </c>
    </row>
    <row r="2" spans="3:8" x14ac:dyDescent="0.25">
      <c r="C2" s="5" t="s">
        <v>0</v>
      </c>
      <c r="D2" s="15" t="s">
        <v>6</v>
      </c>
      <c r="E2" s="6" t="s">
        <v>4</v>
      </c>
      <c r="F2" s="4" t="str">
        <f>IFERROR((E2-#REF!)/#REF!,"")</f>
        <v/>
      </c>
      <c r="G2" s="37">
        <v>26.3</v>
      </c>
      <c r="H2" s="3">
        <v>45469</v>
      </c>
    </row>
    <row r="3" spans="3:8" x14ac:dyDescent="0.25">
      <c r="C3" s="5">
        <v>1</v>
      </c>
      <c r="D3" s="5"/>
      <c r="E3" s="6">
        <v>24</v>
      </c>
      <c r="F3" s="4" t="str">
        <f>IFERROR((E3-#REF!)/#REF!,"")</f>
        <v/>
      </c>
      <c r="G3" s="37">
        <v>26.3</v>
      </c>
      <c r="H3" s="3">
        <v>45469</v>
      </c>
    </row>
    <row r="4" spans="3:8" x14ac:dyDescent="0.25">
      <c r="C4" s="11"/>
      <c r="D4" s="11"/>
      <c r="E4" s="12"/>
      <c r="F4" s="13" t="str">
        <f>IFERROR((E4-#REF!)/#REF!,"")</f>
        <v/>
      </c>
      <c r="G4" s="37">
        <v>26.3</v>
      </c>
      <c r="H4" s="3">
        <v>45469</v>
      </c>
    </row>
    <row r="5" spans="3:8" x14ac:dyDescent="0.25">
      <c r="C5" s="5">
        <v>3</v>
      </c>
      <c r="D5" s="5"/>
      <c r="E5" s="6">
        <v>29.6</v>
      </c>
      <c r="F5" s="4" t="str">
        <f>IFERROR((E5-#REF!)/#REF!,"")</f>
        <v/>
      </c>
      <c r="G5" s="37">
        <v>26.3</v>
      </c>
      <c r="H5" s="3">
        <v>45469</v>
      </c>
    </row>
    <row r="6" spans="3:8" x14ac:dyDescent="0.25">
      <c r="C6" s="5">
        <v>4</v>
      </c>
      <c r="D6" s="5"/>
      <c r="E6" s="6">
        <v>24.9</v>
      </c>
      <c r="F6" s="4" t="str">
        <f>IFERROR((E6-#REF!)/#REF!,"")</f>
        <v/>
      </c>
      <c r="G6" s="37">
        <v>26.3</v>
      </c>
      <c r="H6" s="3">
        <v>45469</v>
      </c>
    </row>
    <row r="7" spans="3:8" x14ac:dyDescent="0.25">
      <c r="C7" s="5">
        <v>5</v>
      </c>
      <c r="D7" s="5"/>
      <c r="E7" s="6">
        <v>28.1</v>
      </c>
      <c r="F7" s="4" t="str">
        <f>IFERROR((E7-#REF!)/#REF!,"")</f>
        <v/>
      </c>
      <c r="G7" s="37">
        <v>26.3</v>
      </c>
      <c r="H7" s="3">
        <v>45469</v>
      </c>
    </row>
    <row r="8" spans="3:8" x14ac:dyDescent="0.25">
      <c r="C8" s="5">
        <v>6</v>
      </c>
      <c r="D8" s="5"/>
      <c r="E8" s="6">
        <v>23.9</v>
      </c>
      <c r="F8" s="4" t="str">
        <f>IFERROR((E8-#REF!)/#REF!,"")</f>
        <v/>
      </c>
      <c r="G8" s="37">
        <v>26.3</v>
      </c>
      <c r="H8" s="3">
        <v>45469</v>
      </c>
    </row>
    <row r="9" spans="3:8" x14ac:dyDescent="0.25">
      <c r="C9" s="5">
        <v>7</v>
      </c>
      <c r="D9" s="5"/>
      <c r="E9" s="6">
        <v>20.6</v>
      </c>
      <c r="F9" s="4" t="str">
        <f>IFERROR((E9-#REF!)/#REF!,"")</f>
        <v/>
      </c>
      <c r="G9" s="37">
        <v>26.3</v>
      </c>
      <c r="H9" s="3">
        <v>45469</v>
      </c>
    </row>
    <row r="10" spans="3:8" x14ac:dyDescent="0.25">
      <c r="C10" s="5">
        <v>8</v>
      </c>
      <c r="D10" s="5"/>
      <c r="E10" s="6">
        <v>17.600000000000001</v>
      </c>
      <c r="F10" s="4" t="str">
        <f>IFERROR((E10-#REF!)/#REF!,"")</f>
        <v/>
      </c>
      <c r="G10" s="37">
        <v>26.3</v>
      </c>
      <c r="H10" s="3">
        <v>45469</v>
      </c>
    </row>
    <row r="11" spans="3:8" x14ac:dyDescent="0.25">
      <c r="C11" s="5">
        <v>9</v>
      </c>
      <c r="D11" s="5"/>
      <c r="E11" s="6"/>
      <c r="F11" s="4" t="str">
        <f>IFERROR((E11-#REF!)/#REF!,"")</f>
        <v/>
      </c>
      <c r="G11" s="37">
        <v>26.3</v>
      </c>
      <c r="H11" s="3">
        <v>45469</v>
      </c>
    </row>
    <row r="12" spans="3:8" x14ac:dyDescent="0.25">
      <c r="C12" s="5">
        <v>10</v>
      </c>
      <c r="D12" s="5"/>
      <c r="E12" s="6"/>
      <c r="F12" s="4" t="str">
        <f>IFERROR((E12-#REF!)/#REF!,"")</f>
        <v/>
      </c>
      <c r="G12" s="37">
        <v>26.3</v>
      </c>
      <c r="H12" s="3">
        <v>45469</v>
      </c>
    </row>
    <row r="13" spans="3:8" x14ac:dyDescent="0.25">
      <c r="C13" s="7" t="s">
        <v>0</v>
      </c>
      <c r="D13" s="15" t="s">
        <v>6</v>
      </c>
      <c r="E13" s="8" t="s">
        <v>4</v>
      </c>
      <c r="F13" s="4" t="str">
        <f>IFERROR((E13-E2)/E2,"")</f>
        <v/>
      </c>
      <c r="G13" s="37">
        <v>26.6</v>
      </c>
      <c r="H13" s="3">
        <v>45470</v>
      </c>
    </row>
    <row r="14" spans="3:8" x14ac:dyDescent="0.25">
      <c r="C14" s="7">
        <v>1</v>
      </c>
      <c r="D14" s="7"/>
      <c r="E14" s="8">
        <v>20.7</v>
      </c>
      <c r="F14" s="4">
        <f>IFERROR((E14-E3)/E3,"")</f>
        <v>-0.13750000000000004</v>
      </c>
      <c r="G14" s="37">
        <v>26.6</v>
      </c>
      <c r="H14" s="3">
        <v>45470</v>
      </c>
    </row>
    <row r="15" spans="3:8" x14ac:dyDescent="0.25">
      <c r="C15" s="11"/>
      <c r="D15" s="11"/>
      <c r="E15" s="12"/>
      <c r="F15" s="13" t="str">
        <f>IFERROR((E15-#REF!)/#REF!,"")</f>
        <v/>
      </c>
      <c r="G15" s="37">
        <v>26.6</v>
      </c>
      <c r="H15" s="3">
        <v>45470</v>
      </c>
    </row>
    <row r="16" spans="3:8" x14ac:dyDescent="0.25">
      <c r="C16" s="7">
        <v>3</v>
      </c>
      <c r="D16" s="7"/>
      <c r="E16" s="8">
        <v>30.3</v>
      </c>
      <c r="F16" s="4">
        <f t="shared" ref="F16:F25" si="0">IFERROR((E16-E5)/E5,"")</f>
        <v>2.3648648648648622E-2</v>
      </c>
      <c r="G16" s="37">
        <v>26.6</v>
      </c>
      <c r="H16" s="3">
        <v>45470</v>
      </c>
    </row>
    <row r="17" spans="3:8" x14ac:dyDescent="0.25">
      <c r="C17" s="7">
        <v>4</v>
      </c>
      <c r="D17" s="7"/>
      <c r="E17" s="8">
        <v>25.1</v>
      </c>
      <c r="F17" s="4">
        <f t="shared" si="0"/>
        <v>8.0321285140563387E-3</v>
      </c>
      <c r="G17" s="37">
        <v>26.6</v>
      </c>
      <c r="H17" s="3">
        <v>45470</v>
      </c>
    </row>
    <row r="18" spans="3:8" x14ac:dyDescent="0.25">
      <c r="C18" s="7">
        <v>5</v>
      </c>
      <c r="D18" s="7"/>
      <c r="E18" s="8">
        <v>26.5</v>
      </c>
      <c r="F18" s="4">
        <f t="shared" si="0"/>
        <v>-5.6939501779359476E-2</v>
      </c>
      <c r="G18" s="37">
        <v>26.6</v>
      </c>
      <c r="H18" s="3">
        <v>45470</v>
      </c>
    </row>
    <row r="19" spans="3:8" x14ac:dyDescent="0.25">
      <c r="C19" s="7">
        <v>6</v>
      </c>
      <c r="D19" s="7"/>
      <c r="E19" s="8">
        <v>24.2</v>
      </c>
      <c r="F19" s="4">
        <f t="shared" si="0"/>
        <v>1.2552301255230157E-2</v>
      </c>
      <c r="G19" s="37">
        <v>26.6</v>
      </c>
      <c r="H19" s="3">
        <v>45470</v>
      </c>
    </row>
    <row r="20" spans="3:8" x14ac:dyDescent="0.25">
      <c r="C20" s="7">
        <v>7</v>
      </c>
      <c r="D20" s="7"/>
      <c r="E20" s="8">
        <v>19.600000000000001</v>
      </c>
      <c r="F20" s="4">
        <f t="shared" si="0"/>
        <v>-4.8543689320388349E-2</v>
      </c>
      <c r="G20" s="37">
        <v>26.6</v>
      </c>
      <c r="H20" s="3">
        <v>45470</v>
      </c>
    </row>
    <row r="21" spans="3:8" x14ac:dyDescent="0.25">
      <c r="C21" s="7">
        <v>8</v>
      </c>
      <c r="D21" s="7"/>
      <c r="E21" s="8">
        <v>16</v>
      </c>
      <c r="F21" s="4">
        <f t="shared" si="0"/>
        <v>-9.0909090909090981E-2</v>
      </c>
      <c r="G21" s="37">
        <v>26.6</v>
      </c>
      <c r="H21" s="3">
        <v>45470</v>
      </c>
    </row>
    <row r="22" spans="3:8" x14ac:dyDescent="0.25">
      <c r="C22" s="7">
        <v>9</v>
      </c>
      <c r="D22" s="7"/>
      <c r="E22" s="8"/>
      <c r="F22" s="4" t="str">
        <f t="shared" si="0"/>
        <v/>
      </c>
      <c r="G22" s="37">
        <v>26.6</v>
      </c>
      <c r="H22" s="3">
        <v>45470</v>
      </c>
    </row>
    <row r="23" spans="3:8" x14ac:dyDescent="0.25">
      <c r="C23" s="7">
        <v>10</v>
      </c>
      <c r="D23" s="7"/>
      <c r="E23" s="8"/>
      <c r="F23" s="4" t="str">
        <f t="shared" si="0"/>
        <v/>
      </c>
      <c r="G23" s="37">
        <v>26.6</v>
      </c>
      <c r="H23" s="3">
        <v>45470</v>
      </c>
    </row>
    <row r="24" spans="3:8" x14ac:dyDescent="0.25">
      <c r="C24" s="9" t="s">
        <v>0</v>
      </c>
      <c r="D24" s="15" t="s">
        <v>6</v>
      </c>
      <c r="E24" s="10" t="s">
        <v>4</v>
      </c>
      <c r="F24" s="4" t="str">
        <f t="shared" si="0"/>
        <v/>
      </c>
      <c r="G24" s="37">
        <v>27.1</v>
      </c>
      <c r="H24" s="3">
        <v>45471</v>
      </c>
    </row>
    <row r="25" spans="3:8" x14ac:dyDescent="0.25">
      <c r="C25" s="9">
        <v>1</v>
      </c>
      <c r="D25" s="9"/>
      <c r="E25" s="10">
        <v>18.600000000000001</v>
      </c>
      <c r="F25" s="4">
        <f t="shared" si="0"/>
        <v>-0.10144927536231874</v>
      </c>
      <c r="G25" s="37">
        <v>27.1</v>
      </c>
      <c r="H25" s="3">
        <v>45471</v>
      </c>
    </row>
    <row r="26" spans="3:8" x14ac:dyDescent="0.25">
      <c r="C26" s="11"/>
      <c r="D26" s="11"/>
      <c r="E26" s="12"/>
      <c r="F26" s="13" t="str">
        <f>IFERROR((E26-#REF!)/#REF!,"")</f>
        <v/>
      </c>
      <c r="G26" s="37">
        <v>27.1</v>
      </c>
      <c r="H26" s="3">
        <v>45471</v>
      </c>
    </row>
    <row r="27" spans="3:8" x14ac:dyDescent="0.25">
      <c r="C27" s="9">
        <v>3</v>
      </c>
      <c r="D27" s="9"/>
      <c r="E27" s="10">
        <v>30.9</v>
      </c>
      <c r="F27" s="4">
        <f t="shared" ref="F27:F32" si="1">IFERROR((E27-E16)/E16,"")</f>
        <v>1.9801980198019733E-2</v>
      </c>
      <c r="G27" s="37">
        <v>27.1</v>
      </c>
      <c r="H27" s="3">
        <v>45471</v>
      </c>
    </row>
    <row r="28" spans="3:8" x14ac:dyDescent="0.25">
      <c r="C28" s="9">
        <v>4</v>
      </c>
      <c r="D28" s="9"/>
      <c r="E28" s="10">
        <v>27</v>
      </c>
      <c r="F28" s="4">
        <f t="shared" si="1"/>
        <v>7.5697211155378419E-2</v>
      </c>
      <c r="G28" s="37">
        <v>27.1</v>
      </c>
      <c r="H28" s="3">
        <v>45471</v>
      </c>
    </row>
    <row r="29" spans="3:8" x14ac:dyDescent="0.25">
      <c r="C29" s="9">
        <v>5</v>
      </c>
      <c r="D29" s="9"/>
      <c r="E29" s="10">
        <v>27.7</v>
      </c>
      <c r="F29" s="4">
        <f t="shared" si="1"/>
        <v>4.5283018867924504E-2</v>
      </c>
      <c r="G29" s="37">
        <v>27.1</v>
      </c>
      <c r="H29" s="3">
        <v>45471</v>
      </c>
    </row>
    <row r="30" spans="3:8" x14ac:dyDescent="0.25">
      <c r="C30" s="9">
        <v>6</v>
      </c>
      <c r="D30" s="9"/>
      <c r="E30" s="10">
        <v>24.5</v>
      </c>
      <c r="F30" s="4">
        <f t="shared" si="1"/>
        <v>1.2396694214876063E-2</v>
      </c>
      <c r="G30" s="37">
        <v>27.1</v>
      </c>
      <c r="H30" s="3">
        <v>45471</v>
      </c>
    </row>
    <row r="31" spans="3:8" x14ac:dyDescent="0.25">
      <c r="C31" s="9">
        <v>7</v>
      </c>
      <c r="D31" s="9"/>
      <c r="E31" s="10">
        <v>20.6</v>
      </c>
      <c r="F31" s="4">
        <f t="shared" si="1"/>
        <v>5.10204081632653E-2</v>
      </c>
      <c r="G31" s="37">
        <v>27.1</v>
      </c>
      <c r="H31" s="3">
        <v>45471</v>
      </c>
    </row>
    <row r="32" spans="3:8" x14ac:dyDescent="0.25">
      <c r="C32" s="9">
        <v>8</v>
      </c>
      <c r="D32" s="9"/>
      <c r="E32" s="10">
        <v>18.899999999999999</v>
      </c>
      <c r="F32" s="4">
        <f t="shared" si="1"/>
        <v>0.18124999999999991</v>
      </c>
      <c r="G32" s="37">
        <v>27.1</v>
      </c>
      <c r="H32" s="3">
        <v>45471</v>
      </c>
    </row>
    <row r="33" spans="3:8" x14ac:dyDescent="0.25">
      <c r="C33" s="9">
        <v>9</v>
      </c>
      <c r="D33" s="9"/>
      <c r="E33" s="10"/>
      <c r="F33" s="4" t="str">
        <f t="shared" ref="F33:F45" si="2">IFERROR((E33-E22)/E22,"")</f>
        <v/>
      </c>
      <c r="G33" s="37">
        <v>27.1</v>
      </c>
      <c r="H33" s="3">
        <v>45471</v>
      </c>
    </row>
    <row r="34" spans="3:8" x14ac:dyDescent="0.25">
      <c r="C34" s="9">
        <v>10</v>
      </c>
      <c r="D34" s="9"/>
      <c r="E34" s="10"/>
      <c r="F34" s="4" t="str">
        <f t="shared" si="2"/>
        <v/>
      </c>
      <c r="G34" s="37">
        <v>27.1</v>
      </c>
      <c r="H34" s="3">
        <v>45471</v>
      </c>
    </row>
    <row r="35" spans="3:8" x14ac:dyDescent="0.25">
      <c r="C35" s="11" t="s">
        <v>0</v>
      </c>
      <c r="D35" s="15" t="s">
        <v>6</v>
      </c>
      <c r="E35" s="12" t="s">
        <v>4</v>
      </c>
      <c r="F35" s="4" t="str">
        <f t="shared" si="2"/>
        <v/>
      </c>
      <c r="G35" s="37">
        <v>27.4</v>
      </c>
      <c r="H35" s="14">
        <v>45473</v>
      </c>
    </row>
    <row r="36" spans="3:8" x14ac:dyDescent="0.25">
      <c r="C36" s="11">
        <v>1</v>
      </c>
      <c r="D36" s="11"/>
      <c r="E36" s="12">
        <v>20.3</v>
      </c>
      <c r="F36" s="4">
        <f t="shared" si="2"/>
        <v>9.1397849462365552E-2</v>
      </c>
      <c r="G36" s="37">
        <v>27.4</v>
      </c>
      <c r="H36" s="14">
        <v>45473</v>
      </c>
    </row>
    <row r="37" spans="3:8" x14ac:dyDescent="0.25">
      <c r="C37" s="11">
        <v>2</v>
      </c>
      <c r="D37" s="11"/>
      <c r="E37" s="12">
        <v>19.3</v>
      </c>
      <c r="F37" s="4" t="str">
        <f t="shared" si="2"/>
        <v/>
      </c>
      <c r="G37" s="37">
        <v>27.4</v>
      </c>
      <c r="H37" s="14">
        <v>45473</v>
      </c>
    </row>
    <row r="38" spans="3:8" x14ac:dyDescent="0.25">
      <c r="C38" s="11">
        <v>3</v>
      </c>
      <c r="D38" s="11"/>
      <c r="E38" s="12">
        <v>27</v>
      </c>
      <c r="F38" s="4">
        <f t="shared" si="2"/>
        <v>-0.12621359223300968</v>
      </c>
      <c r="G38" s="37">
        <v>27.4</v>
      </c>
      <c r="H38" s="14">
        <v>45473</v>
      </c>
    </row>
    <row r="39" spans="3:8" x14ac:dyDescent="0.25">
      <c r="C39" s="11">
        <v>4</v>
      </c>
      <c r="D39" s="11"/>
      <c r="E39" s="12">
        <v>27.1</v>
      </c>
      <c r="F39" s="4">
        <f t="shared" si="2"/>
        <v>3.7037037037037563E-3</v>
      </c>
      <c r="G39" s="37">
        <v>27.4</v>
      </c>
      <c r="H39" s="14">
        <v>45473</v>
      </c>
    </row>
    <row r="40" spans="3:8" x14ac:dyDescent="0.25">
      <c r="C40" s="11">
        <v>5</v>
      </c>
      <c r="D40" s="11"/>
      <c r="E40" s="12">
        <v>27.9</v>
      </c>
      <c r="F40" s="4">
        <f t="shared" si="2"/>
        <v>7.2202166064981692E-3</v>
      </c>
      <c r="G40" s="37">
        <v>27.4</v>
      </c>
      <c r="H40" s="14">
        <v>45473</v>
      </c>
    </row>
    <row r="41" spans="3:8" x14ac:dyDescent="0.25">
      <c r="C41" s="11">
        <v>6</v>
      </c>
      <c r="D41" s="11"/>
      <c r="E41" s="12">
        <v>24</v>
      </c>
      <c r="F41" s="4">
        <f t="shared" si="2"/>
        <v>-2.0408163265306121E-2</v>
      </c>
      <c r="G41" s="37">
        <v>27.4</v>
      </c>
      <c r="H41" s="14">
        <v>45473</v>
      </c>
    </row>
    <row r="42" spans="3:8" x14ac:dyDescent="0.25">
      <c r="C42" s="11">
        <v>7</v>
      </c>
      <c r="D42" s="11"/>
      <c r="E42" s="12">
        <v>23</v>
      </c>
      <c r="F42" s="4">
        <f t="shared" si="2"/>
        <v>0.11650485436893196</v>
      </c>
      <c r="G42" s="37">
        <v>27.4</v>
      </c>
      <c r="H42" s="14">
        <v>45473</v>
      </c>
    </row>
    <row r="43" spans="3:8" x14ac:dyDescent="0.25">
      <c r="C43" s="11">
        <v>8</v>
      </c>
      <c r="D43" s="11"/>
      <c r="E43" s="12">
        <v>20.100000000000001</v>
      </c>
      <c r="F43" s="4">
        <f t="shared" si="2"/>
        <v>6.3492063492063641E-2</v>
      </c>
      <c r="G43" s="37">
        <v>27.4</v>
      </c>
      <c r="H43" s="14">
        <v>45473</v>
      </c>
    </row>
    <row r="44" spans="3:8" x14ac:dyDescent="0.25">
      <c r="C44" s="11">
        <v>9</v>
      </c>
      <c r="D44" s="11"/>
      <c r="E44" s="12"/>
      <c r="F44" s="4" t="str">
        <f t="shared" si="2"/>
        <v/>
      </c>
      <c r="G44" s="37">
        <v>27.4</v>
      </c>
      <c r="H44" s="14">
        <v>45473</v>
      </c>
    </row>
    <row r="45" spans="3:8" x14ac:dyDescent="0.25">
      <c r="C45" s="11">
        <v>10</v>
      </c>
      <c r="D45" s="11"/>
      <c r="E45" s="12"/>
      <c r="F45" s="4" t="str">
        <f t="shared" si="2"/>
        <v/>
      </c>
      <c r="G45" s="37">
        <v>27.4</v>
      </c>
      <c r="H45" s="14">
        <v>45473</v>
      </c>
    </row>
    <row r="46" spans="3:8" x14ac:dyDescent="0.25">
      <c r="C46" s="19">
        <v>43</v>
      </c>
      <c r="D46" s="19"/>
      <c r="E46" s="20"/>
      <c r="F46" s="21" t="str">
        <f>IFERROR((E46-#REF!)/#REF!,"")</f>
        <v/>
      </c>
      <c r="G46" s="37">
        <v>27.4</v>
      </c>
      <c r="H46" s="14">
        <v>45473</v>
      </c>
    </row>
    <row r="47" spans="3:8" x14ac:dyDescent="0.25">
      <c r="C47" s="19">
        <v>48</v>
      </c>
      <c r="D47" s="19"/>
      <c r="E47" s="20"/>
      <c r="F47" s="21" t="str">
        <f>IFERROR((E47-#REF!)/#REF!,"")</f>
        <v/>
      </c>
      <c r="G47" s="37">
        <v>27.4</v>
      </c>
      <c r="H47" s="14">
        <v>45473</v>
      </c>
    </row>
    <row r="48" spans="3:8" x14ac:dyDescent="0.25">
      <c r="C48" s="16" t="s">
        <v>0</v>
      </c>
      <c r="D48" s="16" t="s">
        <v>7</v>
      </c>
      <c r="E48" s="17" t="s">
        <v>4</v>
      </c>
      <c r="F48" s="4" t="str">
        <f t="shared" ref="F48:F111" si="3">IFERROR((E48-E35)/E35,"")</f>
        <v/>
      </c>
      <c r="G48" s="37">
        <v>28.4</v>
      </c>
      <c r="H48" s="18">
        <v>45474</v>
      </c>
    </row>
    <row r="49" spans="3:8" x14ac:dyDescent="0.25">
      <c r="C49" s="16">
        <v>1</v>
      </c>
      <c r="D49" s="16">
        <v>36</v>
      </c>
      <c r="E49" s="17">
        <v>19.399999999999999</v>
      </c>
      <c r="F49" s="4">
        <f t="shared" si="3"/>
        <v>-4.4334975369458234E-2</v>
      </c>
      <c r="G49" s="37">
        <v>28.4</v>
      </c>
      <c r="H49" s="18">
        <v>45474</v>
      </c>
    </row>
    <row r="50" spans="3:8" x14ac:dyDescent="0.25">
      <c r="C50" s="16">
        <v>2</v>
      </c>
      <c r="D50" s="16">
        <v>71</v>
      </c>
      <c r="E50" s="17">
        <v>25.8</v>
      </c>
      <c r="F50" s="4">
        <f t="shared" si="3"/>
        <v>0.33678756476683935</v>
      </c>
      <c r="G50" s="37">
        <v>28.4</v>
      </c>
      <c r="H50" s="18">
        <v>45474</v>
      </c>
    </row>
    <row r="51" spans="3:8" x14ac:dyDescent="0.25">
      <c r="C51" s="16">
        <v>3</v>
      </c>
      <c r="D51" s="16">
        <v>115</v>
      </c>
      <c r="E51" s="17">
        <v>32.6</v>
      </c>
      <c r="F51" s="4">
        <f t="shared" si="3"/>
        <v>0.20740740740740746</v>
      </c>
      <c r="G51" s="37">
        <v>28.4</v>
      </c>
      <c r="H51" s="18">
        <v>45474</v>
      </c>
    </row>
    <row r="52" spans="3:8" x14ac:dyDescent="0.25">
      <c r="C52" s="16">
        <v>4</v>
      </c>
      <c r="D52" s="16">
        <v>105</v>
      </c>
      <c r="E52" s="17">
        <v>30.3</v>
      </c>
      <c r="F52" s="4">
        <f t="shared" si="3"/>
        <v>0.11808118081180809</v>
      </c>
      <c r="G52" s="37">
        <v>28.4</v>
      </c>
      <c r="H52" s="18">
        <v>45474</v>
      </c>
    </row>
    <row r="53" spans="3:8" x14ac:dyDescent="0.25">
      <c r="C53" s="16">
        <v>5</v>
      </c>
      <c r="D53" s="16">
        <v>111</v>
      </c>
      <c r="E53" s="17">
        <v>29.1</v>
      </c>
      <c r="F53" s="4">
        <f t="shared" si="3"/>
        <v>4.3010752688172151E-2</v>
      </c>
      <c r="G53" s="37">
        <v>28.4</v>
      </c>
      <c r="H53" s="18">
        <v>45474</v>
      </c>
    </row>
    <row r="54" spans="3:8" x14ac:dyDescent="0.25">
      <c r="C54" s="16">
        <v>6</v>
      </c>
      <c r="D54" s="16">
        <v>106</v>
      </c>
      <c r="E54" s="17">
        <v>27.3</v>
      </c>
      <c r="F54" s="4">
        <f t="shared" si="3"/>
        <v>0.13750000000000004</v>
      </c>
      <c r="G54" s="37">
        <v>28.4</v>
      </c>
      <c r="H54" s="18">
        <v>45474</v>
      </c>
    </row>
    <row r="55" spans="3:8" x14ac:dyDescent="0.25">
      <c r="C55" s="16">
        <v>7</v>
      </c>
      <c r="D55" s="16">
        <v>73</v>
      </c>
      <c r="E55" s="17">
        <v>23.1</v>
      </c>
      <c r="F55" s="4">
        <f t="shared" si="3"/>
        <v>4.3478260869565834E-3</v>
      </c>
      <c r="G55" s="37">
        <v>28.4</v>
      </c>
      <c r="H55" s="18">
        <v>45474</v>
      </c>
    </row>
    <row r="56" spans="3:8" x14ac:dyDescent="0.25">
      <c r="C56" s="16">
        <v>8</v>
      </c>
      <c r="D56" s="16">
        <v>53</v>
      </c>
      <c r="E56" s="17">
        <v>17</v>
      </c>
      <c r="F56" s="4">
        <f t="shared" si="3"/>
        <v>-0.15422885572139308</v>
      </c>
      <c r="G56" s="37">
        <v>28.4</v>
      </c>
      <c r="H56" s="18">
        <v>45474</v>
      </c>
    </row>
    <row r="57" spans="3:8" x14ac:dyDescent="0.25">
      <c r="C57" s="16">
        <v>9</v>
      </c>
      <c r="D57" s="16">
        <v>0</v>
      </c>
      <c r="E57" s="17"/>
      <c r="F57" s="4" t="str">
        <f t="shared" si="3"/>
        <v/>
      </c>
      <c r="G57" s="37">
        <v>28.4</v>
      </c>
      <c r="H57" s="18">
        <v>45474</v>
      </c>
    </row>
    <row r="58" spans="3:8" x14ac:dyDescent="0.25">
      <c r="C58" s="16">
        <v>10</v>
      </c>
      <c r="D58" s="16">
        <v>0</v>
      </c>
      <c r="E58" s="17"/>
      <c r="F58" s="4" t="str">
        <f t="shared" si="3"/>
        <v/>
      </c>
      <c r="G58" s="37">
        <v>28.4</v>
      </c>
      <c r="H58" s="18">
        <v>45474</v>
      </c>
    </row>
    <row r="59" spans="3:8" x14ac:dyDescent="0.25">
      <c r="C59" s="19">
        <v>43</v>
      </c>
      <c r="D59" s="19">
        <v>10</v>
      </c>
      <c r="E59" s="20">
        <v>9.3000000000000007</v>
      </c>
      <c r="F59" s="4" t="str">
        <f t="shared" si="3"/>
        <v/>
      </c>
      <c r="G59" s="37">
        <v>28.4</v>
      </c>
      <c r="H59" s="18">
        <v>45474</v>
      </c>
    </row>
    <row r="60" spans="3:8" x14ac:dyDescent="0.25">
      <c r="C60" s="19">
        <v>48</v>
      </c>
      <c r="D60" s="19">
        <v>31</v>
      </c>
      <c r="E60" s="20">
        <v>8.6999999999999993</v>
      </c>
      <c r="F60" s="4" t="str">
        <f t="shared" si="3"/>
        <v/>
      </c>
      <c r="G60" s="37">
        <v>28.4</v>
      </c>
      <c r="H60" s="18">
        <v>45474</v>
      </c>
    </row>
    <row r="61" spans="3:8" x14ac:dyDescent="0.25">
      <c r="C61" s="22" t="s">
        <v>8</v>
      </c>
      <c r="D61" s="22" t="s">
        <v>9</v>
      </c>
      <c r="E61" s="23" t="s">
        <v>10</v>
      </c>
      <c r="F61" s="4" t="str">
        <f t="shared" si="3"/>
        <v/>
      </c>
      <c r="G61" s="37">
        <v>28.2</v>
      </c>
      <c r="H61" s="24">
        <v>45475</v>
      </c>
    </row>
    <row r="62" spans="3:8" x14ac:dyDescent="0.25">
      <c r="C62" s="22">
        <v>1</v>
      </c>
      <c r="D62" s="22">
        <v>38</v>
      </c>
      <c r="E62" s="23">
        <v>16.399999999999999</v>
      </c>
      <c r="F62" s="4">
        <f t="shared" si="3"/>
        <v>-0.15463917525773196</v>
      </c>
      <c r="G62" s="37">
        <v>28.2</v>
      </c>
      <c r="H62" s="24">
        <v>45475</v>
      </c>
    </row>
    <row r="63" spans="3:8" x14ac:dyDescent="0.25">
      <c r="C63" s="22">
        <v>2</v>
      </c>
      <c r="D63" s="22">
        <v>71</v>
      </c>
      <c r="E63" s="23">
        <v>28.9</v>
      </c>
      <c r="F63" s="4">
        <f t="shared" si="3"/>
        <v>0.12015503875968983</v>
      </c>
      <c r="G63" s="37">
        <v>28.2</v>
      </c>
      <c r="H63" s="24">
        <v>45475</v>
      </c>
    </row>
    <row r="64" spans="3:8" x14ac:dyDescent="0.25">
      <c r="C64" s="22">
        <v>3</v>
      </c>
      <c r="D64" s="22">
        <v>115</v>
      </c>
      <c r="E64" s="23">
        <v>32.299999999999997</v>
      </c>
      <c r="F64" s="4">
        <f t="shared" si="3"/>
        <v>-9.2024539877301921E-3</v>
      </c>
      <c r="G64" s="37">
        <v>28.2</v>
      </c>
      <c r="H64" s="24">
        <v>45475</v>
      </c>
    </row>
    <row r="65" spans="3:8" x14ac:dyDescent="0.25">
      <c r="C65" s="22">
        <v>4</v>
      </c>
      <c r="D65" s="22">
        <v>106</v>
      </c>
      <c r="E65" s="23">
        <v>29.2</v>
      </c>
      <c r="F65" s="4">
        <f t="shared" si="3"/>
        <v>-3.6303630363036347E-2</v>
      </c>
      <c r="G65" s="37">
        <v>28.2</v>
      </c>
      <c r="H65" s="24">
        <v>45475</v>
      </c>
    </row>
    <row r="66" spans="3:8" x14ac:dyDescent="0.25">
      <c r="C66" s="22">
        <v>5</v>
      </c>
      <c r="D66" s="22">
        <v>111</v>
      </c>
      <c r="E66" s="23">
        <v>27.9</v>
      </c>
      <c r="F66" s="4">
        <f t="shared" si="3"/>
        <v>-4.1237113402061952E-2</v>
      </c>
      <c r="G66" s="37">
        <v>28.2</v>
      </c>
      <c r="H66" s="24">
        <v>45475</v>
      </c>
    </row>
    <row r="67" spans="3:8" x14ac:dyDescent="0.25">
      <c r="C67" s="22">
        <v>6</v>
      </c>
      <c r="D67" s="22">
        <v>108</v>
      </c>
      <c r="E67" s="23">
        <v>26.5</v>
      </c>
      <c r="F67" s="4">
        <f t="shared" si="3"/>
        <v>-2.9304029304029328E-2</v>
      </c>
      <c r="G67" s="37">
        <v>28.2</v>
      </c>
      <c r="H67" s="24">
        <v>45475</v>
      </c>
    </row>
    <row r="68" spans="3:8" x14ac:dyDescent="0.25">
      <c r="C68" s="22">
        <v>7</v>
      </c>
      <c r="D68" s="22">
        <v>73</v>
      </c>
      <c r="E68" s="23">
        <v>22.5</v>
      </c>
      <c r="F68" s="4">
        <f t="shared" si="3"/>
        <v>-2.5974025974026035E-2</v>
      </c>
      <c r="G68" s="37">
        <v>28.2</v>
      </c>
      <c r="H68" s="24">
        <v>45475</v>
      </c>
    </row>
    <row r="69" spans="3:8" x14ac:dyDescent="0.25">
      <c r="C69" s="22">
        <v>8</v>
      </c>
      <c r="D69" s="22">
        <v>53</v>
      </c>
      <c r="E69" s="23">
        <v>17.100000000000001</v>
      </c>
      <c r="F69" s="4">
        <f t="shared" si="3"/>
        <v>5.8823529411765538E-3</v>
      </c>
      <c r="G69" s="37">
        <v>28.2</v>
      </c>
      <c r="H69" s="24">
        <v>45475</v>
      </c>
    </row>
    <row r="70" spans="3:8" x14ac:dyDescent="0.25">
      <c r="C70" s="22">
        <v>9</v>
      </c>
      <c r="D70" s="22">
        <v>0</v>
      </c>
      <c r="E70" s="23"/>
      <c r="F70" s="4" t="str">
        <f t="shared" si="3"/>
        <v/>
      </c>
      <c r="G70" s="37">
        <v>28.2</v>
      </c>
      <c r="H70" s="24">
        <v>45475</v>
      </c>
    </row>
    <row r="71" spans="3:8" x14ac:dyDescent="0.25">
      <c r="C71" s="22">
        <v>10</v>
      </c>
      <c r="D71" s="22">
        <v>0</v>
      </c>
      <c r="E71" s="23"/>
      <c r="F71" s="4" t="str">
        <f t="shared" si="3"/>
        <v/>
      </c>
      <c r="G71" s="37">
        <v>28.2</v>
      </c>
      <c r="H71" s="24">
        <v>45475</v>
      </c>
    </row>
    <row r="72" spans="3:8" x14ac:dyDescent="0.25">
      <c r="C72" s="22">
        <v>43</v>
      </c>
      <c r="D72" s="22">
        <v>10</v>
      </c>
      <c r="E72" s="23">
        <v>12.7</v>
      </c>
      <c r="F72" s="4">
        <f t="shared" si="3"/>
        <v>0.36559139784946221</v>
      </c>
      <c r="G72" s="37">
        <v>28.2</v>
      </c>
      <c r="H72" s="24">
        <v>45475</v>
      </c>
    </row>
    <row r="73" spans="3:8" x14ac:dyDescent="0.25">
      <c r="C73" s="22">
        <v>48</v>
      </c>
      <c r="D73" s="22">
        <v>25</v>
      </c>
      <c r="E73" s="23">
        <v>13.8</v>
      </c>
      <c r="F73" s="4">
        <f t="shared" si="3"/>
        <v>0.58620689655172431</v>
      </c>
      <c r="G73" s="37">
        <v>28.2</v>
      </c>
      <c r="H73" s="24">
        <v>45475</v>
      </c>
    </row>
    <row r="74" spans="3:8" x14ac:dyDescent="0.25">
      <c r="C74" s="25" t="s">
        <v>8</v>
      </c>
      <c r="D74" s="25" t="s">
        <v>9</v>
      </c>
      <c r="E74" s="26" t="s">
        <v>10</v>
      </c>
      <c r="F74" s="4" t="str">
        <f t="shared" si="3"/>
        <v/>
      </c>
      <c r="G74" s="37">
        <v>26</v>
      </c>
      <c r="H74" s="27">
        <v>45476</v>
      </c>
    </row>
    <row r="75" spans="3:8" x14ac:dyDescent="0.25">
      <c r="C75" s="25">
        <v>1</v>
      </c>
      <c r="D75" s="25">
        <v>42</v>
      </c>
      <c r="E75" s="26">
        <v>27.5</v>
      </c>
      <c r="F75" s="4">
        <f t="shared" si="3"/>
        <v>0.67682926829268308</v>
      </c>
      <c r="G75" s="37">
        <v>26</v>
      </c>
      <c r="H75" s="27">
        <v>45476</v>
      </c>
    </row>
    <row r="76" spans="3:8" x14ac:dyDescent="0.25">
      <c r="C76" s="25">
        <v>2</v>
      </c>
      <c r="D76" s="25">
        <v>70</v>
      </c>
      <c r="E76" s="26">
        <v>27.4</v>
      </c>
      <c r="F76" s="4">
        <f t="shared" si="3"/>
        <v>-5.1903114186851215E-2</v>
      </c>
      <c r="G76" s="37">
        <v>26</v>
      </c>
      <c r="H76" s="27">
        <v>45476</v>
      </c>
    </row>
    <row r="77" spans="3:8" x14ac:dyDescent="0.25">
      <c r="C77" s="25">
        <v>3</v>
      </c>
      <c r="D77" s="25">
        <v>117</v>
      </c>
      <c r="E77" s="26">
        <v>28.5</v>
      </c>
      <c r="F77" s="4">
        <f t="shared" si="3"/>
        <v>-0.11764705882352934</v>
      </c>
      <c r="G77" s="37">
        <v>26</v>
      </c>
      <c r="H77" s="27">
        <v>45476</v>
      </c>
    </row>
    <row r="78" spans="3:8" x14ac:dyDescent="0.25">
      <c r="C78" s="25">
        <v>4</v>
      </c>
      <c r="D78" s="25">
        <v>106</v>
      </c>
      <c r="E78" s="26">
        <v>26.2</v>
      </c>
      <c r="F78" s="4">
        <f t="shared" si="3"/>
        <v>-0.10273972602739727</v>
      </c>
      <c r="G78" s="37">
        <v>26</v>
      </c>
      <c r="H78" s="27">
        <v>45476</v>
      </c>
    </row>
    <row r="79" spans="3:8" x14ac:dyDescent="0.25">
      <c r="C79" s="25">
        <v>5</v>
      </c>
      <c r="D79" s="25">
        <v>113</v>
      </c>
      <c r="E79" s="26">
        <v>27.3</v>
      </c>
      <c r="F79" s="4">
        <f t="shared" si="3"/>
        <v>-2.1505376344085947E-2</v>
      </c>
      <c r="G79" s="37">
        <v>26</v>
      </c>
      <c r="H79" s="27">
        <v>45476</v>
      </c>
    </row>
    <row r="80" spans="3:8" x14ac:dyDescent="0.25">
      <c r="C80" s="25">
        <v>6</v>
      </c>
      <c r="D80" s="25">
        <v>108</v>
      </c>
      <c r="E80" s="26">
        <v>24</v>
      </c>
      <c r="F80" s="4">
        <f t="shared" si="3"/>
        <v>-9.4339622641509441E-2</v>
      </c>
      <c r="G80" s="37">
        <v>26</v>
      </c>
      <c r="H80" s="27">
        <v>45476</v>
      </c>
    </row>
    <row r="81" spans="3:8" x14ac:dyDescent="0.25">
      <c r="C81" s="25">
        <v>7</v>
      </c>
      <c r="D81" s="25">
        <v>75</v>
      </c>
      <c r="E81" s="26">
        <v>19.3</v>
      </c>
      <c r="F81" s="4">
        <f t="shared" si="3"/>
        <v>-0.14222222222222219</v>
      </c>
      <c r="G81" s="37">
        <v>26</v>
      </c>
      <c r="H81" s="27">
        <v>45476</v>
      </c>
    </row>
    <row r="82" spans="3:8" x14ac:dyDescent="0.25">
      <c r="C82" s="25">
        <v>8</v>
      </c>
      <c r="D82" s="25">
        <v>54</v>
      </c>
      <c r="E82" s="26">
        <v>16.600000000000001</v>
      </c>
      <c r="F82" s="4">
        <f t="shared" si="3"/>
        <v>-2.9239766081871343E-2</v>
      </c>
      <c r="G82" s="37">
        <v>26</v>
      </c>
      <c r="H82" s="27">
        <v>45476</v>
      </c>
    </row>
    <row r="83" spans="3:8" x14ac:dyDescent="0.25">
      <c r="C83" s="25">
        <v>9</v>
      </c>
      <c r="D83" s="25">
        <v>0</v>
      </c>
      <c r="E83" s="26"/>
      <c r="F83" s="4" t="str">
        <f t="shared" si="3"/>
        <v/>
      </c>
      <c r="G83" s="37">
        <v>26</v>
      </c>
      <c r="H83" s="27">
        <v>45476</v>
      </c>
    </row>
    <row r="84" spans="3:8" x14ac:dyDescent="0.25">
      <c r="C84" s="25">
        <v>10</v>
      </c>
      <c r="D84" s="25">
        <v>0</v>
      </c>
      <c r="E84" s="26"/>
      <c r="F84" s="4" t="str">
        <f t="shared" si="3"/>
        <v/>
      </c>
      <c r="G84" s="37">
        <v>26</v>
      </c>
      <c r="H84" s="27">
        <v>45476</v>
      </c>
    </row>
    <row r="85" spans="3:8" x14ac:dyDescent="0.25">
      <c r="C85" s="25">
        <v>43</v>
      </c>
      <c r="D85" s="25">
        <v>14</v>
      </c>
      <c r="E85" s="26">
        <v>0.4</v>
      </c>
      <c r="F85" s="4">
        <f t="shared" si="3"/>
        <v>-0.96850393700787396</v>
      </c>
      <c r="G85" s="37">
        <v>26</v>
      </c>
      <c r="H85" s="27">
        <v>45476</v>
      </c>
    </row>
    <row r="86" spans="3:8" x14ac:dyDescent="0.25">
      <c r="C86" s="25">
        <v>48</v>
      </c>
      <c r="D86" s="25">
        <v>12</v>
      </c>
      <c r="E86" s="26">
        <v>15.5</v>
      </c>
      <c r="F86" s="4">
        <f t="shared" si="3"/>
        <v>0.12318840579710139</v>
      </c>
      <c r="G86" s="37">
        <v>26</v>
      </c>
      <c r="H86" s="27">
        <v>45476</v>
      </c>
    </row>
    <row r="87" spans="3:8" x14ac:dyDescent="0.25">
      <c r="C87" s="28" t="s">
        <v>0</v>
      </c>
      <c r="D87" s="28" t="s">
        <v>7</v>
      </c>
      <c r="E87" s="29" t="s">
        <v>4</v>
      </c>
      <c r="F87" s="4" t="str">
        <f t="shared" si="3"/>
        <v/>
      </c>
      <c r="G87" s="37">
        <v>28</v>
      </c>
      <c r="H87" s="27">
        <v>45477</v>
      </c>
    </row>
    <row r="88" spans="3:8" x14ac:dyDescent="0.25">
      <c r="C88" s="28">
        <v>1</v>
      </c>
      <c r="D88" s="28">
        <v>68</v>
      </c>
      <c r="E88" s="29">
        <v>26.6</v>
      </c>
      <c r="F88" s="4">
        <f t="shared" si="3"/>
        <v>-3.2727272727272674E-2</v>
      </c>
      <c r="G88" s="37">
        <v>28</v>
      </c>
      <c r="H88" s="27">
        <v>45477</v>
      </c>
    </row>
    <row r="89" spans="3:8" x14ac:dyDescent="0.25">
      <c r="C89" s="28">
        <v>2</v>
      </c>
      <c r="D89" s="28">
        <v>38</v>
      </c>
      <c r="E89" s="29">
        <v>28.5</v>
      </c>
      <c r="F89" s="4">
        <f t="shared" si="3"/>
        <v>4.0145985401459909E-2</v>
      </c>
      <c r="G89" s="37">
        <v>28</v>
      </c>
      <c r="H89" s="27">
        <v>45477</v>
      </c>
    </row>
    <row r="90" spans="3:8" x14ac:dyDescent="0.25">
      <c r="C90" s="28">
        <v>3</v>
      </c>
      <c r="D90" s="28">
        <v>101</v>
      </c>
      <c r="E90" s="29">
        <v>31.4</v>
      </c>
      <c r="F90" s="4">
        <f t="shared" si="3"/>
        <v>0.10175438596491224</v>
      </c>
      <c r="G90" s="37">
        <v>28</v>
      </c>
      <c r="H90" s="27">
        <v>45477</v>
      </c>
    </row>
    <row r="91" spans="3:8" x14ac:dyDescent="0.25">
      <c r="C91" s="28">
        <v>4</v>
      </c>
      <c r="D91" s="28">
        <v>109</v>
      </c>
      <c r="E91" s="29">
        <v>28.7</v>
      </c>
      <c r="F91" s="4">
        <f t="shared" si="3"/>
        <v>9.5419847328244281E-2</v>
      </c>
      <c r="G91" s="37">
        <v>28</v>
      </c>
      <c r="H91" s="27">
        <v>45477</v>
      </c>
    </row>
    <row r="92" spans="3:8" x14ac:dyDescent="0.25">
      <c r="C92" s="28">
        <v>5</v>
      </c>
      <c r="D92" s="28">
        <v>115</v>
      </c>
      <c r="E92" s="29">
        <v>28.7</v>
      </c>
      <c r="F92" s="4">
        <f t="shared" si="3"/>
        <v>5.1282051282051232E-2</v>
      </c>
      <c r="G92" s="37">
        <v>28</v>
      </c>
      <c r="H92" s="27">
        <v>45477</v>
      </c>
    </row>
    <row r="93" spans="3:8" x14ac:dyDescent="0.25">
      <c r="C93" s="28">
        <v>6</v>
      </c>
      <c r="D93" s="28">
        <v>80</v>
      </c>
      <c r="E93" s="29">
        <v>25.2</v>
      </c>
      <c r="F93" s="4">
        <f t="shared" si="3"/>
        <v>4.9999999999999968E-2</v>
      </c>
      <c r="G93" s="37">
        <v>28</v>
      </c>
      <c r="H93" s="27">
        <v>45477</v>
      </c>
    </row>
    <row r="94" spans="3:8" x14ac:dyDescent="0.25">
      <c r="C94" s="28">
        <v>7</v>
      </c>
      <c r="D94" s="28">
        <v>104</v>
      </c>
      <c r="E94" s="29">
        <v>21.5</v>
      </c>
      <c r="F94" s="4">
        <f t="shared" si="3"/>
        <v>0.11398963730569944</v>
      </c>
      <c r="G94" s="37">
        <v>28</v>
      </c>
      <c r="H94" s="27">
        <v>45477</v>
      </c>
    </row>
    <row r="95" spans="3:8" x14ac:dyDescent="0.25">
      <c r="C95" s="28">
        <v>8</v>
      </c>
      <c r="D95" s="28">
        <v>58</v>
      </c>
      <c r="E95" s="29">
        <v>17.8</v>
      </c>
      <c r="F95" s="4">
        <f t="shared" si="3"/>
        <v>7.2289156626505979E-2</v>
      </c>
      <c r="G95" s="37">
        <v>28</v>
      </c>
      <c r="H95" s="27">
        <v>45477</v>
      </c>
    </row>
    <row r="96" spans="3:8" x14ac:dyDescent="0.25">
      <c r="C96" s="28">
        <v>9</v>
      </c>
      <c r="D96" s="28">
        <v>0</v>
      </c>
      <c r="E96" s="29"/>
      <c r="F96" s="4" t="str">
        <f t="shared" si="3"/>
        <v/>
      </c>
      <c r="G96" s="37">
        <v>28</v>
      </c>
      <c r="H96" s="27">
        <v>45477</v>
      </c>
    </row>
    <row r="97" spans="3:8" x14ac:dyDescent="0.25">
      <c r="C97" s="28">
        <v>10</v>
      </c>
      <c r="D97" s="28">
        <v>0</v>
      </c>
      <c r="E97" s="29"/>
      <c r="F97" s="4" t="str">
        <f t="shared" si="3"/>
        <v/>
      </c>
      <c r="G97" s="37">
        <v>28</v>
      </c>
      <c r="H97" s="27">
        <v>45477</v>
      </c>
    </row>
    <row r="98" spans="3:8" x14ac:dyDescent="0.25">
      <c r="C98" s="28">
        <v>43</v>
      </c>
      <c r="D98" s="28">
        <v>15</v>
      </c>
      <c r="E98" s="29">
        <v>8.8000000000000007</v>
      </c>
      <c r="F98" s="4">
        <f t="shared" si="3"/>
        <v>21</v>
      </c>
      <c r="G98" s="37">
        <v>28</v>
      </c>
      <c r="H98" s="27">
        <v>45477</v>
      </c>
    </row>
    <row r="99" spans="3:8" x14ac:dyDescent="0.25">
      <c r="C99" s="28">
        <v>48</v>
      </c>
      <c r="D99" s="28">
        <v>13</v>
      </c>
      <c r="E99" s="29">
        <v>6.7</v>
      </c>
      <c r="F99" s="4">
        <f t="shared" si="3"/>
        <v>-0.56774193548387097</v>
      </c>
      <c r="G99" s="37">
        <v>28</v>
      </c>
      <c r="H99" s="27">
        <v>45477</v>
      </c>
    </row>
    <row r="100" spans="3:8" x14ac:dyDescent="0.25">
      <c r="C100" s="30" t="s">
        <v>0</v>
      </c>
      <c r="D100" s="30" t="s">
        <v>7</v>
      </c>
      <c r="E100" s="31" t="s">
        <v>4</v>
      </c>
      <c r="F100" s="4" t="str">
        <f t="shared" si="3"/>
        <v/>
      </c>
      <c r="G100" s="37">
        <v>28.4</v>
      </c>
      <c r="H100" s="27">
        <v>45478</v>
      </c>
    </row>
    <row r="101" spans="3:8" x14ac:dyDescent="0.25">
      <c r="C101" s="30">
        <v>1</v>
      </c>
      <c r="D101" s="30">
        <v>66</v>
      </c>
      <c r="E101" s="31">
        <v>31.5</v>
      </c>
      <c r="F101" s="4">
        <f t="shared" si="3"/>
        <v>0.18421052631578941</v>
      </c>
      <c r="G101" s="37">
        <v>28.4</v>
      </c>
      <c r="H101" s="27">
        <v>45478</v>
      </c>
    </row>
    <row r="102" spans="3:8" x14ac:dyDescent="0.25">
      <c r="C102" s="30">
        <v>2</v>
      </c>
      <c r="D102" s="30">
        <v>38</v>
      </c>
      <c r="E102" s="31">
        <v>26</v>
      </c>
      <c r="F102" s="4">
        <f t="shared" si="3"/>
        <v>-8.771929824561403E-2</v>
      </c>
      <c r="G102" s="37">
        <v>28.4</v>
      </c>
      <c r="H102" s="27">
        <v>45478</v>
      </c>
    </row>
    <row r="103" spans="3:8" x14ac:dyDescent="0.25">
      <c r="C103" s="30">
        <v>3</v>
      </c>
      <c r="D103" s="30">
        <v>101</v>
      </c>
      <c r="E103" s="31">
        <v>25.1</v>
      </c>
      <c r="F103" s="4">
        <f t="shared" si="3"/>
        <v>-0.20063694267515916</v>
      </c>
      <c r="G103" s="37">
        <v>28.4</v>
      </c>
      <c r="H103" s="27">
        <v>45478</v>
      </c>
    </row>
    <row r="104" spans="3:8" x14ac:dyDescent="0.25">
      <c r="C104" s="30">
        <v>4</v>
      </c>
      <c r="D104" s="30">
        <v>109</v>
      </c>
      <c r="E104" s="31">
        <v>30.5</v>
      </c>
      <c r="F104" s="4">
        <f t="shared" si="3"/>
        <v>6.2717770034843232E-2</v>
      </c>
      <c r="G104" s="37">
        <v>28.4</v>
      </c>
      <c r="H104" s="27">
        <v>45478</v>
      </c>
    </row>
    <row r="105" spans="3:8" x14ac:dyDescent="0.25">
      <c r="C105" s="30">
        <v>5</v>
      </c>
      <c r="D105" s="30">
        <v>114</v>
      </c>
      <c r="E105" s="31">
        <v>29.5</v>
      </c>
      <c r="F105" s="4">
        <f t="shared" si="3"/>
        <v>2.7874564459930338E-2</v>
      </c>
      <c r="G105" s="37">
        <v>28.4</v>
      </c>
      <c r="H105" s="27">
        <v>45478</v>
      </c>
    </row>
    <row r="106" spans="3:8" x14ac:dyDescent="0.25">
      <c r="C106" s="30">
        <v>6</v>
      </c>
      <c r="D106" s="30">
        <v>80</v>
      </c>
      <c r="E106" s="31">
        <v>30.2</v>
      </c>
      <c r="F106" s="4">
        <f t="shared" si="3"/>
        <v>0.19841269841269843</v>
      </c>
      <c r="G106" s="37">
        <v>28.4</v>
      </c>
      <c r="H106" s="27">
        <v>45478</v>
      </c>
    </row>
    <row r="107" spans="3:8" x14ac:dyDescent="0.25">
      <c r="C107" s="30">
        <v>7</v>
      </c>
      <c r="D107" s="30">
        <v>101</v>
      </c>
      <c r="E107" s="31">
        <v>23.8</v>
      </c>
      <c r="F107" s="4">
        <f t="shared" si="3"/>
        <v>0.10697674418604654</v>
      </c>
      <c r="G107" s="37">
        <v>28.4</v>
      </c>
      <c r="H107" s="27">
        <v>45478</v>
      </c>
    </row>
    <row r="108" spans="3:8" x14ac:dyDescent="0.25">
      <c r="C108" s="30">
        <v>8</v>
      </c>
      <c r="D108" s="30">
        <v>59</v>
      </c>
      <c r="E108" s="31">
        <v>19.100000000000001</v>
      </c>
      <c r="F108" s="4">
        <f t="shared" si="3"/>
        <v>7.3033707865168579E-2</v>
      </c>
      <c r="G108" s="37">
        <v>28.4</v>
      </c>
      <c r="H108" s="27">
        <v>45478</v>
      </c>
    </row>
    <row r="109" spans="3:8" x14ac:dyDescent="0.25">
      <c r="C109" s="30">
        <v>9</v>
      </c>
      <c r="D109" s="30">
        <v>0</v>
      </c>
      <c r="E109" s="31"/>
      <c r="F109" s="4" t="str">
        <f t="shared" si="3"/>
        <v/>
      </c>
      <c r="G109" s="37">
        <v>28.4</v>
      </c>
      <c r="H109" s="27">
        <v>45478</v>
      </c>
    </row>
    <row r="110" spans="3:8" x14ac:dyDescent="0.25">
      <c r="C110" s="30">
        <v>10</v>
      </c>
      <c r="D110" s="30">
        <v>0</v>
      </c>
      <c r="E110" s="31"/>
      <c r="F110" s="4" t="str">
        <f t="shared" si="3"/>
        <v/>
      </c>
      <c r="G110" s="37">
        <v>28.4</v>
      </c>
      <c r="H110" s="27">
        <v>45478</v>
      </c>
    </row>
    <row r="111" spans="3:8" x14ac:dyDescent="0.25">
      <c r="C111" s="30">
        <v>43</v>
      </c>
      <c r="D111" s="30">
        <v>16</v>
      </c>
      <c r="E111" s="31">
        <v>4.4000000000000004</v>
      </c>
      <c r="F111" s="4">
        <f t="shared" si="3"/>
        <v>-0.5</v>
      </c>
      <c r="G111" s="37">
        <v>28.4</v>
      </c>
      <c r="H111" s="27">
        <v>45478</v>
      </c>
    </row>
    <row r="112" spans="3:8" x14ac:dyDescent="0.25">
      <c r="C112" s="30">
        <v>48</v>
      </c>
      <c r="D112" s="30">
        <v>16</v>
      </c>
      <c r="E112" s="31">
        <v>12.2</v>
      </c>
      <c r="F112" s="4">
        <f t="shared" ref="F112:F175" si="4">IFERROR((E112-E99)/E99,"")</f>
        <v>0.82089552238805952</v>
      </c>
      <c r="G112" s="37">
        <v>28.4</v>
      </c>
      <c r="H112" s="27">
        <v>45478</v>
      </c>
    </row>
    <row r="113" spans="3:8" x14ac:dyDescent="0.25">
      <c r="C113" s="32" t="s">
        <v>0</v>
      </c>
      <c r="D113" s="32" t="s">
        <v>7</v>
      </c>
      <c r="E113" s="33" t="s">
        <v>4</v>
      </c>
      <c r="F113" s="4" t="str">
        <f t="shared" si="4"/>
        <v/>
      </c>
      <c r="G113" s="37">
        <v>28.7</v>
      </c>
      <c r="H113" s="27">
        <v>45479</v>
      </c>
    </row>
    <row r="114" spans="3:8" x14ac:dyDescent="0.25">
      <c r="C114" s="32">
        <v>1</v>
      </c>
      <c r="D114" s="32">
        <v>68</v>
      </c>
      <c r="E114" s="33">
        <v>28.8</v>
      </c>
      <c r="F114" s="4">
        <f t="shared" si="4"/>
        <v>-8.5714285714285687E-2</v>
      </c>
      <c r="G114" s="37">
        <v>28.7</v>
      </c>
      <c r="H114" s="27">
        <v>45479</v>
      </c>
    </row>
    <row r="115" spans="3:8" x14ac:dyDescent="0.25">
      <c r="C115" s="32">
        <v>2</v>
      </c>
      <c r="D115" s="32">
        <v>38</v>
      </c>
      <c r="E115" s="33">
        <v>27</v>
      </c>
      <c r="F115" s="4">
        <f t="shared" si="4"/>
        <v>3.8461538461538464E-2</v>
      </c>
      <c r="G115" s="37">
        <v>28.7</v>
      </c>
      <c r="H115" s="27">
        <v>45479</v>
      </c>
    </row>
    <row r="116" spans="3:8" x14ac:dyDescent="0.25">
      <c r="C116" s="32">
        <v>3</v>
      </c>
      <c r="D116" s="32">
        <v>99</v>
      </c>
      <c r="E116" s="33">
        <v>25</v>
      </c>
      <c r="F116" s="4">
        <f t="shared" si="4"/>
        <v>-3.9840637450199766E-3</v>
      </c>
      <c r="G116" s="37">
        <v>28.7</v>
      </c>
      <c r="H116" s="27">
        <v>45479</v>
      </c>
    </row>
    <row r="117" spans="3:8" x14ac:dyDescent="0.25">
      <c r="C117" s="32">
        <v>4</v>
      </c>
      <c r="D117" s="32">
        <v>109</v>
      </c>
      <c r="E117" s="33">
        <v>30.8</v>
      </c>
      <c r="F117" s="4">
        <f t="shared" si="4"/>
        <v>9.8360655737705152E-3</v>
      </c>
      <c r="G117" s="37">
        <v>28.7</v>
      </c>
      <c r="H117" s="27">
        <v>45479</v>
      </c>
    </row>
    <row r="118" spans="3:8" x14ac:dyDescent="0.25">
      <c r="C118" s="32">
        <v>5</v>
      </c>
      <c r="D118" s="32">
        <v>114</v>
      </c>
      <c r="E118" s="33">
        <v>31.4</v>
      </c>
      <c r="F118" s="4">
        <f t="shared" si="4"/>
        <v>6.4406779661016905E-2</v>
      </c>
      <c r="G118" s="37">
        <v>28.7</v>
      </c>
      <c r="H118" s="27">
        <v>45479</v>
      </c>
    </row>
    <row r="119" spans="3:8" x14ac:dyDescent="0.25">
      <c r="C119" s="32">
        <v>6</v>
      </c>
      <c r="D119" s="32">
        <v>80</v>
      </c>
      <c r="E119" s="33">
        <v>29.9</v>
      </c>
      <c r="F119" s="4">
        <f t="shared" si="4"/>
        <v>-9.9337748344371091E-3</v>
      </c>
      <c r="G119" s="37">
        <v>28.7</v>
      </c>
      <c r="H119" s="27">
        <v>45479</v>
      </c>
    </row>
    <row r="120" spans="3:8" x14ac:dyDescent="0.25">
      <c r="C120" s="32">
        <v>7</v>
      </c>
      <c r="D120" s="32">
        <v>100</v>
      </c>
      <c r="E120" s="33">
        <v>24.1</v>
      </c>
      <c r="F120" s="4">
        <f t="shared" si="4"/>
        <v>1.2605042016806753E-2</v>
      </c>
      <c r="G120" s="37">
        <v>28.7</v>
      </c>
      <c r="H120" s="27">
        <v>45479</v>
      </c>
    </row>
    <row r="121" spans="3:8" x14ac:dyDescent="0.25">
      <c r="C121" s="32">
        <v>8</v>
      </c>
      <c r="D121" s="32">
        <v>59</v>
      </c>
      <c r="E121" s="33">
        <v>19.5</v>
      </c>
      <c r="F121" s="4">
        <f t="shared" si="4"/>
        <v>2.0942408376963276E-2</v>
      </c>
      <c r="G121" s="37">
        <v>28.7</v>
      </c>
      <c r="H121" s="27">
        <v>45479</v>
      </c>
    </row>
    <row r="122" spans="3:8" x14ac:dyDescent="0.25">
      <c r="C122" s="32">
        <v>9</v>
      </c>
      <c r="D122" s="32">
        <v>0</v>
      </c>
      <c r="E122" s="33"/>
      <c r="F122" s="4" t="str">
        <f t="shared" si="4"/>
        <v/>
      </c>
      <c r="G122" s="37">
        <v>28.7</v>
      </c>
      <c r="H122" s="27">
        <v>45479</v>
      </c>
    </row>
    <row r="123" spans="3:8" x14ac:dyDescent="0.25">
      <c r="C123" s="32">
        <v>10</v>
      </c>
      <c r="D123" s="32">
        <v>0</v>
      </c>
      <c r="E123" s="33"/>
      <c r="F123" s="4" t="str">
        <f t="shared" si="4"/>
        <v/>
      </c>
      <c r="G123" s="37">
        <v>28.7</v>
      </c>
      <c r="H123" s="27">
        <v>45479</v>
      </c>
    </row>
    <row r="124" spans="3:8" x14ac:dyDescent="0.25">
      <c r="C124" s="32">
        <v>43</v>
      </c>
      <c r="D124" s="32">
        <v>17</v>
      </c>
      <c r="E124" s="33">
        <v>16.100000000000001</v>
      </c>
      <c r="F124" s="4">
        <f t="shared" si="4"/>
        <v>2.6590909090909092</v>
      </c>
      <c r="G124" s="37">
        <v>28.7</v>
      </c>
      <c r="H124" s="27">
        <v>45479</v>
      </c>
    </row>
    <row r="125" spans="3:8" x14ac:dyDescent="0.25">
      <c r="C125" s="32">
        <v>48</v>
      </c>
      <c r="D125" s="32">
        <v>16</v>
      </c>
      <c r="E125" s="33">
        <v>7.1</v>
      </c>
      <c r="F125" s="4">
        <f t="shared" si="4"/>
        <v>-0.41803278688524592</v>
      </c>
      <c r="G125" s="37">
        <v>28.7</v>
      </c>
      <c r="H125" s="27">
        <v>45479</v>
      </c>
    </row>
    <row r="126" spans="3:8" x14ac:dyDescent="0.25">
      <c r="C126" s="34" t="s">
        <v>0</v>
      </c>
      <c r="D126" s="34" t="s">
        <v>7</v>
      </c>
      <c r="E126" s="35" t="s">
        <v>4</v>
      </c>
      <c r="F126" s="4" t="str">
        <f t="shared" si="4"/>
        <v/>
      </c>
      <c r="G126" s="37">
        <v>28.8</v>
      </c>
      <c r="H126" s="27">
        <v>45480</v>
      </c>
    </row>
    <row r="127" spans="3:8" x14ac:dyDescent="0.25">
      <c r="C127" s="34">
        <v>1</v>
      </c>
      <c r="D127" s="34">
        <v>70</v>
      </c>
      <c r="E127" s="35">
        <v>28.2</v>
      </c>
      <c r="F127" s="4">
        <f t="shared" si="4"/>
        <v>-2.0833333333333381E-2</v>
      </c>
      <c r="G127" s="37">
        <v>28.8</v>
      </c>
      <c r="H127" s="27">
        <v>45480</v>
      </c>
    </row>
    <row r="128" spans="3:8" x14ac:dyDescent="0.25">
      <c r="C128" s="34">
        <v>2</v>
      </c>
      <c r="D128" s="34">
        <v>38</v>
      </c>
      <c r="E128" s="35">
        <v>28.9</v>
      </c>
      <c r="F128" s="4">
        <f t="shared" si="4"/>
        <v>7.0370370370370319E-2</v>
      </c>
      <c r="G128" s="37">
        <v>28.8</v>
      </c>
      <c r="H128" s="27">
        <v>45480</v>
      </c>
    </row>
    <row r="129" spans="3:8" x14ac:dyDescent="0.25">
      <c r="C129" s="34">
        <v>3</v>
      </c>
      <c r="D129" s="34">
        <v>100</v>
      </c>
      <c r="E129" s="35">
        <v>24.5</v>
      </c>
      <c r="F129" s="4">
        <f t="shared" si="4"/>
        <v>-0.02</v>
      </c>
      <c r="G129" s="37">
        <v>28.8</v>
      </c>
      <c r="H129" s="27">
        <v>45480</v>
      </c>
    </row>
    <row r="130" spans="3:8" x14ac:dyDescent="0.25">
      <c r="C130" s="34">
        <v>4</v>
      </c>
      <c r="D130" s="34">
        <v>109</v>
      </c>
      <c r="E130" s="35">
        <v>31.4</v>
      </c>
      <c r="F130" s="4">
        <f t="shared" si="4"/>
        <v>1.9480519480519411E-2</v>
      </c>
      <c r="G130" s="37">
        <v>28.8</v>
      </c>
      <c r="H130" s="27">
        <v>45480</v>
      </c>
    </row>
    <row r="131" spans="3:8" x14ac:dyDescent="0.25">
      <c r="C131" s="34">
        <v>5</v>
      </c>
      <c r="D131" s="34">
        <v>114</v>
      </c>
      <c r="E131" s="35">
        <v>29.6</v>
      </c>
      <c r="F131" s="4">
        <f t="shared" si="4"/>
        <v>-5.7324840764331121E-2</v>
      </c>
      <c r="G131" s="37">
        <v>28.8</v>
      </c>
      <c r="H131" s="27">
        <v>45480</v>
      </c>
    </row>
    <row r="132" spans="3:8" x14ac:dyDescent="0.25">
      <c r="C132" s="34">
        <v>6</v>
      </c>
      <c r="D132" s="34">
        <v>80</v>
      </c>
      <c r="E132" s="35">
        <v>29.2</v>
      </c>
      <c r="F132" s="4">
        <f t="shared" si="4"/>
        <v>-2.3411371237458171E-2</v>
      </c>
      <c r="G132" s="37">
        <v>28.8</v>
      </c>
      <c r="H132" s="27">
        <v>45480</v>
      </c>
    </row>
    <row r="133" spans="3:8" x14ac:dyDescent="0.25">
      <c r="C133" s="34">
        <v>7</v>
      </c>
      <c r="D133" s="34">
        <v>101</v>
      </c>
      <c r="E133" s="35">
        <v>26.2</v>
      </c>
      <c r="F133" s="4">
        <f t="shared" si="4"/>
        <v>8.7136929460580825E-2</v>
      </c>
      <c r="G133" s="37">
        <v>28.8</v>
      </c>
      <c r="H133" s="27">
        <v>45480</v>
      </c>
    </row>
    <row r="134" spans="3:8" x14ac:dyDescent="0.25">
      <c r="C134" s="34">
        <v>8</v>
      </c>
      <c r="D134" s="34">
        <v>59</v>
      </c>
      <c r="E134" s="35">
        <v>20.399999999999999</v>
      </c>
      <c r="F134" s="4">
        <f t="shared" si="4"/>
        <v>4.615384615384608E-2</v>
      </c>
      <c r="G134" s="37">
        <v>28.8</v>
      </c>
      <c r="H134" s="27">
        <v>45480</v>
      </c>
    </row>
    <row r="135" spans="3:8" x14ac:dyDescent="0.25">
      <c r="C135" s="34">
        <v>9</v>
      </c>
      <c r="D135" s="34">
        <v>0</v>
      </c>
      <c r="E135" s="35"/>
      <c r="F135" s="4" t="str">
        <f t="shared" si="4"/>
        <v/>
      </c>
      <c r="G135" s="37">
        <v>28.8</v>
      </c>
      <c r="H135" s="27">
        <v>45480</v>
      </c>
    </row>
    <row r="136" spans="3:8" x14ac:dyDescent="0.25">
      <c r="C136" s="34">
        <v>10</v>
      </c>
      <c r="D136" s="34">
        <v>0</v>
      </c>
      <c r="E136" s="35"/>
      <c r="F136" s="4" t="str">
        <f t="shared" si="4"/>
        <v/>
      </c>
      <c r="G136" s="37">
        <v>28.8</v>
      </c>
      <c r="H136" s="27">
        <v>45480</v>
      </c>
    </row>
    <row r="137" spans="3:8" x14ac:dyDescent="0.25">
      <c r="C137" s="34">
        <v>43</v>
      </c>
      <c r="D137" s="34">
        <v>13</v>
      </c>
      <c r="E137" s="35">
        <v>8.6</v>
      </c>
      <c r="F137" s="4">
        <f t="shared" si="4"/>
        <v>-0.46583850931677023</v>
      </c>
      <c r="G137" s="37">
        <v>28.8</v>
      </c>
      <c r="H137" s="27">
        <v>45480</v>
      </c>
    </row>
    <row r="138" spans="3:8" x14ac:dyDescent="0.25">
      <c r="C138" s="34">
        <v>48</v>
      </c>
      <c r="D138" s="34">
        <v>16</v>
      </c>
      <c r="E138" s="35">
        <v>21.2</v>
      </c>
      <c r="F138" s="4">
        <f t="shared" si="4"/>
        <v>1.9859154929577465</v>
      </c>
      <c r="G138" s="37">
        <v>28.8</v>
      </c>
      <c r="H138" s="27">
        <v>45480</v>
      </c>
    </row>
    <row r="139" spans="3:8" x14ac:dyDescent="0.25">
      <c r="C139" s="38" t="s">
        <v>0</v>
      </c>
      <c r="D139" s="38" t="s">
        <v>7</v>
      </c>
      <c r="E139" s="39" t="s">
        <v>4</v>
      </c>
      <c r="F139" s="4" t="str">
        <f t="shared" si="4"/>
        <v/>
      </c>
      <c r="G139" s="37">
        <v>29.2</v>
      </c>
      <c r="H139" s="40">
        <v>45481</v>
      </c>
    </row>
    <row r="140" spans="3:8" x14ac:dyDescent="0.25">
      <c r="C140" s="38">
        <v>1</v>
      </c>
      <c r="D140" s="38">
        <v>77</v>
      </c>
      <c r="E140" s="39">
        <v>29.9</v>
      </c>
      <c r="F140" s="4">
        <f t="shared" si="4"/>
        <v>6.0283687943262387E-2</v>
      </c>
      <c r="G140" s="37">
        <v>29.2</v>
      </c>
      <c r="H140" s="40">
        <v>45481</v>
      </c>
    </row>
    <row r="141" spans="3:8" x14ac:dyDescent="0.25">
      <c r="C141" s="38">
        <v>2</v>
      </c>
      <c r="D141" s="38">
        <v>38</v>
      </c>
      <c r="E141" s="39">
        <v>26.7</v>
      </c>
      <c r="F141" s="4">
        <f t="shared" si="4"/>
        <v>-7.6124567474048416E-2</v>
      </c>
      <c r="G141" s="37">
        <v>29.2</v>
      </c>
      <c r="H141" s="40">
        <v>45481</v>
      </c>
    </row>
    <row r="142" spans="3:8" x14ac:dyDescent="0.25">
      <c r="C142" s="38">
        <v>3</v>
      </c>
      <c r="D142" s="38">
        <v>99</v>
      </c>
      <c r="E142" s="39">
        <v>26.3</v>
      </c>
      <c r="F142" s="4">
        <f t="shared" si="4"/>
        <v>7.3469387755102075E-2</v>
      </c>
      <c r="G142" s="37">
        <v>29.2</v>
      </c>
      <c r="H142" s="40">
        <v>45481</v>
      </c>
    </row>
    <row r="143" spans="3:8" x14ac:dyDescent="0.25">
      <c r="C143" s="38">
        <v>4</v>
      </c>
      <c r="D143" s="38">
        <v>109</v>
      </c>
      <c r="E143" s="39">
        <v>31.1</v>
      </c>
      <c r="F143" s="4">
        <f t="shared" si="4"/>
        <v>-9.5541401273884444E-3</v>
      </c>
      <c r="G143" s="37">
        <v>29.2</v>
      </c>
      <c r="H143" s="40">
        <v>45481</v>
      </c>
    </row>
    <row r="144" spans="3:8" x14ac:dyDescent="0.25">
      <c r="C144" s="38">
        <v>5</v>
      </c>
      <c r="D144" s="38">
        <v>114</v>
      </c>
      <c r="E144" s="39">
        <v>30.6</v>
      </c>
      <c r="F144" s="4">
        <f t="shared" si="4"/>
        <v>3.3783783783783779E-2</v>
      </c>
      <c r="G144" s="37">
        <v>29.2</v>
      </c>
      <c r="H144" s="40">
        <v>45481</v>
      </c>
    </row>
    <row r="145" spans="3:8" x14ac:dyDescent="0.25">
      <c r="C145" s="38">
        <v>6</v>
      </c>
      <c r="D145" s="38">
        <v>80</v>
      </c>
      <c r="E145" s="39">
        <v>28.9</v>
      </c>
      <c r="F145" s="4">
        <f t="shared" si="4"/>
        <v>-1.0273972602739751E-2</v>
      </c>
      <c r="G145" s="37">
        <v>29.2</v>
      </c>
      <c r="H145" s="40">
        <v>45481</v>
      </c>
    </row>
    <row r="146" spans="3:8" x14ac:dyDescent="0.25">
      <c r="C146" s="38">
        <v>7</v>
      </c>
      <c r="D146" s="38">
        <v>101</v>
      </c>
      <c r="E146" s="39">
        <v>25.1</v>
      </c>
      <c r="F146" s="4">
        <f t="shared" si="4"/>
        <v>-4.1984732824427398E-2</v>
      </c>
      <c r="G146" s="37">
        <v>29.2</v>
      </c>
      <c r="H146" s="40">
        <v>45481</v>
      </c>
    </row>
    <row r="147" spans="3:8" x14ac:dyDescent="0.25">
      <c r="C147" s="38">
        <v>8</v>
      </c>
      <c r="D147" s="38">
        <v>60</v>
      </c>
      <c r="E147" s="39">
        <v>19</v>
      </c>
      <c r="F147" s="4">
        <f t="shared" si="4"/>
        <v>-6.8627450980392093E-2</v>
      </c>
      <c r="G147" s="37">
        <v>29.2</v>
      </c>
      <c r="H147" s="40">
        <v>45481</v>
      </c>
    </row>
    <row r="148" spans="3:8" x14ac:dyDescent="0.25">
      <c r="C148" s="38">
        <v>9</v>
      </c>
      <c r="D148" s="38">
        <v>0</v>
      </c>
      <c r="E148" s="39"/>
      <c r="F148" s="4" t="str">
        <f t="shared" si="4"/>
        <v/>
      </c>
      <c r="G148" s="37">
        <v>29.2</v>
      </c>
      <c r="H148" s="40">
        <v>45481</v>
      </c>
    </row>
    <row r="149" spans="3:8" x14ac:dyDescent="0.25">
      <c r="C149" s="38">
        <v>10</v>
      </c>
      <c r="D149" s="38">
        <v>0</v>
      </c>
      <c r="E149" s="39"/>
      <c r="F149" s="4" t="str">
        <f t="shared" si="4"/>
        <v/>
      </c>
      <c r="G149" s="37">
        <v>29.2</v>
      </c>
      <c r="H149" s="40">
        <v>45481</v>
      </c>
    </row>
    <row r="150" spans="3:8" x14ac:dyDescent="0.25">
      <c r="C150" s="38">
        <v>43</v>
      </c>
      <c r="D150" s="38">
        <v>10</v>
      </c>
      <c r="E150" s="39">
        <v>12.3</v>
      </c>
      <c r="F150" s="4">
        <f t="shared" si="4"/>
        <v>0.43023255813953504</v>
      </c>
      <c r="G150" s="37">
        <v>29.2</v>
      </c>
      <c r="H150" s="40">
        <v>45481</v>
      </c>
    </row>
    <row r="151" spans="3:8" x14ac:dyDescent="0.25">
      <c r="C151" s="38">
        <v>48</v>
      </c>
      <c r="D151" s="38">
        <v>22</v>
      </c>
      <c r="E151" s="39">
        <v>11.9</v>
      </c>
      <c r="F151" s="4">
        <f t="shared" si="4"/>
        <v>-0.43867924528301883</v>
      </c>
      <c r="G151" s="37">
        <v>29.2</v>
      </c>
      <c r="H151" s="40">
        <v>45481</v>
      </c>
    </row>
    <row r="152" spans="3:8" x14ac:dyDescent="0.25">
      <c r="C152" s="41" t="s">
        <v>0</v>
      </c>
      <c r="D152" s="41" t="s">
        <v>7</v>
      </c>
      <c r="E152" s="42" t="s">
        <v>4</v>
      </c>
      <c r="F152" s="4" t="str">
        <f t="shared" si="4"/>
        <v/>
      </c>
      <c r="G152" s="37">
        <v>29.7</v>
      </c>
      <c r="H152" s="43">
        <v>45482</v>
      </c>
    </row>
    <row r="153" spans="3:8" x14ac:dyDescent="0.25">
      <c r="C153" s="41">
        <v>1</v>
      </c>
      <c r="D153" s="41">
        <v>79</v>
      </c>
      <c r="E153" s="42">
        <v>27.8</v>
      </c>
      <c r="F153" s="4">
        <f t="shared" si="4"/>
        <v>-7.0234113712374507E-2</v>
      </c>
      <c r="G153" s="37">
        <v>29.7</v>
      </c>
      <c r="H153" s="43">
        <v>45482</v>
      </c>
    </row>
    <row r="154" spans="3:8" x14ac:dyDescent="0.25">
      <c r="C154" s="41">
        <v>2</v>
      </c>
      <c r="D154" s="41">
        <v>39</v>
      </c>
      <c r="E154" s="42">
        <v>29.1</v>
      </c>
      <c r="F154" s="4">
        <f t="shared" si="4"/>
        <v>8.9887640449438283E-2</v>
      </c>
      <c r="G154" s="37">
        <v>29.7</v>
      </c>
      <c r="H154" s="43">
        <v>45482</v>
      </c>
    </row>
    <row r="155" spans="3:8" x14ac:dyDescent="0.25">
      <c r="C155" s="41">
        <v>3</v>
      </c>
      <c r="D155" s="41">
        <v>98</v>
      </c>
      <c r="E155" s="42">
        <v>26.4</v>
      </c>
      <c r="F155" s="4">
        <f t="shared" si="4"/>
        <v>3.8022813688212117E-3</v>
      </c>
      <c r="G155" s="37">
        <v>29.7</v>
      </c>
      <c r="H155" s="43">
        <v>45482</v>
      </c>
    </row>
    <row r="156" spans="3:8" x14ac:dyDescent="0.25">
      <c r="C156" s="41">
        <v>4</v>
      </c>
      <c r="D156" s="41">
        <v>111</v>
      </c>
      <c r="E156" s="42">
        <v>32.5</v>
      </c>
      <c r="F156" s="4">
        <f t="shared" si="4"/>
        <v>4.5016077170417959E-2</v>
      </c>
      <c r="G156" s="37">
        <v>29.7</v>
      </c>
      <c r="H156" s="43">
        <v>45482</v>
      </c>
    </row>
    <row r="157" spans="3:8" x14ac:dyDescent="0.25">
      <c r="C157" s="41">
        <v>5</v>
      </c>
      <c r="D157" s="41">
        <v>111</v>
      </c>
      <c r="E157" s="42">
        <v>31.3</v>
      </c>
      <c r="F157" s="4">
        <f t="shared" si="4"/>
        <v>2.2875816993464027E-2</v>
      </c>
      <c r="G157" s="37">
        <v>29.7</v>
      </c>
      <c r="H157" s="43">
        <v>45482</v>
      </c>
    </row>
    <row r="158" spans="3:8" x14ac:dyDescent="0.25">
      <c r="C158" s="41">
        <v>6</v>
      </c>
      <c r="D158" s="41">
        <v>80</v>
      </c>
      <c r="E158" s="42">
        <v>29.6</v>
      </c>
      <c r="F158" s="4">
        <f t="shared" si="4"/>
        <v>2.4221453287197332E-2</v>
      </c>
      <c r="G158" s="37">
        <v>29.7</v>
      </c>
      <c r="H158" s="43">
        <v>45482</v>
      </c>
    </row>
    <row r="159" spans="3:8" x14ac:dyDescent="0.25">
      <c r="C159" s="41">
        <v>7</v>
      </c>
      <c r="D159" s="41">
        <v>101</v>
      </c>
      <c r="E159" s="42">
        <v>25.8</v>
      </c>
      <c r="F159" s="4">
        <f t="shared" si="4"/>
        <v>2.7888446215139414E-2</v>
      </c>
      <c r="G159" s="37">
        <v>29.7</v>
      </c>
      <c r="H159" s="43">
        <v>45482</v>
      </c>
    </row>
    <row r="160" spans="3:8" x14ac:dyDescent="0.25">
      <c r="C160" s="41">
        <v>8</v>
      </c>
      <c r="D160" s="41">
        <v>60</v>
      </c>
      <c r="E160" s="42">
        <v>19.600000000000001</v>
      </c>
      <c r="F160" s="4">
        <f t="shared" si="4"/>
        <v>3.157894736842113E-2</v>
      </c>
      <c r="G160" s="37">
        <v>29.7</v>
      </c>
      <c r="H160" s="43">
        <v>45482</v>
      </c>
    </row>
    <row r="161" spans="3:8" x14ac:dyDescent="0.25">
      <c r="C161" s="41">
        <v>9</v>
      </c>
      <c r="D161" s="41">
        <v>0</v>
      </c>
      <c r="E161" s="42"/>
      <c r="F161" s="4" t="str">
        <f t="shared" si="4"/>
        <v/>
      </c>
      <c r="G161" s="37">
        <v>29.7</v>
      </c>
      <c r="H161" s="43">
        <v>45482</v>
      </c>
    </row>
    <row r="162" spans="3:8" x14ac:dyDescent="0.25">
      <c r="C162" s="41">
        <v>10</v>
      </c>
      <c r="D162" s="41">
        <v>0</v>
      </c>
      <c r="E162" s="42"/>
      <c r="F162" s="4" t="str">
        <f t="shared" si="4"/>
        <v/>
      </c>
      <c r="G162" s="37">
        <v>29.7</v>
      </c>
      <c r="H162" s="43">
        <v>45482</v>
      </c>
    </row>
    <row r="163" spans="3:8" x14ac:dyDescent="0.25">
      <c r="C163" s="41">
        <v>43</v>
      </c>
      <c r="D163" s="41">
        <v>13</v>
      </c>
      <c r="E163" s="42">
        <v>8.4</v>
      </c>
      <c r="F163" s="4">
        <f t="shared" si="4"/>
        <v>-0.31707317073170732</v>
      </c>
      <c r="G163" s="37">
        <v>29.7</v>
      </c>
      <c r="H163" s="43">
        <v>45482</v>
      </c>
    </row>
    <row r="164" spans="3:8" x14ac:dyDescent="0.25">
      <c r="C164" s="41">
        <v>48</v>
      </c>
      <c r="D164" s="41">
        <v>18</v>
      </c>
      <c r="E164" s="42">
        <v>12.9</v>
      </c>
      <c r="F164" s="4">
        <f t="shared" si="4"/>
        <v>8.4033613445378144E-2</v>
      </c>
      <c r="G164" s="37">
        <v>29.7</v>
      </c>
      <c r="H164" s="43">
        <v>45482</v>
      </c>
    </row>
    <row r="165" spans="3:8" x14ac:dyDescent="0.25">
      <c r="C165" s="44" t="s">
        <v>8</v>
      </c>
      <c r="D165" s="44" t="s">
        <v>9</v>
      </c>
      <c r="E165" s="45" t="s">
        <v>10</v>
      </c>
      <c r="F165" s="4" t="str">
        <f t="shared" si="4"/>
        <v/>
      </c>
      <c r="G165" s="37">
        <v>29.5</v>
      </c>
      <c r="H165" s="46">
        <v>45483</v>
      </c>
    </row>
    <row r="166" spans="3:8" x14ac:dyDescent="0.25">
      <c r="C166" s="44">
        <v>1</v>
      </c>
      <c r="D166" s="44">
        <v>78</v>
      </c>
      <c r="E166" s="45">
        <v>28.5</v>
      </c>
      <c r="F166" s="4">
        <f t="shared" si="4"/>
        <v>2.5179856115107889E-2</v>
      </c>
      <c r="G166" s="37">
        <v>29.5</v>
      </c>
      <c r="H166" s="46">
        <v>45483</v>
      </c>
    </row>
    <row r="167" spans="3:8" x14ac:dyDescent="0.25">
      <c r="C167" s="44">
        <v>2</v>
      </c>
      <c r="D167" s="44">
        <v>39</v>
      </c>
      <c r="E167" s="45">
        <v>25.4</v>
      </c>
      <c r="F167" s="4">
        <f t="shared" si="4"/>
        <v>-0.12714776632302416</v>
      </c>
      <c r="G167" s="37">
        <v>29.5</v>
      </c>
      <c r="H167" s="46">
        <v>45483</v>
      </c>
    </row>
    <row r="168" spans="3:8" x14ac:dyDescent="0.25">
      <c r="C168" s="44">
        <v>3</v>
      </c>
      <c r="D168" s="44">
        <v>98</v>
      </c>
      <c r="E168" s="45">
        <v>26.6</v>
      </c>
      <c r="F168" s="4">
        <f t="shared" si="4"/>
        <v>7.5757575757576835E-3</v>
      </c>
      <c r="G168" s="37">
        <v>29.5</v>
      </c>
      <c r="H168" s="46">
        <v>45483</v>
      </c>
    </row>
    <row r="169" spans="3:8" x14ac:dyDescent="0.25">
      <c r="C169" s="44">
        <v>4</v>
      </c>
      <c r="D169" s="44">
        <v>111</v>
      </c>
      <c r="E169" s="45">
        <v>31.1</v>
      </c>
      <c r="F169" s="4">
        <f t="shared" si="4"/>
        <v>-4.3076923076923034E-2</v>
      </c>
      <c r="G169" s="37">
        <v>29.5</v>
      </c>
      <c r="H169" s="46">
        <v>45483</v>
      </c>
    </row>
    <row r="170" spans="3:8" x14ac:dyDescent="0.25">
      <c r="C170" s="44">
        <v>5</v>
      </c>
      <c r="D170" s="44">
        <v>110</v>
      </c>
      <c r="E170" s="45">
        <v>31.2</v>
      </c>
      <c r="F170" s="4">
        <f t="shared" si="4"/>
        <v>-3.1948881789137834E-3</v>
      </c>
      <c r="G170" s="37">
        <v>29.5</v>
      </c>
      <c r="H170" s="46">
        <v>45483</v>
      </c>
    </row>
    <row r="171" spans="3:8" x14ac:dyDescent="0.25">
      <c r="C171" s="44">
        <v>6</v>
      </c>
      <c r="D171" s="44">
        <v>80</v>
      </c>
      <c r="E171" s="45">
        <v>28.6</v>
      </c>
      <c r="F171" s="4">
        <f t="shared" si="4"/>
        <v>-3.3783783783783779E-2</v>
      </c>
      <c r="G171" s="37">
        <v>29.5</v>
      </c>
      <c r="H171" s="46">
        <v>45483</v>
      </c>
    </row>
    <row r="172" spans="3:8" x14ac:dyDescent="0.25">
      <c r="C172" s="44">
        <v>7</v>
      </c>
      <c r="D172" s="44">
        <v>101</v>
      </c>
      <c r="E172" s="45">
        <v>24.6</v>
      </c>
      <c r="F172" s="4">
        <f t="shared" si="4"/>
        <v>-4.6511627906976716E-2</v>
      </c>
      <c r="G172" s="37">
        <v>29.5</v>
      </c>
      <c r="H172" s="46">
        <v>45483</v>
      </c>
    </row>
    <row r="173" spans="3:8" x14ac:dyDescent="0.25">
      <c r="C173" s="44">
        <v>8</v>
      </c>
      <c r="D173" s="44">
        <v>60</v>
      </c>
      <c r="E173" s="45">
        <v>19.3</v>
      </c>
      <c r="F173" s="4">
        <f t="shared" si="4"/>
        <v>-1.5306122448979626E-2</v>
      </c>
      <c r="G173" s="37">
        <v>29.5</v>
      </c>
      <c r="H173" s="46">
        <v>45483</v>
      </c>
    </row>
    <row r="174" spans="3:8" x14ac:dyDescent="0.25">
      <c r="C174" s="44">
        <v>9</v>
      </c>
      <c r="D174" s="44">
        <v>0</v>
      </c>
      <c r="E174" s="45"/>
      <c r="F174" s="4" t="str">
        <f t="shared" si="4"/>
        <v/>
      </c>
      <c r="G174" s="37">
        <v>29.5</v>
      </c>
      <c r="H174" s="46">
        <v>45483</v>
      </c>
    </row>
    <row r="175" spans="3:8" x14ac:dyDescent="0.25">
      <c r="C175" s="44">
        <v>10</v>
      </c>
      <c r="D175" s="44">
        <v>0</v>
      </c>
      <c r="E175" s="45"/>
      <c r="F175" s="4" t="str">
        <f t="shared" si="4"/>
        <v/>
      </c>
      <c r="G175" s="37">
        <v>29.5</v>
      </c>
      <c r="H175" s="46">
        <v>45483</v>
      </c>
    </row>
    <row r="176" spans="3:8" x14ac:dyDescent="0.25">
      <c r="C176" s="44">
        <v>43</v>
      </c>
      <c r="D176" s="44">
        <v>15</v>
      </c>
      <c r="E176" s="45">
        <v>11.6</v>
      </c>
      <c r="F176" s="4">
        <f t="shared" ref="F176:F239" si="5">IFERROR((E176-E163)/E163,"")</f>
        <v>0.38095238095238088</v>
      </c>
      <c r="G176" s="37">
        <v>29.5</v>
      </c>
      <c r="H176" s="46">
        <v>45483</v>
      </c>
    </row>
    <row r="177" spans="3:8" x14ac:dyDescent="0.25">
      <c r="C177" s="44">
        <v>48</v>
      </c>
      <c r="D177" s="44">
        <v>20</v>
      </c>
      <c r="E177" s="45">
        <v>12.7</v>
      </c>
      <c r="F177" s="4">
        <f t="shared" si="5"/>
        <v>-1.5503875968992331E-2</v>
      </c>
      <c r="G177" s="37">
        <v>29.5</v>
      </c>
      <c r="H177" s="46">
        <v>45483</v>
      </c>
    </row>
    <row r="178" spans="3:8" x14ac:dyDescent="0.25">
      <c r="C178" s="47" t="s">
        <v>8</v>
      </c>
      <c r="D178" s="47" t="s">
        <v>9</v>
      </c>
      <c r="E178" s="48" t="s">
        <v>10</v>
      </c>
      <c r="F178" s="4" t="str">
        <f t="shared" si="5"/>
        <v/>
      </c>
      <c r="G178" s="37">
        <v>29.1</v>
      </c>
      <c r="H178" s="49">
        <v>45484</v>
      </c>
    </row>
    <row r="179" spans="3:8" x14ac:dyDescent="0.25">
      <c r="C179" s="47">
        <v>1</v>
      </c>
      <c r="D179" s="47">
        <v>65</v>
      </c>
      <c r="E179" s="48">
        <v>28.5</v>
      </c>
      <c r="F179" s="4">
        <f t="shared" si="5"/>
        <v>0</v>
      </c>
      <c r="G179" s="37">
        <v>29.1</v>
      </c>
      <c r="H179" s="49">
        <v>45484</v>
      </c>
    </row>
    <row r="180" spans="3:8" x14ac:dyDescent="0.25">
      <c r="C180" s="47">
        <v>2</v>
      </c>
      <c r="D180" s="47">
        <v>39</v>
      </c>
      <c r="E180" s="48">
        <v>24.2</v>
      </c>
      <c r="F180" s="4">
        <f t="shared" si="5"/>
        <v>-4.7244094488188948E-2</v>
      </c>
      <c r="G180" s="37">
        <v>29.1</v>
      </c>
      <c r="H180" s="49">
        <v>45484</v>
      </c>
    </row>
    <row r="181" spans="3:8" x14ac:dyDescent="0.25">
      <c r="C181" s="47">
        <v>3</v>
      </c>
      <c r="D181" s="47">
        <v>108</v>
      </c>
      <c r="E181" s="48">
        <v>27.6</v>
      </c>
      <c r="F181" s="4">
        <f t="shared" si="5"/>
        <v>3.7593984962406013E-2</v>
      </c>
      <c r="G181" s="37">
        <v>29.1</v>
      </c>
      <c r="H181" s="49">
        <v>45484</v>
      </c>
    </row>
    <row r="182" spans="3:8" x14ac:dyDescent="0.25">
      <c r="C182" s="47">
        <v>4</v>
      </c>
      <c r="D182" s="47">
        <v>110</v>
      </c>
      <c r="E182" s="48">
        <v>31</v>
      </c>
      <c r="F182" s="4">
        <f t="shared" si="5"/>
        <v>-3.2154340836013317E-3</v>
      </c>
      <c r="G182" s="37">
        <v>29.1</v>
      </c>
      <c r="H182" s="49">
        <v>45484</v>
      </c>
    </row>
    <row r="183" spans="3:8" x14ac:dyDescent="0.25">
      <c r="C183" s="47">
        <v>5</v>
      </c>
      <c r="D183" s="47">
        <v>110</v>
      </c>
      <c r="E183" s="48">
        <v>31.1</v>
      </c>
      <c r="F183" s="4">
        <f t="shared" si="5"/>
        <v>-3.2051282051281369E-3</v>
      </c>
      <c r="G183" s="37">
        <v>29.1</v>
      </c>
      <c r="H183" s="49">
        <v>45484</v>
      </c>
    </row>
    <row r="184" spans="3:8" x14ac:dyDescent="0.25">
      <c r="C184" s="47">
        <v>6</v>
      </c>
      <c r="D184" s="47">
        <v>81</v>
      </c>
      <c r="E184" s="48">
        <v>30.6</v>
      </c>
      <c r="F184" s="4">
        <f t="shared" si="5"/>
        <v>6.9930069930069921E-2</v>
      </c>
      <c r="G184" s="37">
        <v>29.1</v>
      </c>
      <c r="H184" s="49">
        <v>45484</v>
      </c>
    </row>
    <row r="185" spans="3:8" x14ac:dyDescent="0.25">
      <c r="C185" s="47">
        <v>7</v>
      </c>
      <c r="D185" s="47">
        <v>99</v>
      </c>
      <c r="E185" s="48">
        <v>25.1</v>
      </c>
      <c r="F185" s="4">
        <f t="shared" si="5"/>
        <v>2.032520325203252E-2</v>
      </c>
      <c r="G185" s="37">
        <v>29.1</v>
      </c>
      <c r="H185" s="49">
        <v>45484</v>
      </c>
    </row>
    <row r="186" spans="3:8" x14ac:dyDescent="0.25">
      <c r="C186" s="47">
        <v>8</v>
      </c>
      <c r="D186" s="47">
        <v>59</v>
      </c>
      <c r="E186" s="48">
        <v>17.2</v>
      </c>
      <c r="F186" s="4">
        <f t="shared" si="5"/>
        <v>-0.10880829015544048</v>
      </c>
      <c r="G186" s="37">
        <v>29.1</v>
      </c>
      <c r="H186" s="49">
        <v>45484</v>
      </c>
    </row>
    <row r="187" spans="3:8" x14ac:dyDescent="0.25">
      <c r="C187" s="47">
        <v>9</v>
      </c>
      <c r="D187" s="47">
        <v>0</v>
      </c>
      <c r="E187" s="48"/>
      <c r="F187" s="4" t="str">
        <f t="shared" si="5"/>
        <v/>
      </c>
      <c r="G187" s="37">
        <v>29.1</v>
      </c>
      <c r="H187" s="49">
        <v>45484</v>
      </c>
    </row>
    <row r="188" spans="3:8" x14ac:dyDescent="0.25">
      <c r="C188" s="47">
        <v>10</v>
      </c>
      <c r="D188" s="47">
        <v>0</v>
      </c>
      <c r="E188" s="48"/>
      <c r="F188" s="4" t="str">
        <f t="shared" si="5"/>
        <v/>
      </c>
      <c r="G188" s="37">
        <v>29.1</v>
      </c>
      <c r="H188" s="49">
        <v>45484</v>
      </c>
    </row>
    <row r="189" spans="3:8" x14ac:dyDescent="0.25">
      <c r="C189" s="47">
        <v>43</v>
      </c>
      <c r="D189" s="47">
        <v>14</v>
      </c>
      <c r="E189" s="48">
        <v>9.4</v>
      </c>
      <c r="F189" s="4">
        <f t="shared" si="5"/>
        <v>-0.18965517241379304</v>
      </c>
      <c r="G189" s="37">
        <v>29.1</v>
      </c>
      <c r="H189" s="49">
        <v>45484</v>
      </c>
    </row>
    <row r="190" spans="3:8" x14ac:dyDescent="0.25">
      <c r="C190" s="47">
        <v>48</v>
      </c>
      <c r="D190" s="47">
        <v>19</v>
      </c>
      <c r="E190" s="48">
        <v>19.899999999999999</v>
      </c>
      <c r="F190" s="4">
        <f t="shared" si="5"/>
        <v>0.56692913385826771</v>
      </c>
      <c r="G190" s="37">
        <v>29.1</v>
      </c>
      <c r="H190" s="49">
        <v>45484</v>
      </c>
    </row>
    <row r="191" spans="3:8" x14ac:dyDescent="0.25">
      <c r="C191" s="50" t="s">
        <v>0</v>
      </c>
      <c r="D191" s="50" t="s">
        <v>7</v>
      </c>
      <c r="E191" s="51" t="s">
        <v>4</v>
      </c>
      <c r="F191" s="4" t="str">
        <f t="shared" si="5"/>
        <v/>
      </c>
      <c r="G191" s="37">
        <v>29</v>
      </c>
      <c r="H191" s="52">
        <v>45485</v>
      </c>
    </row>
    <row r="192" spans="3:8" x14ac:dyDescent="0.25">
      <c r="C192" s="50">
        <v>1</v>
      </c>
      <c r="D192" s="50">
        <v>66</v>
      </c>
      <c r="E192" s="51">
        <v>26.4</v>
      </c>
      <c r="F192" s="4">
        <f t="shared" si="5"/>
        <v>-7.3684210526315838E-2</v>
      </c>
      <c r="G192" s="37">
        <v>29</v>
      </c>
      <c r="H192" s="52">
        <v>45485</v>
      </c>
    </row>
    <row r="193" spans="3:8" x14ac:dyDescent="0.25">
      <c r="C193" s="50">
        <v>2</v>
      </c>
      <c r="D193" s="50">
        <v>39</v>
      </c>
      <c r="E193" s="51">
        <v>28.9</v>
      </c>
      <c r="F193" s="4">
        <f t="shared" si="5"/>
        <v>0.19421487603305781</v>
      </c>
      <c r="G193" s="37">
        <v>29</v>
      </c>
      <c r="H193" s="52">
        <v>45485</v>
      </c>
    </row>
    <row r="194" spans="3:8" x14ac:dyDescent="0.25">
      <c r="C194" s="50">
        <v>3</v>
      </c>
      <c r="D194" s="50">
        <v>107</v>
      </c>
      <c r="E194" s="51">
        <v>27.8</v>
      </c>
      <c r="F194" s="4">
        <f t="shared" si="5"/>
        <v>7.246376811594177E-3</v>
      </c>
      <c r="G194" s="37">
        <v>29</v>
      </c>
      <c r="H194" s="52">
        <v>45485</v>
      </c>
    </row>
    <row r="195" spans="3:8" x14ac:dyDescent="0.25">
      <c r="C195" s="50">
        <v>4</v>
      </c>
      <c r="D195" s="50">
        <v>110</v>
      </c>
      <c r="E195" s="51">
        <v>31.3</v>
      </c>
      <c r="F195" s="4">
        <f t="shared" si="5"/>
        <v>9.6774193548387327E-3</v>
      </c>
      <c r="G195" s="37">
        <v>29</v>
      </c>
      <c r="H195" s="52">
        <v>45485</v>
      </c>
    </row>
    <row r="196" spans="3:8" x14ac:dyDescent="0.25">
      <c r="C196" s="50">
        <v>5</v>
      </c>
      <c r="D196" s="50">
        <v>110</v>
      </c>
      <c r="E196" s="51">
        <v>31.8</v>
      </c>
      <c r="F196" s="4">
        <f t="shared" si="5"/>
        <v>2.250803858520898E-2</v>
      </c>
      <c r="G196" s="37">
        <v>29</v>
      </c>
      <c r="H196" s="52">
        <v>45485</v>
      </c>
    </row>
    <row r="197" spans="3:8" x14ac:dyDescent="0.25">
      <c r="C197" s="50">
        <v>6</v>
      </c>
      <c r="D197" s="50">
        <v>80</v>
      </c>
      <c r="E197" s="51">
        <v>29.9</v>
      </c>
      <c r="F197" s="4">
        <f t="shared" si="5"/>
        <v>-2.2875816993464144E-2</v>
      </c>
      <c r="G197" s="37">
        <v>29</v>
      </c>
      <c r="H197" s="52">
        <v>45485</v>
      </c>
    </row>
    <row r="198" spans="3:8" x14ac:dyDescent="0.25">
      <c r="C198" s="50">
        <v>7</v>
      </c>
      <c r="D198" s="50">
        <v>98</v>
      </c>
      <c r="E198" s="51">
        <v>25.6</v>
      </c>
      <c r="F198" s="4">
        <f t="shared" si="5"/>
        <v>1.9920318725099601E-2</v>
      </c>
      <c r="G198" s="37">
        <v>29</v>
      </c>
      <c r="H198" s="52">
        <v>45485</v>
      </c>
    </row>
    <row r="199" spans="3:8" x14ac:dyDescent="0.25">
      <c r="C199" s="50">
        <v>8</v>
      </c>
      <c r="D199" s="50">
        <v>58</v>
      </c>
      <c r="E199" s="51">
        <v>20.3</v>
      </c>
      <c r="F199" s="4">
        <f t="shared" si="5"/>
        <v>0.18023255813953498</v>
      </c>
      <c r="G199" s="37">
        <v>29</v>
      </c>
      <c r="H199" s="52">
        <v>45485</v>
      </c>
    </row>
    <row r="200" spans="3:8" x14ac:dyDescent="0.25">
      <c r="C200" s="50">
        <v>9</v>
      </c>
      <c r="D200" s="50">
        <v>0</v>
      </c>
      <c r="E200" s="51"/>
      <c r="F200" s="4" t="str">
        <f t="shared" si="5"/>
        <v/>
      </c>
      <c r="G200" s="37">
        <v>29</v>
      </c>
      <c r="H200" s="52">
        <v>45485</v>
      </c>
    </row>
    <row r="201" spans="3:8" x14ac:dyDescent="0.25">
      <c r="C201" s="50">
        <v>10</v>
      </c>
      <c r="D201" s="50">
        <v>0</v>
      </c>
      <c r="E201" s="51"/>
      <c r="F201" s="4" t="str">
        <f t="shared" si="5"/>
        <v/>
      </c>
      <c r="G201" s="37">
        <v>29</v>
      </c>
      <c r="H201" s="52">
        <v>45485</v>
      </c>
    </row>
    <row r="202" spans="3:8" x14ac:dyDescent="0.25">
      <c r="C202" s="50">
        <v>43</v>
      </c>
      <c r="D202" s="50">
        <v>11</v>
      </c>
      <c r="E202" s="51">
        <v>13.3</v>
      </c>
      <c r="F202" s="4">
        <f t="shared" si="5"/>
        <v>0.41489361702127664</v>
      </c>
      <c r="G202" s="37">
        <v>29</v>
      </c>
      <c r="H202" s="52">
        <v>45485</v>
      </c>
    </row>
    <row r="203" spans="3:8" x14ac:dyDescent="0.25">
      <c r="C203" s="50">
        <v>48</v>
      </c>
      <c r="D203" s="50">
        <v>25</v>
      </c>
      <c r="E203" s="51">
        <v>21.2</v>
      </c>
      <c r="F203" s="4">
        <f t="shared" si="5"/>
        <v>6.5326633165829193E-2</v>
      </c>
      <c r="G203" s="37">
        <v>29</v>
      </c>
      <c r="H203" s="52">
        <v>45485</v>
      </c>
    </row>
    <row r="204" spans="3:8" x14ac:dyDescent="0.25">
      <c r="C204" s="53" t="s">
        <v>0</v>
      </c>
      <c r="D204" s="53" t="s">
        <v>7</v>
      </c>
      <c r="E204" s="54" t="s">
        <v>4</v>
      </c>
      <c r="F204" s="4" t="str">
        <f t="shared" si="5"/>
        <v/>
      </c>
      <c r="G204" s="37">
        <v>29</v>
      </c>
      <c r="H204" s="52">
        <v>45486</v>
      </c>
    </row>
    <row r="205" spans="3:8" x14ac:dyDescent="0.25">
      <c r="C205" s="53">
        <v>1</v>
      </c>
      <c r="D205" s="53">
        <v>68</v>
      </c>
      <c r="E205" s="54">
        <v>32.6</v>
      </c>
      <c r="F205" s="4">
        <f t="shared" si="5"/>
        <v>0.23484848484848497</v>
      </c>
      <c r="G205" s="37">
        <v>29</v>
      </c>
      <c r="H205" s="52">
        <v>45486</v>
      </c>
    </row>
    <row r="206" spans="3:8" x14ac:dyDescent="0.25">
      <c r="C206" s="53">
        <v>2</v>
      </c>
      <c r="D206" s="53">
        <v>39</v>
      </c>
      <c r="E206" s="54">
        <v>26.2</v>
      </c>
      <c r="F206" s="4">
        <f t="shared" si="5"/>
        <v>-9.3425605536332154E-2</v>
      </c>
      <c r="G206" s="37">
        <v>29</v>
      </c>
      <c r="H206" s="52">
        <v>45486</v>
      </c>
    </row>
    <row r="207" spans="3:8" x14ac:dyDescent="0.25">
      <c r="C207" s="53">
        <v>3</v>
      </c>
      <c r="D207" s="53">
        <v>105</v>
      </c>
      <c r="E207" s="54">
        <v>27</v>
      </c>
      <c r="F207" s="4">
        <f t="shared" si="5"/>
        <v>-2.8776978417266213E-2</v>
      </c>
      <c r="G207" s="37">
        <v>29</v>
      </c>
      <c r="H207" s="52">
        <v>45486</v>
      </c>
    </row>
    <row r="208" spans="3:8" x14ac:dyDescent="0.25">
      <c r="C208" s="53">
        <v>4</v>
      </c>
      <c r="D208" s="53">
        <v>110</v>
      </c>
      <c r="E208" s="54">
        <v>29.7</v>
      </c>
      <c r="F208" s="4">
        <f t="shared" si="5"/>
        <v>-5.1118210862619855E-2</v>
      </c>
      <c r="G208" s="37">
        <v>29</v>
      </c>
      <c r="H208" s="52">
        <v>45486</v>
      </c>
    </row>
    <row r="209" spans="3:8" x14ac:dyDescent="0.25">
      <c r="C209" s="53">
        <v>5</v>
      </c>
      <c r="D209" s="53">
        <v>108</v>
      </c>
      <c r="E209" s="54">
        <v>29</v>
      </c>
      <c r="F209" s="4">
        <f t="shared" si="5"/>
        <v>-8.8050314465408827E-2</v>
      </c>
      <c r="G209" s="37">
        <v>29</v>
      </c>
      <c r="H209" s="52">
        <v>45486</v>
      </c>
    </row>
    <row r="210" spans="3:8" x14ac:dyDescent="0.25">
      <c r="C210" s="53">
        <v>6</v>
      </c>
      <c r="D210" s="53">
        <v>80</v>
      </c>
      <c r="E210" s="54">
        <v>28.5</v>
      </c>
      <c r="F210" s="4">
        <f t="shared" si="5"/>
        <v>-4.6822742474916343E-2</v>
      </c>
      <c r="G210" s="37">
        <v>29</v>
      </c>
      <c r="H210" s="52">
        <v>45486</v>
      </c>
    </row>
    <row r="211" spans="3:8" x14ac:dyDescent="0.25">
      <c r="C211" s="53">
        <v>7</v>
      </c>
      <c r="D211" s="53">
        <v>99</v>
      </c>
      <c r="E211" s="54">
        <v>25.5</v>
      </c>
      <c r="F211" s="4">
        <f t="shared" si="5"/>
        <v>-3.9062500000000555E-3</v>
      </c>
      <c r="G211" s="37">
        <v>29</v>
      </c>
      <c r="H211" s="52">
        <v>45486</v>
      </c>
    </row>
    <row r="212" spans="3:8" x14ac:dyDescent="0.25">
      <c r="C212" s="53">
        <v>8</v>
      </c>
      <c r="D212" s="53">
        <v>58</v>
      </c>
      <c r="E212" s="54">
        <v>19.3</v>
      </c>
      <c r="F212" s="4">
        <f t="shared" si="5"/>
        <v>-4.926108374384236E-2</v>
      </c>
      <c r="G212" s="37">
        <v>29</v>
      </c>
      <c r="H212" s="52">
        <v>45486</v>
      </c>
    </row>
    <row r="213" spans="3:8" x14ac:dyDescent="0.25">
      <c r="C213" s="53">
        <v>9</v>
      </c>
      <c r="D213" s="53">
        <v>0</v>
      </c>
      <c r="E213" s="54"/>
      <c r="F213" s="4" t="str">
        <f t="shared" si="5"/>
        <v/>
      </c>
      <c r="G213" s="37">
        <v>29</v>
      </c>
      <c r="H213" s="52">
        <v>45486</v>
      </c>
    </row>
    <row r="214" spans="3:8" x14ac:dyDescent="0.25">
      <c r="C214" s="53">
        <v>10</v>
      </c>
      <c r="D214" s="53">
        <v>0</v>
      </c>
      <c r="E214" s="54"/>
      <c r="F214" s="4" t="str">
        <f t="shared" si="5"/>
        <v/>
      </c>
      <c r="G214" s="37">
        <v>29</v>
      </c>
      <c r="H214" s="52">
        <v>45486</v>
      </c>
    </row>
    <row r="215" spans="3:8" x14ac:dyDescent="0.25">
      <c r="C215" s="53">
        <v>43</v>
      </c>
      <c r="D215" s="53">
        <v>15</v>
      </c>
      <c r="E215" s="54">
        <v>12.3</v>
      </c>
      <c r="F215" s="4">
        <f t="shared" si="5"/>
        <v>-7.5187969924812026E-2</v>
      </c>
      <c r="G215" s="37">
        <v>29</v>
      </c>
      <c r="H215" s="52">
        <v>45486</v>
      </c>
    </row>
    <row r="216" spans="3:8" x14ac:dyDescent="0.25">
      <c r="C216" s="53">
        <v>48</v>
      </c>
      <c r="D216" s="53">
        <v>24</v>
      </c>
      <c r="E216" s="54">
        <v>15.1</v>
      </c>
      <c r="F216" s="4">
        <f t="shared" si="5"/>
        <v>-0.28773584905660377</v>
      </c>
      <c r="G216" s="37">
        <v>29</v>
      </c>
      <c r="H216" s="52">
        <v>45486</v>
      </c>
    </row>
    <row r="217" spans="3:8" x14ac:dyDescent="0.25">
      <c r="C217" s="53" t="s">
        <v>0</v>
      </c>
      <c r="D217" s="53" t="s">
        <v>7</v>
      </c>
      <c r="E217" s="54" t="s">
        <v>4</v>
      </c>
      <c r="F217" s="4" t="str">
        <f t="shared" si="5"/>
        <v/>
      </c>
      <c r="G217" s="37">
        <v>28.3</v>
      </c>
      <c r="H217" s="57">
        <v>45487</v>
      </c>
    </row>
    <row r="218" spans="3:8" x14ac:dyDescent="0.25">
      <c r="C218" s="55">
        <v>1</v>
      </c>
      <c r="D218" s="55">
        <v>76</v>
      </c>
      <c r="E218" s="56">
        <v>25.8</v>
      </c>
      <c r="F218" s="4">
        <f t="shared" si="5"/>
        <v>-0.20858895705521474</v>
      </c>
      <c r="G218" s="37">
        <v>28.3</v>
      </c>
      <c r="H218" s="57">
        <v>45487</v>
      </c>
    </row>
    <row r="219" spans="3:8" x14ac:dyDescent="0.25">
      <c r="C219" s="55">
        <v>2</v>
      </c>
      <c r="D219" s="55">
        <v>42</v>
      </c>
      <c r="E219" s="56">
        <v>30.3</v>
      </c>
      <c r="F219" s="4">
        <f t="shared" si="5"/>
        <v>0.15648854961832068</v>
      </c>
      <c r="G219" s="37">
        <v>28.3</v>
      </c>
      <c r="H219" s="57">
        <v>45487</v>
      </c>
    </row>
    <row r="220" spans="3:8" x14ac:dyDescent="0.25">
      <c r="C220" s="55">
        <v>3</v>
      </c>
      <c r="D220" s="55">
        <v>106</v>
      </c>
      <c r="E220" s="56">
        <v>27.7</v>
      </c>
      <c r="F220" s="4">
        <f t="shared" si="5"/>
        <v>2.5925925925925901E-2</v>
      </c>
      <c r="G220" s="37">
        <v>28.3</v>
      </c>
      <c r="H220" s="57">
        <v>45487</v>
      </c>
    </row>
    <row r="221" spans="3:8" x14ac:dyDescent="0.25">
      <c r="C221" s="55">
        <v>4</v>
      </c>
      <c r="D221" s="55">
        <v>110</v>
      </c>
      <c r="E221" s="56">
        <v>28.9</v>
      </c>
      <c r="F221" s="4">
        <f t="shared" si="5"/>
        <v>-2.6936026936026959E-2</v>
      </c>
      <c r="G221" s="37">
        <v>28.3</v>
      </c>
      <c r="H221" s="57">
        <v>45487</v>
      </c>
    </row>
    <row r="222" spans="3:8" x14ac:dyDescent="0.25">
      <c r="C222" s="55">
        <v>5</v>
      </c>
      <c r="D222" s="55">
        <v>108</v>
      </c>
      <c r="E222" s="56">
        <v>30.5</v>
      </c>
      <c r="F222" s="4">
        <f t="shared" si="5"/>
        <v>5.1724137931034482E-2</v>
      </c>
      <c r="G222" s="37">
        <v>28.3</v>
      </c>
      <c r="H222" s="57">
        <v>45487</v>
      </c>
    </row>
    <row r="223" spans="3:8" x14ac:dyDescent="0.25">
      <c r="C223" s="55">
        <v>6</v>
      </c>
      <c r="D223" s="55">
        <v>80</v>
      </c>
      <c r="E223" s="56">
        <v>29.8</v>
      </c>
      <c r="F223" s="4">
        <f t="shared" si="5"/>
        <v>4.5614035087719322E-2</v>
      </c>
      <c r="G223" s="37">
        <v>28.3</v>
      </c>
      <c r="H223" s="57">
        <v>45487</v>
      </c>
    </row>
    <row r="224" spans="3:8" x14ac:dyDescent="0.25">
      <c r="C224" s="55">
        <v>7</v>
      </c>
      <c r="D224" s="55">
        <v>102</v>
      </c>
      <c r="E224" s="56">
        <v>25.1</v>
      </c>
      <c r="F224" s="4">
        <f t="shared" si="5"/>
        <v>-1.5686274509803866E-2</v>
      </c>
      <c r="G224" s="37">
        <v>28.3</v>
      </c>
      <c r="H224" s="57">
        <v>45487</v>
      </c>
    </row>
    <row r="225" spans="3:8" x14ac:dyDescent="0.25">
      <c r="C225" s="55">
        <v>8</v>
      </c>
      <c r="D225" s="55">
        <v>58</v>
      </c>
      <c r="E225" s="56">
        <v>20.2</v>
      </c>
      <c r="F225" s="4">
        <f t="shared" si="5"/>
        <v>4.6632124352331529E-2</v>
      </c>
      <c r="G225" s="37">
        <v>28.3</v>
      </c>
      <c r="H225" s="57">
        <v>45487</v>
      </c>
    </row>
    <row r="226" spans="3:8" x14ac:dyDescent="0.25">
      <c r="C226" s="55">
        <v>9</v>
      </c>
      <c r="D226" s="55">
        <v>0</v>
      </c>
      <c r="E226" s="56"/>
      <c r="F226" s="4" t="str">
        <f t="shared" si="5"/>
        <v/>
      </c>
      <c r="G226" s="37">
        <v>28.3</v>
      </c>
      <c r="H226" s="57">
        <v>45487</v>
      </c>
    </row>
    <row r="227" spans="3:8" x14ac:dyDescent="0.25">
      <c r="C227" s="55">
        <v>10</v>
      </c>
      <c r="D227" s="55">
        <v>0</v>
      </c>
      <c r="E227" s="56"/>
      <c r="F227" s="4" t="str">
        <f t="shared" si="5"/>
        <v/>
      </c>
      <c r="G227" s="37">
        <v>28.3</v>
      </c>
      <c r="H227" s="57">
        <v>45487</v>
      </c>
    </row>
    <row r="228" spans="3:8" x14ac:dyDescent="0.25">
      <c r="C228" s="55">
        <v>43</v>
      </c>
      <c r="D228" s="55">
        <v>8</v>
      </c>
      <c r="E228" s="56">
        <v>15.4</v>
      </c>
      <c r="F228" s="4">
        <f t="shared" si="5"/>
        <v>0.25203252032520324</v>
      </c>
      <c r="G228" s="37">
        <v>28.3</v>
      </c>
      <c r="H228" s="57">
        <v>45487</v>
      </c>
    </row>
    <row r="229" spans="3:8" x14ac:dyDescent="0.25">
      <c r="C229" s="55">
        <v>48</v>
      </c>
      <c r="D229" s="55">
        <v>25</v>
      </c>
      <c r="E229" s="56">
        <v>17.2</v>
      </c>
      <c r="F229" s="4">
        <f t="shared" si="5"/>
        <v>0.13907284768211919</v>
      </c>
      <c r="G229" s="37">
        <v>28.3</v>
      </c>
      <c r="H229" s="57">
        <v>45487</v>
      </c>
    </row>
    <row r="230" spans="3:8" x14ac:dyDescent="0.25">
      <c r="C230" s="58" t="s">
        <v>0</v>
      </c>
      <c r="D230" s="58" t="s">
        <v>7</v>
      </c>
      <c r="E230" s="59" t="s">
        <v>4</v>
      </c>
      <c r="F230" s="4" t="str">
        <f t="shared" si="5"/>
        <v/>
      </c>
      <c r="G230" s="37">
        <v>27.6</v>
      </c>
      <c r="H230" s="60">
        <v>45488</v>
      </c>
    </row>
    <row r="231" spans="3:8" x14ac:dyDescent="0.25">
      <c r="C231" s="58">
        <v>1</v>
      </c>
      <c r="D231" s="58">
        <v>75</v>
      </c>
      <c r="E231" s="59">
        <v>22.6</v>
      </c>
      <c r="F231" s="4">
        <f t="shared" si="5"/>
        <v>-0.12403100775193796</v>
      </c>
      <c r="G231" s="37">
        <v>27.6</v>
      </c>
      <c r="H231" s="60">
        <v>45488</v>
      </c>
    </row>
    <row r="232" spans="3:8" x14ac:dyDescent="0.25">
      <c r="C232" s="58">
        <v>2</v>
      </c>
      <c r="D232" s="58">
        <v>42</v>
      </c>
      <c r="E232" s="59">
        <v>29</v>
      </c>
      <c r="F232" s="4">
        <f t="shared" si="5"/>
        <v>-4.2904290429042924E-2</v>
      </c>
      <c r="G232" s="37">
        <v>27.6</v>
      </c>
      <c r="H232" s="60">
        <v>45488</v>
      </c>
    </row>
    <row r="233" spans="3:8" x14ac:dyDescent="0.25">
      <c r="C233" s="58">
        <v>3</v>
      </c>
      <c r="D233" s="58">
        <v>106</v>
      </c>
      <c r="E233" s="59">
        <v>27.1</v>
      </c>
      <c r="F233" s="4">
        <f t="shared" si="5"/>
        <v>-2.1660649819494508E-2</v>
      </c>
      <c r="G233" s="37">
        <v>27.6</v>
      </c>
      <c r="H233" s="60">
        <v>45488</v>
      </c>
    </row>
    <row r="234" spans="3:8" x14ac:dyDescent="0.25">
      <c r="C234" s="58">
        <v>4</v>
      </c>
      <c r="D234" s="58">
        <v>110</v>
      </c>
      <c r="E234" s="59">
        <v>28.4</v>
      </c>
      <c r="F234" s="4">
        <f t="shared" si="5"/>
        <v>-1.7301038062283738E-2</v>
      </c>
      <c r="G234" s="37">
        <v>27.6</v>
      </c>
      <c r="H234" s="60">
        <v>45488</v>
      </c>
    </row>
    <row r="235" spans="3:8" x14ac:dyDescent="0.25">
      <c r="C235" s="58">
        <v>5</v>
      </c>
      <c r="D235" s="58">
        <v>109</v>
      </c>
      <c r="E235" s="59">
        <v>28.9</v>
      </c>
      <c r="F235" s="4">
        <f t="shared" si="5"/>
        <v>-5.2459016393442671E-2</v>
      </c>
      <c r="G235" s="37">
        <v>27.6</v>
      </c>
      <c r="H235" s="60">
        <v>45488</v>
      </c>
    </row>
    <row r="236" spans="3:8" x14ac:dyDescent="0.25">
      <c r="C236" s="58">
        <v>6</v>
      </c>
      <c r="D236" s="58">
        <v>79</v>
      </c>
      <c r="E236" s="59">
        <v>29.8</v>
      </c>
      <c r="F236" s="4">
        <f t="shared" si="5"/>
        <v>0</v>
      </c>
      <c r="G236" s="37">
        <v>27.6</v>
      </c>
      <c r="H236" s="60">
        <v>45488</v>
      </c>
    </row>
    <row r="237" spans="3:8" x14ac:dyDescent="0.25">
      <c r="C237" s="58">
        <v>7</v>
      </c>
      <c r="D237" s="58">
        <v>102</v>
      </c>
      <c r="E237" s="59">
        <v>23.8</v>
      </c>
      <c r="F237" s="4">
        <f t="shared" si="5"/>
        <v>-5.1792828685258988E-2</v>
      </c>
      <c r="G237" s="37">
        <v>27.6</v>
      </c>
      <c r="H237" s="60">
        <v>45488</v>
      </c>
    </row>
    <row r="238" spans="3:8" x14ac:dyDescent="0.25">
      <c r="C238" s="58">
        <v>8</v>
      </c>
      <c r="D238" s="58">
        <v>57</v>
      </c>
      <c r="E238" s="59">
        <v>19.100000000000001</v>
      </c>
      <c r="F238" s="4">
        <f t="shared" si="5"/>
        <v>-5.4455445544554351E-2</v>
      </c>
      <c r="G238" s="37">
        <v>27.6</v>
      </c>
      <c r="H238" s="60">
        <v>45488</v>
      </c>
    </row>
    <row r="239" spans="3:8" x14ac:dyDescent="0.25">
      <c r="C239" s="58">
        <v>9</v>
      </c>
      <c r="D239" s="58">
        <v>0</v>
      </c>
      <c r="E239" s="59"/>
      <c r="F239" s="4" t="str">
        <f t="shared" si="5"/>
        <v/>
      </c>
      <c r="G239" s="37">
        <v>27.6</v>
      </c>
      <c r="H239" s="60">
        <v>45488</v>
      </c>
    </row>
    <row r="240" spans="3:8" x14ac:dyDescent="0.25">
      <c r="C240" s="58">
        <v>10</v>
      </c>
      <c r="D240" s="58">
        <v>0</v>
      </c>
      <c r="E240" s="59"/>
      <c r="F240" s="4" t="str">
        <f t="shared" ref="F240:F303" si="6">IFERROR((E240-E227)/E227,"")</f>
        <v/>
      </c>
      <c r="G240" s="37">
        <v>27.6</v>
      </c>
      <c r="H240" s="60">
        <v>45488</v>
      </c>
    </row>
    <row r="241" spans="3:8" x14ac:dyDescent="0.25">
      <c r="C241" s="58">
        <v>43</v>
      </c>
      <c r="D241" s="58">
        <v>12</v>
      </c>
      <c r="E241" s="59">
        <v>16.399999999999999</v>
      </c>
      <c r="F241" s="4">
        <f t="shared" si="6"/>
        <v>6.4935064935064818E-2</v>
      </c>
      <c r="G241" s="37">
        <v>27.6</v>
      </c>
      <c r="H241" s="60">
        <v>45488</v>
      </c>
    </row>
    <row r="242" spans="3:8" x14ac:dyDescent="0.25">
      <c r="C242" s="58">
        <v>48</v>
      </c>
      <c r="D242" s="58">
        <v>18</v>
      </c>
      <c r="E242" s="59">
        <v>18.899999999999999</v>
      </c>
      <c r="F242" s="4">
        <f t="shared" si="6"/>
        <v>9.8837209302325549E-2</v>
      </c>
      <c r="G242" s="37">
        <v>27.6</v>
      </c>
      <c r="H242" s="60">
        <v>45488</v>
      </c>
    </row>
    <row r="243" spans="3:8" x14ac:dyDescent="0.25">
      <c r="C243" s="61" t="s">
        <v>8</v>
      </c>
      <c r="D243" s="61" t="s">
        <v>9</v>
      </c>
      <c r="E243" s="62" t="s">
        <v>10</v>
      </c>
      <c r="F243" s="4" t="str">
        <f t="shared" si="6"/>
        <v/>
      </c>
      <c r="G243" s="37">
        <v>27.3</v>
      </c>
      <c r="H243" s="63">
        <v>45489</v>
      </c>
    </row>
    <row r="244" spans="3:8" x14ac:dyDescent="0.25">
      <c r="C244" s="61">
        <v>1</v>
      </c>
      <c r="D244" s="61">
        <v>82</v>
      </c>
      <c r="E244" s="62">
        <v>24.6</v>
      </c>
      <c r="F244" s="4">
        <f t="shared" si="6"/>
        <v>8.8495575221238937E-2</v>
      </c>
      <c r="G244" s="37">
        <v>27.3</v>
      </c>
      <c r="H244" s="63">
        <v>45489</v>
      </c>
    </row>
    <row r="245" spans="3:8" x14ac:dyDescent="0.25">
      <c r="C245" s="61">
        <v>2</v>
      </c>
      <c r="D245" s="61">
        <v>42</v>
      </c>
      <c r="E245" s="62">
        <v>26.4</v>
      </c>
      <c r="F245" s="4">
        <f t="shared" si="6"/>
        <v>-8.9655172413793158E-2</v>
      </c>
      <c r="G245" s="37">
        <v>27.3</v>
      </c>
      <c r="H245" s="63">
        <v>45489</v>
      </c>
    </row>
    <row r="246" spans="3:8" x14ac:dyDescent="0.25">
      <c r="C246" s="61">
        <v>3</v>
      </c>
      <c r="D246" s="61">
        <v>105</v>
      </c>
      <c r="E246" s="62">
        <v>26.2</v>
      </c>
      <c r="F246" s="4">
        <f t="shared" si="6"/>
        <v>-3.3210332103321111E-2</v>
      </c>
      <c r="G246" s="37">
        <v>27.3</v>
      </c>
      <c r="H246" s="63">
        <v>45489</v>
      </c>
    </row>
    <row r="247" spans="3:8" x14ac:dyDescent="0.25">
      <c r="C247" s="61">
        <v>4</v>
      </c>
      <c r="D247" s="61">
        <v>110</v>
      </c>
      <c r="E247" s="62">
        <v>28</v>
      </c>
      <c r="F247" s="4">
        <f t="shared" si="6"/>
        <v>-1.4084507042253471E-2</v>
      </c>
      <c r="G247" s="37">
        <v>27.3</v>
      </c>
      <c r="H247" s="63">
        <v>45489</v>
      </c>
    </row>
    <row r="248" spans="3:8" x14ac:dyDescent="0.25">
      <c r="C248" s="61">
        <v>5</v>
      </c>
      <c r="D248" s="61">
        <v>108</v>
      </c>
      <c r="E248" s="62">
        <v>28.4</v>
      </c>
      <c r="F248" s="4">
        <f t="shared" si="6"/>
        <v>-1.7301038062283738E-2</v>
      </c>
      <c r="G248" s="37">
        <v>27.3</v>
      </c>
      <c r="H248" s="63">
        <v>45489</v>
      </c>
    </row>
    <row r="249" spans="3:8" x14ac:dyDescent="0.25">
      <c r="C249" s="61">
        <v>6</v>
      </c>
      <c r="D249" s="61">
        <v>79</v>
      </c>
      <c r="E249" s="62">
        <v>28.2</v>
      </c>
      <c r="F249" s="4">
        <f t="shared" si="6"/>
        <v>-5.3691275167785282E-2</v>
      </c>
      <c r="G249" s="37">
        <v>27.3</v>
      </c>
      <c r="H249" s="63">
        <v>45489</v>
      </c>
    </row>
    <row r="250" spans="3:8" x14ac:dyDescent="0.25">
      <c r="C250" s="61">
        <v>7</v>
      </c>
      <c r="D250" s="61">
        <v>102</v>
      </c>
      <c r="E250" s="62">
        <v>22.3</v>
      </c>
      <c r="F250" s="4">
        <f t="shared" si="6"/>
        <v>-6.3025210084033612E-2</v>
      </c>
      <c r="G250" s="37">
        <v>27.3</v>
      </c>
      <c r="H250" s="63">
        <v>45489</v>
      </c>
    </row>
    <row r="251" spans="3:8" x14ac:dyDescent="0.25">
      <c r="C251" s="61">
        <v>8</v>
      </c>
      <c r="D251" s="61">
        <v>54</v>
      </c>
      <c r="E251" s="62">
        <v>18.7</v>
      </c>
      <c r="F251" s="4">
        <f t="shared" si="6"/>
        <v>-2.094240837696346E-2</v>
      </c>
      <c r="G251" s="37">
        <v>27.3</v>
      </c>
      <c r="H251" s="63">
        <v>45489</v>
      </c>
    </row>
    <row r="252" spans="3:8" x14ac:dyDescent="0.25">
      <c r="C252" s="61">
        <v>9</v>
      </c>
      <c r="D252" s="61">
        <v>0</v>
      </c>
      <c r="E252" s="62"/>
      <c r="F252" s="4" t="str">
        <f t="shared" si="6"/>
        <v/>
      </c>
      <c r="G252" s="37">
        <v>27.3</v>
      </c>
      <c r="H252" s="63">
        <v>45489</v>
      </c>
    </row>
    <row r="253" spans="3:8" x14ac:dyDescent="0.25">
      <c r="C253" s="61">
        <v>10</v>
      </c>
      <c r="D253" s="61">
        <v>0</v>
      </c>
      <c r="E253" s="62"/>
      <c r="F253" s="4" t="str">
        <f t="shared" si="6"/>
        <v/>
      </c>
      <c r="G253" s="37">
        <v>27.3</v>
      </c>
      <c r="H253" s="63">
        <v>45489</v>
      </c>
    </row>
    <row r="254" spans="3:8" x14ac:dyDescent="0.25">
      <c r="C254" s="61">
        <v>43</v>
      </c>
      <c r="D254" s="61">
        <v>10</v>
      </c>
      <c r="E254" s="62">
        <v>6.1</v>
      </c>
      <c r="F254" s="4">
        <f t="shared" si="6"/>
        <v>-0.62804878048780488</v>
      </c>
      <c r="G254" s="37">
        <v>27.3</v>
      </c>
      <c r="H254" s="63">
        <v>45489</v>
      </c>
    </row>
    <row r="255" spans="3:8" x14ac:dyDescent="0.25">
      <c r="C255" s="61">
        <v>48</v>
      </c>
      <c r="D255" s="61">
        <v>15</v>
      </c>
      <c r="E255" s="62">
        <v>19.5</v>
      </c>
      <c r="F255" s="4">
        <f t="shared" si="6"/>
        <v>3.1746031746031821E-2</v>
      </c>
      <c r="G255" s="37">
        <v>27.3</v>
      </c>
      <c r="H255" s="63">
        <v>45489</v>
      </c>
    </row>
    <row r="256" spans="3:8" x14ac:dyDescent="0.25">
      <c r="C256" s="58" t="s">
        <v>0</v>
      </c>
      <c r="D256" s="58" t="s">
        <v>7</v>
      </c>
      <c r="E256" s="59" t="s">
        <v>4</v>
      </c>
      <c r="F256" s="4" t="str">
        <f t="shared" si="6"/>
        <v/>
      </c>
      <c r="G256" s="37">
        <v>27.9</v>
      </c>
      <c r="H256" s="63">
        <v>45490</v>
      </c>
    </row>
    <row r="257" spans="3:8" x14ac:dyDescent="0.25">
      <c r="C257" s="64">
        <v>1</v>
      </c>
      <c r="D257" s="64">
        <v>84</v>
      </c>
      <c r="E257" s="65">
        <v>26.1</v>
      </c>
      <c r="F257" s="4">
        <f t="shared" si="6"/>
        <v>6.097560975609756E-2</v>
      </c>
      <c r="G257" s="37">
        <v>27.9</v>
      </c>
      <c r="H257" s="63">
        <v>45490</v>
      </c>
    </row>
    <row r="258" spans="3:8" x14ac:dyDescent="0.25">
      <c r="C258" s="64">
        <v>2</v>
      </c>
      <c r="D258" s="64">
        <v>41</v>
      </c>
      <c r="E258" s="65">
        <v>26.8</v>
      </c>
      <c r="F258" s="4">
        <f t="shared" si="6"/>
        <v>1.5151515151515233E-2</v>
      </c>
      <c r="G258" s="37">
        <v>27.9</v>
      </c>
      <c r="H258" s="63">
        <v>45490</v>
      </c>
    </row>
    <row r="259" spans="3:8" x14ac:dyDescent="0.25">
      <c r="C259" s="64">
        <v>3</v>
      </c>
      <c r="D259" s="64">
        <v>105</v>
      </c>
      <c r="E259" s="65">
        <v>25.7</v>
      </c>
      <c r="F259" s="4">
        <f t="shared" si="6"/>
        <v>-1.9083969465648856E-2</v>
      </c>
      <c r="G259" s="37">
        <v>27.9</v>
      </c>
      <c r="H259" s="63">
        <v>45490</v>
      </c>
    </row>
    <row r="260" spans="3:8" x14ac:dyDescent="0.25">
      <c r="C260" s="64">
        <v>4</v>
      </c>
      <c r="D260" s="64">
        <v>110</v>
      </c>
      <c r="E260" s="65">
        <v>29.7</v>
      </c>
      <c r="F260" s="4">
        <f t="shared" si="6"/>
        <v>6.0714285714285686E-2</v>
      </c>
      <c r="G260" s="37">
        <v>27.9</v>
      </c>
      <c r="H260" s="63">
        <v>45490</v>
      </c>
    </row>
    <row r="261" spans="3:8" x14ac:dyDescent="0.25">
      <c r="C261" s="64">
        <v>5</v>
      </c>
      <c r="D261" s="64">
        <v>108</v>
      </c>
      <c r="E261" s="65">
        <v>27</v>
      </c>
      <c r="F261" s="4">
        <f t="shared" si="6"/>
        <v>-4.9295774647887279E-2</v>
      </c>
      <c r="G261" s="37">
        <v>27.9</v>
      </c>
      <c r="H261" s="63">
        <v>45490</v>
      </c>
    </row>
    <row r="262" spans="3:8" x14ac:dyDescent="0.25">
      <c r="C262" s="64">
        <v>6</v>
      </c>
      <c r="D262" s="64">
        <v>79</v>
      </c>
      <c r="E262" s="65">
        <v>27.7</v>
      </c>
      <c r="F262" s="4">
        <f t="shared" si="6"/>
        <v>-1.7730496453900711E-2</v>
      </c>
      <c r="G262" s="37">
        <v>27.9</v>
      </c>
      <c r="H262" s="63">
        <v>45490</v>
      </c>
    </row>
    <row r="263" spans="3:8" x14ac:dyDescent="0.25">
      <c r="C263" s="64">
        <v>7</v>
      </c>
      <c r="D263" s="64">
        <v>104</v>
      </c>
      <c r="E263" s="65">
        <v>22.2</v>
      </c>
      <c r="F263" s="4">
        <f t="shared" si="6"/>
        <v>-4.4843049327354893E-3</v>
      </c>
      <c r="G263" s="37">
        <v>27.9</v>
      </c>
      <c r="H263" s="63">
        <v>45490</v>
      </c>
    </row>
    <row r="264" spans="3:8" x14ac:dyDescent="0.25">
      <c r="C264" s="64">
        <v>8</v>
      </c>
      <c r="D264" s="64">
        <v>54</v>
      </c>
      <c r="E264" s="65">
        <v>19.600000000000001</v>
      </c>
      <c r="F264" s="4">
        <f t="shared" si="6"/>
        <v>4.8128342245989421E-2</v>
      </c>
      <c r="G264" s="37">
        <v>27.9</v>
      </c>
      <c r="H264" s="63">
        <v>45490</v>
      </c>
    </row>
    <row r="265" spans="3:8" x14ac:dyDescent="0.25">
      <c r="C265" s="64">
        <v>9</v>
      </c>
      <c r="D265" s="64">
        <v>0</v>
      </c>
      <c r="E265" s="65"/>
      <c r="F265" s="4" t="str">
        <f t="shared" si="6"/>
        <v/>
      </c>
      <c r="G265" s="37">
        <v>27.9</v>
      </c>
      <c r="H265" s="63">
        <v>45490</v>
      </c>
    </row>
    <row r="266" spans="3:8" x14ac:dyDescent="0.25">
      <c r="C266" s="64">
        <v>10</v>
      </c>
      <c r="D266" s="64">
        <v>0</v>
      </c>
      <c r="E266" s="65"/>
      <c r="F266" s="4" t="str">
        <f t="shared" si="6"/>
        <v/>
      </c>
      <c r="G266" s="37">
        <v>27.9</v>
      </c>
      <c r="H266" s="63">
        <v>45490</v>
      </c>
    </row>
    <row r="267" spans="3:8" x14ac:dyDescent="0.25">
      <c r="C267" s="64">
        <v>43</v>
      </c>
      <c r="D267" s="64">
        <v>12</v>
      </c>
      <c r="E267" s="65">
        <v>13.9</v>
      </c>
      <c r="F267" s="4">
        <f t="shared" si="6"/>
        <v>1.278688524590164</v>
      </c>
      <c r="G267" s="37">
        <v>27.9</v>
      </c>
      <c r="H267" s="63">
        <v>45490</v>
      </c>
    </row>
    <row r="268" spans="3:8" x14ac:dyDescent="0.25">
      <c r="C268" s="64">
        <v>48</v>
      </c>
      <c r="D268" s="64">
        <v>9</v>
      </c>
      <c r="E268" s="65">
        <v>18.8</v>
      </c>
      <c r="F268" s="4">
        <f t="shared" si="6"/>
        <v>-3.589743589743586E-2</v>
      </c>
      <c r="G268" s="37">
        <v>27.9</v>
      </c>
      <c r="H268" s="63">
        <v>45490</v>
      </c>
    </row>
    <row r="269" spans="3:8" x14ac:dyDescent="0.25">
      <c r="C269" s="66" t="s">
        <v>0</v>
      </c>
      <c r="D269" s="66" t="s">
        <v>7</v>
      </c>
      <c r="E269" s="67" t="s">
        <v>4</v>
      </c>
      <c r="F269" s="4" t="str">
        <f t="shared" si="6"/>
        <v/>
      </c>
      <c r="G269" s="37">
        <v>28.8</v>
      </c>
      <c r="H269" s="68">
        <v>45491</v>
      </c>
    </row>
    <row r="270" spans="3:8" x14ac:dyDescent="0.25">
      <c r="C270" s="66">
        <v>1</v>
      </c>
      <c r="D270" s="66">
        <v>82</v>
      </c>
      <c r="E270" s="67">
        <v>25.5</v>
      </c>
      <c r="F270" s="4">
        <f t="shared" si="6"/>
        <v>-2.2988505747126489E-2</v>
      </c>
      <c r="G270" s="37">
        <v>28.8</v>
      </c>
      <c r="H270" s="68">
        <v>45491</v>
      </c>
    </row>
    <row r="271" spans="3:8" x14ac:dyDescent="0.25">
      <c r="C271" s="66">
        <v>2</v>
      </c>
      <c r="D271" s="66">
        <v>40</v>
      </c>
      <c r="E271" s="67">
        <v>29.7</v>
      </c>
      <c r="F271" s="4">
        <f t="shared" si="6"/>
        <v>0.10820895522388053</v>
      </c>
      <c r="G271" s="37">
        <v>28.8</v>
      </c>
      <c r="H271" s="68">
        <v>45491</v>
      </c>
    </row>
    <row r="272" spans="3:8" x14ac:dyDescent="0.25">
      <c r="C272" s="66">
        <v>3</v>
      </c>
      <c r="D272" s="66">
        <v>102</v>
      </c>
      <c r="E272" s="67">
        <v>27.2</v>
      </c>
      <c r="F272" s="4">
        <f t="shared" si="6"/>
        <v>5.8365758754863814E-2</v>
      </c>
      <c r="G272" s="37">
        <v>28.8</v>
      </c>
      <c r="H272" s="68">
        <v>45491</v>
      </c>
    </row>
    <row r="273" spans="3:8" x14ac:dyDescent="0.25">
      <c r="C273" s="66">
        <v>4</v>
      </c>
      <c r="D273" s="66">
        <v>110</v>
      </c>
      <c r="E273" s="67">
        <v>27.8</v>
      </c>
      <c r="F273" s="4">
        <f t="shared" si="6"/>
        <v>-6.3973063973063932E-2</v>
      </c>
      <c r="G273" s="37">
        <v>28.8</v>
      </c>
      <c r="H273" s="68">
        <v>45491</v>
      </c>
    </row>
    <row r="274" spans="3:8" x14ac:dyDescent="0.25">
      <c r="C274" s="66">
        <v>5</v>
      </c>
      <c r="D274" s="66">
        <v>108</v>
      </c>
      <c r="E274" s="67">
        <v>29.8</v>
      </c>
      <c r="F274" s="4">
        <f t="shared" si="6"/>
        <v>0.10370370370370373</v>
      </c>
      <c r="G274" s="37">
        <v>28.8</v>
      </c>
      <c r="H274" s="68">
        <v>45491</v>
      </c>
    </row>
    <row r="275" spans="3:8" x14ac:dyDescent="0.25">
      <c r="C275" s="66">
        <v>6</v>
      </c>
      <c r="D275" s="66">
        <v>79</v>
      </c>
      <c r="E275" s="67">
        <v>29.6</v>
      </c>
      <c r="F275" s="4">
        <f t="shared" si="6"/>
        <v>6.8592057761732925E-2</v>
      </c>
      <c r="G275" s="37">
        <v>28.8</v>
      </c>
      <c r="H275" s="68">
        <v>45491</v>
      </c>
    </row>
    <row r="276" spans="3:8" x14ac:dyDescent="0.25">
      <c r="C276" s="66">
        <v>7</v>
      </c>
      <c r="D276" s="66">
        <v>101</v>
      </c>
      <c r="E276" s="67">
        <v>23.9</v>
      </c>
      <c r="F276" s="4">
        <f t="shared" si="6"/>
        <v>7.6576576576576544E-2</v>
      </c>
      <c r="G276" s="37">
        <v>28.8</v>
      </c>
      <c r="H276" s="68">
        <v>45491</v>
      </c>
    </row>
    <row r="277" spans="3:8" x14ac:dyDescent="0.25">
      <c r="C277" s="66">
        <v>8</v>
      </c>
      <c r="D277" s="66">
        <v>55</v>
      </c>
      <c r="E277" s="67">
        <v>19.600000000000001</v>
      </c>
      <c r="F277" s="4">
        <f t="shared" si="6"/>
        <v>0</v>
      </c>
      <c r="G277" s="37">
        <v>28.8</v>
      </c>
      <c r="H277" s="68">
        <v>45491</v>
      </c>
    </row>
    <row r="278" spans="3:8" x14ac:dyDescent="0.25">
      <c r="C278" s="66">
        <v>9</v>
      </c>
      <c r="D278" s="66">
        <v>0</v>
      </c>
      <c r="E278" s="67"/>
      <c r="F278" s="4" t="str">
        <f t="shared" si="6"/>
        <v/>
      </c>
      <c r="G278" s="37">
        <v>28.8</v>
      </c>
      <c r="H278" s="68">
        <v>45491</v>
      </c>
    </row>
    <row r="279" spans="3:8" x14ac:dyDescent="0.25">
      <c r="C279" s="66">
        <v>10</v>
      </c>
      <c r="D279" s="66">
        <v>0</v>
      </c>
      <c r="E279" s="67"/>
      <c r="F279" s="4" t="str">
        <f t="shared" si="6"/>
        <v/>
      </c>
      <c r="G279" s="37">
        <v>28.8</v>
      </c>
      <c r="H279" s="68">
        <v>45491</v>
      </c>
    </row>
    <row r="280" spans="3:8" x14ac:dyDescent="0.25">
      <c r="C280" s="66">
        <v>43</v>
      </c>
      <c r="D280" s="66">
        <v>13</v>
      </c>
      <c r="E280" s="67">
        <v>16.899999999999999</v>
      </c>
      <c r="F280" s="4">
        <f t="shared" si="6"/>
        <v>0.21582733812949628</v>
      </c>
      <c r="G280" s="37">
        <v>28.8</v>
      </c>
      <c r="H280" s="68">
        <v>45491</v>
      </c>
    </row>
    <row r="281" spans="3:8" x14ac:dyDescent="0.25">
      <c r="C281" s="66">
        <v>48</v>
      </c>
      <c r="D281" s="66">
        <v>9</v>
      </c>
      <c r="E281" s="67">
        <v>16.600000000000001</v>
      </c>
      <c r="F281" s="4">
        <f t="shared" si="6"/>
        <v>-0.11702127659574464</v>
      </c>
      <c r="G281" s="37">
        <v>28.8</v>
      </c>
      <c r="H281" s="68">
        <v>45491</v>
      </c>
    </row>
    <row r="282" spans="3:8" x14ac:dyDescent="0.25">
      <c r="C282" s="69" t="s">
        <v>8</v>
      </c>
      <c r="D282" s="69" t="s">
        <v>9</v>
      </c>
      <c r="E282" s="70" t="s">
        <v>10</v>
      </c>
      <c r="F282" s="4" t="str">
        <f t="shared" si="6"/>
        <v/>
      </c>
      <c r="G282" s="37">
        <v>28.2</v>
      </c>
      <c r="H282" s="71">
        <v>45492</v>
      </c>
    </row>
    <row r="283" spans="3:8" x14ac:dyDescent="0.25">
      <c r="C283" s="69">
        <v>1</v>
      </c>
      <c r="D283" s="69">
        <v>85</v>
      </c>
      <c r="E283" s="70">
        <v>25.2</v>
      </c>
      <c r="F283" s="4">
        <f t="shared" si="6"/>
        <v>-1.1764705882352969E-2</v>
      </c>
      <c r="G283" s="37">
        <v>28.2</v>
      </c>
      <c r="H283" s="71">
        <v>45492</v>
      </c>
    </row>
    <row r="284" spans="3:8" x14ac:dyDescent="0.25">
      <c r="C284" s="69">
        <v>2</v>
      </c>
      <c r="D284" s="69">
        <v>40</v>
      </c>
      <c r="E284" s="70">
        <v>30.6</v>
      </c>
      <c r="F284" s="4">
        <f t="shared" si="6"/>
        <v>3.0303030303030377E-2</v>
      </c>
      <c r="G284" s="37">
        <v>28.2</v>
      </c>
      <c r="H284" s="71">
        <v>45492</v>
      </c>
    </row>
    <row r="285" spans="3:8" x14ac:dyDescent="0.25">
      <c r="C285" s="69">
        <v>3</v>
      </c>
      <c r="D285" s="69">
        <v>101</v>
      </c>
      <c r="E285" s="70">
        <v>27.1</v>
      </c>
      <c r="F285" s="4">
        <f t="shared" si="6"/>
        <v>-3.676470588235216E-3</v>
      </c>
      <c r="G285" s="37">
        <v>28.2</v>
      </c>
      <c r="H285" s="71">
        <v>45492</v>
      </c>
    </row>
    <row r="286" spans="3:8" x14ac:dyDescent="0.25">
      <c r="C286" s="69">
        <v>4</v>
      </c>
      <c r="D286" s="69">
        <v>110</v>
      </c>
      <c r="E286" s="70">
        <v>27.6</v>
      </c>
      <c r="F286" s="4">
        <f t="shared" si="6"/>
        <v>-7.1942446043165211E-3</v>
      </c>
      <c r="G286" s="37">
        <v>28.2</v>
      </c>
      <c r="H286" s="71">
        <v>45492</v>
      </c>
    </row>
    <row r="287" spans="3:8" x14ac:dyDescent="0.25">
      <c r="C287" s="69">
        <v>5</v>
      </c>
      <c r="D287" s="69">
        <v>107</v>
      </c>
      <c r="E287" s="70">
        <v>29.5</v>
      </c>
      <c r="F287" s="4">
        <f t="shared" si="6"/>
        <v>-1.0067114093959755E-2</v>
      </c>
      <c r="G287" s="37">
        <v>28.2</v>
      </c>
      <c r="H287" s="71">
        <v>45492</v>
      </c>
    </row>
    <row r="288" spans="3:8" x14ac:dyDescent="0.25">
      <c r="C288" s="69">
        <v>6</v>
      </c>
      <c r="D288" s="69">
        <v>79</v>
      </c>
      <c r="E288" s="70">
        <v>29.7</v>
      </c>
      <c r="F288" s="4">
        <f t="shared" si="6"/>
        <v>3.3783783783783061E-3</v>
      </c>
      <c r="G288" s="37">
        <v>28.2</v>
      </c>
      <c r="H288" s="71">
        <v>45492</v>
      </c>
    </row>
    <row r="289" spans="3:8" x14ac:dyDescent="0.25">
      <c r="C289" s="69">
        <v>7</v>
      </c>
      <c r="D289" s="69">
        <v>101</v>
      </c>
      <c r="E289" s="70">
        <v>24.9</v>
      </c>
      <c r="F289" s="4">
        <f t="shared" si="6"/>
        <v>4.1841004184100423E-2</v>
      </c>
      <c r="G289" s="37">
        <v>28.2</v>
      </c>
      <c r="H289" s="71">
        <v>45492</v>
      </c>
    </row>
    <row r="290" spans="3:8" x14ac:dyDescent="0.25">
      <c r="C290" s="69">
        <v>8</v>
      </c>
      <c r="D290" s="69">
        <v>54</v>
      </c>
      <c r="E290" s="70">
        <v>18.600000000000001</v>
      </c>
      <c r="F290" s="4">
        <f t="shared" si="6"/>
        <v>-5.10204081632653E-2</v>
      </c>
      <c r="G290" s="37">
        <v>28.2</v>
      </c>
      <c r="H290" s="71">
        <v>45492</v>
      </c>
    </row>
    <row r="291" spans="3:8" x14ac:dyDescent="0.25">
      <c r="C291" s="69">
        <v>9</v>
      </c>
      <c r="D291" s="69">
        <v>0</v>
      </c>
      <c r="E291" s="70"/>
      <c r="F291" s="4" t="str">
        <f t="shared" si="6"/>
        <v/>
      </c>
      <c r="G291" s="37">
        <v>28.2</v>
      </c>
      <c r="H291" s="71">
        <v>45492</v>
      </c>
    </row>
    <row r="292" spans="3:8" x14ac:dyDescent="0.25">
      <c r="C292" s="69">
        <v>10</v>
      </c>
      <c r="D292" s="69">
        <v>0</v>
      </c>
      <c r="E292" s="70"/>
      <c r="F292" s="4" t="str">
        <f t="shared" si="6"/>
        <v/>
      </c>
      <c r="G292" s="37">
        <v>28.2</v>
      </c>
      <c r="H292" s="71">
        <v>45492</v>
      </c>
    </row>
    <row r="293" spans="3:8" x14ac:dyDescent="0.25">
      <c r="C293" s="69">
        <v>43</v>
      </c>
      <c r="D293" s="69">
        <v>19</v>
      </c>
      <c r="E293" s="70">
        <v>13.6</v>
      </c>
      <c r="F293" s="4">
        <f t="shared" si="6"/>
        <v>-0.19526627218934905</v>
      </c>
      <c r="G293" s="37">
        <v>28.2</v>
      </c>
      <c r="H293" s="71">
        <v>45492</v>
      </c>
    </row>
    <row r="294" spans="3:8" x14ac:dyDescent="0.25">
      <c r="C294" s="69">
        <v>48</v>
      </c>
      <c r="D294" s="69">
        <v>9</v>
      </c>
      <c r="E294" s="70">
        <v>13.7</v>
      </c>
      <c r="F294" s="4">
        <f t="shared" si="6"/>
        <v>-0.17469879518072301</v>
      </c>
      <c r="G294" s="37">
        <v>28.2</v>
      </c>
      <c r="H294" s="71">
        <v>45492</v>
      </c>
    </row>
    <row r="295" spans="3:8" x14ac:dyDescent="0.25">
      <c r="C295" s="72" t="s">
        <v>8</v>
      </c>
      <c r="D295" s="72" t="s">
        <v>9</v>
      </c>
      <c r="E295" s="73" t="s">
        <v>10</v>
      </c>
      <c r="F295" s="4" t="str">
        <f t="shared" si="6"/>
        <v/>
      </c>
      <c r="G295" s="37">
        <v>28.7</v>
      </c>
      <c r="H295" s="71">
        <v>45493</v>
      </c>
    </row>
    <row r="296" spans="3:8" x14ac:dyDescent="0.25">
      <c r="C296" s="72">
        <v>1</v>
      </c>
      <c r="D296" s="72">
        <v>52</v>
      </c>
      <c r="E296" s="73">
        <v>26.2</v>
      </c>
      <c r="F296" s="4">
        <f t="shared" si="6"/>
        <v>3.968253968253968E-2</v>
      </c>
      <c r="G296" s="37">
        <v>28.7</v>
      </c>
      <c r="H296" s="71">
        <v>45493</v>
      </c>
    </row>
    <row r="297" spans="3:8" x14ac:dyDescent="0.25">
      <c r="C297" s="72">
        <v>2</v>
      </c>
      <c r="D297" s="72">
        <v>37</v>
      </c>
      <c r="E297" s="73">
        <v>31.3</v>
      </c>
      <c r="F297" s="4">
        <f t="shared" si="6"/>
        <v>2.2875816993464027E-2</v>
      </c>
      <c r="G297" s="37">
        <v>28.7</v>
      </c>
      <c r="H297" s="71">
        <v>45493</v>
      </c>
    </row>
    <row r="298" spans="3:8" x14ac:dyDescent="0.25">
      <c r="C298" s="72">
        <v>3</v>
      </c>
      <c r="D298" s="72">
        <v>115</v>
      </c>
      <c r="E298" s="73">
        <v>26</v>
      </c>
      <c r="F298" s="4">
        <f t="shared" si="6"/>
        <v>-4.0590405904059088E-2</v>
      </c>
      <c r="G298" s="37">
        <v>28.7</v>
      </c>
      <c r="H298" s="71">
        <v>45493</v>
      </c>
    </row>
    <row r="299" spans="3:8" x14ac:dyDescent="0.25">
      <c r="C299" s="72">
        <v>4</v>
      </c>
      <c r="D299" s="72">
        <v>117</v>
      </c>
      <c r="E299" s="73">
        <v>28.8</v>
      </c>
      <c r="F299" s="4">
        <f t="shared" si="6"/>
        <v>4.3478260869565188E-2</v>
      </c>
      <c r="G299" s="37">
        <v>28.7</v>
      </c>
      <c r="H299" s="71">
        <v>45493</v>
      </c>
    </row>
    <row r="300" spans="3:8" x14ac:dyDescent="0.25">
      <c r="C300" s="72">
        <v>5</v>
      </c>
      <c r="D300" s="72">
        <v>107</v>
      </c>
      <c r="E300" s="73">
        <v>30.9</v>
      </c>
      <c r="F300" s="4">
        <f t="shared" si="6"/>
        <v>4.745762711864402E-2</v>
      </c>
      <c r="G300" s="37">
        <v>28.7</v>
      </c>
      <c r="H300" s="71">
        <v>45493</v>
      </c>
    </row>
    <row r="301" spans="3:8" x14ac:dyDescent="0.25">
      <c r="C301" s="72">
        <v>6</v>
      </c>
      <c r="D301" s="72">
        <v>93</v>
      </c>
      <c r="E301" s="73">
        <v>31</v>
      </c>
      <c r="F301" s="4">
        <f t="shared" si="6"/>
        <v>4.3771043771043794E-2</v>
      </c>
      <c r="G301" s="37">
        <v>28.7</v>
      </c>
      <c r="H301" s="71">
        <v>45493</v>
      </c>
    </row>
    <row r="302" spans="3:8" x14ac:dyDescent="0.25">
      <c r="C302" s="72">
        <v>7</v>
      </c>
      <c r="D302" s="72">
        <v>101</v>
      </c>
      <c r="E302" s="73">
        <v>25.3</v>
      </c>
      <c r="F302" s="4">
        <f t="shared" si="6"/>
        <v>1.6064257028112535E-2</v>
      </c>
      <c r="G302" s="37">
        <v>28.7</v>
      </c>
      <c r="H302" s="71">
        <v>45493</v>
      </c>
    </row>
    <row r="303" spans="3:8" x14ac:dyDescent="0.25">
      <c r="C303" s="72">
        <v>8</v>
      </c>
      <c r="D303" s="72">
        <v>54</v>
      </c>
      <c r="E303" s="73">
        <v>19.7</v>
      </c>
      <c r="F303" s="4">
        <f t="shared" si="6"/>
        <v>5.9139784946236437E-2</v>
      </c>
      <c r="G303" s="37">
        <v>28.7</v>
      </c>
      <c r="H303" s="71">
        <v>45493</v>
      </c>
    </row>
    <row r="304" spans="3:8" x14ac:dyDescent="0.25">
      <c r="C304" s="72">
        <v>9</v>
      </c>
      <c r="D304" s="72">
        <v>0</v>
      </c>
      <c r="E304" s="73"/>
      <c r="F304" s="4" t="str">
        <f t="shared" ref="F304:F367" si="7">IFERROR((E304-E291)/E291,"")</f>
        <v/>
      </c>
      <c r="G304" s="37">
        <v>28.7</v>
      </c>
      <c r="H304" s="71">
        <v>45493</v>
      </c>
    </row>
    <row r="305" spans="3:8" x14ac:dyDescent="0.25">
      <c r="C305" s="72">
        <v>10</v>
      </c>
      <c r="D305" s="72">
        <v>0</v>
      </c>
      <c r="E305" s="73"/>
      <c r="F305" s="4" t="str">
        <f t="shared" si="7"/>
        <v/>
      </c>
      <c r="G305" s="37">
        <v>28.7</v>
      </c>
      <c r="H305" s="71">
        <v>45493</v>
      </c>
    </row>
    <row r="306" spans="3:8" x14ac:dyDescent="0.25">
      <c r="C306" s="72">
        <v>43</v>
      </c>
      <c r="D306" s="72">
        <v>13</v>
      </c>
      <c r="E306" s="73">
        <v>21.3</v>
      </c>
      <c r="F306" s="4">
        <f t="shared" si="7"/>
        <v>0.56617647058823539</v>
      </c>
      <c r="G306" s="37">
        <v>28.7</v>
      </c>
      <c r="H306" s="71">
        <v>45493</v>
      </c>
    </row>
    <row r="307" spans="3:8" x14ac:dyDescent="0.25">
      <c r="C307" s="72">
        <v>48</v>
      </c>
      <c r="D307" s="72">
        <v>15</v>
      </c>
      <c r="E307" s="73">
        <v>16.100000000000001</v>
      </c>
      <c r="F307" s="4">
        <f t="shared" si="7"/>
        <v>0.17518248175182499</v>
      </c>
      <c r="G307" s="37">
        <v>28.7</v>
      </c>
      <c r="H307" s="71">
        <v>45493</v>
      </c>
    </row>
    <row r="308" spans="3:8" x14ac:dyDescent="0.25">
      <c r="C308" s="74" t="s">
        <v>8</v>
      </c>
      <c r="D308" s="74" t="s">
        <v>9</v>
      </c>
      <c r="E308" s="75" t="s">
        <v>10</v>
      </c>
      <c r="F308" s="4" t="str">
        <f t="shared" si="7"/>
        <v/>
      </c>
      <c r="G308" s="37">
        <v>27.7</v>
      </c>
      <c r="H308" s="76">
        <v>45494</v>
      </c>
    </row>
    <row r="309" spans="3:8" x14ac:dyDescent="0.25">
      <c r="C309" s="74">
        <v>1</v>
      </c>
      <c r="D309" s="74">
        <v>52</v>
      </c>
      <c r="E309" s="75">
        <v>21.1</v>
      </c>
      <c r="F309" s="4">
        <f t="shared" si="7"/>
        <v>-0.19465648854961826</v>
      </c>
      <c r="G309" s="37">
        <v>27.7</v>
      </c>
      <c r="H309" s="76">
        <v>45494</v>
      </c>
    </row>
    <row r="310" spans="3:8" x14ac:dyDescent="0.25">
      <c r="C310" s="74">
        <v>2</v>
      </c>
      <c r="D310" s="74">
        <v>37</v>
      </c>
      <c r="E310" s="75">
        <v>27.5</v>
      </c>
      <c r="F310" s="4">
        <f t="shared" si="7"/>
        <v>-0.12140575079872207</v>
      </c>
      <c r="G310" s="37">
        <v>27.7</v>
      </c>
      <c r="H310" s="76">
        <v>45494</v>
      </c>
    </row>
    <row r="311" spans="3:8" x14ac:dyDescent="0.25">
      <c r="C311" s="74">
        <v>3</v>
      </c>
      <c r="D311" s="74">
        <v>115</v>
      </c>
      <c r="E311" s="75">
        <v>25.2</v>
      </c>
      <c r="F311" s="4">
        <f t="shared" si="7"/>
        <v>-3.0769230769230795E-2</v>
      </c>
      <c r="G311" s="37">
        <v>27.7</v>
      </c>
      <c r="H311" s="76">
        <v>45494</v>
      </c>
    </row>
    <row r="312" spans="3:8" x14ac:dyDescent="0.25">
      <c r="C312" s="74">
        <v>4</v>
      </c>
      <c r="D312" s="74">
        <v>117</v>
      </c>
      <c r="E312" s="75">
        <v>30</v>
      </c>
      <c r="F312" s="4">
        <f t="shared" si="7"/>
        <v>4.1666666666666644E-2</v>
      </c>
      <c r="G312" s="37">
        <v>27.7</v>
      </c>
      <c r="H312" s="76">
        <v>45494</v>
      </c>
    </row>
    <row r="313" spans="3:8" x14ac:dyDescent="0.25">
      <c r="C313" s="74">
        <v>5</v>
      </c>
      <c r="D313" s="74">
        <v>107</v>
      </c>
      <c r="E313" s="75">
        <v>28.9</v>
      </c>
      <c r="F313" s="4">
        <f t="shared" si="7"/>
        <v>-6.4724919093851141E-2</v>
      </c>
      <c r="G313" s="37">
        <v>27.7</v>
      </c>
      <c r="H313" s="76">
        <v>45494</v>
      </c>
    </row>
    <row r="314" spans="3:8" x14ac:dyDescent="0.25">
      <c r="C314" s="74">
        <v>6</v>
      </c>
      <c r="D314" s="74">
        <v>93</v>
      </c>
      <c r="E314" s="75">
        <v>28.4</v>
      </c>
      <c r="F314" s="4">
        <f t="shared" si="7"/>
        <v>-8.3870967741935532E-2</v>
      </c>
      <c r="G314" s="37">
        <v>27.7</v>
      </c>
      <c r="H314" s="76">
        <v>45494</v>
      </c>
    </row>
    <row r="315" spans="3:8" x14ac:dyDescent="0.25">
      <c r="C315" s="74">
        <v>7</v>
      </c>
      <c r="D315" s="74">
        <v>101</v>
      </c>
      <c r="E315" s="75">
        <v>24.2</v>
      </c>
      <c r="F315" s="4">
        <f t="shared" si="7"/>
        <v>-4.3478260869565272E-2</v>
      </c>
      <c r="G315" s="37">
        <v>27.7</v>
      </c>
      <c r="H315" s="76">
        <v>45494</v>
      </c>
    </row>
    <row r="316" spans="3:8" x14ac:dyDescent="0.25">
      <c r="C316" s="74">
        <v>8</v>
      </c>
      <c r="D316" s="74">
        <v>54</v>
      </c>
      <c r="E316" s="75">
        <v>18</v>
      </c>
      <c r="F316" s="4">
        <f t="shared" si="7"/>
        <v>-8.629441624365479E-2</v>
      </c>
      <c r="G316" s="37">
        <v>27.7</v>
      </c>
      <c r="H316" s="76">
        <v>45494</v>
      </c>
    </row>
    <row r="317" spans="3:8" x14ac:dyDescent="0.25">
      <c r="C317" s="74">
        <v>9</v>
      </c>
      <c r="D317" s="74">
        <v>0</v>
      </c>
      <c r="E317" s="75"/>
      <c r="F317" s="4" t="str">
        <f t="shared" si="7"/>
        <v/>
      </c>
      <c r="G317" s="37">
        <v>27.7</v>
      </c>
      <c r="H317" s="76">
        <v>45494</v>
      </c>
    </row>
    <row r="318" spans="3:8" x14ac:dyDescent="0.25">
      <c r="C318" s="74">
        <v>10</v>
      </c>
      <c r="D318" s="74">
        <v>0</v>
      </c>
      <c r="E318" s="75"/>
      <c r="F318" s="4" t="str">
        <f t="shared" si="7"/>
        <v/>
      </c>
      <c r="G318" s="37">
        <v>27.7</v>
      </c>
      <c r="H318" s="76">
        <v>45494</v>
      </c>
    </row>
    <row r="319" spans="3:8" x14ac:dyDescent="0.25">
      <c r="C319" s="74">
        <v>43</v>
      </c>
      <c r="D319" s="74">
        <v>13</v>
      </c>
      <c r="E319" s="75">
        <v>15.9</v>
      </c>
      <c r="F319" s="4">
        <f t="shared" si="7"/>
        <v>-0.25352112676056338</v>
      </c>
      <c r="G319" s="37">
        <v>27.7</v>
      </c>
      <c r="H319" s="76">
        <v>45494</v>
      </c>
    </row>
    <row r="320" spans="3:8" x14ac:dyDescent="0.25">
      <c r="C320" s="74">
        <v>48</v>
      </c>
      <c r="D320" s="74">
        <v>14</v>
      </c>
      <c r="E320" s="75">
        <v>26.5</v>
      </c>
      <c r="F320" s="4">
        <f t="shared" si="7"/>
        <v>0.64596273291925455</v>
      </c>
      <c r="G320" s="37">
        <v>27.7</v>
      </c>
      <c r="H320" s="76">
        <v>45494</v>
      </c>
    </row>
    <row r="321" spans="3:8" x14ac:dyDescent="0.25">
      <c r="C321" s="77" t="s">
        <v>8</v>
      </c>
      <c r="D321" s="77" t="s">
        <v>9</v>
      </c>
      <c r="E321" s="78" t="s">
        <v>10</v>
      </c>
      <c r="F321" s="4" t="str">
        <f t="shared" si="7"/>
        <v/>
      </c>
      <c r="G321" s="37">
        <v>27.6</v>
      </c>
      <c r="H321" s="79">
        <v>45495</v>
      </c>
    </row>
    <row r="322" spans="3:8" x14ac:dyDescent="0.25">
      <c r="C322" s="77">
        <v>1</v>
      </c>
      <c r="D322" s="77">
        <v>51</v>
      </c>
      <c r="E322" s="78">
        <v>23.4</v>
      </c>
      <c r="F322" s="4">
        <f t="shared" si="7"/>
        <v>0.10900473933649275</v>
      </c>
      <c r="G322" s="37">
        <v>27.6</v>
      </c>
      <c r="H322" s="79">
        <v>45495</v>
      </c>
    </row>
    <row r="323" spans="3:8" x14ac:dyDescent="0.25">
      <c r="C323" s="77">
        <v>2</v>
      </c>
      <c r="D323" s="77">
        <v>36</v>
      </c>
      <c r="E323" s="78">
        <v>28.4</v>
      </c>
      <c r="F323" s="4">
        <f t="shared" si="7"/>
        <v>3.2727272727272674E-2</v>
      </c>
      <c r="G323" s="37">
        <v>27.6</v>
      </c>
      <c r="H323" s="79">
        <v>45495</v>
      </c>
    </row>
    <row r="324" spans="3:8" x14ac:dyDescent="0.25">
      <c r="C324" s="77">
        <v>3</v>
      </c>
      <c r="D324" s="77">
        <v>115</v>
      </c>
      <c r="E324" s="78">
        <v>26.5</v>
      </c>
      <c r="F324" s="4">
        <f t="shared" si="7"/>
        <v>5.1587301587301619E-2</v>
      </c>
      <c r="G324" s="37">
        <v>27.6</v>
      </c>
      <c r="H324" s="79">
        <v>45495</v>
      </c>
    </row>
    <row r="325" spans="3:8" x14ac:dyDescent="0.25">
      <c r="C325" s="77">
        <v>4</v>
      </c>
      <c r="D325" s="77">
        <v>117</v>
      </c>
      <c r="E325" s="78">
        <v>28.7</v>
      </c>
      <c r="F325" s="4">
        <f t="shared" si="7"/>
        <v>-4.3333333333333356E-2</v>
      </c>
      <c r="G325" s="37">
        <v>27.6</v>
      </c>
      <c r="H325" s="79">
        <v>45495</v>
      </c>
    </row>
    <row r="326" spans="3:8" x14ac:dyDescent="0.25">
      <c r="C326" s="77">
        <v>5</v>
      </c>
      <c r="D326" s="77">
        <v>108</v>
      </c>
      <c r="E326" s="78">
        <v>29.4</v>
      </c>
      <c r="F326" s="4">
        <f t="shared" si="7"/>
        <v>1.7301038062283738E-2</v>
      </c>
      <c r="G326" s="37">
        <v>27.6</v>
      </c>
      <c r="H326" s="79">
        <v>45495</v>
      </c>
    </row>
    <row r="327" spans="3:8" x14ac:dyDescent="0.25">
      <c r="C327" s="77">
        <v>6</v>
      </c>
      <c r="D327" s="77">
        <v>90</v>
      </c>
      <c r="E327" s="78">
        <v>29.2</v>
      </c>
      <c r="F327" s="4">
        <f t="shared" si="7"/>
        <v>2.8169014084507067E-2</v>
      </c>
      <c r="G327" s="37">
        <v>27.6</v>
      </c>
      <c r="H327" s="79">
        <v>45495</v>
      </c>
    </row>
    <row r="328" spans="3:8" x14ac:dyDescent="0.25">
      <c r="C328" s="77">
        <v>7</v>
      </c>
      <c r="D328" s="77">
        <v>100</v>
      </c>
      <c r="E328" s="78">
        <v>23.1</v>
      </c>
      <c r="F328" s="4">
        <f t="shared" si="7"/>
        <v>-4.5454545454545366E-2</v>
      </c>
      <c r="G328" s="37">
        <v>27.6</v>
      </c>
      <c r="H328" s="79">
        <v>45495</v>
      </c>
    </row>
    <row r="329" spans="3:8" x14ac:dyDescent="0.25">
      <c r="C329" s="77">
        <v>8</v>
      </c>
      <c r="D329" s="77">
        <v>54</v>
      </c>
      <c r="E329" s="78">
        <v>17.8</v>
      </c>
      <c r="F329" s="4">
        <f t="shared" si="7"/>
        <v>-1.1111111111111072E-2</v>
      </c>
      <c r="G329" s="37">
        <v>27.6</v>
      </c>
      <c r="H329" s="79">
        <v>45495</v>
      </c>
    </row>
    <row r="330" spans="3:8" x14ac:dyDescent="0.25">
      <c r="C330" s="77">
        <v>9</v>
      </c>
      <c r="D330" s="77">
        <v>0</v>
      </c>
      <c r="E330" s="78"/>
      <c r="F330" s="4" t="str">
        <f t="shared" si="7"/>
        <v/>
      </c>
      <c r="G330" s="37">
        <v>27.6</v>
      </c>
      <c r="H330" s="79">
        <v>45495</v>
      </c>
    </row>
    <row r="331" spans="3:8" x14ac:dyDescent="0.25">
      <c r="C331" s="77">
        <v>10</v>
      </c>
      <c r="D331" s="77">
        <v>0</v>
      </c>
      <c r="E331" s="78"/>
      <c r="F331" s="4" t="str">
        <f t="shared" si="7"/>
        <v/>
      </c>
      <c r="G331" s="37">
        <v>27.6</v>
      </c>
      <c r="H331" s="79">
        <v>45495</v>
      </c>
    </row>
    <row r="332" spans="3:8" x14ac:dyDescent="0.25">
      <c r="C332" s="77">
        <v>43</v>
      </c>
      <c r="D332" s="77">
        <v>16</v>
      </c>
      <c r="E332" s="78">
        <v>5.5</v>
      </c>
      <c r="F332" s="4">
        <f t="shared" si="7"/>
        <v>-0.65408805031446537</v>
      </c>
      <c r="G332" s="37">
        <v>27.6</v>
      </c>
      <c r="H332" s="79">
        <v>45495</v>
      </c>
    </row>
    <row r="333" spans="3:8" x14ac:dyDescent="0.25">
      <c r="C333" s="77">
        <v>48</v>
      </c>
      <c r="D333" s="77">
        <v>14</v>
      </c>
      <c r="E333" s="78">
        <v>20.2</v>
      </c>
      <c r="F333" s="4">
        <f t="shared" si="7"/>
        <v>-0.2377358490566038</v>
      </c>
      <c r="G333" s="37">
        <v>27.6</v>
      </c>
      <c r="H333" s="79">
        <v>45495</v>
      </c>
    </row>
    <row r="334" spans="3:8" x14ac:dyDescent="0.25">
      <c r="C334" s="80" t="s">
        <v>8</v>
      </c>
      <c r="D334" s="80" t="s">
        <v>9</v>
      </c>
      <c r="E334" s="81" t="s">
        <v>10</v>
      </c>
      <c r="F334" s="4" t="str">
        <f t="shared" si="7"/>
        <v/>
      </c>
      <c r="G334" s="37">
        <v>27.5</v>
      </c>
      <c r="H334" s="82">
        <v>45496</v>
      </c>
    </row>
    <row r="335" spans="3:8" x14ac:dyDescent="0.25">
      <c r="C335" s="80">
        <v>1</v>
      </c>
      <c r="D335" s="80">
        <v>50</v>
      </c>
      <c r="E335" s="81">
        <v>23.8</v>
      </c>
      <c r="F335" s="4">
        <f t="shared" si="7"/>
        <v>1.7094017094017186E-2</v>
      </c>
      <c r="G335" s="37">
        <v>27.5</v>
      </c>
      <c r="H335" s="82">
        <v>45496</v>
      </c>
    </row>
    <row r="336" spans="3:8" x14ac:dyDescent="0.25">
      <c r="C336" s="80">
        <v>2</v>
      </c>
      <c r="D336" s="80">
        <v>36</v>
      </c>
      <c r="E336" s="81">
        <v>28.7</v>
      </c>
      <c r="F336" s="4">
        <f t="shared" si="7"/>
        <v>1.0563380281690167E-2</v>
      </c>
      <c r="G336" s="37">
        <v>27.5</v>
      </c>
      <c r="H336" s="82">
        <v>45496</v>
      </c>
    </row>
    <row r="337" spans="3:8" x14ac:dyDescent="0.25">
      <c r="C337" s="80">
        <v>3</v>
      </c>
      <c r="D337" s="80">
        <v>115</v>
      </c>
      <c r="E337" s="81">
        <v>27.1</v>
      </c>
      <c r="F337" s="4">
        <f t="shared" si="7"/>
        <v>2.2641509433962318E-2</v>
      </c>
      <c r="G337" s="37">
        <v>27.5</v>
      </c>
      <c r="H337" s="82">
        <v>45496</v>
      </c>
    </row>
    <row r="338" spans="3:8" x14ac:dyDescent="0.25">
      <c r="C338" s="80">
        <v>4</v>
      </c>
      <c r="D338" s="80">
        <v>117</v>
      </c>
      <c r="E338" s="81">
        <v>30.3</v>
      </c>
      <c r="F338" s="4">
        <f t="shared" si="7"/>
        <v>5.5749128919860676E-2</v>
      </c>
      <c r="G338" s="37">
        <v>27.5</v>
      </c>
      <c r="H338" s="82">
        <v>45496</v>
      </c>
    </row>
    <row r="339" spans="3:8" x14ac:dyDescent="0.25">
      <c r="C339" s="80">
        <v>5</v>
      </c>
      <c r="D339" s="80">
        <v>108</v>
      </c>
      <c r="E339" s="81">
        <v>29.9</v>
      </c>
      <c r="F339" s="4">
        <f t="shared" si="7"/>
        <v>1.7006802721088437E-2</v>
      </c>
      <c r="G339" s="37">
        <v>27.5</v>
      </c>
      <c r="H339" s="82">
        <v>45496</v>
      </c>
    </row>
    <row r="340" spans="3:8" x14ac:dyDescent="0.25">
      <c r="C340" s="80">
        <v>6</v>
      </c>
      <c r="D340" s="80">
        <v>90</v>
      </c>
      <c r="E340" s="81">
        <v>29.9</v>
      </c>
      <c r="F340" s="4">
        <f t="shared" si="7"/>
        <v>2.3972602739726005E-2</v>
      </c>
      <c r="G340" s="37">
        <v>27.5</v>
      </c>
      <c r="H340" s="82">
        <v>45496</v>
      </c>
    </row>
    <row r="341" spans="3:8" x14ac:dyDescent="0.25">
      <c r="C341" s="80">
        <v>7</v>
      </c>
      <c r="D341" s="80">
        <v>99</v>
      </c>
      <c r="E341" s="81">
        <v>23.4</v>
      </c>
      <c r="F341" s="4">
        <f t="shared" si="7"/>
        <v>1.2987012987012863E-2</v>
      </c>
      <c r="G341" s="37">
        <v>27.5</v>
      </c>
      <c r="H341" s="82">
        <v>45496</v>
      </c>
    </row>
    <row r="342" spans="3:8" x14ac:dyDescent="0.25">
      <c r="C342" s="80">
        <v>8</v>
      </c>
      <c r="D342" s="80">
        <v>54</v>
      </c>
      <c r="E342" s="81">
        <v>18.8</v>
      </c>
      <c r="F342" s="4">
        <f t="shared" si="7"/>
        <v>5.6179775280898875E-2</v>
      </c>
      <c r="G342" s="37">
        <v>27.5</v>
      </c>
      <c r="H342" s="82">
        <v>45496</v>
      </c>
    </row>
    <row r="343" spans="3:8" x14ac:dyDescent="0.25">
      <c r="C343" s="80">
        <v>9</v>
      </c>
      <c r="D343" s="80">
        <v>0</v>
      </c>
      <c r="E343" s="81"/>
      <c r="F343" s="4" t="str">
        <f t="shared" si="7"/>
        <v/>
      </c>
      <c r="G343" s="37">
        <v>27.5</v>
      </c>
      <c r="H343" s="82">
        <v>45496</v>
      </c>
    </row>
    <row r="344" spans="3:8" x14ac:dyDescent="0.25">
      <c r="C344" s="80">
        <v>10</v>
      </c>
      <c r="D344" s="80">
        <v>0</v>
      </c>
      <c r="E344" s="81"/>
      <c r="F344" s="4" t="str">
        <f t="shared" si="7"/>
        <v/>
      </c>
      <c r="G344" s="37">
        <v>27.5</v>
      </c>
      <c r="H344" s="82">
        <v>45496</v>
      </c>
    </row>
    <row r="345" spans="3:8" x14ac:dyDescent="0.25">
      <c r="C345" s="80">
        <v>43</v>
      </c>
      <c r="D345" s="80">
        <v>13</v>
      </c>
      <c r="E345" s="81">
        <v>15.9</v>
      </c>
      <c r="F345" s="4">
        <f t="shared" si="7"/>
        <v>1.8909090909090909</v>
      </c>
      <c r="G345" s="37">
        <v>27.5</v>
      </c>
      <c r="H345" s="82">
        <v>45496</v>
      </c>
    </row>
    <row r="346" spans="3:8" x14ac:dyDescent="0.25">
      <c r="C346" s="80">
        <v>48</v>
      </c>
      <c r="D346" s="80">
        <v>22</v>
      </c>
      <c r="E346" s="81">
        <v>12.6</v>
      </c>
      <c r="F346" s="4">
        <f t="shared" si="7"/>
        <v>-0.37623762376237624</v>
      </c>
      <c r="G346" s="37">
        <v>27.5</v>
      </c>
      <c r="H346" s="82">
        <v>45496</v>
      </c>
    </row>
    <row r="347" spans="3:8" x14ac:dyDescent="0.25">
      <c r="C347" s="83" t="s">
        <v>8</v>
      </c>
      <c r="D347" s="83" t="s">
        <v>9</v>
      </c>
      <c r="E347" s="84" t="s">
        <v>10</v>
      </c>
      <c r="F347" s="4" t="str">
        <f t="shared" si="7"/>
        <v/>
      </c>
      <c r="G347" s="37">
        <v>27.9</v>
      </c>
      <c r="H347" s="85">
        <v>45497</v>
      </c>
    </row>
    <row r="348" spans="3:8" x14ac:dyDescent="0.25">
      <c r="C348" s="83">
        <v>1</v>
      </c>
      <c r="D348" s="83">
        <v>47</v>
      </c>
      <c r="E348" s="84">
        <v>24.2</v>
      </c>
      <c r="F348" s="4">
        <f t="shared" si="7"/>
        <v>1.6806722689075571E-2</v>
      </c>
      <c r="G348" s="37">
        <v>27.9</v>
      </c>
      <c r="H348" s="85">
        <v>45497</v>
      </c>
    </row>
    <row r="349" spans="3:8" x14ac:dyDescent="0.25">
      <c r="C349" s="83">
        <v>2</v>
      </c>
      <c r="D349" s="83">
        <v>36</v>
      </c>
      <c r="E349" s="84">
        <v>29.6</v>
      </c>
      <c r="F349" s="4">
        <f t="shared" si="7"/>
        <v>3.1358885017421678E-2</v>
      </c>
      <c r="G349" s="37">
        <v>27.9</v>
      </c>
      <c r="H349" s="85">
        <v>45497</v>
      </c>
    </row>
    <row r="350" spans="3:8" x14ac:dyDescent="0.25">
      <c r="C350" s="83">
        <v>3</v>
      </c>
      <c r="D350" s="83">
        <v>116</v>
      </c>
      <c r="E350" s="84">
        <v>25.1</v>
      </c>
      <c r="F350" s="4">
        <f t="shared" si="7"/>
        <v>-7.3800738007380073E-2</v>
      </c>
      <c r="G350" s="37">
        <v>27.9</v>
      </c>
      <c r="H350" s="85">
        <v>45497</v>
      </c>
    </row>
    <row r="351" spans="3:8" x14ac:dyDescent="0.25">
      <c r="C351" s="83">
        <v>4</v>
      </c>
      <c r="D351" s="83">
        <v>117</v>
      </c>
      <c r="E351" s="84">
        <v>30.2</v>
      </c>
      <c r="F351" s="4">
        <f t="shared" si="7"/>
        <v>-3.3003300330033472E-3</v>
      </c>
      <c r="G351" s="37">
        <v>27.9</v>
      </c>
      <c r="H351" s="85">
        <v>45497</v>
      </c>
    </row>
    <row r="352" spans="3:8" x14ac:dyDescent="0.25">
      <c r="C352" s="83">
        <v>5</v>
      </c>
      <c r="D352" s="83">
        <v>108</v>
      </c>
      <c r="E352" s="84">
        <v>30.3</v>
      </c>
      <c r="F352" s="4">
        <f t="shared" si="7"/>
        <v>1.3377926421404755E-2</v>
      </c>
      <c r="G352" s="37">
        <v>27.9</v>
      </c>
      <c r="H352" s="85">
        <v>45497</v>
      </c>
    </row>
    <row r="353" spans="3:8" x14ac:dyDescent="0.25">
      <c r="C353" s="83">
        <v>6</v>
      </c>
      <c r="D353" s="83">
        <v>90</v>
      </c>
      <c r="E353" s="84">
        <v>29.6</v>
      </c>
      <c r="F353" s="4">
        <f t="shared" si="7"/>
        <v>-1.0033444816053417E-2</v>
      </c>
      <c r="G353" s="37">
        <v>27.9</v>
      </c>
      <c r="H353" s="85">
        <v>45497</v>
      </c>
    </row>
    <row r="354" spans="3:8" x14ac:dyDescent="0.25">
      <c r="C354" s="83">
        <v>7</v>
      </c>
      <c r="D354" s="83">
        <v>99</v>
      </c>
      <c r="E354" s="84">
        <v>23.6</v>
      </c>
      <c r="F354" s="4">
        <f t="shared" si="7"/>
        <v>8.5470085470086693E-3</v>
      </c>
      <c r="G354" s="37">
        <v>27.9</v>
      </c>
      <c r="H354" s="85">
        <v>45497</v>
      </c>
    </row>
    <row r="355" spans="3:8" x14ac:dyDescent="0.25">
      <c r="C355" s="83">
        <v>8</v>
      </c>
      <c r="D355" s="83">
        <v>54</v>
      </c>
      <c r="E355" s="84">
        <v>20</v>
      </c>
      <c r="F355" s="4">
        <f t="shared" si="7"/>
        <v>6.3829787234042507E-2</v>
      </c>
      <c r="G355" s="37">
        <v>27.9</v>
      </c>
      <c r="H355" s="85">
        <v>45497</v>
      </c>
    </row>
    <row r="356" spans="3:8" x14ac:dyDescent="0.25">
      <c r="C356" s="83">
        <v>9</v>
      </c>
      <c r="D356" s="83">
        <v>0</v>
      </c>
      <c r="E356" s="84"/>
      <c r="F356" s="4" t="str">
        <f t="shared" si="7"/>
        <v/>
      </c>
      <c r="G356" s="37">
        <v>27.9</v>
      </c>
      <c r="H356" s="85">
        <v>45497</v>
      </c>
    </row>
    <row r="357" spans="3:8" x14ac:dyDescent="0.25">
      <c r="C357" s="83">
        <v>10</v>
      </c>
      <c r="D357" s="83">
        <v>0</v>
      </c>
      <c r="E357" s="84"/>
      <c r="F357" s="4" t="str">
        <f t="shared" si="7"/>
        <v/>
      </c>
      <c r="G357" s="37">
        <v>27.9</v>
      </c>
      <c r="H357" s="85">
        <v>45497</v>
      </c>
    </row>
    <row r="358" spans="3:8" x14ac:dyDescent="0.25">
      <c r="C358" s="83">
        <v>43</v>
      </c>
      <c r="D358" s="83">
        <v>0</v>
      </c>
      <c r="E358" s="84">
        <v>19.600000000000001</v>
      </c>
      <c r="F358" s="4">
        <f t="shared" si="7"/>
        <v>0.23270440251572333</v>
      </c>
      <c r="G358" s="37">
        <v>27.9</v>
      </c>
      <c r="H358" s="85">
        <v>45497</v>
      </c>
    </row>
    <row r="359" spans="3:8" x14ac:dyDescent="0.25">
      <c r="C359" s="83">
        <v>48</v>
      </c>
      <c r="D359" s="83">
        <v>0</v>
      </c>
      <c r="E359" s="84">
        <v>9.8000000000000007</v>
      </c>
      <c r="F359" s="4">
        <f t="shared" si="7"/>
        <v>-0.22222222222222215</v>
      </c>
      <c r="G359" s="37">
        <v>27.9</v>
      </c>
      <c r="H359" s="85">
        <v>45497</v>
      </c>
    </row>
    <row r="360" spans="3:8" x14ac:dyDescent="0.25">
      <c r="C360" s="86" t="s">
        <v>8</v>
      </c>
      <c r="D360" s="86" t="s">
        <v>9</v>
      </c>
      <c r="E360" s="87" t="s">
        <v>10</v>
      </c>
      <c r="F360" s="4" t="str">
        <f t="shared" si="7"/>
        <v/>
      </c>
      <c r="G360" s="37">
        <v>27.7</v>
      </c>
      <c r="H360" s="85">
        <v>45498</v>
      </c>
    </row>
    <row r="361" spans="3:8" x14ac:dyDescent="0.25">
      <c r="C361" s="86">
        <v>1</v>
      </c>
      <c r="D361" s="86">
        <v>44</v>
      </c>
      <c r="E361" s="87">
        <v>24.6</v>
      </c>
      <c r="F361" s="4">
        <f t="shared" si="7"/>
        <v>1.6528925619834798E-2</v>
      </c>
      <c r="G361" s="37">
        <v>27.7</v>
      </c>
      <c r="H361" s="85">
        <v>45498</v>
      </c>
    </row>
    <row r="362" spans="3:8" x14ac:dyDescent="0.25">
      <c r="C362" s="86">
        <v>2</v>
      </c>
      <c r="D362" s="86">
        <v>36</v>
      </c>
      <c r="E362" s="87">
        <v>25.8</v>
      </c>
      <c r="F362" s="4">
        <f t="shared" si="7"/>
        <v>-0.1283783783783784</v>
      </c>
      <c r="G362" s="37">
        <v>27.7</v>
      </c>
      <c r="H362" s="85">
        <v>45498</v>
      </c>
    </row>
    <row r="363" spans="3:8" x14ac:dyDescent="0.25">
      <c r="C363" s="86">
        <v>3</v>
      </c>
      <c r="D363" s="86">
        <v>112</v>
      </c>
      <c r="E363" s="87">
        <v>27</v>
      </c>
      <c r="F363" s="4">
        <f t="shared" si="7"/>
        <v>7.5697211155378419E-2</v>
      </c>
      <c r="G363" s="37">
        <v>27.7</v>
      </c>
      <c r="H363" s="85">
        <v>45498</v>
      </c>
    </row>
    <row r="364" spans="3:8" x14ac:dyDescent="0.25">
      <c r="C364" s="86">
        <v>4</v>
      </c>
      <c r="D364" s="86">
        <v>114</v>
      </c>
      <c r="E364" s="87">
        <v>30</v>
      </c>
      <c r="F364" s="4">
        <f t="shared" si="7"/>
        <v>-6.6225165562913673E-3</v>
      </c>
      <c r="G364" s="37">
        <v>27.7</v>
      </c>
      <c r="H364" s="85">
        <v>45498</v>
      </c>
    </row>
    <row r="365" spans="3:8" x14ac:dyDescent="0.25">
      <c r="C365" s="86">
        <v>5</v>
      </c>
      <c r="D365" s="86">
        <v>107</v>
      </c>
      <c r="E365" s="87">
        <v>30.9</v>
      </c>
      <c r="F365" s="4">
        <f t="shared" si="7"/>
        <v>1.9801980198019733E-2</v>
      </c>
      <c r="G365" s="37">
        <v>27.7</v>
      </c>
      <c r="H365" s="85">
        <v>45498</v>
      </c>
    </row>
    <row r="366" spans="3:8" x14ac:dyDescent="0.25">
      <c r="C366" s="86">
        <v>6</v>
      </c>
      <c r="D366" s="86">
        <v>90</v>
      </c>
      <c r="E366" s="87">
        <v>29.5</v>
      </c>
      <c r="F366" s="4">
        <f t="shared" si="7"/>
        <v>-3.3783783783784263E-3</v>
      </c>
      <c r="G366" s="37">
        <v>27.7</v>
      </c>
      <c r="H366" s="85">
        <v>45498</v>
      </c>
    </row>
    <row r="367" spans="3:8" x14ac:dyDescent="0.25">
      <c r="C367" s="86">
        <v>7</v>
      </c>
      <c r="D367" s="86">
        <v>92</v>
      </c>
      <c r="E367" s="87">
        <v>23.4</v>
      </c>
      <c r="F367" s="4">
        <f t="shared" si="7"/>
        <v>-8.4745762711865603E-3</v>
      </c>
      <c r="G367" s="37">
        <v>27.7</v>
      </c>
      <c r="H367" s="85">
        <v>45498</v>
      </c>
    </row>
    <row r="368" spans="3:8" x14ac:dyDescent="0.25">
      <c r="C368" s="86">
        <v>8</v>
      </c>
      <c r="D368" s="86">
        <v>55</v>
      </c>
      <c r="E368" s="87">
        <v>18.899999999999999</v>
      </c>
      <c r="F368" s="4">
        <f t="shared" ref="F368:F431" si="8">IFERROR((E368-E355)/E355,"")</f>
        <v>-5.500000000000007E-2</v>
      </c>
      <c r="G368" s="37">
        <v>27.7</v>
      </c>
      <c r="H368" s="85">
        <v>45498</v>
      </c>
    </row>
    <row r="369" spans="3:8" x14ac:dyDescent="0.25">
      <c r="C369" s="86">
        <v>9</v>
      </c>
      <c r="D369" s="86">
        <v>0</v>
      </c>
      <c r="E369" s="87"/>
      <c r="F369" s="4" t="str">
        <f t="shared" si="8"/>
        <v/>
      </c>
      <c r="G369" s="37">
        <v>27.7</v>
      </c>
      <c r="H369" s="85">
        <v>45498</v>
      </c>
    </row>
    <row r="370" spans="3:8" x14ac:dyDescent="0.25">
      <c r="C370" s="86">
        <v>10</v>
      </c>
      <c r="D370" s="86">
        <v>0</v>
      </c>
      <c r="E370" s="87"/>
      <c r="F370" s="4" t="str">
        <f t="shared" si="8"/>
        <v/>
      </c>
      <c r="G370" s="37">
        <v>27.7</v>
      </c>
      <c r="H370" s="85">
        <v>45498</v>
      </c>
    </row>
    <row r="371" spans="3:8" x14ac:dyDescent="0.25">
      <c r="C371" s="86">
        <v>18</v>
      </c>
      <c r="D371" s="86">
        <v>20</v>
      </c>
      <c r="E371" s="87">
        <v>13.2</v>
      </c>
      <c r="F371" s="4">
        <f t="shared" si="8"/>
        <v>-0.32653061224489804</v>
      </c>
      <c r="G371" s="37">
        <v>27.7</v>
      </c>
      <c r="H371" s="85">
        <v>45498</v>
      </c>
    </row>
    <row r="372" spans="3:8" x14ac:dyDescent="0.25">
      <c r="C372" s="86">
        <v>19</v>
      </c>
      <c r="D372" s="86">
        <v>21</v>
      </c>
      <c r="E372" s="87">
        <v>17.3</v>
      </c>
      <c r="F372" s="4">
        <f t="shared" si="8"/>
        <v>0.76530612244897955</v>
      </c>
      <c r="G372" s="37">
        <v>27.7</v>
      </c>
      <c r="H372" s="85">
        <v>45498</v>
      </c>
    </row>
    <row r="373" spans="3:8" x14ac:dyDescent="0.25">
      <c r="C373" s="88" t="s">
        <v>0</v>
      </c>
      <c r="D373" s="88" t="s">
        <v>7</v>
      </c>
      <c r="E373" s="89" t="s">
        <v>4</v>
      </c>
      <c r="F373" s="4" t="str">
        <f t="shared" si="8"/>
        <v/>
      </c>
      <c r="G373" s="37">
        <v>27.1</v>
      </c>
      <c r="H373" s="90">
        <v>45499</v>
      </c>
    </row>
    <row r="374" spans="3:8" x14ac:dyDescent="0.25">
      <c r="C374" s="88">
        <v>1</v>
      </c>
      <c r="D374" s="88">
        <v>46</v>
      </c>
      <c r="E374" s="89">
        <v>21.7</v>
      </c>
      <c r="F374" s="4">
        <f t="shared" si="8"/>
        <v>-0.1178861788617887</v>
      </c>
      <c r="G374" s="37">
        <v>27.1</v>
      </c>
      <c r="H374" s="90">
        <v>45499</v>
      </c>
    </row>
    <row r="375" spans="3:8" x14ac:dyDescent="0.25">
      <c r="C375" s="88">
        <v>2</v>
      </c>
      <c r="D375" s="88">
        <v>37</v>
      </c>
      <c r="E375" s="89">
        <v>28.7</v>
      </c>
      <c r="F375" s="4">
        <f t="shared" si="8"/>
        <v>0.11240310077519373</v>
      </c>
      <c r="G375" s="37">
        <v>27.1</v>
      </c>
      <c r="H375" s="90">
        <v>45499</v>
      </c>
    </row>
    <row r="376" spans="3:8" x14ac:dyDescent="0.25">
      <c r="C376" s="88">
        <v>3</v>
      </c>
      <c r="D376" s="88">
        <v>112</v>
      </c>
      <c r="E376" s="89">
        <v>26.8</v>
      </c>
      <c r="F376" s="4">
        <f t="shared" si="8"/>
        <v>-7.4074074074073808E-3</v>
      </c>
      <c r="G376" s="37">
        <v>27.1</v>
      </c>
      <c r="H376" s="90">
        <v>45499</v>
      </c>
    </row>
    <row r="377" spans="3:8" x14ac:dyDescent="0.25">
      <c r="C377" s="88">
        <v>4</v>
      </c>
      <c r="D377" s="88">
        <v>114</v>
      </c>
      <c r="E377" s="89">
        <v>29.5</v>
      </c>
      <c r="F377" s="4">
        <f t="shared" si="8"/>
        <v>-1.6666666666666666E-2</v>
      </c>
      <c r="G377" s="37">
        <v>27.1</v>
      </c>
      <c r="H377" s="90">
        <v>45499</v>
      </c>
    </row>
    <row r="378" spans="3:8" x14ac:dyDescent="0.25">
      <c r="C378" s="88">
        <v>5</v>
      </c>
      <c r="D378" s="88">
        <v>107</v>
      </c>
      <c r="E378" s="89">
        <v>29.4</v>
      </c>
      <c r="F378" s="4">
        <f t="shared" si="8"/>
        <v>-4.8543689320388349E-2</v>
      </c>
      <c r="G378" s="37">
        <v>27.1</v>
      </c>
      <c r="H378" s="90">
        <v>45499</v>
      </c>
    </row>
    <row r="379" spans="3:8" x14ac:dyDescent="0.25">
      <c r="C379" s="88">
        <v>6</v>
      </c>
      <c r="D379" s="88">
        <v>89</v>
      </c>
      <c r="E379" s="89">
        <v>29.1</v>
      </c>
      <c r="F379" s="4">
        <f t="shared" si="8"/>
        <v>-1.3559322033898256E-2</v>
      </c>
      <c r="G379" s="37">
        <v>27.1</v>
      </c>
      <c r="H379" s="90">
        <v>45499</v>
      </c>
    </row>
    <row r="380" spans="3:8" x14ac:dyDescent="0.25">
      <c r="C380" s="88">
        <v>7</v>
      </c>
      <c r="D380" s="88">
        <v>93</v>
      </c>
      <c r="E380" s="89">
        <v>23.8</v>
      </c>
      <c r="F380" s="4">
        <f t="shared" si="8"/>
        <v>1.7094017094017186E-2</v>
      </c>
      <c r="G380" s="37">
        <v>27.1</v>
      </c>
      <c r="H380" s="90">
        <v>45499</v>
      </c>
    </row>
    <row r="381" spans="3:8" x14ac:dyDescent="0.25">
      <c r="C381" s="88">
        <v>8</v>
      </c>
      <c r="D381" s="88">
        <v>55</v>
      </c>
      <c r="E381" s="89">
        <v>18.899999999999999</v>
      </c>
      <c r="F381" s="4">
        <f t="shared" si="8"/>
        <v>0</v>
      </c>
      <c r="G381" s="37">
        <v>27.1</v>
      </c>
      <c r="H381" s="90">
        <v>45499</v>
      </c>
    </row>
    <row r="382" spans="3:8" x14ac:dyDescent="0.25">
      <c r="C382" s="88">
        <v>9</v>
      </c>
      <c r="D382" s="88">
        <v>0</v>
      </c>
      <c r="E382" s="89"/>
      <c r="F382" s="4" t="str">
        <f t="shared" si="8"/>
        <v/>
      </c>
      <c r="G382" s="37">
        <v>27.1</v>
      </c>
      <c r="H382" s="90">
        <v>45499</v>
      </c>
    </row>
    <row r="383" spans="3:8" x14ac:dyDescent="0.25">
      <c r="C383" s="88">
        <v>10</v>
      </c>
      <c r="D383" s="88">
        <v>0</v>
      </c>
      <c r="E383" s="89"/>
      <c r="F383" s="4" t="str">
        <f t="shared" si="8"/>
        <v/>
      </c>
      <c r="G383" s="37">
        <v>27.1</v>
      </c>
      <c r="H383" s="90">
        <v>45499</v>
      </c>
    </row>
    <row r="384" spans="3:8" x14ac:dyDescent="0.25">
      <c r="C384" s="88">
        <v>18</v>
      </c>
      <c r="D384" s="88">
        <v>20</v>
      </c>
      <c r="E384" s="89">
        <v>16.399999999999999</v>
      </c>
      <c r="F384" s="4">
        <f t="shared" si="8"/>
        <v>0.24242424242424238</v>
      </c>
      <c r="G384" s="37">
        <v>27.1</v>
      </c>
      <c r="H384" s="90">
        <v>45499</v>
      </c>
    </row>
    <row r="385" spans="3:8" x14ac:dyDescent="0.25">
      <c r="C385" s="88">
        <v>19</v>
      </c>
      <c r="D385" s="88">
        <v>20</v>
      </c>
      <c r="E385" s="89">
        <v>15</v>
      </c>
      <c r="F385" s="4">
        <f t="shared" si="8"/>
        <v>-0.13294797687861276</v>
      </c>
      <c r="G385" s="37">
        <v>27.1</v>
      </c>
      <c r="H385" s="90">
        <v>45499</v>
      </c>
    </row>
    <row r="386" spans="3:8" x14ac:dyDescent="0.25">
      <c r="C386" s="88" t="s">
        <v>0</v>
      </c>
      <c r="D386" s="88" t="s">
        <v>7</v>
      </c>
      <c r="E386" s="89" t="s">
        <v>4</v>
      </c>
      <c r="F386" s="4" t="str">
        <f t="shared" ref="F386" si="9">IFERROR((E386-E373)/E373,"")</f>
        <v/>
      </c>
      <c r="G386" s="37">
        <v>27.7</v>
      </c>
      <c r="H386" s="90">
        <v>45499</v>
      </c>
    </row>
    <row r="387" spans="3:8" x14ac:dyDescent="0.25">
      <c r="C387" s="91">
        <v>1</v>
      </c>
      <c r="D387" s="91">
        <v>46</v>
      </c>
      <c r="E387" s="92">
        <v>19.899999999999999</v>
      </c>
      <c r="F387" s="4">
        <f t="shared" si="8"/>
        <v>-8.2949308755760398E-2</v>
      </c>
      <c r="G387" s="37">
        <v>27.7</v>
      </c>
      <c r="H387" s="90">
        <v>45500</v>
      </c>
    </row>
    <row r="388" spans="3:8" x14ac:dyDescent="0.25">
      <c r="C388" s="91">
        <v>2</v>
      </c>
      <c r="D388" s="91">
        <v>37</v>
      </c>
      <c r="E388" s="92">
        <v>28.1</v>
      </c>
      <c r="F388" s="4">
        <f t="shared" si="8"/>
        <v>-2.0905923344947661E-2</v>
      </c>
      <c r="G388" s="37">
        <v>27.7</v>
      </c>
      <c r="H388" s="90">
        <v>45500</v>
      </c>
    </row>
    <row r="389" spans="3:8" x14ac:dyDescent="0.25">
      <c r="C389" s="91">
        <v>3</v>
      </c>
      <c r="D389" s="91">
        <v>112</v>
      </c>
      <c r="E389" s="92">
        <v>26.7</v>
      </c>
      <c r="F389" s="4">
        <f t="shared" si="8"/>
        <v>-3.7313432835821424E-3</v>
      </c>
      <c r="G389" s="37">
        <v>27.7</v>
      </c>
      <c r="H389" s="90">
        <v>45500</v>
      </c>
    </row>
    <row r="390" spans="3:8" x14ac:dyDescent="0.25">
      <c r="C390" s="91">
        <v>4</v>
      </c>
      <c r="D390" s="91">
        <v>114</v>
      </c>
      <c r="E390" s="92">
        <v>28.5</v>
      </c>
      <c r="F390" s="4">
        <f t="shared" si="8"/>
        <v>-3.3898305084745763E-2</v>
      </c>
      <c r="G390" s="37">
        <v>27.7</v>
      </c>
      <c r="H390" s="90">
        <v>45500</v>
      </c>
    </row>
    <row r="391" spans="3:8" x14ac:dyDescent="0.25">
      <c r="C391" s="91">
        <v>5</v>
      </c>
      <c r="D391" s="91">
        <v>106</v>
      </c>
      <c r="E391" s="92">
        <v>30.1</v>
      </c>
      <c r="F391" s="4">
        <f t="shared" si="8"/>
        <v>2.3809523809523909E-2</v>
      </c>
      <c r="G391" s="37">
        <v>27.7</v>
      </c>
      <c r="H391" s="90">
        <v>45500</v>
      </c>
    </row>
    <row r="392" spans="3:8" x14ac:dyDescent="0.25">
      <c r="C392" s="91">
        <v>6</v>
      </c>
      <c r="D392" s="91">
        <v>89</v>
      </c>
      <c r="E392" s="92">
        <v>28.8</v>
      </c>
      <c r="F392" s="4">
        <f t="shared" si="8"/>
        <v>-1.0309278350515488E-2</v>
      </c>
      <c r="G392" s="37">
        <v>27.7</v>
      </c>
      <c r="H392" s="90">
        <v>45500</v>
      </c>
    </row>
    <row r="393" spans="3:8" x14ac:dyDescent="0.25">
      <c r="C393" s="91">
        <v>7</v>
      </c>
      <c r="D393" s="91">
        <v>93</v>
      </c>
      <c r="E393" s="92">
        <v>23.9</v>
      </c>
      <c r="F393" s="4">
        <f t="shared" si="8"/>
        <v>4.201680672268818E-3</v>
      </c>
      <c r="G393" s="37">
        <v>27.7</v>
      </c>
      <c r="H393" s="90">
        <v>45500</v>
      </c>
    </row>
    <row r="394" spans="3:8" x14ac:dyDescent="0.25">
      <c r="C394" s="91">
        <v>8</v>
      </c>
      <c r="D394" s="91">
        <v>55</v>
      </c>
      <c r="E394" s="92">
        <v>20.7</v>
      </c>
      <c r="F394" s="4">
        <f t="shared" si="8"/>
        <v>9.5238095238095288E-2</v>
      </c>
      <c r="G394" s="37">
        <v>27.7</v>
      </c>
      <c r="H394" s="90">
        <v>45500</v>
      </c>
    </row>
    <row r="395" spans="3:8" x14ac:dyDescent="0.25">
      <c r="C395" s="91">
        <v>9</v>
      </c>
      <c r="D395" s="91">
        <v>0</v>
      </c>
      <c r="E395" s="92"/>
      <c r="F395" s="4" t="str">
        <f t="shared" si="8"/>
        <v/>
      </c>
      <c r="G395" s="37">
        <v>27.7</v>
      </c>
      <c r="H395" s="90">
        <v>45500</v>
      </c>
    </row>
    <row r="396" spans="3:8" x14ac:dyDescent="0.25">
      <c r="C396" s="91">
        <v>10</v>
      </c>
      <c r="D396" s="91">
        <v>0</v>
      </c>
      <c r="E396" s="92"/>
      <c r="F396" s="4" t="str">
        <f t="shared" si="8"/>
        <v/>
      </c>
      <c r="G396" s="37">
        <v>27.7</v>
      </c>
      <c r="H396" s="90">
        <v>45500</v>
      </c>
    </row>
    <row r="397" spans="3:8" x14ac:dyDescent="0.25">
      <c r="C397" s="91">
        <v>18</v>
      </c>
      <c r="D397" s="91">
        <v>20</v>
      </c>
      <c r="E397" s="92">
        <v>13.4</v>
      </c>
      <c r="F397" s="4">
        <f t="shared" si="8"/>
        <v>-0.1829268292682926</v>
      </c>
      <c r="G397" s="37">
        <v>27.7</v>
      </c>
      <c r="H397" s="90">
        <v>45500</v>
      </c>
    </row>
    <row r="398" spans="3:8" x14ac:dyDescent="0.25">
      <c r="C398" s="91">
        <v>19</v>
      </c>
      <c r="D398" s="91">
        <v>23</v>
      </c>
      <c r="E398" s="92">
        <v>10.3</v>
      </c>
      <c r="F398" s="4">
        <f t="shared" si="8"/>
        <v>-0.3133333333333333</v>
      </c>
      <c r="G398" s="37">
        <v>27.7</v>
      </c>
      <c r="H398" s="90">
        <v>45500</v>
      </c>
    </row>
    <row r="399" spans="3:8" x14ac:dyDescent="0.25">
      <c r="C399" s="93" t="s">
        <v>0</v>
      </c>
      <c r="D399" s="93" t="s">
        <v>7</v>
      </c>
      <c r="E399" s="94" t="s">
        <v>4</v>
      </c>
      <c r="F399" s="4" t="str">
        <f t="shared" si="8"/>
        <v/>
      </c>
      <c r="G399" s="37">
        <v>27.3</v>
      </c>
      <c r="H399" s="95">
        <v>45501</v>
      </c>
    </row>
    <row r="400" spans="3:8" x14ac:dyDescent="0.25">
      <c r="C400" s="93">
        <v>1</v>
      </c>
      <c r="D400" s="93">
        <v>47</v>
      </c>
      <c r="E400" s="94">
        <v>27.4</v>
      </c>
      <c r="F400" s="4">
        <f t="shared" si="8"/>
        <v>0.37688442211055279</v>
      </c>
      <c r="G400" s="37">
        <v>27.3</v>
      </c>
      <c r="H400" s="95">
        <v>45501</v>
      </c>
    </row>
    <row r="401" spans="3:8" x14ac:dyDescent="0.25">
      <c r="C401" s="93">
        <v>2</v>
      </c>
      <c r="D401" s="93">
        <v>38</v>
      </c>
      <c r="E401" s="94">
        <v>28.5</v>
      </c>
      <c r="F401" s="4">
        <f t="shared" si="8"/>
        <v>1.4234875444839807E-2</v>
      </c>
      <c r="G401" s="37">
        <v>27.3</v>
      </c>
      <c r="H401" s="95">
        <v>45501</v>
      </c>
    </row>
    <row r="402" spans="3:8" x14ac:dyDescent="0.25">
      <c r="C402" s="93">
        <v>3</v>
      </c>
      <c r="D402" s="93">
        <v>112</v>
      </c>
      <c r="E402" s="94">
        <v>25.4</v>
      </c>
      <c r="F402" s="4">
        <f t="shared" si="8"/>
        <v>-4.8689138576779055E-2</v>
      </c>
      <c r="G402" s="37">
        <v>27.3</v>
      </c>
      <c r="H402" s="95">
        <v>45501</v>
      </c>
    </row>
    <row r="403" spans="3:8" x14ac:dyDescent="0.25">
      <c r="C403" s="93">
        <v>4</v>
      </c>
      <c r="D403" s="93">
        <v>114</v>
      </c>
      <c r="E403" s="94">
        <v>29</v>
      </c>
      <c r="F403" s="4">
        <f t="shared" si="8"/>
        <v>1.7543859649122806E-2</v>
      </c>
      <c r="G403" s="37">
        <v>27.3</v>
      </c>
      <c r="H403" s="95">
        <v>45501</v>
      </c>
    </row>
    <row r="404" spans="3:8" x14ac:dyDescent="0.25">
      <c r="C404" s="93">
        <v>5</v>
      </c>
      <c r="D404" s="93">
        <v>105</v>
      </c>
      <c r="E404" s="94">
        <v>29.8</v>
      </c>
      <c r="F404" s="4">
        <f t="shared" si="8"/>
        <v>-9.9667774086378974E-3</v>
      </c>
      <c r="G404" s="37">
        <v>27.3</v>
      </c>
      <c r="H404" s="95">
        <v>45501</v>
      </c>
    </row>
    <row r="405" spans="3:8" x14ac:dyDescent="0.25">
      <c r="C405" s="93">
        <v>6</v>
      </c>
      <c r="D405" s="93">
        <v>91</v>
      </c>
      <c r="E405" s="94">
        <v>28.8</v>
      </c>
      <c r="F405" s="4">
        <f t="shared" si="8"/>
        <v>0</v>
      </c>
      <c r="G405" s="37">
        <v>27.3</v>
      </c>
      <c r="H405" s="95">
        <v>45501</v>
      </c>
    </row>
    <row r="406" spans="3:8" x14ac:dyDescent="0.25">
      <c r="C406" s="93">
        <v>7</v>
      </c>
      <c r="D406" s="93">
        <v>95</v>
      </c>
      <c r="E406" s="94">
        <v>24.6</v>
      </c>
      <c r="F406" s="4">
        <f t="shared" si="8"/>
        <v>2.9288702928870414E-2</v>
      </c>
      <c r="G406" s="37">
        <v>27.3</v>
      </c>
      <c r="H406" s="95">
        <v>45501</v>
      </c>
    </row>
    <row r="407" spans="3:8" x14ac:dyDescent="0.25">
      <c r="C407" s="93">
        <v>8</v>
      </c>
      <c r="D407" s="93">
        <v>55</v>
      </c>
      <c r="E407" s="94">
        <v>19.7</v>
      </c>
      <c r="F407" s="4">
        <f t="shared" si="8"/>
        <v>-4.8309178743961352E-2</v>
      </c>
      <c r="G407" s="37">
        <v>27.3</v>
      </c>
      <c r="H407" s="95">
        <v>45501</v>
      </c>
    </row>
    <row r="408" spans="3:8" x14ac:dyDescent="0.25">
      <c r="C408" s="93">
        <v>9</v>
      </c>
      <c r="D408" s="93">
        <v>0</v>
      </c>
      <c r="E408" s="94"/>
      <c r="F408" s="4" t="str">
        <f t="shared" si="8"/>
        <v/>
      </c>
      <c r="G408" s="37">
        <v>27.3</v>
      </c>
      <c r="H408" s="95">
        <v>45501</v>
      </c>
    </row>
    <row r="409" spans="3:8" x14ac:dyDescent="0.25">
      <c r="C409" s="93">
        <v>10</v>
      </c>
      <c r="D409" s="93">
        <v>0</v>
      </c>
      <c r="E409" s="94"/>
      <c r="F409" s="4" t="str">
        <f t="shared" si="8"/>
        <v/>
      </c>
      <c r="G409" s="37">
        <v>27.3</v>
      </c>
      <c r="H409" s="95">
        <v>45501</v>
      </c>
    </row>
    <row r="410" spans="3:8" x14ac:dyDescent="0.25">
      <c r="C410" s="93">
        <v>18</v>
      </c>
      <c r="D410" s="93">
        <v>20</v>
      </c>
      <c r="E410" s="94">
        <v>16.899999999999999</v>
      </c>
      <c r="F410" s="4">
        <f t="shared" si="8"/>
        <v>0.26119402985074613</v>
      </c>
      <c r="G410" s="37">
        <v>27.3</v>
      </c>
      <c r="H410" s="95">
        <v>45501</v>
      </c>
    </row>
    <row r="411" spans="3:8" x14ac:dyDescent="0.25">
      <c r="C411" s="93">
        <v>19</v>
      </c>
      <c r="D411" s="93">
        <v>18</v>
      </c>
      <c r="E411" s="94">
        <v>13.7</v>
      </c>
      <c r="F411" s="4">
        <f t="shared" si="8"/>
        <v>0.33009708737864063</v>
      </c>
      <c r="G411" s="37">
        <v>27.3</v>
      </c>
      <c r="H411" s="95">
        <v>45501</v>
      </c>
    </row>
    <row r="412" spans="3:8" x14ac:dyDescent="0.25">
      <c r="C412" s="96" t="s">
        <v>8</v>
      </c>
      <c r="D412" s="96" t="s">
        <v>9</v>
      </c>
      <c r="E412" s="97" t="s">
        <v>10</v>
      </c>
      <c r="F412" s="4" t="str">
        <f t="shared" si="8"/>
        <v/>
      </c>
      <c r="G412" s="37">
        <v>26.1</v>
      </c>
      <c r="H412" s="98">
        <v>45502</v>
      </c>
    </row>
    <row r="413" spans="3:8" x14ac:dyDescent="0.25">
      <c r="C413" s="96">
        <v>1</v>
      </c>
      <c r="D413" s="96">
        <v>47</v>
      </c>
      <c r="E413" s="97">
        <v>29.9</v>
      </c>
      <c r="F413" s="4">
        <f t="shared" si="8"/>
        <v>9.1240875912408759E-2</v>
      </c>
      <c r="G413" s="37">
        <v>26.1</v>
      </c>
      <c r="H413" s="98">
        <v>45502</v>
      </c>
    </row>
    <row r="414" spans="3:8" x14ac:dyDescent="0.25">
      <c r="C414" s="96">
        <v>2</v>
      </c>
      <c r="D414" s="96">
        <v>39</v>
      </c>
      <c r="E414" s="97">
        <v>26.2</v>
      </c>
      <c r="F414" s="4">
        <f t="shared" si="8"/>
        <v>-8.0701754385964941E-2</v>
      </c>
      <c r="G414" s="37">
        <v>26.1</v>
      </c>
      <c r="H414" s="98">
        <v>45502</v>
      </c>
    </row>
    <row r="415" spans="3:8" x14ac:dyDescent="0.25">
      <c r="C415" s="96">
        <v>3</v>
      </c>
      <c r="D415" s="96">
        <v>113</v>
      </c>
      <c r="E415" s="97">
        <v>25.1</v>
      </c>
      <c r="F415" s="4">
        <f t="shared" si="8"/>
        <v>-1.1811023622047133E-2</v>
      </c>
      <c r="G415" s="37">
        <v>26.1</v>
      </c>
      <c r="H415" s="98">
        <v>45502</v>
      </c>
    </row>
    <row r="416" spans="3:8" x14ac:dyDescent="0.25">
      <c r="C416" s="96">
        <v>4</v>
      </c>
      <c r="D416" s="96">
        <v>114</v>
      </c>
      <c r="E416" s="97">
        <v>27.5</v>
      </c>
      <c r="F416" s="4">
        <f t="shared" si="8"/>
        <v>-5.1724137931034482E-2</v>
      </c>
      <c r="G416" s="37">
        <v>26.1</v>
      </c>
      <c r="H416" s="98">
        <v>45502</v>
      </c>
    </row>
    <row r="417" spans="3:8" x14ac:dyDescent="0.25">
      <c r="C417" s="96">
        <v>5</v>
      </c>
      <c r="D417" s="96">
        <v>104</v>
      </c>
      <c r="E417" s="97">
        <v>26.5</v>
      </c>
      <c r="F417" s="4">
        <f t="shared" si="8"/>
        <v>-0.11073825503355707</v>
      </c>
      <c r="G417" s="37">
        <v>26.1</v>
      </c>
      <c r="H417" s="98">
        <v>45502</v>
      </c>
    </row>
    <row r="418" spans="3:8" x14ac:dyDescent="0.25">
      <c r="C418" s="96">
        <v>6</v>
      </c>
      <c r="D418" s="96">
        <v>90</v>
      </c>
      <c r="E418" s="97">
        <v>27</v>
      </c>
      <c r="F418" s="4">
        <f t="shared" si="8"/>
        <v>-6.2500000000000028E-2</v>
      </c>
      <c r="G418" s="37">
        <v>26.1</v>
      </c>
      <c r="H418" s="98">
        <v>45502</v>
      </c>
    </row>
    <row r="419" spans="3:8" x14ac:dyDescent="0.25">
      <c r="C419" s="96">
        <v>7</v>
      </c>
      <c r="D419" s="96">
        <v>95</v>
      </c>
      <c r="E419" s="97">
        <v>22.6</v>
      </c>
      <c r="F419" s="4">
        <f t="shared" si="8"/>
        <v>-8.1300813008130079E-2</v>
      </c>
      <c r="G419" s="37">
        <v>26.1</v>
      </c>
      <c r="H419" s="98">
        <v>45502</v>
      </c>
    </row>
    <row r="420" spans="3:8" x14ac:dyDescent="0.25">
      <c r="C420" s="96">
        <v>8</v>
      </c>
      <c r="D420" s="96">
        <v>56</v>
      </c>
      <c r="E420" s="97">
        <v>17.5</v>
      </c>
      <c r="F420" s="4">
        <f t="shared" si="8"/>
        <v>-0.11167512690355327</v>
      </c>
      <c r="G420" s="37">
        <v>26.1</v>
      </c>
      <c r="H420" s="98">
        <v>45502</v>
      </c>
    </row>
    <row r="421" spans="3:8" x14ac:dyDescent="0.25">
      <c r="C421" s="96">
        <v>9</v>
      </c>
      <c r="D421" s="96">
        <v>0</v>
      </c>
      <c r="E421" s="97"/>
      <c r="F421" s="4" t="str">
        <f t="shared" si="8"/>
        <v/>
      </c>
      <c r="G421" s="37">
        <v>26.1</v>
      </c>
      <c r="H421" s="98">
        <v>45502</v>
      </c>
    </row>
    <row r="422" spans="3:8" x14ac:dyDescent="0.25">
      <c r="C422" s="96">
        <v>10</v>
      </c>
      <c r="D422" s="96">
        <v>0</v>
      </c>
      <c r="E422" s="97"/>
      <c r="F422" s="4" t="str">
        <f t="shared" si="8"/>
        <v/>
      </c>
      <c r="G422" s="37">
        <v>26.1</v>
      </c>
      <c r="H422" s="98">
        <v>45502</v>
      </c>
    </row>
    <row r="423" spans="3:8" x14ac:dyDescent="0.25">
      <c r="C423" s="96">
        <v>18</v>
      </c>
      <c r="D423" s="96">
        <v>19</v>
      </c>
      <c r="E423" s="97">
        <v>19.7</v>
      </c>
      <c r="F423" s="4">
        <f t="shared" si="8"/>
        <v>0.16568047337278113</v>
      </c>
      <c r="G423" s="37">
        <v>26.1</v>
      </c>
      <c r="H423" s="98">
        <v>45502</v>
      </c>
    </row>
    <row r="424" spans="3:8" x14ac:dyDescent="0.25">
      <c r="C424" s="96">
        <v>19</v>
      </c>
      <c r="D424" s="96">
        <v>22</v>
      </c>
      <c r="E424" s="97">
        <v>7.4</v>
      </c>
      <c r="F424" s="4">
        <f t="shared" si="8"/>
        <v>-0.45985401459854008</v>
      </c>
      <c r="G424" s="37">
        <v>26.1</v>
      </c>
      <c r="H424" s="98">
        <v>45502</v>
      </c>
    </row>
    <row r="425" spans="3:8" x14ac:dyDescent="0.25">
      <c r="C425" s="99" t="s">
        <v>0</v>
      </c>
      <c r="D425" s="99" t="s">
        <v>7</v>
      </c>
      <c r="E425" s="100" t="s">
        <v>4</v>
      </c>
      <c r="F425" s="4" t="str">
        <f t="shared" si="8"/>
        <v/>
      </c>
      <c r="G425" s="37">
        <v>26.4</v>
      </c>
      <c r="H425" s="101">
        <v>45503</v>
      </c>
    </row>
    <row r="426" spans="3:8" x14ac:dyDescent="0.25">
      <c r="C426" s="99">
        <v>1</v>
      </c>
      <c r="D426" s="99">
        <v>48</v>
      </c>
      <c r="E426" s="100">
        <v>29.2</v>
      </c>
      <c r="F426" s="4">
        <f t="shared" si="8"/>
        <v>-2.3411371237458171E-2</v>
      </c>
      <c r="G426" s="37">
        <v>26.4</v>
      </c>
      <c r="H426" s="101">
        <v>45503</v>
      </c>
    </row>
    <row r="427" spans="3:8" x14ac:dyDescent="0.25">
      <c r="C427" s="99">
        <v>2</v>
      </c>
      <c r="D427" s="99">
        <v>38</v>
      </c>
      <c r="E427" s="100">
        <v>28.4</v>
      </c>
      <c r="F427" s="4">
        <f t="shared" si="8"/>
        <v>8.3969465648854935E-2</v>
      </c>
      <c r="G427" s="37">
        <v>26.4</v>
      </c>
      <c r="H427" s="101">
        <v>45503</v>
      </c>
    </row>
    <row r="428" spans="3:8" x14ac:dyDescent="0.25">
      <c r="C428" s="99">
        <v>3</v>
      </c>
      <c r="D428" s="99">
        <v>114</v>
      </c>
      <c r="E428" s="100">
        <v>25.1</v>
      </c>
      <c r="F428" s="4">
        <f t="shared" si="8"/>
        <v>0</v>
      </c>
      <c r="G428" s="37">
        <v>26.4</v>
      </c>
      <c r="H428" s="101">
        <v>45503</v>
      </c>
    </row>
    <row r="429" spans="3:8" x14ac:dyDescent="0.25">
      <c r="C429" s="99">
        <v>4</v>
      </c>
      <c r="D429" s="99">
        <v>114</v>
      </c>
      <c r="E429" s="100">
        <v>27.6</v>
      </c>
      <c r="F429" s="4">
        <f t="shared" si="8"/>
        <v>3.636363636363688E-3</v>
      </c>
      <c r="G429" s="37">
        <v>26.4</v>
      </c>
      <c r="H429" s="101">
        <v>45503</v>
      </c>
    </row>
    <row r="430" spans="3:8" x14ac:dyDescent="0.25">
      <c r="C430" s="99">
        <v>5</v>
      </c>
      <c r="D430" s="99">
        <v>103</v>
      </c>
      <c r="E430" s="100">
        <v>28.1</v>
      </c>
      <c r="F430" s="4">
        <f t="shared" si="8"/>
        <v>6.0377358490566094E-2</v>
      </c>
      <c r="G430" s="37">
        <v>26.4</v>
      </c>
      <c r="H430" s="101">
        <v>45503</v>
      </c>
    </row>
    <row r="431" spans="3:8" x14ac:dyDescent="0.25">
      <c r="C431" s="99">
        <v>6</v>
      </c>
      <c r="D431" s="99">
        <v>91</v>
      </c>
      <c r="E431" s="100">
        <v>27.8</v>
      </c>
      <c r="F431" s="4">
        <f t="shared" si="8"/>
        <v>2.9629629629629655E-2</v>
      </c>
      <c r="G431" s="37">
        <v>26.4</v>
      </c>
      <c r="H431" s="101">
        <v>45503</v>
      </c>
    </row>
    <row r="432" spans="3:8" x14ac:dyDescent="0.25">
      <c r="C432" s="99">
        <v>7</v>
      </c>
      <c r="D432" s="99">
        <v>96</v>
      </c>
      <c r="E432" s="100">
        <v>22.2</v>
      </c>
      <c r="F432" s="4">
        <f t="shared" ref="F432:F495" si="10">IFERROR((E432-E419)/E419,"")</f>
        <v>-1.7699115044247881E-2</v>
      </c>
      <c r="G432" s="37">
        <v>26.4</v>
      </c>
      <c r="H432" s="101">
        <v>45503</v>
      </c>
    </row>
    <row r="433" spans="3:8" x14ac:dyDescent="0.25">
      <c r="C433" s="99">
        <v>8</v>
      </c>
      <c r="D433" s="99">
        <v>55</v>
      </c>
      <c r="E433" s="100">
        <v>17.5</v>
      </c>
      <c r="F433" s="4">
        <f t="shared" si="10"/>
        <v>0</v>
      </c>
      <c r="G433" s="37">
        <v>26.4</v>
      </c>
      <c r="H433" s="101">
        <v>45503</v>
      </c>
    </row>
    <row r="434" spans="3:8" x14ac:dyDescent="0.25">
      <c r="C434" s="99">
        <v>9</v>
      </c>
      <c r="D434" s="99">
        <v>0</v>
      </c>
      <c r="E434" s="100"/>
      <c r="F434" s="4" t="str">
        <f t="shared" si="10"/>
        <v/>
      </c>
      <c r="G434" s="37">
        <v>26.4</v>
      </c>
      <c r="H434" s="101">
        <v>45503</v>
      </c>
    </row>
    <row r="435" spans="3:8" x14ac:dyDescent="0.25">
      <c r="C435" s="99">
        <v>10</v>
      </c>
      <c r="D435" s="99">
        <v>0</v>
      </c>
      <c r="E435" s="100"/>
      <c r="F435" s="4" t="str">
        <f t="shared" si="10"/>
        <v/>
      </c>
      <c r="G435" s="37">
        <v>26.4</v>
      </c>
      <c r="H435" s="101">
        <v>45503</v>
      </c>
    </row>
    <row r="436" spans="3:8" x14ac:dyDescent="0.25">
      <c r="C436" s="99">
        <v>18</v>
      </c>
      <c r="D436" s="99">
        <v>18</v>
      </c>
      <c r="E436" s="100">
        <v>14.6</v>
      </c>
      <c r="F436" s="4">
        <f t="shared" si="10"/>
        <v>-0.25888324873096447</v>
      </c>
      <c r="G436" s="37">
        <v>26.4</v>
      </c>
      <c r="H436" s="101">
        <v>45503</v>
      </c>
    </row>
    <row r="437" spans="3:8" x14ac:dyDescent="0.25">
      <c r="C437" s="99">
        <v>19</v>
      </c>
      <c r="D437" s="99">
        <v>21</v>
      </c>
      <c r="E437" s="100">
        <v>10.3</v>
      </c>
      <c r="F437" s="4">
        <f t="shared" si="10"/>
        <v>0.39189189189189194</v>
      </c>
      <c r="G437" s="37">
        <v>26.4</v>
      </c>
      <c r="H437" s="101">
        <v>45503</v>
      </c>
    </row>
    <row r="438" spans="3:8" x14ac:dyDescent="0.25">
      <c r="C438" s="102" t="s">
        <v>0</v>
      </c>
      <c r="D438" s="102" t="s">
        <v>7</v>
      </c>
      <c r="E438" s="103" t="s">
        <v>4</v>
      </c>
      <c r="F438" s="4" t="str">
        <f t="shared" si="10"/>
        <v/>
      </c>
      <c r="G438" s="37">
        <v>26.1</v>
      </c>
      <c r="H438" s="104">
        <v>45504</v>
      </c>
    </row>
    <row r="439" spans="3:8" x14ac:dyDescent="0.25">
      <c r="C439" s="102">
        <v>1</v>
      </c>
      <c r="D439" s="102">
        <v>49</v>
      </c>
      <c r="E439" s="103">
        <v>29.7</v>
      </c>
      <c r="F439" s="4">
        <f t="shared" si="10"/>
        <v>1.7123287671232876E-2</v>
      </c>
      <c r="G439" s="37">
        <v>26.1</v>
      </c>
      <c r="H439" s="104">
        <v>45504</v>
      </c>
    </row>
    <row r="440" spans="3:8" x14ac:dyDescent="0.25">
      <c r="C440" s="102">
        <v>2</v>
      </c>
      <c r="D440" s="102">
        <v>38</v>
      </c>
      <c r="E440" s="103">
        <v>27.6</v>
      </c>
      <c r="F440" s="4">
        <f t="shared" si="10"/>
        <v>-2.8169014084506942E-2</v>
      </c>
      <c r="G440" s="37">
        <v>26.1</v>
      </c>
      <c r="H440" s="104">
        <v>45504</v>
      </c>
    </row>
    <row r="441" spans="3:8" x14ac:dyDescent="0.25">
      <c r="C441" s="102">
        <v>3</v>
      </c>
      <c r="D441" s="102">
        <v>114</v>
      </c>
      <c r="E441" s="103">
        <v>25.3</v>
      </c>
      <c r="F441" s="4">
        <f t="shared" si="10"/>
        <v>7.9681274900398127E-3</v>
      </c>
      <c r="G441" s="37">
        <v>26.1</v>
      </c>
      <c r="H441" s="104">
        <v>45504</v>
      </c>
    </row>
    <row r="442" spans="3:8" x14ac:dyDescent="0.25">
      <c r="C442" s="102">
        <v>4</v>
      </c>
      <c r="D442" s="102">
        <v>114</v>
      </c>
      <c r="E442" s="103">
        <v>26.8</v>
      </c>
      <c r="F442" s="4">
        <f t="shared" si="10"/>
        <v>-2.8985507246376836E-2</v>
      </c>
      <c r="G442" s="37">
        <v>26.1</v>
      </c>
      <c r="H442" s="104">
        <v>45504</v>
      </c>
    </row>
    <row r="443" spans="3:8" x14ac:dyDescent="0.25">
      <c r="C443" s="102">
        <v>5</v>
      </c>
      <c r="D443" s="102">
        <v>102</v>
      </c>
      <c r="E443" s="103">
        <v>28.5</v>
      </c>
      <c r="F443" s="4">
        <f t="shared" si="10"/>
        <v>1.4234875444839807E-2</v>
      </c>
      <c r="G443" s="37">
        <v>26.1</v>
      </c>
      <c r="H443" s="104">
        <v>45504</v>
      </c>
    </row>
    <row r="444" spans="3:8" x14ac:dyDescent="0.25">
      <c r="C444" s="102">
        <v>6</v>
      </c>
      <c r="D444" s="102">
        <v>91</v>
      </c>
      <c r="E444" s="103">
        <v>27.4</v>
      </c>
      <c r="F444" s="4">
        <f t="shared" si="10"/>
        <v>-1.4388489208633171E-2</v>
      </c>
      <c r="G444" s="37">
        <v>26.1</v>
      </c>
      <c r="H444" s="104">
        <v>45504</v>
      </c>
    </row>
    <row r="445" spans="3:8" x14ac:dyDescent="0.25">
      <c r="C445" s="102">
        <v>7</v>
      </c>
      <c r="D445" s="102">
        <v>96</v>
      </c>
      <c r="E445" s="103">
        <v>22.4</v>
      </c>
      <c r="F445" s="4">
        <f t="shared" si="10"/>
        <v>9.0090090090089777E-3</v>
      </c>
      <c r="G445" s="37">
        <v>26.1</v>
      </c>
      <c r="H445" s="104">
        <v>45504</v>
      </c>
    </row>
    <row r="446" spans="3:8" x14ac:dyDescent="0.25">
      <c r="C446" s="102">
        <v>8</v>
      </c>
      <c r="D446" s="102">
        <v>55</v>
      </c>
      <c r="E446" s="103">
        <v>17.3</v>
      </c>
      <c r="F446" s="4">
        <f t="shared" si="10"/>
        <v>-1.1428571428571389E-2</v>
      </c>
      <c r="G446" s="37">
        <v>26.1</v>
      </c>
      <c r="H446" s="104">
        <v>45504</v>
      </c>
    </row>
    <row r="447" spans="3:8" x14ac:dyDescent="0.25">
      <c r="C447" s="102">
        <v>9</v>
      </c>
      <c r="D447" s="102">
        <v>0</v>
      </c>
      <c r="E447" s="103"/>
      <c r="F447" s="4" t="str">
        <f t="shared" si="10"/>
        <v/>
      </c>
      <c r="G447" s="37">
        <v>26.1</v>
      </c>
      <c r="H447" s="104">
        <v>45504</v>
      </c>
    </row>
    <row r="448" spans="3:8" x14ac:dyDescent="0.25">
      <c r="C448" s="102">
        <v>10</v>
      </c>
      <c r="D448" s="102">
        <v>0</v>
      </c>
      <c r="E448" s="103"/>
      <c r="F448" s="4" t="str">
        <f t="shared" si="10"/>
        <v/>
      </c>
      <c r="G448" s="37">
        <v>26.1</v>
      </c>
      <c r="H448" s="104">
        <v>45504</v>
      </c>
    </row>
    <row r="449" spans="3:8" x14ac:dyDescent="0.25">
      <c r="C449" s="102">
        <v>18</v>
      </c>
      <c r="D449" s="102">
        <v>14</v>
      </c>
      <c r="E449" s="103">
        <v>18.5</v>
      </c>
      <c r="F449" s="4">
        <f t="shared" si="10"/>
        <v>0.26712328767123289</v>
      </c>
      <c r="G449" s="37">
        <v>26.1</v>
      </c>
      <c r="H449" s="104">
        <v>45504</v>
      </c>
    </row>
    <row r="450" spans="3:8" x14ac:dyDescent="0.25">
      <c r="C450" s="102">
        <v>19</v>
      </c>
      <c r="D450" s="102">
        <v>23</v>
      </c>
      <c r="E450" s="103">
        <v>5.8</v>
      </c>
      <c r="F450" s="4">
        <f t="shared" si="10"/>
        <v>-0.43689320388349523</v>
      </c>
      <c r="G450" s="37">
        <v>26.1</v>
      </c>
      <c r="H450" s="104">
        <v>45504</v>
      </c>
    </row>
    <row r="451" spans="3:8" x14ac:dyDescent="0.25">
      <c r="C451" s="105" t="s">
        <v>8</v>
      </c>
      <c r="D451" s="105" t="s">
        <v>9</v>
      </c>
      <c r="E451" s="106" t="s">
        <v>10</v>
      </c>
      <c r="F451" s="4" t="str">
        <f t="shared" si="10"/>
        <v/>
      </c>
      <c r="G451" s="37">
        <v>26.5</v>
      </c>
      <c r="H451" s="107">
        <v>45505</v>
      </c>
    </row>
    <row r="452" spans="3:8" x14ac:dyDescent="0.25">
      <c r="C452" s="105">
        <v>1</v>
      </c>
      <c r="D452" s="105">
        <v>50</v>
      </c>
      <c r="E452" s="106">
        <v>30.8</v>
      </c>
      <c r="F452" s="4">
        <f t="shared" si="10"/>
        <v>3.7037037037037084E-2</v>
      </c>
      <c r="G452" s="37">
        <v>26.5</v>
      </c>
      <c r="H452" s="107">
        <v>45505</v>
      </c>
    </row>
    <row r="453" spans="3:8" x14ac:dyDescent="0.25">
      <c r="C453" s="105">
        <v>2</v>
      </c>
      <c r="D453" s="105">
        <v>38</v>
      </c>
      <c r="E453" s="106">
        <v>28.9</v>
      </c>
      <c r="F453" s="4">
        <f t="shared" si="10"/>
        <v>4.7101449275362216E-2</v>
      </c>
      <c r="G453" s="37">
        <v>26.5</v>
      </c>
      <c r="H453" s="107">
        <v>45505</v>
      </c>
    </row>
    <row r="454" spans="3:8" x14ac:dyDescent="0.25">
      <c r="C454" s="105">
        <v>3</v>
      </c>
      <c r="D454" s="105">
        <v>111</v>
      </c>
      <c r="E454" s="106">
        <v>25.5</v>
      </c>
      <c r="F454" s="4">
        <f t="shared" si="10"/>
        <v>7.9051383399209203E-3</v>
      </c>
      <c r="G454" s="37">
        <v>26.5</v>
      </c>
      <c r="H454" s="107">
        <v>45505</v>
      </c>
    </row>
    <row r="455" spans="3:8" x14ac:dyDescent="0.25">
      <c r="C455" s="105">
        <v>4</v>
      </c>
      <c r="D455" s="105">
        <v>107</v>
      </c>
      <c r="E455" s="106">
        <v>26.7</v>
      </c>
      <c r="F455" s="4">
        <f t="shared" si="10"/>
        <v>-3.7313432835821424E-3</v>
      </c>
      <c r="G455" s="37">
        <v>26.5</v>
      </c>
      <c r="H455" s="107">
        <v>45505</v>
      </c>
    </row>
    <row r="456" spans="3:8" x14ac:dyDescent="0.25">
      <c r="C456" s="105">
        <v>5</v>
      </c>
      <c r="D456" s="105">
        <v>101</v>
      </c>
      <c r="E456" s="106">
        <v>28.2</v>
      </c>
      <c r="F456" s="4">
        <f t="shared" si="10"/>
        <v>-1.052631578947371E-2</v>
      </c>
      <c r="G456" s="37">
        <v>26.5</v>
      </c>
      <c r="H456" s="107">
        <v>45505</v>
      </c>
    </row>
    <row r="457" spans="3:8" x14ac:dyDescent="0.25">
      <c r="C457" s="105">
        <v>6</v>
      </c>
      <c r="D457" s="105">
        <v>91</v>
      </c>
      <c r="E457" s="106">
        <v>27.4</v>
      </c>
      <c r="F457" s="4">
        <f t="shared" si="10"/>
        <v>0</v>
      </c>
      <c r="G457" s="37">
        <v>26.5</v>
      </c>
      <c r="H457" s="107">
        <v>45505</v>
      </c>
    </row>
    <row r="458" spans="3:8" x14ac:dyDescent="0.25">
      <c r="C458" s="105">
        <v>7</v>
      </c>
      <c r="D458" s="105">
        <v>90</v>
      </c>
      <c r="E458" s="106">
        <v>21.7</v>
      </c>
      <c r="F458" s="4">
        <f t="shared" si="10"/>
        <v>-3.1249999999999969E-2</v>
      </c>
      <c r="G458" s="37">
        <v>26.5</v>
      </c>
      <c r="H458" s="107">
        <v>45505</v>
      </c>
    </row>
    <row r="459" spans="3:8" x14ac:dyDescent="0.25">
      <c r="C459" s="105">
        <v>8</v>
      </c>
      <c r="D459" s="105">
        <v>57</v>
      </c>
      <c r="E459" s="106">
        <v>18.5</v>
      </c>
      <c r="F459" s="4">
        <f t="shared" si="10"/>
        <v>6.9364161849710934E-2</v>
      </c>
      <c r="G459" s="37">
        <v>26.5</v>
      </c>
      <c r="H459" s="107">
        <v>45505</v>
      </c>
    </row>
    <row r="460" spans="3:8" x14ac:dyDescent="0.25">
      <c r="C460" s="105">
        <v>9</v>
      </c>
      <c r="D460" s="105">
        <v>0</v>
      </c>
      <c r="E460" s="106"/>
      <c r="F460" s="4" t="str">
        <f t="shared" si="10"/>
        <v/>
      </c>
      <c r="G460" s="37">
        <v>26.5</v>
      </c>
      <c r="H460" s="107">
        <v>45505</v>
      </c>
    </row>
    <row r="461" spans="3:8" x14ac:dyDescent="0.25">
      <c r="C461" s="105">
        <v>10</v>
      </c>
      <c r="D461" s="105">
        <v>0</v>
      </c>
      <c r="E461" s="106"/>
      <c r="F461" s="4" t="str">
        <f t="shared" si="10"/>
        <v/>
      </c>
      <c r="G461" s="37">
        <v>26.5</v>
      </c>
      <c r="H461" s="107">
        <v>45505</v>
      </c>
    </row>
    <row r="462" spans="3:8" x14ac:dyDescent="0.25">
      <c r="C462" s="105">
        <v>18</v>
      </c>
      <c r="D462" s="105">
        <v>14</v>
      </c>
      <c r="E462" s="106">
        <v>18.8</v>
      </c>
      <c r="F462" s="4">
        <f t="shared" si="10"/>
        <v>1.6216216216216255E-2</v>
      </c>
      <c r="G462" s="37">
        <v>26.5</v>
      </c>
      <c r="H462" s="107">
        <v>45505</v>
      </c>
    </row>
    <row r="463" spans="3:8" x14ac:dyDescent="0.25">
      <c r="C463" s="105">
        <v>19</v>
      </c>
      <c r="D463" s="105">
        <v>21</v>
      </c>
      <c r="E463" s="106">
        <v>13</v>
      </c>
      <c r="F463" s="4">
        <f t="shared" si="10"/>
        <v>1.2413793103448276</v>
      </c>
      <c r="G463" s="37">
        <v>26.5</v>
      </c>
      <c r="H463" s="107">
        <v>45505</v>
      </c>
    </row>
    <row r="464" spans="3:8" x14ac:dyDescent="0.25">
      <c r="C464" s="108" t="s">
        <v>8</v>
      </c>
      <c r="D464" s="108" t="s">
        <v>9</v>
      </c>
      <c r="E464" s="109" t="s">
        <v>10</v>
      </c>
      <c r="F464" s="4" t="str">
        <f t="shared" si="10"/>
        <v/>
      </c>
      <c r="G464" s="37">
        <v>26</v>
      </c>
      <c r="H464" s="110">
        <v>45506</v>
      </c>
    </row>
    <row r="465" spans="3:8" x14ac:dyDescent="0.25">
      <c r="C465" s="108">
        <v>1</v>
      </c>
      <c r="D465" s="108">
        <v>51</v>
      </c>
      <c r="E465" s="109">
        <v>31.4</v>
      </c>
      <c r="F465" s="4">
        <f t="shared" si="10"/>
        <v>1.9480519480519411E-2</v>
      </c>
      <c r="G465" s="37">
        <v>26</v>
      </c>
      <c r="H465" s="110">
        <v>45506</v>
      </c>
    </row>
    <row r="466" spans="3:8" x14ac:dyDescent="0.25">
      <c r="C466" s="108">
        <v>2</v>
      </c>
      <c r="D466" s="108">
        <v>38</v>
      </c>
      <c r="E466" s="109">
        <v>28.3</v>
      </c>
      <c r="F466" s="4">
        <f t="shared" si="10"/>
        <v>-2.076124567474041E-2</v>
      </c>
      <c r="G466" s="37">
        <v>26</v>
      </c>
      <c r="H466" s="110">
        <v>45506</v>
      </c>
    </row>
    <row r="467" spans="3:8" x14ac:dyDescent="0.25">
      <c r="C467" s="108">
        <v>3</v>
      </c>
      <c r="D467" s="108">
        <v>110</v>
      </c>
      <c r="E467" s="109">
        <v>25</v>
      </c>
      <c r="F467" s="4">
        <f t="shared" si="10"/>
        <v>-1.9607843137254902E-2</v>
      </c>
      <c r="G467" s="37">
        <v>26</v>
      </c>
      <c r="H467" s="110">
        <v>45506</v>
      </c>
    </row>
    <row r="468" spans="3:8" x14ac:dyDescent="0.25">
      <c r="C468" s="108">
        <v>4</v>
      </c>
      <c r="D468" s="108">
        <v>107</v>
      </c>
      <c r="E468" s="109">
        <v>26.7</v>
      </c>
      <c r="F468" s="4">
        <f t="shared" si="10"/>
        <v>0</v>
      </c>
      <c r="G468" s="37">
        <v>26</v>
      </c>
      <c r="H468" s="110">
        <v>45506</v>
      </c>
    </row>
    <row r="469" spans="3:8" x14ac:dyDescent="0.25">
      <c r="C469" s="108">
        <v>5</v>
      </c>
      <c r="D469" s="108">
        <v>100</v>
      </c>
      <c r="E469" s="109">
        <v>28.1</v>
      </c>
      <c r="F469" s="4">
        <f t="shared" si="10"/>
        <v>-3.5460992907800663E-3</v>
      </c>
      <c r="G469" s="37">
        <v>26</v>
      </c>
      <c r="H469" s="110">
        <v>45506</v>
      </c>
    </row>
    <row r="470" spans="3:8" x14ac:dyDescent="0.25">
      <c r="C470" s="108">
        <v>6</v>
      </c>
      <c r="D470" s="108">
        <v>88</v>
      </c>
      <c r="E470" s="109">
        <v>25.9</v>
      </c>
      <c r="F470" s="4">
        <f t="shared" si="10"/>
        <v>-5.4744525547445258E-2</v>
      </c>
      <c r="G470" s="37">
        <v>26</v>
      </c>
      <c r="H470" s="110">
        <v>45506</v>
      </c>
    </row>
    <row r="471" spans="3:8" x14ac:dyDescent="0.25">
      <c r="C471" s="108">
        <v>7</v>
      </c>
      <c r="D471" s="108">
        <v>90</v>
      </c>
      <c r="E471" s="109">
        <v>21.9</v>
      </c>
      <c r="F471" s="4">
        <f t="shared" si="10"/>
        <v>9.2165898617511191E-3</v>
      </c>
      <c r="G471" s="37">
        <v>26</v>
      </c>
      <c r="H471" s="110">
        <v>45506</v>
      </c>
    </row>
    <row r="472" spans="3:8" x14ac:dyDescent="0.25">
      <c r="C472" s="108">
        <v>8</v>
      </c>
      <c r="D472" s="108">
        <v>57</v>
      </c>
      <c r="E472" s="109">
        <v>17.3</v>
      </c>
      <c r="F472" s="4">
        <f t="shared" si="10"/>
        <v>-6.4864864864864827E-2</v>
      </c>
      <c r="G472" s="37">
        <v>26</v>
      </c>
      <c r="H472" s="110">
        <v>45506</v>
      </c>
    </row>
    <row r="473" spans="3:8" x14ac:dyDescent="0.25">
      <c r="C473" s="108">
        <v>9</v>
      </c>
      <c r="D473" s="108">
        <v>0</v>
      </c>
      <c r="E473" s="109"/>
      <c r="F473" s="4" t="str">
        <f t="shared" si="10"/>
        <v/>
      </c>
      <c r="G473" s="37">
        <v>26</v>
      </c>
      <c r="H473" s="110">
        <v>45506</v>
      </c>
    </row>
    <row r="474" spans="3:8" x14ac:dyDescent="0.25">
      <c r="C474" s="108">
        <v>10</v>
      </c>
      <c r="D474" s="108">
        <v>0</v>
      </c>
      <c r="E474" s="109"/>
      <c r="F474" s="4" t="str">
        <f t="shared" si="10"/>
        <v/>
      </c>
      <c r="G474" s="37">
        <v>26</v>
      </c>
      <c r="H474" s="110">
        <v>45506</v>
      </c>
    </row>
    <row r="475" spans="3:8" x14ac:dyDescent="0.25">
      <c r="C475" s="108">
        <v>18</v>
      </c>
      <c r="D475" s="108">
        <v>16</v>
      </c>
      <c r="E475" s="109">
        <v>9.5</v>
      </c>
      <c r="F475" s="4">
        <f t="shared" si="10"/>
        <v>-0.49468085106382981</v>
      </c>
      <c r="G475" s="37">
        <v>26</v>
      </c>
      <c r="H475" s="110">
        <v>45506</v>
      </c>
    </row>
    <row r="476" spans="3:8" x14ac:dyDescent="0.25">
      <c r="C476" s="108">
        <v>19</v>
      </c>
      <c r="D476" s="108">
        <v>21</v>
      </c>
      <c r="E476" s="109">
        <v>17.7</v>
      </c>
      <c r="F476" s="4">
        <f t="shared" si="10"/>
        <v>0.36153846153846148</v>
      </c>
      <c r="G476" s="37">
        <v>26</v>
      </c>
      <c r="H476" s="110">
        <v>45506</v>
      </c>
    </row>
    <row r="477" spans="3:8" x14ac:dyDescent="0.25">
      <c r="C477" s="111" t="s">
        <v>0</v>
      </c>
      <c r="D477" s="111" t="s">
        <v>7</v>
      </c>
      <c r="E477" s="112" t="s">
        <v>4</v>
      </c>
      <c r="F477" s="4" t="str">
        <f t="shared" si="10"/>
        <v/>
      </c>
      <c r="G477" s="37">
        <v>25.6</v>
      </c>
      <c r="H477" s="110">
        <v>45507</v>
      </c>
    </row>
    <row r="478" spans="3:8" x14ac:dyDescent="0.25">
      <c r="C478" s="111">
        <v>1</v>
      </c>
      <c r="D478" s="111">
        <v>54</v>
      </c>
      <c r="E478" s="112">
        <v>31.5</v>
      </c>
      <c r="F478" s="4">
        <f t="shared" si="10"/>
        <v>3.1847133757962236E-3</v>
      </c>
      <c r="G478" s="37">
        <v>25.6</v>
      </c>
      <c r="H478" s="110">
        <v>45507</v>
      </c>
    </row>
    <row r="479" spans="3:8" x14ac:dyDescent="0.25">
      <c r="C479" s="111">
        <v>2</v>
      </c>
      <c r="D479" s="111">
        <v>39</v>
      </c>
      <c r="E479" s="112">
        <v>27.5</v>
      </c>
      <c r="F479" s="4">
        <f t="shared" si="10"/>
        <v>-2.8268551236749141E-2</v>
      </c>
      <c r="G479" s="37">
        <v>25.6</v>
      </c>
      <c r="H479" s="110">
        <v>45507</v>
      </c>
    </row>
    <row r="480" spans="3:8" x14ac:dyDescent="0.25">
      <c r="C480" s="111">
        <v>3</v>
      </c>
      <c r="D480" s="111">
        <v>109</v>
      </c>
      <c r="E480" s="112">
        <v>24.3</v>
      </c>
      <c r="F480" s="4">
        <f t="shared" si="10"/>
        <v>-2.7999999999999973E-2</v>
      </c>
      <c r="G480" s="37">
        <v>25.6</v>
      </c>
      <c r="H480" s="110">
        <v>45507</v>
      </c>
    </row>
    <row r="481" spans="3:8" x14ac:dyDescent="0.25">
      <c r="C481" s="111">
        <v>4</v>
      </c>
      <c r="D481" s="111">
        <v>107</v>
      </c>
      <c r="E481" s="112">
        <v>25.5</v>
      </c>
      <c r="F481" s="4">
        <f t="shared" si="10"/>
        <v>-4.4943820224719079E-2</v>
      </c>
      <c r="G481" s="37">
        <v>25.6</v>
      </c>
      <c r="H481" s="110">
        <v>45507</v>
      </c>
    </row>
    <row r="482" spans="3:8" x14ac:dyDescent="0.25">
      <c r="C482" s="111">
        <v>5</v>
      </c>
      <c r="D482" s="111">
        <v>100</v>
      </c>
      <c r="E482" s="112">
        <v>28.6</v>
      </c>
      <c r="F482" s="4">
        <f t="shared" si="10"/>
        <v>1.779359430604982E-2</v>
      </c>
      <c r="G482" s="37">
        <v>25.6</v>
      </c>
      <c r="H482" s="110">
        <v>45507</v>
      </c>
    </row>
    <row r="483" spans="3:8" x14ac:dyDescent="0.25">
      <c r="C483" s="111">
        <v>6</v>
      </c>
      <c r="D483" s="111">
        <v>87</v>
      </c>
      <c r="E483" s="112">
        <v>25.5</v>
      </c>
      <c r="F483" s="4">
        <f t="shared" si="10"/>
        <v>-1.5444015444015391E-2</v>
      </c>
      <c r="G483" s="37">
        <v>25.6</v>
      </c>
      <c r="H483" s="110">
        <v>45507</v>
      </c>
    </row>
    <row r="484" spans="3:8" x14ac:dyDescent="0.25">
      <c r="C484" s="111">
        <v>7</v>
      </c>
      <c r="D484" s="111">
        <v>91</v>
      </c>
      <c r="E484" s="112">
        <v>21.7</v>
      </c>
      <c r="F484" s="4">
        <f t="shared" si="10"/>
        <v>-9.1324200913241692E-3</v>
      </c>
      <c r="G484" s="37">
        <v>25.6</v>
      </c>
      <c r="H484" s="110">
        <v>45507</v>
      </c>
    </row>
    <row r="485" spans="3:8" x14ac:dyDescent="0.25">
      <c r="C485" s="111">
        <v>8</v>
      </c>
      <c r="D485" s="111">
        <v>58</v>
      </c>
      <c r="E485" s="112">
        <v>16.899999999999999</v>
      </c>
      <c r="F485" s="4">
        <f t="shared" si="10"/>
        <v>-2.3121387283237118E-2</v>
      </c>
      <c r="G485" s="37">
        <v>25.6</v>
      </c>
      <c r="H485" s="110">
        <v>45507</v>
      </c>
    </row>
    <row r="486" spans="3:8" x14ac:dyDescent="0.25">
      <c r="C486" s="111">
        <v>9</v>
      </c>
      <c r="D486" s="111">
        <v>0</v>
      </c>
      <c r="E486" s="112"/>
      <c r="F486" s="4" t="str">
        <f t="shared" si="10"/>
        <v/>
      </c>
      <c r="G486" s="37">
        <v>25.6</v>
      </c>
      <c r="H486" s="110">
        <v>45507</v>
      </c>
    </row>
    <row r="487" spans="3:8" x14ac:dyDescent="0.25">
      <c r="C487" s="111">
        <v>10</v>
      </c>
      <c r="D487" s="111">
        <v>0</v>
      </c>
      <c r="E487" s="112"/>
      <c r="F487" s="4" t="str">
        <f t="shared" si="10"/>
        <v/>
      </c>
      <c r="G487" s="37">
        <v>25.6</v>
      </c>
      <c r="H487" s="110">
        <v>45507</v>
      </c>
    </row>
    <row r="488" spans="3:8" x14ac:dyDescent="0.25">
      <c r="C488" s="111">
        <v>18</v>
      </c>
      <c r="D488" s="111">
        <v>15</v>
      </c>
      <c r="E488" s="112">
        <v>20.8</v>
      </c>
      <c r="F488" s="4">
        <f t="shared" si="10"/>
        <v>1.1894736842105265</v>
      </c>
      <c r="G488" s="37">
        <v>25.6</v>
      </c>
      <c r="H488" s="110">
        <v>45507</v>
      </c>
    </row>
    <row r="489" spans="3:8" x14ac:dyDescent="0.25">
      <c r="C489" s="111">
        <v>19</v>
      </c>
      <c r="D489" s="111">
        <v>14</v>
      </c>
      <c r="E489" s="112">
        <v>11.5</v>
      </c>
      <c r="F489" s="4">
        <f t="shared" si="10"/>
        <v>-0.35028248587570621</v>
      </c>
      <c r="G489" s="37">
        <v>25.6</v>
      </c>
      <c r="H489" s="110">
        <v>45507</v>
      </c>
    </row>
    <row r="490" spans="3:8" x14ac:dyDescent="0.25">
      <c r="C490" s="111" t="s">
        <v>0</v>
      </c>
      <c r="D490" s="111" t="s">
        <v>7</v>
      </c>
      <c r="E490" s="112" t="s">
        <v>4</v>
      </c>
      <c r="F490" s="4" t="str">
        <f t="shared" si="10"/>
        <v/>
      </c>
      <c r="G490" s="37">
        <v>25.5</v>
      </c>
      <c r="H490" s="110">
        <v>45508</v>
      </c>
    </row>
    <row r="491" spans="3:8" x14ac:dyDescent="0.25">
      <c r="C491" s="113">
        <v>1</v>
      </c>
      <c r="D491" s="113">
        <v>57</v>
      </c>
      <c r="E491" s="114">
        <v>30.3</v>
      </c>
      <c r="F491" s="4">
        <f t="shared" si="10"/>
        <v>-3.8095238095238071E-2</v>
      </c>
      <c r="G491" s="37">
        <v>25.5</v>
      </c>
      <c r="H491" s="110">
        <v>45508</v>
      </c>
    </row>
    <row r="492" spans="3:8" x14ac:dyDescent="0.25">
      <c r="C492" s="113">
        <v>2</v>
      </c>
      <c r="D492" s="113">
        <v>39</v>
      </c>
      <c r="E492" s="114">
        <v>29.1</v>
      </c>
      <c r="F492" s="4">
        <f t="shared" si="10"/>
        <v>5.818181818181823E-2</v>
      </c>
      <c r="G492" s="37">
        <v>25.5</v>
      </c>
      <c r="H492" s="110">
        <v>45508</v>
      </c>
    </row>
    <row r="493" spans="3:8" x14ac:dyDescent="0.25">
      <c r="C493" s="113">
        <v>3</v>
      </c>
      <c r="D493" s="113">
        <v>109</v>
      </c>
      <c r="E493" s="114">
        <v>24.1</v>
      </c>
      <c r="F493" s="4">
        <f t="shared" si="10"/>
        <v>-8.2304526748970906E-3</v>
      </c>
      <c r="G493" s="37">
        <v>25.5</v>
      </c>
      <c r="H493" s="110">
        <v>45508</v>
      </c>
    </row>
    <row r="494" spans="3:8" x14ac:dyDescent="0.25">
      <c r="C494" s="113">
        <v>4</v>
      </c>
      <c r="D494" s="113">
        <v>108</v>
      </c>
      <c r="E494" s="114">
        <v>26.2</v>
      </c>
      <c r="F494" s="4">
        <f t="shared" si="10"/>
        <v>2.7450980392156835E-2</v>
      </c>
      <c r="G494" s="37">
        <v>25.5</v>
      </c>
      <c r="H494" s="110">
        <v>45508</v>
      </c>
    </row>
    <row r="495" spans="3:8" x14ac:dyDescent="0.25">
      <c r="C495" s="113">
        <v>5</v>
      </c>
      <c r="D495" s="113">
        <v>100</v>
      </c>
      <c r="E495" s="114">
        <v>28.1</v>
      </c>
      <c r="F495" s="4">
        <f t="shared" si="10"/>
        <v>-1.748251748251748E-2</v>
      </c>
      <c r="G495" s="37">
        <v>25.5</v>
      </c>
      <c r="H495" s="110">
        <v>45508</v>
      </c>
    </row>
    <row r="496" spans="3:8" x14ac:dyDescent="0.25">
      <c r="C496" s="113">
        <v>6</v>
      </c>
      <c r="D496" s="113">
        <v>87</v>
      </c>
      <c r="E496" s="114">
        <v>25.4</v>
      </c>
      <c r="F496" s="4">
        <f t="shared" ref="F496:F559" si="11">IFERROR((E496-E483)/E483,"")</f>
        <v>-3.9215686274510358E-3</v>
      </c>
      <c r="G496" s="37">
        <v>25.5</v>
      </c>
      <c r="H496" s="110">
        <v>45508</v>
      </c>
    </row>
    <row r="497" spans="3:8" x14ac:dyDescent="0.25">
      <c r="C497" s="113">
        <v>7</v>
      </c>
      <c r="D497" s="113">
        <v>91</v>
      </c>
      <c r="E497" s="114">
        <v>22.3</v>
      </c>
      <c r="F497" s="4">
        <f t="shared" si="11"/>
        <v>2.7649769585253524E-2</v>
      </c>
      <c r="G497" s="37">
        <v>25.5</v>
      </c>
      <c r="H497" s="110">
        <v>45508</v>
      </c>
    </row>
    <row r="498" spans="3:8" x14ac:dyDescent="0.25">
      <c r="C498" s="113">
        <v>8</v>
      </c>
      <c r="D498" s="113">
        <v>58</v>
      </c>
      <c r="E498" s="114">
        <v>16.7</v>
      </c>
      <c r="F498" s="4">
        <f t="shared" si="11"/>
        <v>-1.1834319526627177E-2</v>
      </c>
      <c r="G498" s="37">
        <v>25.5</v>
      </c>
      <c r="H498" s="110">
        <v>45508</v>
      </c>
    </row>
    <row r="499" spans="3:8" x14ac:dyDescent="0.25">
      <c r="C499" s="113">
        <v>9</v>
      </c>
      <c r="D499" s="113">
        <v>0</v>
      </c>
      <c r="E499" s="114"/>
      <c r="F499" s="4" t="str">
        <f t="shared" si="11"/>
        <v/>
      </c>
      <c r="G499" s="37">
        <v>25.5</v>
      </c>
      <c r="H499" s="110">
        <v>45508</v>
      </c>
    </row>
    <row r="500" spans="3:8" x14ac:dyDescent="0.25">
      <c r="C500" s="113">
        <v>10</v>
      </c>
      <c r="D500" s="113">
        <v>0</v>
      </c>
      <c r="E500" s="114"/>
      <c r="F500" s="4" t="str">
        <f t="shared" si="11"/>
        <v/>
      </c>
      <c r="G500" s="37">
        <v>25.5</v>
      </c>
      <c r="H500" s="110">
        <v>45508</v>
      </c>
    </row>
    <row r="501" spans="3:8" x14ac:dyDescent="0.25">
      <c r="C501" s="113">
        <v>18</v>
      </c>
      <c r="D501" s="113">
        <v>14</v>
      </c>
      <c r="E501" s="114">
        <v>23.5</v>
      </c>
      <c r="F501" s="4">
        <f t="shared" si="11"/>
        <v>0.12980769230769226</v>
      </c>
      <c r="G501" s="37">
        <v>25.5</v>
      </c>
      <c r="H501" s="110">
        <v>45508</v>
      </c>
    </row>
    <row r="502" spans="3:8" x14ac:dyDescent="0.25">
      <c r="C502" s="113">
        <v>19</v>
      </c>
      <c r="D502" s="113">
        <v>16</v>
      </c>
      <c r="E502" s="114">
        <v>14.2</v>
      </c>
      <c r="F502" s="4">
        <f t="shared" si="11"/>
        <v>0.23478260869565212</v>
      </c>
      <c r="G502" s="37">
        <v>25.5</v>
      </c>
      <c r="H502" s="110">
        <v>45508</v>
      </c>
    </row>
    <row r="503" spans="3:8" x14ac:dyDescent="0.25">
      <c r="C503" s="111" t="s">
        <v>0</v>
      </c>
      <c r="D503" s="111" t="s">
        <v>7</v>
      </c>
      <c r="E503" s="112" t="s">
        <v>4</v>
      </c>
      <c r="F503" s="4" t="str">
        <f t="shared" si="11"/>
        <v/>
      </c>
      <c r="G503" s="37">
        <v>25.8</v>
      </c>
      <c r="H503" s="110">
        <v>45509</v>
      </c>
    </row>
    <row r="504" spans="3:8" x14ac:dyDescent="0.25">
      <c r="C504" s="115">
        <v>1</v>
      </c>
      <c r="D504" s="115">
        <v>57</v>
      </c>
      <c r="E504" s="116">
        <v>29.3</v>
      </c>
      <c r="F504" s="4">
        <f t="shared" si="11"/>
        <v>-3.3003300330033E-2</v>
      </c>
      <c r="G504" s="37">
        <v>25.8</v>
      </c>
      <c r="H504" s="110">
        <v>45509</v>
      </c>
    </row>
    <row r="505" spans="3:8" x14ac:dyDescent="0.25">
      <c r="C505" s="115">
        <v>2</v>
      </c>
      <c r="D505" s="115">
        <v>39</v>
      </c>
      <c r="E505" s="116">
        <v>28.3</v>
      </c>
      <c r="F505" s="4">
        <f t="shared" si="11"/>
        <v>-2.7491408934707928E-2</v>
      </c>
      <c r="G505" s="37">
        <v>25.8</v>
      </c>
      <c r="H505" s="110">
        <v>45509</v>
      </c>
    </row>
    <row r="506" spans="3:8" x14ac:dyDescent="0.25">
      <c r="C506" s="115">
        <v>3</v>
      </c>
      <c r="D506" s="115">
        <v>109</v>
      </c>
      <c r="E506" s="116">
        <v>25</v>
      </c>
      <c r="F506" s="4">
        <f t="shared" si="11"/>
        <v>3.7344398340248899E-2</v>
      </c>
      <c r="G506" s="37">
        <v>25.8</v>
      </c>
      <c r="H506" s="110">
        <v>45509</v>
      </c>
    </row>
    <row r="507" spans="3:8" x14ac:dyDescent="0.25">
      <c r="C507" s="115">
        <v>4</v>
      </c>
      <c r="D507" s="115">
        <v>108</v>
      </c>
      <c r="E507" s="116">
        <v>27.2</v>
      </c>
      <c r="F507" s="4">
        <f t="shared" si="11"/>
        <v>3.8167938931297711E-2</v>
      </c>
      <c r="G507" s="37">
        <v>25.8</v>
      </c>
      <c r="H507" s="110">
        <v>45509</v>
      </c>
    </row>
    <row r="508" spans="3:8" x14ac:dyDescent="0.25">
      <c r="C508" s="115">
        <v>5</v>
      </c>
      <c r="D508" s="115">
        <v>100</v>
      </c>
      <c r="E508" s="116">
        <v>27.5</v>
      </c>
      <c r="F508" s="4">
        <f t="shared" si="11"/>
        <v>-2.1352313167259836E-2</v>
      </c>
      <c r="G508" s="37">
        <v>25.8</v>
      </c>
      <c r="H508" s="110">
        <v>45509</v>
      </c>
    </row>
    <row r="509" spans="3:8" x14ac:dyDescent="0.25">
      <c r="C509" s="115">
        <v>6</v>
      </c>
      <c r="D509" s="115">
        <v>86</v>
      </c>
      <c r="E509" s="116">
        <v>25.9</v>
      </c>
      <c r="F509" s="4">
        <f t="shared" si="11"/>
        <v>1.968503937007874E-2</v>
      </c>
      <c r="G509" s="37">
        <v>25.8</v>
      </c>
      <c r="H509" s="110">
        <v>45509</v>
      </c>
    </row>
    <row r="510" spans="3:8" x14ac:dyDescent="0.25">
      <c r="C510" s="115">
        <v>7</v>
      </c>
      <c r="D510" s="115">
        <v>91</v>
      </c>
      <c r="E510" s="116">
        <v>21.3</v>
      </c>
      <c r="F510" s="4">
        <f t="shared" si="11"/>
        <v>-4.4843049327354258E-2</v>
      </c>
      <c r="G510" s="37">
        <v>25.8</v>
      </c>
      <c r="H510" s="110">
        <v>45509</v>
      </c>
    </row>
    <row r="511" spans="3:8" x14ac:dyDescent="0.25">
      <c r="C511" s="115">
        <v>8</v>
      </c>
      <c r="D511" s="115">
        <v>57</v>
      </c>
      <c r="E511" s="116">
        <v>18.7</v>
      </c>
      <c r="F511" s="4">
        <f t="shared" si="11"/>
        <v>0.11976047904191617</v>
      </c>
      <c r="G511" s="37">
        <v>25.8</v>
      </c>
      <c r="H511" s="110">
        <v>45509</v>
      </c>
    </row>
    <row r="512" spans="3:8" x14ac:dyDescent="0.25">
      <c r="C512" s="115">
        <v>9</v>
      </c>
      <c r="D512" s="115">
        <v>0</v>
      </c>
      <c r="E512" s="116"/>
      <c r="F512" s="4" t="str">
        <f t="shared" si="11"/>
        <v/>
      </c>
      <c r="G512" s="37">
        <v>25.8</v>
      </c>
      <c r="H512" s="110">
        <v>45509</v>
      </c>
    </row>
    <row r="513" spans="3:8" x14ac:dyDescent="0.25">
      <c r="C513" s="115">
        <v>10</v>
      </c>
      <c r="D513" s="115">
        <v>0</v>
      </c>
      <c r="E513" s="116"/>
      <c r="F513" s="4" t="str">
        <f t="shared" si="11"/>
        <v/>
      </c>
      <c r="G513" s="37">
        <v>25.8</v>
      </c>
      <c r="H513" s="110">
        <v>45509</v>
      </c>
    </row>
    <row r="514" spans="3:8" x14ac:dyDescent="0.25">
      <c r="C514" s="115">
        <v>18</v>
      </c>
      <c r="D514" s="115">
        <v>13</v>
      </c>
      <c r="E514" s="116">
        <v>16.8</v>
      </c>
      <c r="F514" s="4">
        <f t="shared" si="11"/>
        <v>-0.28510638297872337</v>
      </c>
      <c r="G514" s="37">
        <v>25.8</v>
      </c>
      <c r="H514" s="110">
        <v>45509</v>
      </c>
    </row>
    <row r="515" spans="3:8" x14ac:dyDescent="0.25">
      <c r="C515" s="115">
        <v>19</v>
      </c>
      <c r="D515" s="115">
        <v>20</v>
      </c>
      <c r="E515" s="116">
        <v>11.2</v>
      </c>
      <c r="F515" s="4">
        <f t="shared" si="11"/>
        <v>-0.21126760563380284</v>
      </c>
      <c r="G515" s="37">
        <v>25.8</v>
      </c>
      <c r="H515" s="110">
        <v>45509</v>
      </c>
    </row>
    <row r="516" spans="3:8" x14ac:dyDescent="0.25">
      <c r="C516" s="117" t="s">
        <v>8</v>
      </c>
      <c r="D516" s="117" t="s">
        <v>9</v>
      </c>
      <c r="E516" s="118" t="s">
        <v>10</v>
      </c>
      <c r="F516" s="4" t="str">
        <f t="shared" si="11"/>
        <v/>
      </c>
      <c r="G516" s="37">
        <v>25.1</v>
      </c>
      <c r="H516" s="119">
        <v>45510</v>
      </c>
    </row>
    <row r="517" spans="3:8" x14ac:dyDescent="0.25">
      <c r="C517" s="117">
        <v>1</v>
      </c>
      <c r="D517" s="117">
        <v>60</v>
      </c>
      <c r="E517" s="118">
        <v>27.2</v>
      </c>
      <c r="F517" s="4">
        <f t="shared" si="11"/>
        <v>-7.1672354948805514E-2</v>
      </c>
      <c r="G517" s="37">
        <v>25.1</v>
      </c>
      <c r="H517" s="119">
        <v>45510</v>
      </c>
    </row>
    <row r="518" spans="3:8" x14ac:dyDescent="0.25">
      <c r="C518" s="117">
        <v>2</v>
      </c>
      <c r="D518" s="117">
        <v>39</v>
      </c>
      <c r="E518" s="118">
        <v>27.9</v>
      </c>
      <c r="F518" s="4">
        <f t="shared" si="11"/>
        <v>-1.4134275618374633E-2</v>
      </c>
      <c r="G518" s="37">
        <v>25.1</v>
      </c>
      <c r="H518" s="119">
        <v>45510</v>
      </c>
    </row>
    <row r="519" spans="3:8" x14ac:dyDescent="0.25">
      <c r="C519" s="117">
        <v>3</v>
      </c>
      <c r="D519" s="117">
        <v>109</v>
      </c>
      <c r="E519" s="118">
        <v>24.3</v>
      </c>
      <c r="F519" s="4">
        <f t="shared" si="11"/>
        <v>-2.7999999999999973E-2</v>
      </c>
      <c r="G519" s="37">
        <v>25.1</v>
      </c>
      <c r="H519" s="119">
        <v>45510</v>
      </c>
    </row>
    <row r="520" spans="3:8" x14ac:dyDescent="0.25">
      <c r="C520" s="117">
        <v>4</v>
      </c>
      <c r="D520" s="117">
        <v>109</v>
      </c>
      <c r="E520" s="118">
        <v>25.8</v>
      </c>
      <c r="F520" s="4">
        <f t="shared" si="11"/>
        <v>-5.1470588235294067E-2</v>
      </c>
      <c r="G520" s="37">
        <v>25.1</v>
      </c>
      <c r="H520" s="119">
        <v>45510</v>
      </c>
    </row>
    <row r="521" spans="3:8" x14ac:dyDescent="0.25">
      <c r="C521" s="117">
        <v>5</v>
      </c>
      <c r="D521" s="117">
        <v>100</v>
      </c>
      <c r="E521" s="118">
        <v>26.7</v>
      </c>
      <c r="F521" s="4">
        <f t="shared" si="11"/>
        <v>-2.9090909090909115E-2</v>
      </c>
      <c r="G521" s="37">
        <v>25.1</v>
      </c>
      <c r="H521" s="119">
        <v>45510</v>
      </c>
    </row>
    <row r="522" spans="3:8" x14ac:dyDescent="0.25">
      <c r="C522" s="117">
        <v>6</v>
      </c>
      <c r="D522" s="117">
        <v>88</v>
      </c>
      <c r="E522" s="118">
        <v>25.4</v>
      </c>
      <c r="F522" s="4">
        <f t="shared" si="11"/>
        <v>-1.9305019305019305E-2</v>
      </c>
      <c r="G522" s="37">
        <v>25.1</v>
      </c>
      <c r="H522" s="119">
        <v>45510</v>
      </c>
    </row>
    <row r="523" spans="3:8" x14ac:dyDescent="0.25">
      <c r="C523" s="117">
        <v>7</v>
      </c>
      <c r="D523" s="117">
        <v>89</v>
      </c>
      <c r="E523" s="118">
        <v>20.9</v>
      </c>
      <c r="F523" s="4">
        <f t="shared" si="11"/>
        <v>-1.8779342723004796E-2</v>
      </c>
      <c r="G523" s="37">
        <v>25.1</v>
      </c>
      <c r="H523" s="119">
        <v>45510</v>
      </c>
    </row>
    <row r="524" spans="3:8" x14ac:dyDescent="0.25">
      <c r="C524" s="117">
        <v>8</v>
      </c>
      <c r="D524" s="117">
        <v>57</v>
      </c>
      <c r="E524" s="118">
        <v>16.8</v>
      </c>
      <c r="F524" s="4">
        <f t="shared" si="11"/>
        <v>-0.10160427807486624</v>
      </c>
      <c r="G524" s="37">
        <v>25.1</v>
      </c>
      <c r="H524" s="119">
        <v>45510</v>
      </c>
    </row>
    <row r="525" spans="3:8" x14ac:dyDescent="0.25">
      <c r="C525" s="117">
        <v>9</v>
      </c>
      <c r="D525" s="117">
        <v>0</v>
      </c>
      <c r="E525" s="118"/>
      <c r="F525" s="4" t="str">
        <f t="shared" si="11"/>
        <v/>
      </c>
      <c r="G525" s="37">
        <v>25.1</v>
      </c>
      <c r="H525" s="119">
        <v>45510</v>
      </c>
    </row>
    <row r="526" spans="3:8" x14ac:dyDescent="0.25">
      <c r="C526" s="117">
        <v>10</v>
      </c>
      <c r="D526" s="117">
        <v>0</v>
      </c>
      <c r="E526" s="118"/>
      <c r="F526" s="4" t="str">
        <f t="shared" si="11"/>
        <v/>
      </c>
      <c r="G526" s="37">
        <v>25.1</v>
      </c>
      <c r="H526" s="119">
        <v>45510</v>
      </c>
    </row>
    <row r="527" spans="3:8" x14ac:dyDescent="0.25">
      <c r="C527" s="117">
        <v>18</v>
      </c>
      <c r="D527" s="117">
        <v>11</v>
      </c>
      <c r="E527" s="118">
        <v>13.4</v>
      </c>
      <c r="F527" s="4">
        <f t="shared" si="11"/>
        <v>-0.20238095238095238</v>
      </c>
      <c r="G527" s="37">
        <v>25.1</v>
      </c>
      <c r="H527" s="119">
        <v>45510</v>
      </c>
    </row>
    <row r="528" spans="3:8" x14ac:dyDescent="0.25">
      <c r="C528" s="117">
        <v>19</v>
      </c>
      <c r="D528" s="117">
        <v>17</v>
      </c>
      <c r="E528" s="118">
        <v>16</v>
      </c>
      <c r="F528" s="4">
        <f t="shared" si="11"/>
        <v>0.42857142857142866</v>
      </c>
      <c r="G528" s="37">
        <v>25.1</v>
      </c>
      <c r="H528" s="119">
        <v>45510</v>
      </c>
    </row>
    <row r="529" spans="3:8" x14ac:dyDescent="0.25">
      <c r="C529" s="111" t="s">
        <v>0</v>
      </c>
      <c r="D529" s="111" t="s">
        <v>7</v>
      </c>
      <c r="E529" s="112" t="s">
        <v>4</v>
      </c>
      <c r="F529" s="4" t="str">
        <f t="shared" si="11"/>
        <v/>
      </c>
      <c r="G529" s="37">
        <v>25.7</v>
      </c>
      <c r="H529" s="119">
        <v>45511</v>
      </c>
    </row>
    <row r="530" spans="3:8" x14ac:dyDescent="0.25">
      <c r="C530" s="120">
        <v>1</v>
      </c>
      <c r="D530" s="120">
        <v>64</v>
      </c>
      <c r="E530" s="121">
        <v>29.7</v>
      </c>
      <c r="F530" s="4">
        <f t="shared" si="11"/>
        <v>9.1911764705882359E-2</v>
      </c>
      <c r="G530" s="37">
        <v>25.7</v>
      </c>
      <c r="H530" s="119">
        <v>45511</v>
      </c>
    </row>
    <row r="531" spans="3:8" x14ac:dyDescent="0.25">
      <c r="C531" s="120">
        <v>2</v>
      </c>
      <c r="D531" s="120">
        <v>39</v>
      </c>
      <c r="E531" s="121">
        <v>26.2</v>
      </c>
      <c r="F531" s="4">
        <f t="shared" si="11"/>
        <v>-6.0931899641577039E-2</v>
      </c>
      <c r="G531" s="37">
        <v>25.7</v>
      </c>
      <c r="H531" s="119">
        <v>45511</v>
      </c>
    </row>
    <row r="532" spans="3:8" x14ac:dyDescent="0.25">
      <c r="C532" s="120">
        <v>3</v>
      </c>
      <c r="D532" s="120">
        <v>107</v>
      </c>
      <c r="E532" s="121">
        <v>24</v>
      </c>
      <c r="F532" s="4">
        <f t="shared" si="11"/>
        <v>-1.2345679012345708E-2</v>
      </c>
      <c r="G532" s="37">
        <v>25.7</v>
      </c>
      <c r="H532" s="119">
        <v>45511</v>
      </c>
    </row>
    <row r="533" spans="3:8" x14ac:dyDescent="0.25">
      <c r="C533" s="120">
        <v>4</v>
      </c>
      <c r="D533" s="120">
        <v>109</v>
      </c>
      <c r="E533" s="121">
        <v>26.9</v>
      </c>
      <c r="F533" s="4">
        <f t="shared" si="11"/>
        <v>4.2635658914728598E-2</v>
      </c>
      <c r="G533" s="37">
        <v>25.7</v>
      </c>
      <c r="H533" s="119">
        <v>45511</v>
      </c>
    </row>
    <row r="534" spans="3:8" x14ac:dyDescent="0.25">
      <c r="C534" s="120">
        <v>5</v>
      </c>
      <c r="D534" s="120">
        <v>99</v>
      </c>
      <c r="E534" s="121">
        <v>27.3</v>
      </c>
      <c r="F534" s="4">
        <f t="shared" si="11"/>
        <v>2.2471910112359605E-2</v>
      </c>
      <c r="G534" s="37">
        <v>25.7</v>
      </c>
      <c r="H534" s="119">
        <v>45511</v>
      </c>
    </row>
    <row r="535" spans="3:8" x14ac:dyDescent="0.25">
      <c r="C535" s="120">
        <v>6</v>
      </c>
      <c r="D535" s="120">
        <v>88</v>
      </c>
      <c r="E535" s="121">
        <v>26.4</v>
      </c>
      <c r="F535" s="4">
        <f t="shared" si="11"/>
        <v>3.937007874015748E-2</v>
      </c>
      <c r="G535" s="37">
        <v>25.7</v>
      </c>
      <c r="H535" s="119">
        <v>45511</v>
      </c>
    </row>
    <row r="536" spans="3:8" x14ac:dyDescent="0.25">
      <c r="C536" s="120">
        <v>7</v>
      </c>
      <c r="D536" s="120">
        <v>88</v>
      </c>
      <c r="E536" s="121">
        <v>21.8</v>
      </c>
      <c r="F536" s="4">
        <f t="shared" si="11"/>
        <v>4.3062200956937906E-2</v>
      </c>
      <c r="G536" s="37">
        <v>25.7</v>
      </c>
      <c r="H536" s="119">
        <v>45511</v>
      </c>
    </row>
    <row r="537" spans="3:8" x14ac:dyDescent="0.25">
      <c r="C537" s="120">
        <v>8</v>
      </c>
      <c r="D537" s="120">
        <v>57</v>
      </c>
      <c r="E537" s="121">
        <v>16.899999999999999</v>
      </c>
      <c r="F537" s="4">
        <f t="shared" si="11"/>
        <v>5.9523809523808254E-3</v>
      </c>
      <c r="G537" s="37">
        <v>25.7</v>
      </c>
      <c r="H537" s="119">
        <v>45511</v>
      </c>
    </row>
    <row r="538" spans="3:8" x14ac:dyDescent="0.25">
      <c r="C538" s="120">
        <v>9</v>
      </c>
      <c r="D538" s="120">
        <v>0</v>
      </c>
      <c r="E538" s="121"/>
      <c r="F538" s="4" t="str">
        <f t="shared" si="11"/>
        <v/>
      </c>
      <c r="G538" s="37">
        <v>25.7</v>
      </c>
      <c r="H538" s="119">
        <v>45511</v>
      </c>
    </row>
    <row r="539" spans="3:8" x14ac:dyDescent="0.25">
      <c r="C539" s="120">
        <v>10</v>
      </c>
      <c r="D539" s="120">
        <v>0</v>
      </c>
      <c r="E539" s="121"/>
      <c r="F539" s="4" t="str">
        <f t="shared" si="11"/>
        <v/>
      </c>
      <c r="G539" s="37">
        <v>25.7</v>
      </c>
      <c r="H539" s="119">
        <v>45511</v>
      </c>
    </row>
    <row r="540" spans="3:8" x14ac:dyDescent="0.25">
      <c r="C540" s="120">
        <v>18</v>
      </c>
      <c r="D540" s="120">
        <v>12</v>
      </c>
      <c r="E540" s="121">
        <v>7.3</v>
      </c>
      <c r="F540" s="4">
        <f t="shared" si="11"/>
        <v>-0.45522388059701496</v>
      </c>
      <c r="G540" s="37">
        <v>25.7</v>
      </c>
      <c r="H540" s="119">
        <v>45511</v>
      </c>
    </row>
    <row r="541" spans="3:8" x14ac:dyDescent="0.25">
      <c r="C541" s="120">
        <v>19</v>
      </c>
      <c r="D541" s="120">
        <v>20</v>
      </c>
      <c r="E541" s="121">
        <v>22</v>
      </c>
      <c r="F541" s="4">
        <f t="shared" si="11"/>
        <v>0.375</v>
      </c>
      <c r="G541" s="37">
        <v>25.7</v>
      </c>
      <c r="H541" s="119">
        <v>45511</v>
      </c>
    </row>
    <row r="542" spans="3:8" x14ac:dyDescent="0.25">
      <c r="C542" s="111" t="s">
        <v>0</v>
      </c>
      <c r="D542" s="111" t="s">
        <v>7</v>
      </c>
      <c r="E542" s="112" t="s">
        <v>4</v>
      </c>
      <c r="F542" s="4" t="str">
        <f t="shared" si="11"/>
        <v/>
      </c>
      <c r="G542" s="37">
        <v>25.4</v>
      </c>
      <c r="H542" s="119">
        <v>45512</v>
      </c>
    </row>
    <row r="543" spans="3:8" x14ac:dyDescent="0.25">
      <c r="C543" s="122">
        <v>1</v>
      </c>
      <c r="D543" s="122">
        <v>67</v>
      </c>
      <c r="E543" s="123">
        <v>26.8</v>
      </c>
      <c r="F543" s="4">
        <f t="shared" si="11"/>
        <v>-9.7643097643097601E-2</v>
      </c>
      <c r="G543" s="37">
        <v>25.4</v>
      </c>
      <c r="H543" s="119">
        <v>45512</v>
      </c>
    </row>
    <row r="544" spans="3:8" x14ac:dyDescent="0.25">
      <c r="C544" s="122">
        <v>2</v>
      </c>
      <c r="D544" s="122">
        <v>38</v>
      </c>
      <c r="E544" s="123">
        <v>27.4</v>
      </c>
      <c r="F544" s="4">
        <f t="shared" si="11"/>
        <v>4.5801526717557224E-2</v>
      </c>
      <c r="G544" s="37">
        <v>25.4</v>
      </c>
      <c r="H544" s="119">
        <v>45512</v>
      </c>
    </row>
    <row r="545" spans="3:8" x14ac:dyDescent="0.25">
      <c r="C545" s="122">
        <v>3</v>
      </c>
      <c r="D545" s="122">
        <v>103</v>
      </c>
      <c r="E545" s="123">
        <v>24</v>
      </c>
      <c r="F545" s="4">
        <f t="shared" si="11"/>
        <v>0</v>
      </c>
      <c r="G545" s="37">
        <v>25.4</v>
      </c>
      <c r="H545" s="119">
        <v>45512</v>
      </c>
    </row>
    <row r="546" spans="3:8" x14ac:dyDescent="0.25">
      <c r="C546" s="122">
        <v>4</v>
      </c>
      <c r="D546" s="122">
        <v>109</v>
      </c>
      <c r="E546" s="123">
        <v>26.4</v>
      </c>
      <c r="F546" s="4">
        <f t="shared" si="11"/>
        <v>-1.858736059479554E-2</v>
      </c>
      <c r="G546" s="37">
        <v>25.4</v>
      </c>
      <c r="H546" s="119">
        <v>45512</v>
      </c>
    </row>
    <row r="547" spans="3:8" x14ac:dyDescent="0.25">
      <c r="C547" s="122">
        <v>5</v>
      </c>
      <c r="D547" s="122">
        <v>100</v>
      </c>
      <c r="E547" s="123">
        <v>27.3</v>
      </c>
      <c r="F547" s="4">
        <f t="shared" si="11"/>
        <v>0</v>
      </c>
      <c r="G547" s="37">
        <v>25.4</v>
      </c>
      <c r="H547" s="119">
        <v>45512</v>
      </c>
    </row>
    <row r="548" spans="3:8" x14ac:dyDescent="0.25">
      <c r="C548" s="122">
        <v>6</v>
      </c>
      <c r="D548" s="122">
        <v>86</v>
      </c>
      <c r="E548" s="123">
        <v>25.7</v>
      </c>
      <c r="F548" s="4">
        <f t="shared" si="11"/>
        <v>-2.6515151515151488E-2</v>
      </c>
      <c r="G548" s="37">
        <v>25.4</v>
      </c>
      <c r="H548" s="119">
        <v>45512</v>
      </c>
    </row>
    <row r="549" spans="3:8" x14ac:dyDescent="0.25">
      <c r="C549" s="122">
        <v>7</v>
      </c>
      <c r="D549" s="122">
        <v>85</v>
      </c>
      <c r="E549" s="123">
        <v>22.2</v>
      </c>
      <c r="F549" s="4">
        <f t="shared" si="11"/>
        <v>1.8348623853210944E-2</v>
      </c>
      <c r="G549" s="37">
        <v>25.4</v>
      </c>
      <c r="H549" s="119">
        <v>45512</v>
      </c>
    </row>
    <row r="550" spans="3:8" x14ac:dyDescent="0.25">
      <c r="C550" s="122">
        <v>8</v>
      </c>
      <c r="D550" s="122">
        <v>58</v>
      </c>
      <c r="E550" s="123">
        <v>16.600000000000001</v>
      </c>
      <c r="F550" s="4">
        <f t="shared" si="11"/>
        <v>-1.7751479289940662E-2</v>
      </c>
      <c r="G550" s="37">
        <v>25.4</v>
      </c>
      <c r="H550" s="119">
        <v>45512</v>
      </c>
    </row>
    <row r="551" spans="3:8" x14ac:dyDescent="0.25">
      <c r="C551" s="122">
        <v>9</v>
      </c>
      <c r="D551" s="122">
        <v>0</v>
      </c>
      <c r="E551" s="123"/>
      <c r="F551" s="4" t="str">
        <f t="shared" si="11"/>
        <v/>
      </c>
      <c r="G551" s="37">
        <v>25.4</v>
      </c>
      <c r="H551" s="119">
        <v>45512</v>
      </c>
    </row>
    <row r="552" spans="3:8" x14ac:dyDescent="0.25">
      <c r="C552" s="122">
        <v>10</v>
      </c>
      <c r="D552" s="122">
        <v>0</v>
      </c>
      <c r="E552" s="123"/>
      <c r="F552" s="4" t="str">
        <f t="shared" si="11"/>
        <v/>
      </c>
      <c r="G552" s="37">
        <v>25.4</v>
      </c>
      <c r="H552" s="119">
        <v>45512</v>
      </c>
    </row>
    <row r="553" spans="3:8" x14ac:dyDescent="0.25">
      <c r="C553" s="122">
        <v>18</v>
      </c>
      <c r="D553" s="122">
        <v>14</v>
      </c>
      <c r="E553" s="123">
        <v>20</v>
      </c>
      <c r="F553" s="4">
        <f t="shared" si="11"/>
        <v>1.7397260273972601</v>
      </c>
      <c r="G553" s="37">
        <v>25.4</v>
      </c>
      <c r="H553" s="119">
        <v>45512</v>
      </c>
    </row>
    <row r="554" spans="3:8" x14ac:dyDescent="0.25">
      <c r="C554" s="122">
        <v>19</v>
      </c>
      <c r="D554" s="122">
        <v>19</v>
      </c>
      <c r="E554" s="123">
        <v>19.8</v>
      </c>
      <c r="F554" s="4">
        <f t="shared" si="11"/>
        <v>-9.9999999999999964E-2</v>
      </c>
      <c r="G554" s="37">
        <v>25.4</v>
      </c>
      <c r="H554" s="119">
        <v>45512</v>
      </c>
    </row>
    <row r="555" spans="3:8" x14ac:dyDescent="0.25">
      <c r="C555" s="124" t="s">
        <v>8</v>
      </c>
      <c r="D555" s="124" t="s">
        <v>9</v>
      </c>
      <c r="E555" s="125" t="s">
        <v>10</v>
      </c>
      <c r="F555" s="4" t="str">
        <f t="shared" si="11"/>
        <v/>
      </c>
      <c r="G555" s="37">
        <v>25.9</v>
      </c>
      <c r="H555" s="126">
        <v>45513</v>
      </c>
    </row>
    <row r="556" spans="3:8" x14ac:dyDescent="0.25">
      <c r="C556" s="124">
        <v>1</v>
      </c>
      <c r="D556" s="124">
        <v>67</v>
      </c>
      <c r="E556" s="125">
        <v>27.6</v>
      </c>
      <c r="F556" s="4">
        <f t="shared" si="11"/>
        <v>2.9850746268656744E-2</v>
      </c>
      <c r="G556" s="37">
        <v>25.9</v>
      </c>
      <c r="H556" s="126">
        <v>45513</v>
      </c>
    </row>
    <row r="557" spans="3:8" x14ac:dyDescent="0.25">
      <c r="C557" s="124">
        <v>2</v>
      </c>
      <c r="D557" s="124">
        <v>39</v>
      </c>
      <c r="E557" s="125">
        <v>27.8</v>
      </c>
      <c r="F557" s="4">
        <f t="shared" si="11"/>
        <v>1.4598540145985481E-2</v>
      </c>
      <c r="G557" s="37">
        <v>25.9</v>
      </c>
      <c r="H557" s="126">
        <v>45513</v>
      </c>
    </row>
    <row r="558" spans="3:8" x14ac:dyDescent="0.25">
      <c r="C558" s="124">
        <v>3</v>
      </c>
      <c r="D558" s="124">
        <v>104</v>
      </c>
      <c r="E558" s="125">
        <v>25.2</v>
      </c>
      <c r="F558" s="4">
        <f t="shared" si="11"/>
        <v>4.9999999999999968E-2</v>
      </c>
      <c r="G558" s="37">
        <v>25.9</v>
      </c>
      <c r="H558" s="126">
        <v>45513</v>
      </c>
    </row>
    <row r="559" spans="3:8" x14ac:dyDescent="0.25">
      <c r="C559" s="124">
        <v>4</v>
      </c>
      <c r="D559" s="124">
        <v>109</v>
      </c>
      <c r="E559" s="125">
        <v>26.9</v>
      </c>
      <c r="F559" s="4">
        <f t="shared" si="11"/>
        <v>1.893939393939394E-2</v>
      </c>
      <c r="G559" s="37">
        <v>25.9</v>
      </c>
      <c r="H559" s="126">
        <v>45513</v>
      </c>
    </row>
    <row r="560" spans="3:8" x14ac:dyDescent="0.25">
      <c r="C560" s="124">
        <v>5</v>
      </c>
      <c r="D560" s="124">
        <v>100</v>
      </c>
      <c r="E560" s="125">
        <v>28.7</v>
      </c>
      <c r="F560" s="4">
        <f t="shared" ref="F560:F623" si="12">IFERROR((E560-E547)/E547,"")</f>
        <v>5.1282051282051232E-2</v>
      </c>
      <c r="G560" s="37">
        <v>25.9</v>
      </c>
      <c r="H560" s="126">
        <v>45513</v>
      </c>
    </row>
    <row r="561" spans="3:8" x14ac:dyDescent="0.25">
      <c r="C561" s="124">
        <v>6</v>
      </c>
      <c r="D561" s="124">
        <v>87</v>
      </c>
      <c r="E561" s="125">
        <v>26.5</v>
      </c>
      <c r="F561" s="4">
        <f t="shared" si="12"/>
        <v>3.1128404669260729E-2</v>
      </c>
      <c r="G561" s="37">
        <v>25.9</v>
      </c>
      <c r="H561" s="126">
        <v>45513</v>
      </c>
    </row>
    <row r="562" spans="3:8" x14ac:dyDescent="0.25">
      <c r="C562" s="124">
        <v>7</v>
      </c>
      <c r="D562" s="124">
        <v>85</v>
      </c>
      <c r="E562" s="125">
        <v>21.9</v>
      </c>
      <c r="F562" s="4">
        <f t="shared" si="12"/>
        <v>-1.3513513513513545E-2</v>
      </c>
      <c r="G562" s="37">
        <v>25.9</v>
      </c>
      <c r="H562" s="126">
        <v>45513</v>
      </c>
    </row>
    <row r="563" spans="3:8" x14ac:dyDescent="0.25">
      <c r="C563" s="124">
        <v>8</v>
      </c>
      <c r="D563" s="124">
        <v>58</v>
      </c>
      <c r="E563" s="125">
        <v>15.9</v>
      </c>
      <c r="F563" s="4">
        <f t="shared" si="12"/>
        <v>-4.216867469879524E-2</v>
      </c>
      <c r="G563" s="37">
        <v>25.9</v>
      </c>
      <c r="H563" s="126">
        <v>45513</v>
      </c>
    </row>
    <row r="564" spans="3:8" x14ac:dyDescent="0.25">
      <c r="C564" s="124">
        <v>9</v>
      </c>
      <c r="D564" s="124">
        <v>0</v>
      </c>
      <c r="E564" s="125"/>
      <c r="F564" s="4" t="str">
        <f t="shared" si="12"/>
        <v/>
      </c>
      <c r="G564" s="37">
        <v>25.9</v>
      </c>
      <c r="H564" s="126">
        <v>45513</v>
      </c>
    </row>
    <row r="565" spans="3:8" x14ac:dyDescent="0.25">
      <c r="C565" s="124">
        <v>10</v>
      </c>
      <c r="D565" s="124">
        <v>0</v>
      </c>
      <c r="E565" s="125"/>
      <c r="F565" s="4" t="str">
        <f t="shared" si="12"/>
        <v/>
      </c>
      <c r="G565" s="37">
        <v>25.9</v>
      </c>
      <c r="H565" s="126">
        <v>45513</v>
      </c>
    </row>
    <row r="566" spans="3:8" x14ac:dyDescent="0.25">
      <c r="C566" s="124">
        <v>18</v>
      </c>
      <c r="D566" s="124">
        <v>13</v>
      </c>
      <c r="E566" s="125">
        <v>18.8</v>
      </c>
      <c r="F566" s="4">
        <f t="shared" si="12"/>
        <v>-5.9999999999999963E-2</v>
      </c>
      <c r="G566" s="37">
        <v>25.9</v>
      </c>
      <c r="H566" s="126">
        <v>45513</v>
      </c>
    </row>
    <row r="567" spans="3:8" x14ac:dyDescent="0.25">
      <c r="C567" s="124">
        <v>19</v>
      </c>
      <c r="D567" s="124">
        <v>18</v>
      </c>
      <c r="E567" s="125">
        <v>17.8</v>
      </c>
      <c r="F567" s="4">
        <f t="shared" si="12"/>
        <v>-0.10101010101010101</v>
      </c>
      <c r="G567" s="37">
        <v>25.9</v>
      </c>
      <c r="H567" s="126">
        <v>45513</v>
      </c>
    </row>
    <row r="568" spans="3:8" x14ac:dyDescent="0.25">
      <c r="C568" s="127" t="s">
        <v>0</v>
      </c>
      <c r="D568" s="127" t="s">
        <v>7</v>
      </c>
      <c r="E568" s="128" t="s">
        <v>4</v>
      </c>
      <c r="F568" s="4" t="str">
        <f t="shared" si="12"/>
        <v/>
      </c>
      <c r="G568" s="37">
        <v>25.98</v>
      </c>
      <c r="H568" s="129">
        <v>45514</v>
      </c>
    </row>
    <row r="569" spans="3:8" x14ac:dyDescent="0.25">
      <c r="C569" s="127">
        <v>1</v>
      </c>
      <c r="D569" s="127">
        <v>65</v>
      </c>
      <c r="E569" s="128">
        <v>30.4</v>
      </c>
      <c r="F569" s="4">
        <f t="shared" si="12"/>
        <v>0.10144927536231874</v>
      </c>
      <c r="G569" s="37">
        <v>25.98</v>
      </c>
      <c r="H569" s="129">
        <v>45514</v>
      </c>
    </row>
    <row r="570" spans="3:8" x14ac:dyDescent="0.25">
      <c r="C570" s="127">
        <v>2</v>
      </c>
      <c r="D570" s="127">
        <v>39</v>
      </c>
      <c r="E570" s="128">
        <v>27.6</v>
      </c>
      <c r="F570" s="4">
        <f t="shared" si="12"/>
        <v>-7.1942446043165211E-3</v>
      </c>
      <c r="G570" s="37">
        <v>25.98</v>
      </c>
      <c r="H570" s="129">
        <v>45514</v>
      </c>
    </row>
    <row r="571" spans="3:8" x14ac:dyDescent="0.25">
      <c r="C571" s="127">
        <v>3</v>
      </c>
      <c r="D571" s="127">
        <v>104</v>
      </c>
      <c r="E571" s="128">
        <v>24.9</v>
      </c>
      <c r="F571" s="4">
        <f t="shared" si="12"/>
        <v>-1.1904761904761934E-2</v>
      </c>
      <c r="G571" s="37">
        <v>25.98</v>
      </c>
      <c r="H571" s="129">
        <v>45514</v>
      </c>
    </row>
    <row r="572" spans="3:8" x14ac:dyDescent="0.25">
      <c r="C572" s="127">
        <v>4</v>
      </c>
      <c r="D572" s="127">
        <v>110</v>
      </c>
      <c r="E572" s="128">
        <v>27.6</v>
      </c>
      <c r="F572" s="4">
        <f t="shared" si="12"/>
        <v>2.6022304832713863E-2</v>
      </c>
      <c r="G572" s="37">
        <v>25.98</v>
      </c>
      <c r="H572" s="129">
        <v>45514</v>
      </c>
    </row>
    <row r="573" spans="3:8" x14ac:dyDescent="0.25">
      <c r="C573" s="127">
        <v>5</v>
      </c>
      <c r="D573" s="127">
        <v>100</v>
      </c>
      <c r="E573" s="128">
        <v>27.5</v>
      </c>
      <c r="F573" s="4">
        <f t="shared" si="12"/>
        <v>-4.1811846689895446E-2</v>
      </c>
      <c r="G573" s="37">
        <v>25.98</v>
      </c>
      <c r="H573" s="129">
        <v>45514</v>
      </c>
    </row>
    <row r="574" spans="3:8" x14ac:dyDescent="0.25">
      <c r="C574" s="127">
        <v>6</v>
      </c>
      <c r="D574" s="127">
        <v>87</v>
      </c>
      <c r="E574" s="128">
        <v>26.6</v>
      </c>
      <c r="F574" s="4">
        <f t="shared" si="12"/>
        <v>3.7735849056604312E-3</v>
      </c>
      <c r="G574" s="37">
        <v>25.98</v>
      </c>
      <c r="H574" s="129">
        <v>45514</v>
      </c>
    </row>
    <row r="575" spans="3:8" x14ac:dyDescent="0.25">
      <c r="C575" s="127">
        <v>7</v>
      </c>
      <c r="D575" s="127">
        <v>85</v>
      </c>
      <c r="E575" s="128">
        <v>23.1</v>
      </c>
      <c r="F575" s="4">
        <f t="shared" si="12"/>
        <v>5.4794520547945341E-2</v>
      </c>
      <c r="G575" s="37">
        <v>25.98</v>
      </c>
      <c r="H575" s="129">
        <v>45514</v>
      </c>
    </row>
    <row r="576" spans="3:8" x14ac:dyDescent="0.25">
      <c r="C576" s="127">
        <v>8</v>
      </c>
      <c r="D576" s="127">
        <v>58</v>
      </c>
      <c r="E576" s="128">
        <v>16.899999999999999</v>
      </c>
      <c r="F576" s="4">
        <f t="shared" si="12"/>
        <v>6.2893081761006178E-2</v>
      </c>
      <c r="G576" s="37">
        <v>25.98</v>
      </c>
      <c r="H576" s="129">
        <v>45514</v>
      </c>
    </row>
    <row r="577" spans="3:8" x14ac:dyDescent="0.25">
      <c r="C577" s="127">
        <v>9</v>
      </c>
      <c r="D577" s="127">
        <v>0</v>
      </c>
      <c r="E577" s="128"/>
      <c r="F577" s="4" t="str">
        <f t="shared" si="12"/>
        <v/>
      </c>
      <c r="G577" s="37">
        <v>25.98</v>
      </c>
      <c r="H577" s="129">
        <v>45514</v>
      </c>
    </row>
    <row r="578" spans="3:8" x14ac:dyDescent="0.25">
      <c r="C578" s="127">
        <v>10</v>
      </c>
      <c r="D578" s="127">
        <v>0</v>
      </c>
      <c r="E578" s="128"/>
      <c r="F578" s="4" t="str">
        <f t="shared" si="12"/>
        <v/>
      </c>
      <c r="G578" s="37">
        <v>25.98</v>
      </c>
      <c r="H578" s="129">
        <v>45514</v>
      </c>
    </row>
    <row r="579" spans="3:8" x14ac:dyDescent="0.25">
      <c r="C579" s="127">
        <v>18</v>
      </c>
      <c r="D579" s="127">
        <v>13</v>
      </c>
      <c r="E579" s="128">
        <v>16.8</v>
      </c>
      <c r="F579" s="4">
        <f t="shared" si="12"/>
        <v>-0.10638297872340426</v>
      </c>
      <c r="G579" s="37">
        <v>25.98</v>
      </c>
      <c r="H579" s="129">
        <v>45514</v>
      </c>
    </row>
    <row r="580" spans="3:8" x14ac:dyDescent="0.25">
      <c r="C580" s="127">
        <v>19</v>
      </c>
      <c r="D580" s="127">
        <v>17</v>
      </c>
      <c r="E580" s="128">
        <v>12.3</v>
      </c>
      <c r="F580" s="4">
        <f t="shared" si="12"/>
        <v>-0.3089887640449438</v>
      </c>
      <c r="G580" s="37">
        <v>25.98</v>
      </c>
      <c r="H580" s="129">
        <v>45514</v>
      </c>
    </row>
    <row r="581" spans="3:8" x14ac:dyDescent="0.25">
      <c r="C581" s="130" t="s">
        <v>8</v>
      </c>
      <c r="D581" s="130" t="s">
        <v>9</v>
      </c>
      <c r="E581" s="131" t="s">
        <v>10</v>
      </c>
      <c r="F581" s="4" t="str">
        <f t="shared" si="12"/>
        <v/>
      </c>
      <c r="G581" s="37">
        <v>26.1</v>
      </c>
      <c r="H581" s="132">
        <v>45515</v>
      </c>
    </row>
    <row r="582" spans="3:8" x14ac:dyDescent="0.25">
      <c r="C582" s="130">
        <v>1</v>
      </c>
      <c r="D582" s="130">
        <v>68</v>
      </c>
      <c r="E582" s="131">
        <v>29.3</v>
      </c>
      <c r="F582" s="4">
        <f t="shared" si="12"/>
        <v>-3.6184210526315722E-2</v>
      </c>
      <c r="G582" s="37">
        <v>26.1</v>
      </c>
      <c r="H582" s="132">
        <v>45515</v>
      </c>
    </row>
    <row r="583" spans="3:8" x14ac:dyDescent="0.25">
      <c r="C583" s="130">
        <v>2</v>
      </c>
      <c r="D583" s="130">
        <v>39</v>
      </c>
      <c r="E583" s="131">
        <v>28.4</v>
      </c>
      <c r="F583" s="4">
        <f t="shared" si="12"/>
        <v>2.8985507246376708E-2</v>
      </c>
      <c r="G583" s="37">
        <v>26.1</v>
      </c>
      <c r="H583" s="132">
        <v>45515</v>
      </c>
    </row>
    <row r="584" spans="3:8" x14ac:dyDescent="0.25">
      <c r="C584" s="130">
        <v>3</v>
      </c>
      <c r="D584" s="130">
        <v>103</v>
      </c>
      <c r="E584" s="131">
        <v>24.2</v>
      </c>
      <c r="F584" s="4">
        <f t="shared" si="12"/>
        <v>-2.8112449799196759E-2</v>
      </c>
      <c r="G584" s="37">
        <v>26.1</v>
      </c>
      <c r="H584" s="132">
        <v>45515</v>
      </c>
    </row>
    <row r="585" spans="3:8" x14ac:dyDescent="0.25">
      <c r="C585" s="130">
        <v>4</v>
      </c>
      <c r="D585" s="130">
        <v>110</v>
      </c>
      <c r="E585" s="131">
        <v>25.8</v>
      </c>
      <c r="F585" s="4">
        <f t="shared" si="12"/>
        <v>-6.5217391304347852E-2</v>
      </c>
      <c r="G585" s="37">
        <v>26.1</v>
      </c>
      <c r="H585" s="132">
        <v>45515</v>
      </c>
    </row>
    <row r="586" spans="3:8" x14ac:dyDescent="0.25">
      <c r="C586" s="130">
        <v>5</v>
      </c>
      <c r="D586" s="130">
        <v>100</v>
      </c>
      <c r="E586" s="131">
        <v>28.7</v>
      </c>
      <c r="F586" s="4">
        <f t="shared" si="12"/>
        <v>4.3636363636363612E-2</v>
      </c>
      <c r="G586" s="37">
        <v>26.1</v>
      </c>
      <c r="H586" s="132">
        <v>45515</v>
      </c>
    </row>
    <row r="587" spans="3:8" x14ac:dyDescent="0.25">
      <c r="C587" s="130">
        <v>6</v>
      </c>
      <c r="D587" s="130">
        <v>87</v>
      </c>
      <c r="E587" s="131">
        <v>26.6</v>
      </c>
      <c r="F587" s="4">
        <f t="shared" si="12"/>
        <v>0</v>
      </c>
      <c r="G587" s="37">
        <v>26.1</v>
      </c>
      <c r="H587" s="132">
        <v>45515</v>
      </c>
    </row>
    <row r="588" spans="3:8" x14ac:dyDescent="0.25">
      <c r="C588" s="130">
        <v>7</v>
      </c>
      <c r="D588" s="130">
        <v>84</v>
      </c>
      <c r="E588" s="131">
        <v>22.5</v>
      </c>
      <c r="F588" s="4">
        <f t="shared" si="12"/>
        <v>-2.5974025974026035E-2</v>
      </c>
      <c r="G588" s="37">
        <v>26.1</v>
      </c>
      <c r="H588" s="132">
        <v>45515</v>
      </c>
    </row>
    <row r="589" spans="3:8" x14ac:dyDescent="0.25">
      <c r="C589" s="130">
        <v>8</v>
      </c>
      <c r="D589" s="130">
        <v>58</v>
      </c>
      <c r="E589" s="131">
        <v>15.2</v>
      </c>
      <c r="F589" s="4">
        <f t="shared" si="12"/>
        <v>-0.10059171597633133</v>
      </c>
      <c r="G589" s="37">
        <v>26.1</v>
      </c>
      <c r="H589" s="132">
        <v>45515</v>
      </c>
    </row>
    <row r="590" spans="3:8" x14ac:dyDescent="0.25">
      <c r="C590" s="130">
        <v>9</v>
      </c>
      <c r="D590" s="130">
        <v>0</v>
      </c>
      <c r="E590" s="131"/>
      <c r="F590" s="4" t="str">
        <f t="shared" si="12"/>
        <v/>
      </c>
      <c r="G590" s="37">
        <v>26.1</v>
      </c>
      <c r="H590" s="132">
        <v>45515</v>
      </c>
    </row>
    <row r="591" spans="3:8" x14ac:dyDescent="0.25">
      <c r="C591" s="130">
        <v>10</v>
      </c>
      <c r="D591" s="130">
        <v>0</v>
      </c>
      <c r="E591" s="131"/>
      <c r="F591" s="4" t="str">
        <f t="shared" si="12"/>
        <v/>
      </c>
      <c r="G591" s="37">
        <v>26.1</v>
      </c>
      <c r="H591" s="132">
        <v>45515</v>
      </c>
    </row>
    <row r="592" spans="3:8" x14ac:dyDescent="0.25">
      <c r="C592" s="130">
        <v>18</v>
      </c>
      <c r="D592" s="130">
        <v>14</v>
      </c>
      <c r="E592" s="131">
        <v>16.7</v>
      </c>
      <c r="F592" s="4">
        <f t="shared" si="12"/>
        <v>-5.9523809523810371E-3</v>
      </c>
      <c r="G592" s="37">
        <v>26.1</v>
      </c>
      <c r="H592" s="132">
        <v>45515</v>
      </c>
    </row>
    <row r="593" spans="3:8" x14ac:dyDescent="0.25">
      <c r="C593" s="130">
        <v>19</v>
      </c>
      <c r="D593" s="130">
        <v>19</v>
      </c>
      <c r="E593" s="131">
        <v>20.3</v>
      </c>
      <c r="F593" s="4">
        <f t="shared" si="12"/>
        <v>0.65040650406504064</v>
      </c>
      <c r="G593" s="37">
        <v>26.1</v>
      </c>
      <c r="H593" s="132">
        <v>45515</v>
      </c>
    </row>
    <row r="594" spans="3:8" x14ac:dyDescent="0.25">
      <c r="C594" s="133" t="s">
        <v>8</v>
      </c>
      <c r="D594" s="133" t="s">
        <v>9</v>
      </c>
      <c r="E594" s="134" t="s">
        <v>10</v>
      </c>
      <c r="F594" s="4" t="str">
        <f t="shared" si="12"/>
        <v/>
      </c>
      <c r="G594" s="37">
        <v>26.4</v>
      </c>
      <c r="H594" s="135">
        <v>45516</v>
      </c>
    </row>
    <row r="595" spans="3:8" x14ac:dyDescent="0.25">
      <c r="C595" s="133">
        <v>1</v>
      </c>
      <c r="D595" s="133">
        <v>70</v>
      </c>
      <c r="E595" s="134">
        <v>29.4</v>
      </c>
      <c r="F595" s="4">
        <f t="shared" si="12"/>
        <v>3.4129692832763777E-3</v>
      </c>
      <c r="G595" s="37">
        <v>26.4</v>
      </c>
      <c r="H595" s="135">
        <v>45516</v>
      </c>
    </row>
    <row r="596" spans="3:8" x14ac:dyDescent="0.25">
      <c r="C596" s="133">
        <v>2</v>
      </c>
      <c r="D596" s="133">
        <v>39</v>
      </c>
      <c r="E596" s="134">
        <v>28</v>
      </c>
      <c r="F596" s="4">
        <f t="shared" si="12"/>
        <v>-1.4084507042253471E-2</v>
      </c>
      <c r="G596" s="37">
        <v>26.4</v>
      </c>
      <c r="H596" s="135">
        <v>45516</v>
      </c>
    </row>
    <row r="597" spans="3:8" x14ac:dyDescent="0.25">
      <c r="C597" s="133">
        <v>3</v>
      </c>
      <c r="D597" s="133">
        <v>103</v>
      </c>
      <c r="E597" s="134">
        <v>24.6</v>
      </c>
      <c r="F597" s="4">
        <f t="shared" si="12"/>
        <v>1.6528925619834798E-2</v>
      </c>
      <c r="G597" s="37">
        <v>26.4</v>
      </c>
      <c r="H597" s="135">
        <v>45516</v>
      </c>
    </row>
    <row r="598" spans="3:8" x14ac:dyDescent="0.25">
      <c r="C598" s="133">
        <v>4</v>
      </c>
      <c r="D598" s="133">
        <v>110</v>
      </c>
      <c r="E598" s="134">
        <v>26.6</v>
      </c>
      <c r="F598" s="4">
        <f t="shared" si="12"/>
        <v>3.1007751937984523E-2</v>
      </c>
      <c r="G598" s="37">
        <v>26.4</v>
      </c>
      <c r="H598" s="135">
        <v>45516</v>
      </c>
    </row>
    <row r="599" spans="3:8" x14ac:dyDescent="0.25">
      <c r="C599" s="133">
        <v>5</v>
      </c>
      <c r="D599" s="133">
        <v>102</v>
      </c>
      <c r="E599" s="134">
        <v>28.9</v>
      </c>
      <c r="F599" s="4">
        <f t="shared" si="12"/>
        <v>6.9686411149825541E-3</v>
      </c>
      <c r="G599" s="37">
        <v>26.4</v>
      </c>
      <c r="H599" s="135">
        <v>45516</v>
      </c>
    </row>
    <row r="600" spans="3:8" x14ac:dyDescent="0.25">
      <c r="C600" s="133">
        <v>6</v>
      </c>
      <c r="D600" s="133">
        <v>88</v>
      </c>
      <c r="E600" s="134">
        <v>26.5</v>
      </c>
      <c r="F600" s="4">
        <f t="shared" si="12"/>
        <v>-3.7593984962406546E-3</v>
      </c>
      <c r="G600" s="37">
        <v>26.4</v>
      </c>
      <c r="H600" s="135">
        <v>45516</v>
      </c>
    </row>
    <row r="601" spans="3:8" x14ac:dyDescent="0.25">
      <c r="C601" s="133">
        <v>7</v>
      </c>
      <c r="D601" s="133">
        <v>83</v>
      </c>
      <c r="E601" s="134">
        <v>22.9</v>
      </c>
      <c r="F601" s="4">
        <f t="shared" si="12"/>
        <v>1.7777777777777715E-2</v>
      </c>
      <c r="G601" s="37">
        <v>26.4</v>
      </c>
      <c r="H601" s="135">
        <v>45516</v>
      </c>
    </row>
    <row r="602" spans="3:8" x14ac:dyDescent="0.25">
      <c r="C602" s="133">
        <v>8</v>
      </c>
      <c r="D602" s="133">
        <v>58</v>
      </c>
      <c r="E602" s="134">
        <v>19.2</v>
      </c>
      <c r="F602" s="4">
        <f t="shared" si="12"/>
        <v>0.26315789473684209</v>
      </c>
      <c r="G602" s="37">
        <v>26.4</v>
      </c>
      <c r="H602" s="135">
        <v>45516</v>
      </c>
    </row>
    <row r="603" spans="3:8" x14ac:dyDescent="0.25">
      <c r="C603" s="133">
        <v>9</v>
      </c>
      <c r="D603" s="133">
        <v>0</v>
      </c>
      <c r="E603" s="134"/>
      <c r="F603" s="4" t="str">
        <f t="shared" si="12"/>
        <v/>
      </c>
      <c r="G603" s="37">
        <v>26.4</v>
      </c>
      <c r="H603" s="135">
        <v>45516</v>
      </c>
    </row>
    <row r="604" spans="3:8" x14ac:dyDescent="0.25">
      <c r="C604" s="133">
        <v>10</v>
      </c>
      <c r="D604" s="133">
        <v>0</v>
      </c>
      <c r="E604" s="134"/>
      <c r="F604" s="4" t="str">
        <f t="shared" si="12"/>
        <v/>
      </c>
      <c r="G604" s="37">
        <v>26.4</v>
      </c>
      <c r="H604" s="135">
        <v>45516</v>
      </c>
    </row>
    <row r="605" spans="3:8" x14ac:dyDescent="0.25">
      <c r="C605" s="133">
        <v>18</v>
      </c>
      <c r="D605" s="133">
        <v>16</v>
      </c>
      <c r="E605" s="134">
        <v>22.1</v>
      </c>
      <c r="F605" s="4">
        <f t="shared" si="12"/>
        <v>0.32335329341317381</v>
      </c>
      <c r="G605" s="37">
        <v>26.4</v>
      </c>
      <c r="H605" s="135">
        <v>45516</v>
      </c>
    </row>
    <row r="606" spans="3:8" x14ac:dyDescent="0.25">
      <c r="C606" s="133">
        <v>19</v>
      </c>
      <c r="D606" s="133">
        <v>11</v>
      </c>
      <c r="E606" s="134">
        <v>16.399999999999999</v>
      </c>
      <c r="F606" s="4">
        <f t="shared" si="12"/>
        <v>-0.19211822660098532</v>
      </c>
      <c r="G606" s="37">
        <v>26.4</v>
      </c>
      <c r="H606" s="135">
        <v>45516</v>
      </c>
    </row>
    <row r="607" spans="3:8" x14ac:dyDescent="0.25">
      <c r="C607" s="136" t="s">
        <v>8</v>
      </c>
      <c r="D607" s="136" t="s">
        <v>9</v>
      </c>
      <c r="E607" s="137" t="s">
        <v>10</v>
      </c>
      <c r="F607" s="4" t="str">
        <f t="shared" si="12"/>
        <v/>
      </c>
      <c r="G607" s="37">
        <v>25.7</v>
      </c>
      <c r="H607" s="138">
        <v>45517</v>
      </c>
    </row>
    <row r="608" spans="3:8" x14ac:dyDescent="0.25">
      <c r="C608" s="136">
        <v>1</v>
      </c>
      <c r="D608" s="136">
        <v>75</v>
      </c>
      <c r="E608" s="137">
        <v>26</v>
      </c>
      <c r="F608" s="4">
        <f t="shared" si="12"/>
        <v>-0.11564625850340132</v>
      </c>
      <c r="G608" s="37">
        <v>25.7</v>
      </c>
      <c r="H608" s="138">
        <v>45517</v>
      </c>
    </row>
    <row r="609" spans="3:8" x14ac:dyDescent="0.25">
      <c r="C609" s="136">
        <v>2</v>
      </c>
      <c r="D609" s="136">
        <v>40</v>
      </c>
      <c r="E609" s="137">
        <v>28.8</v>
      </c>
      <c r="F609" s="4">
        <f t="shared" si="12"/>
        <v>2.8571428571428598E-2</v>
      </c>
      <c r="G609" s="37">
        <v>25.7</v>
      </c>
      <c r="H609" s="138">
        <v>45517</v>
      </c>
    </row>
    <row r="610" spans="3:8" x14ac:dyDescent="0.25">
      <c r="C610" s="136">
        <v>3</v>
      </c>
      <c r="D610" s="136">
        <v>104</v>
      </c>
      <c r="E610" s="137">
        <v>24.6</v>
      </c>
      <c r="F610" s="4">
        <f t="shared" si="12"/>
        <v>0</v>
      </c>
      <c r="G610" s="37">
        <v>25.7</v>
      </c>
      <c r="H610" s="138">
        <v>45517</v>
      </c>
    </row>
    <row r="611" spans="3:8" x14ac:dyDescent="0.25">
      <c r="C611" s="136">
        <v>4</v>
      </c>
      <c r="D611" s="136">
        <v>110</v>
      </c>
      <c r="E611" s="137">
        <v>27</v>
      </c>
      <c r="F611" s="4">
        <f t="shared" si="12"/>
        <v>1.5037593984962351E-2</v>
      </c>
      <c r="G611" s="37">
        <v>25.7</v>
      </c>
      <c r="H611" s="138">
        <v>45517</v>
      </c>
    </row>
    <row r="612" spans="3:8" x14ac:dyDescent="0.25">
      <c r="C612" s="136">
        <v>5</v>
      </c>
      <c r="D612" s="136">
        <v>103</v>
      </c>
      <c r="E612" s="137">
        <v>28</v>
      </c>
      <c r="F612" s="4">
        <f t="shared" si="12"/>
        <v>-3.114186851211068E-2</v>
      </c>
      <c r="G612" s="37">
        <v>25.7</v>
      </c>
      <c r="H612" s="138">
        <v>45517</v>
      </c>
    </row>
    <row r="613" spans="3:8" x14ac:dyDescent="0.25">
      <c r="C613" s="136">
        <v>6</v>
      </c>
      <c r="D613" s="136">
        <v>87</v>
      </c>
      <c r="E613" s="137">
        <v>25.9</v>
      </c>
      <c r="F613" s="4">
        <f t="shared" si="12"/>
        <v>-2.2641509433962318E-2</v>
      </c>
      <c r="G613" s="37">
        <v>25.7</v>
      </c>
      <c r="H613" s="138">
        <v>45517</v>
      </c>
    </row>
    <row r="614" spans="3:8" x14ac:dyDescent="0.25">
      <c r="C614" s="136">
        <v>7</v>
      </c>
      <c r="D614" s="136">
        <v>82</v>
      </c>
      <c r="E614" s="137">
        <v>21.1</v>
      </c>
      <c r="F614" s="4">
        <f t="shared" si="12"/>
        <v>-7.8602620087336122E-2</v>
      </c>
      <c r="G614" s="37">
        <v>25.7</v>
      </c>
      <c r="H614" s="138">
        <v>45517</v>
      </c>
    </row>
    <row r="615" spans="3:8" x14ac:dyDescent="0.25">
      <c r="C615" s="136">
        <v>8</v>
      </c>
      <c r="D615" s="136">
        <v>44</v>
      </c>
      <c r="E615" s="137">
        <v>18.899999999999999</v>
      </c>
      <c r="F615" s="4">
        <f t="shared" si="12"/>
        <v>-1.5625000000000038E-2</v>
      </c>
      <c r="G615" s="37">
        <v>25.7</v>
      </c>
      <c r="H615" s="138">
        <v>45517</v>
      </c>
    </row>
    <row r="616" spans="3:8" x14ac:dyDescent="0.25">
      <c r="C616" s="136">
        <v>9</v>
      </c>
      <c r="D616" s="136">
        <v>0</v>
      </c>
      <c r="E616" s="137"/>
      <c r="F616" s="4" t="str">
        <f t="shared" si="12"/>
        <v/>
      </c>
      <c r="G616" s="37">
        <v>25.7</v>
      </c>
      <c r="H616" s="138">
        <v>45517</v>
      </c>
    </row>
    <row r="617" spans="3:8" x14ac:dyDescent="0.25">
      <c r="C617" s="136">
        <v>10</v>
      </c>
      <c r="D617" s="136">
        <v>0</v>
      </c>
      <c r="E617" s="137"/>
      <c r="F617" s="4" t="str">
        <f t="shared" si="12"/>
        <v/>
      </c>
      <c r="G617" s="37">
        <v>25.7</v>
      </c>
      <c r="H617" s="138">
        <v>45517</v>
      </c>
    </row>
    <row r="618" spans="3:8" x14ac:dyDescent="0.25">
      <c r="C618" s="136">
        <v>18</v>
      </c>
      <c r="D618" s="136">
        <v>17</v>
      </c>
      <c r="E618" s="137">
        <v>19.5</v>
      </c>
      <c r="F618" s="4">
        <f t="shared" si="12"/>
        <v>-0.11764705882352947</v>
      </c>
      <c r="G618" s="37">
        <v>25.7</v>
      </c>
      <c r="H618" s="138">
        <v>45517</v>
      </c>
    </row>
    <row r="619" spans="3:8" x14ac:dyDescent="0.25">
      <c r="C619" s="136">
        <v>19</v>
      </c>
      <c r="D619" s="136">
        <v>9</v>
      </c>
      <c r="E619" s="137">
        <v>14.8</v>
      </c>
      <c r="F619" s="4">
        <f t="shared" si="12"/>
        <v>-9.7560975609755976E-2</v>
      </c>
      <c r="G619" s="37">
        <v>25.7</v>
      </c>
      <c r="H619" s="138">
        <v>45517</v>
      </c>
    </row>
    <row r="620" spans="3:8" x14ac:dyDescent="0.25">
      <c r="C620" s="139" t="s">
        <v>8</v>
      </c>
      <c r="D620" s="139" t="s">
        <v>9</v>
      </c>
      <c r="E620" s="140" t="s">
        <v>10</v>
      </c>
      <c r="F620" s="4" t="str">
        <f t="shared" si="12"/>
        <v/>
      </c>
      <c r="G620" s="37">
        <v>26</v>
      </c>
      <c r="H620" s="141">
        <v>45518</v>
      </c>
    </row>
    <row r="621" spans="3:8" x14ac:dyDescent="0.25">
      <c r="C621" s="139">
        <v>1</v>
      </c>
      <c r="D621" s="139">
        <v>75</v>
      </c>
      <c r="E621" s="140">
        <v>27.4</v>
      </c>
      <c r="F621" s="4">
        <f t="shared" si="12"/>
        <v>5.3846153846153794E-2</v>
      </c>
      <c r="G621" s="37">
        <v>26</v>
      </c>
      <c r="H621" s="141">
        <v>45518</v>
      </c>
    </row>
    <row r="622" spans="3:8" x14ac:dyDescent="0.25">
      <c r="C622" s="139">
        <v>2</v>
      </c>
      <c r="D622" s="139">
        <v>40</v>
      </c>
      <c r="E622" s="140">
        <v>27.2</v>
      </c>
      <c r="F622" s="4">
        <f t="shared" si="12"/>
        <v>-5.5555555555555601E-2</v>
      </c>
      <c r="G622" s="37">
        <v>26</v>
      </c>
      <c r="H622" s="141">
        <v>45518</v>
      </c>
    </row>
    <row r="623" spans="3:8" x14ac:dyDescent="0.25">
      <c r="C623" s="139">
        <v>3</v>
      </c>
      <c r="D623" s="139">
        <v>103</v>
      </c>
      <c r="E623" s="140">
        <v>24.3</v>
      </c>
      <c r="F623" s="4">
        <f t="shared" si="12"/>
        <v>-1.219512195121954E-2</v>
      </c>
      <c r="G623" s="37">
        <v>26</v>
      </c>
      <c r="H623" s="141">
        <v>45518</v>
      </c>
    </row>
    <row r="624" spans="3:8" x14ac:dyDescent="0.25">
      <c r="C624" s="139">
        <v>4</v>
      </c>
      <c r="D624" s="139">
        <v>109</v>
      </c>
      <c r="E624" s="140">
        <v>26.5</v>
      </c>
      <c r="F624" s="4">
        <f t="shared" ref="F624:F687" si="13">IFERROR((E624-E611)/E611,"")</f>
        <v>-1.8518518518518517E-2</v>
      </c>
      <c r="G624" s="37">
        <v>26</v>
      </c>
      <c r="H624" s="141">
        <v>45518</v>
      </c>
    </row>
    <row r="625" spans="3:8" x14ac:dyDescent="0.25">
      <c r="C625" s="139">
        <v>5</v>
      </c>
      <c r="D625" s="139">
        <v>103</v>
      </c>
      <c r="E625" s="140">
        <v>27.3</v>
      </c>
      <c r="F625" s="4">
        <f t="shared" si="13"/>
        <v>-2.4999999999999974E-2</v>
      </c>
      <c r="G625" s="37">
        <v>26</v>
      </c>
      <c r="H625" s="141">
        <v>45518</v>
      </c>
    </row>
    <row r="626" spans="3:8" x14ac:dyDescent="0.25">
      <c r="C626" s="139">
        <v>6</v>
      </c>
      <c r="D626" s="139">
        <v>85</v>
      </c>
      <c r="E626" s="140">
        <v>26.2</v>
      </c>
      <c r="F626" s="4">
        <f t="shared" si="13"/>
        <v>1.1583011583011612E-2</v>
      </c>
      <c r="G626" s="37">
        <v>26</v>
      </c>
      <c r="H626" s="141">
        <v>45518</v>
      </c>
    </row>
    <row r="627" spans="3:8" x14ac:dyDescent="0.25">
      <c r="C627" s="139">
        <v>7</v>
      </c>
      <c r="D627" s="139">
        <v>81</v>
      </c>
      <c r="E627" s="140">
        <v>21.2</v>
      </c>
      <c r="F627" s="4">
        <f t="shared" si="13"/>
        <v>4.7393364928908941E-3</v>
      </c>
      <c r="G627" s="37">
        <v>26</v>
      </c>
      <c r="H627" s="141">
        <v>45518</v>
      </c>
    </row>
    <row r="628" spans="3:8" x14ac:dyDescent="0.25">
      <c r="C628" s="139">
        <v>8</v>
      </c>
      <c r="D628" s="139">
        <v>43</v>
      </c>
      <c r="E628" s="140">
        <v>19.3</v>
      </c>
      <c r="F628" s="4">
        <f t="shared" si="13"/>
        <v>2.1164021164021277E-2</v>
      </c>
      <c r="G628" s="37">
        <v>26</v>
      </c>
      <c r="H628" s="141">
        <v>45518</v>
      </c>
    </row>
    <row r="629" spans="3:8" x14ac:dyDescent="0.25">
      <c r="C629" s="139">
        <v>9</v>
      </c>
      <c r="D629" s="139">
        <v>0</v>
      </c>
      <c r="E629" s="140"/>
      <c r="F629" s="4" t="str">
        <f t="shared" si="13"/>
        <v/>
      </c>
      <c r="G629" s="37">
        <v>26</v>
      </c>
      <c r="H629" s="141">
        <v>45518</v>
      </c>
    </row>
    <row r="630" spans="3:8" x14ac:dyDescent="0.25">
      <c r="C630" s="139">
        <v>10</v>
      </c>
      <c r="D630" s="139">
        <v>0</v>
      </c>
      <c r="E630" s="140"/>
      <c r="F630" s="4" t="str">
        <f t="shared" si="13"/>
        <v/>
      </c>
      <c r="G630" s="37">
        <v>26</v>
      </c>
      <c r="H630" s="141">
        <v>45518</v>
      </c>
    </row>
    <row r="631" spans="3:8" x14ac:dyDescent="0.25">
      <c r="C631" s="139">
        <v>18</v>
      </c>
      <c r="D631" s="139">
        <v>12</v>
      </c>
      <c r="E631" s="140">
        <v>16.100000000000001</v>
      </c>
      <c r="F631" s="4">
        <f t="shared" si="13"/>
        <v>-0.17435897435897429</v>
      </c>
      <c r="G631" s="37">
        <v>26</v>
      </c>
      <c r="H631" s="141">
        <v>45518</v>
      </c>
    </row>
    <row r="632" spans="3:8" x14ac:dyDescent="0.25">
      <c r="C632" s="139">
        <v>19</v>
      </c>
      <c r="D632" s="139">
        <v>17</v>
      </c>
      <c r="E632" s="140">
        <v>16.399999999999999</v>
      </c>
      <c r="F632" s="4">
        <f t="shared" si="13"/>
        <v>0.10810810810810796</v>
      </c>
      <c r="G632" s="37">
        <v>26</v>
      </c>
      <c r="H632" s="141">
        <v>45518</v>
      </c>
    </row>
    <row r="633" spans="3:8" x14ac:dyDescent="0.25">
      <c r="C633" s="142" t="s">
        <v>8</v>
      </c>
      <c r="D633" s="142" t="s">
        <v>9</v>
      </c>
      <c r="E633" s="143" t="s">
        <v>10</v>
      </c>
      <c r="F633" s="4" t="str">
        <f t="shared" si="13"/>
        <v/>
      </c>
      <c r="G633" s="37">
        <v>26.2</v>
      </c>
      <c r="H633" s="144">
        <v>45519</v>
      </c>
    </row>
    <row r="634" spans="3:8" x14ac:dyDescent="0.25">
      <c r="C634" s="142">
        <v>1</v>
      </c>
      <c r="D634" s="142">
        <v>76</v>
      </c>
      <c r="E634" s="143">
        <v>27.7</v>
      </c>
      <c r="F634" s="4">
        <f t="shared" si="13"/>
        <v>1.0948905109489078E-2</v>
      </c>
      <c r="G634" s="37">
        <v>26.2</v>
      </c>
      <c r="H634" s="144">
        <v>45519</v>
      </c>
    </row>
    <row r="635" spans="3:8" x14ac:dyDescent="0.25">
      <c r="C635" s="142">
        <v>2</v>
      </c>
      <c r="D635" s="142">
        <v>40</v>
      </c>
      <c r="E635" s="143">
        <v>28.2</v>
      </c>
      <c r="F635" s="4">
        <f t="shared" si="13"/>
        <v>3.6764705882352942E-2</v>
      </c>
      <c r="G635" s="37">
        <v>26.2</v>
      </c>
      <c r="H635" s="144">
        <v>45519</v>
      </c>
    </row>
    <row r="636" spans="3:8" x14ac:dyDescent="0.25">
      <c r="C636" s="142">
        <v>3</v>
      </c>
      <c r="D636" s="142">
        <v>99</v>
      </c>
      <c r="E636" s="143">
        <v>24.7</v>
      </c>
      <c r="F636" s="4">
        <f t="shared" si="13"/>
        <v>1.6460905349794181E-2</v>
      </c>
      <c r="G636" s="37">
        <v>26.2</v>
      </c>
      <c r="H636" s="144">
        <v>45519</v>
      </c>
    </row>
    <row r="637" spans="3:8" x14ac:dyDescent="0.25">
      <c r="C637" s="142">
        <v>4</v>
      </c>
      <c r="D637" s="142">
        <v>109</v>
      </c>
      <c r="E637" s="143">
        <v>26.6</v>
      </c>
      <c r="F637" s="4">
        <f t="shared" si="13"/>
        <v>3.7735849056604312E-3</v>
      </c>
      <c r="G637" s="37">
        <v>26.2</v>
      </c>
      <c r="H637" s="144">
        <v>45519</v>
      </c>
    </row>
    <row r="638" spans="3:8" x14ac:dyDescent="0.25">
      <c r="C638" s="142">
        <v>5</v>
      </c>
      <c r="D638" s="142">
        <v>101</v>
      </c>
      <c r="E638" s="143">
        <v>27.4</v>
      </c>
      <c r="F638" s="4">
        <f t="shared" si="13"/>
        <v>3.6630036630035849E-3</v>
      </c>
      <c r="G638" s="37">
        <v>26.2</v>
      </c>
      <c r="H638" s="144">
        <v>45519</v>
      </c>
    </row>
    <row r="639" spans="3:8" x14ac:dyDescent="0.25">
      <c r="C639" s="142">
        <v>6</v>
      </c>
      <c r="D639" s="142">
        <v>85</v>
      </c>
      <c r="E639" s="143">
        <v>25.8</v>
      </c>
      <c r="F639" s="4">
        <f t="shared" si="13"/>
        <v>-1.526717557251903E-2</v>
      </c>
      <c r="G639" s="37">
        <v>26.2</v>
      </c>
      <c r="H639" s="144">
        <v>45519</v>
      </c>
    </row>
    <row r="640" spans="3:8" x14ac:dyDescent="0.25">
      <c r="C640" s="142">
        <v>7</v>
      </c>
      <c r="D640" s="142">
        <v>77</v>
      </c>
      <c r="E640" s="143">
        <v>22</v>
      </c>
      <c r="F640" s="4">
        <f t="shared" si="13"/>
        <v>3.7735849056603807E-2</v>
      </c>
      <c r="G640" s="37">
        <v>26.2</v>
      </c>
      <c r="H640" s="144">
        <v>45519</v>
      </c>
    </row>
    <row r="641" spans="3:8" x14ac:dyDescent="0.25">
      <c r="C641" s="142">
        <v>8</v>
      </c>
      <c r="D641" s="142">
        <v>45</v>
      </c>
      <c r="E641" s="143">
        <v>19.899999999999999</v>
      </c>
      <c r="F641" s="4">
        <f t="shared" si="13"/>
        <v>3.1088082901554293E-2</v>
      </c>
      <c r="G641" s="37">
        <v>26.2</v>
      </c>
      <c r="H641" s="144">
        <v>45519</v>
      </c>
    </row>
    <row r="642" spans="3:8" x14ac:dyDescent="0.25">
      <c r="C642" s="142">
        <v>9</v>
      </c>
      <c r="D642" s="142">
        <v>0</v>
      </c>
      <c r="E642" s="143"/>
      <c r="F642" s="4" t="str">
        <f t="shared" si="13"/>
        <v/>
      </c>
      <c r="G642" s="37">
        <v>26.2</v>
      </c>
      <c r="H642" s="144">
        <v>45519</v>
      </c>
    </row>
    <row r="643" spans="3:8" x14ac:dyDescent="0.25">
      <c r="C643" s="142">
        <v>10</v>
      </c>
      <c r="D643" s="142">
        <v>0</v>
      </c>
      <c r="E643" s="143"/>
      <c r="F643" s="4" t="str">
        <f t="shared" si="13"/>
        <v/>
      </c>
      <c r="G643" s="37">
        <v>26.2</v>
      </c>
      <c r="H643" s="144">
        <v>45519</v>
      </c>
    </row>
    <row r="644" spans="3:8" x14ac:dyDescent="0.25">
      <c r="C644" s="142">
        <v>18</v>
      </c>
      <c r="D644" s="142">
        <v>15</v>
      </c>
      <c r="E644" s="143">
        <v>19.2</v>
      </c>
      <c r="F644" s="4">
        <f t="shared" si="13"/>
        <v>0.19254658385093154</v>
      </c>
      <c r="G644" s="37">
        <v>26.2</v>
      </c>
      <c r="H644" s="144">
        <v>45519</v>
      </c>
    </row>
    <row r="645" spans="3:8" x14ac:dyDescent="0.25">
      <c r="C645" s="142">
        <v>19</v>
      </c>
      <c r="D645" s="142">
        <v>21</v>
      </c>
      <c r="E645" s="143">
        <v>19.399999999999999</v>
      </c>
      <c r="F645" s="4">
        <f t="shared" si="13"/>
        <v>0.18292682926829271</v>
      </c>
      <c r="G645" s="37">
        <v>26.2</v>
      </c>
      <c r="H645" s="144">
        <v>45519</v>
      </c>
    </row>
    <row r="646" spans="3:8" x14ac:dyDescent="0.25">
      <c r="C646" s="145" t="s">
        <v>8</v>
      </c>
      <c r="D646" s="145" t="s">
        <v>9</v>
      </c>
      <c r="E646" s="146" t="s">
        <v>10</v>
      </c>
      <c r="F646" s="4" t="str">
        <f t="shared" si="13"/>
        <v/>
      </c>
      <c r="G646" s="37">
        <v>26.1</v>
      </c>
      <c r="H646" s="147">
        <v>45520</v>
      </c>
    </row>
    <row r="647" spans="3:8" x14ac:dyDescent="0.25">
      <c r="C647" s="145">
        <v>1</v>
      </c>
      <c r="D647" s="145">
        <v>77</v>
      </c>
      <c r="E647" s="146">
        <v>26.8</v>
      </c>
      <c r="F647" s="4">
        <f t="shared" si="13"/>
        <v>-3.2490974729241826E-2</v>
      </c>
      <c r="G647" s="37">
        <v>26.1</v>
      </c>
      <c r="H647" s="147">
        <v>45520</v>
      </c>
    </row>
    <row r="648" spans="3:8" x14ac:dyDescent="0.25">
      <c r="C648" s="145">
        <v>2</v>
      </c>
      <c r="D648" s="145">
        <v>40</v>
      </c>
      <c r="E648" s="146">
        <v>28</v>
      </c>
      <c r="F648" s="4">
        <f t="shared" si="13"/>
        <v>-7.0921985815602584E-3</v>
      </c>
      <c r="G648" s="37">
        <v>26.1</v>
      </c>
      <c r="H648" s="147">
        <v>45520</v>
      </c>
    </row>
    <row r="649" spans="3:8" x14ac:dyDescent="0.25">
      <c r="C649" s="145">
        <v>3</v>
      </c>
      <c r="D649" s="145">
        <v>100</v>
      </c>
      <c r="E649" s="146">
        <v>24.4</v>
      </c>
      <c r="F649" s="4">
        <f t="shared" si="13"/>
        <v>-1.2145748987854281E-2</v>
      </c>
      <c r="G649" s="37">
        <v>26.1</v>
      </c>
      <c r="H649" s="147">
        <v>45520</v>
      </c>
    </row>
    <row r="650" spans="3:8" x14ac:dyDescent="0.25">
      <c r="C650" s="145">
        <v>4</v>
      </c>
      <c r="D650" s="145">
        <v>108</v>
      </c>
      <c r="E650" s="146">
        <v>26.6</v>
      </c>
      <c r="F650" s="4">
        <f t="shared" si="13"/>
        <v>0</v>
      </c>
      <c r="G650" s="37">
        <v>26.1</v>
      </c>
      <c r="H650" s="147">
        <v>45520</v>
      </c>
    </row>
    <row r="651" spans="3:8" x14ac:dyDescent="0.25">
      <c r="C651" s="145">
        <v>5</v>
      </c>
      <c r="D651" s="145">
        <v>100</v>
      </c>
      <c r="E651" s="146">
        <v>27.3</v>
      </c>
      <c r="F651" s="4">
        <f t="shared" si="13"/>
        <v>-3.6496350364962726E-3</v>
      </c>
      <c r="G651" s="37">
        <v>26.1</v>
      </c>
      <c r="H651" s="147">
        <v>45520</v>
      </c>
    </row>
    <row r="652" spans="3:8" x14ac:dyDescent="0.25">
      <c r="C652" s="145">
        <v>6</v>
      </c>
      <c r="D652" s="145">
        <v>69</v>
      </c>
      <c r="E652" s="146">
        <v>25.1</v>
      </c>
      <c r="F652" s="4">
        <f t="shared" si="13"/>
        <v>-2.7131782945736406E-2</v>
      </c>
      <c r="G652" s="37">
        <v>26.1</v>
      </c>
      <c r="H652" s="147">
        <v>45520</v>
      </c>
    </row>
    <row r="653" spans="3:8" x14ac:dyDescent="0.25">
      <c r="C653" s="145">
        <v>7</v>
      </c>
      <c r="D653" s="145">
        <v>94</v>
      </c>
      <c r="E653" s="146">
        <v>22.2</v>
      </c>
      <c r="F653" s="4">
        <f t="shared" si="13"/>
        <v>9.0909090909090592E-3</v>
      </c>
      <c r="G653" s="37">
        <v>26.1</v>
      </c>
      <c r="H653" s="147">
        <v>45520</v>
      </c>
    </row>
    <row r="654" spans="3:8" x14ac:dyDescent="0.25">
      <c r="C654" s="145">
        <v>8</v>
      </c>
      <c r="D654" s="145">
        <v>45</v>
      </c>
      <c r="E654" s="146">
        <v>17.7</v>
      </c>
      <c r="F654" s="4">
        <f t="shared" si="13"/>
        <v>-0.11055276381909546</v>
      </c>
      <c r="G654" s="37">
        <v>26.1</v>
      </c>
      <c r="H654" s="147">
        <v>45520</v>
      </c>
    </row>
    <row r="655" spans="3:8" x14ac:dyDescent="0.25">
      <c r="C655" s="145">
        <v>9</v>
      </c>
      <c r="D655" s="145">
        <v>0</v>
      </c>
      <c r="E655" s="146"/>
      <c r="F655" s="4" t="str">
        <f t="shared" si="13"/>
        <v/>
      </c>
      <c r="G655" s="37">
        <v>26.1</v>
      </c>
      <c r="H655" s="147">
        <v>45520</v>
      </c>
    </row>
    <row r="656" spans="3:8" x14ac:dyDescent="0.25">
      <c r="C656" s="145">
        <v>10</v>
      </c>
      <c r="D656" s="145">
        <v>0</v>
      </c>
      <c r="E656" s="146"/>
      <c r="F656" s="4" t="str">
        <f t="shared" si="13"/>
        <v/>
      </c>
      <c r="G656" s="37">
        <v>26.1</v>
      </c>
      <c r="H656" s="147">
        <v>45520</v>
      </c>
    </row>
    <row r="657" spans="3:8" x14ac:dyDescent="0.25">
      <c r="C657" s="145">
        <v>18</v>
      </c>
      <c r="D657" s="145">
        <v>16</v>
      </c>
      <c r="E657" s="146">
        <v>20.3</v>
      </c>
      <c r="F657" s="4">
        <f t="shared" si="13"/>
        <v>5.7291666666666741E-2</v>
      </c>
      <c r="G657" s="37">
        <v>26.1</v>
      </c>
      <c r="H657" s="147">
        <v>45520</v>
      </c>
    </row>
    <row r="658" spans="3:8" x14ac:dyDescent="0.25">
      <c r="C658" s="145">
        <v>19</v>
      </c>
      <c r="D658" s="145">
        <v>22</v>
      </c>
      <c r="E658" s="146">
        <v>13.6</v>
      </c>
      <c r="F658" s="4">
        <f t="shared" si="13"/>
        <v>-0.29896907216494845</v>
      </c>
      <c r="G658" s="37">
        <v>26.1</v>
      </c>
      <c r="H658" s="147">
        <v>45520</v>
      </c>
    </row>
    <row r="659" spans="3:8" x14ac:dyDescent="0.25">
      <c r="C659" s="148" t="s">
        <v>8</v>
      </c>
      <c r="D659" s="148" t="s">
        <v>9</v>
      </c>
      <c r="E659" s="149" t="s">
        <v>10</v>
      </c>
      <c r="F659" s="4" t="str">
        <f t="shared" si="13"/>
        <v/>
      </c>
      <c r="G659" s="37">
        <v>25.8</v>
      </c>
      <c r="H659" s="147">
        <v>45521</v>
      </c>
    </row>
    <row r="660" spans="3:8" x14ac:dyDescent="0.25">
      <c r="C660" s="148">
        <v>1</v>
      </c>
      <c r="D660" s="148">
        <v>42</v>
      </c>
      <c r="E660" s="149">
        <v>27.3</v>
      </c>
      <c r="F660" s="4">
        <f t="shared" si="13"/>
        <v>1.8656716417910446E-2</v>
      </c>
      <c r="G660" s="37">
        <v>25.8</v>
      </c>
      <c r="H660" s="147">
        <v>45521</v>
      </c>
    </row>
    <row r="661" spans="3:8" x14ac:dyDescent="0.25">
      <c r="C661" s="148">
        <v>2</v>
      </c>
      <c r="D661" s="148">
        <v>40</v>
      </c>
      <c r="E661" s="149">
        <v>27.9</v>
      </c>
      <c r="F661" s="4">
        <f t="shared" si="13"/>
        <v>-3.5714285714286221E-3</v>
      </c>
      <c r="G661" s="37">
        <v>25.8</v>
      </c>
      <c r="H661" s="147">
        <v>45521</v>
      </c>
    </row>
    <row r="662" spans="3:8" x14ac:dyDescent="0.25">
      <c r="C662" s="148">
        <v>3</v>
      </c>
      <c r="D662" s="148">
        <v>110</v>
      </c>
      <c r="E662" s="149">
        <v>23.7</v>
      </c>
      <c r="F662" s="4">
        <f t="shared" si="13"/>
        <v>-2.8688524590163907E-2</v>
      </c>
      <c r="G662" s="37">
        <v>25.8</v>
      </c>
      <c r="H662" s="147">
        <v>45521</v>
      </c>
    </row>
    <row r="663" spans="3:8" x14ac:dyDescent="0.25">
      <c r="C663" s="148">
        <v>4</v>
      </c>
      <c r="D663" s="148">
        <v>114</v>
      </c>
      <c r="E663" s="149">
        <v>26.6</v>
      </c>
      <c r="F663" s="4">
        <f t="shared" si="13"/>
        <v>0</v>
      </c>
      <c r="G663" s="37">
        <v>25.8</v>
      </c>
      <c r="H663" s="147">
        <v>45521</v>
      </c>
    </row>
    <row r="664" spans="3:8" x14ac:dyDescent="0.25">
      <c r="C664" s="148">
        <v>5</v>
      </c>
      <c r="D664" s="148">
        <v>83</v>
      </c>
      <c r="E664" s="149">
        <v>28</v>
      </c>
      <c r="F664" s="4">
        <f t="shared" si="13"/>
        <v>2.5641025641025616E-2</v>
      </c>
      <c r="G664" s="37">
        <v>25.8</v>
      </c>
      <c r="H664" s="147">
        <v>45521</v>
      </c>
    </row>
    <row r="665" spans="3:8" x14ac:dyDescent="0.25">
      <c r="C665" s="148">
        <v>6</v>
      </c>
      <c r="D665" s="148">
        <v>114</v>
      </c>
      <c r="E665" s="149">
        <v>24.8</v>
      </c>
      <c r="F665" s="4">
        <f t="shared" si="13"/>
        <v>-1.1952191235059789E-2</v>
      </c>
      <c r="G665" s="37">
        <v>25.8</v>
      </c>
      <c r="H665" s="147">
        <v>45521</v>
      </c>
    </row>
    <row r="666" spans="3:8" x14ac:dyDescent="0.25">
      <c r="C666" s="148">
        <v>7</v>
      </c>
      <c r="D666" s="148">
        <v>92</v>
      </c>
      <c r="E666" s="149">
        <v>23.8</v>
      </c>
      <c r="F666" s="4">
        <f t="shared" si="13"/>
        <v>7.2072072072072141E-2</v>
      </c>
      <c r="G666" s="37">
        <v>25.8</v>
      </c>
      <c r="H666" s="147">
        <v>45521</v>
      </c>
    </row>
    <row r="667" spans="3:8" x14ac:dyDescent="0.25">
      <c r="C667" s="148">
        <v>8</v>
      </c>
      <c r="D667" s="148">
        <v>40</v>
      </c>
      <c r="E667" s="149">
        <v>19.3</v>
      </c>
      <c r="F667" s="4">
        <f t="shared" si="13"/>
        <v>9.0395480225988784E-2</v>
      </c>
      <c r="G667" s="37">
        <v>25.8</v>
      </c>
      <c r="H667" s="147">
        <v>45521</v>
      </c>
    </row>
    <row r="668" spans="3:8" x14ac:dyDescent="0.25">
      <c r="C668" s="148">
        <v>9</v>
      </c>
      <c r="D668" s="148">
        <v>0</v>
      </c>
      <c r="E668" s="149"/>
      <c r="F668" s="4" t="str">
        <f t="shared" si="13"/>
        <v/>
      </c>
      <c r="G668" s="37">
        <v>25.8</v>
      </c>
      <c r="H668" s="147">
        <v>45521</v>
      </c>
    </row>
    <row r="669" spans="3:8" x14ac:dyDescent="0.25">
      <c r="C669" s="148">
        <v>10</v>
      </c>
      <c r="D669" s="148">
        <v>0</v>
      </c>
      <c r="E669" s="149"/>
      <c r="F669" s="4" t="str">
        <f t="shared" si="13"/>
        <v/>
      </c>
      <c r="G669" s="37">
        <v>25.8</v>
      </c>
      <c r="H669" s="147">
        <v>45521</v>
      </c>
    </row>
    <row r="670" spans="3:8" x14ac:dyDescent="0.25">
      <c r="C670" s="148">
        <v>18</v>
      </c>
      <c r="D670" s="148">
        <v>13</v>
      </c>
      <c r="E670" s="149">
        <v>22.2</v>
      </c>
      <c r="F670" s="4">
        <f t="shared" si="13"/>
        <v>9.359605911330042E-2</v>
      </c>
      <c r="G670" s="37">
        <v>25.8</v>
      </c>
      <c r="H670" s="147">
        <v>45521</v>
      </c>
    </row>
    <row r="671" spans="3:8" x14ac:dyDescent="0.25">
      <c r="C671" s="148">
        <v>19</v>
      </c>
      <c r="D671" s="148">
        <v>20</v>
      </c>
      <c r="E671" s="149">
        <v>17.3</v>
      </c>
      <c r="F671" s="4">
        <f t="shared" si="13"/>
        <v>0.27205882352941185</v>
      </c>
      <c r="G671" s="37">
        <v>25.8</v>
      </c>
      <c r="H671" s="147">
        <v>45521</v>
      </c>
    </row>
    <row r="672" spans="3:8" x14ac:dyDescent="0.25">
      <c r="C672" s="150" t="s">
        <v>8</v>
      </c>
      <c r="D672" s="150" t="s">
        <v>9</v>
      </c>
      <c r="E672" s="151" t="s">
        <v>10</v>
      </c>
      <c r="F672" s="4" t="str">
        <f t="shared" si="13"/>
        <v/>
      </c>
      <c r="G672" s="37">
        <v>25.7</v>
      </c>
      <c r="H672" s="152">
        <v>45522</v>
      </c>
    </row>
    <row r="673" spans="3:8" x14ac:dyDescent="0.25">
      <c r="C673" s="150">
        <v>1</v>
      </c>
      <c r="D673" s="150">
        <v>41</v>
      </c>
      <c r="E673" s="151">
        <v>19.3</v>
      </c>
      <c r="F673" s="4">
        <f t="shared" si="13"/>
        <v>-0.29304029304029305</v>
      </c>
      <c r="G673" s="37">
        <v>25.7</v>
      </c>
      <c r="H673" s="152">
        <v>45522</v>
      </c>
    </row>
    <row r="674" spans="3:8" x14ac:dyDescent="0.25">
      <c r="C674" s="150">
        <v>2</v>
      </c>
      <c r="D674" s="150">
        <v>40</v>
      </c>
      <c r="E674" s="151">
        <v>27.2</v>
      </c>
      <c r="F674" s="4">
        <f t="shared" si="13"/>
        <v>-2.5089605734767002E-2</v>
      </c>
      <c r="G674" s="37">
        <v>25.7</v>
      </c>
      <c r="H674" s="152">
        <v>45522</v>
      </c>
    </row>
    <row r="675" spans="3:8" x14ac:dyDescent="0.25">
      <c r="C675" s="150">
        <v>3</v>
      </c>
      <c r="D675" s="150">
        <v>110</v>
      </c>
      <c r="E675" s="151">
        <v>24.5</v>
      </c>
      <c r="F675" s="4">
        <f t="shared" si="13"/>
        <v>3.3755274261603407E-2</v>
      </c>
      <c r="G675" s="37">
        <v>25.7</v>
      </c>
      <c r="H675" s="152">
        <v>45522</v>
      </c>
    </row>
    <row r="676" spans="3:8" x14ac:dyDescent="0.25">
      <c r="C676" s="150">
        <v>4</v>
      </c>
      <c r="D676" s="150">
        <v>114</v>
      </c>
      <c r="E676" s="151">
        <v>26.3</v>
      </c>
      <c r="F676" s="4">
        <f t="shared" si="13"/>
        <v>-1.127819548872183E-2</v>
      </c>
      <c r="G676" s="37">
        <v>25.7</v>
      </c>
      <c r="H676" s="152">
        <v>45522</v>
      </c>
    </row>
    <row r="677" spans="3:8" x14ac:dyDescent="0.25">
      <c r="C677" s="150">
        <v>5</v>
      </c>
      <c r="D677" s="150">
        <v>83</v>
      </c>
      <c r="E677" s="151">
        <v>32.299999999999997</v>
      </c>
      <c r="F677" s="4">
        <f t="shared" si="13"/>
        <v>0.15357142857142847</v>
      </c>
      <c r="G677" s="37">
        <v>25.7</v>
      </c>
      <c r="H677" s="152">
        <v>45522</v>
      </c>
    </row>
    <row r="678" spans="3:8" x14ac:dyDescent="0.25">
      <c r="C678" s="150">
        <v>6</v>
      </c>
      <c r="D678" s="150">
        <v>114</v>
      </c>
      <c r="E678" s="151">
        <v>23.5</v>
      </c>
      <c r="F678" s="4">
        <f t="shared" si="13"/>
        <v>-5.2419354838709707E-2</v>
      </c>
      <c r="G678" s="37">
        <v>25.7</v>
      </c>
      <c r="H678" s="152">
        <v>45522</v>
      </c>
    </row>
    <row r="679" spans="3:8" x14ac:dyDescent="0.25">
      <c r="C679" s="150">
        <v>7</v>
      </c>
      <c r="D679" s="150">
        <v>92</v>
      </c>
      <c r="E679" s="151">
        <v>22.3</v>
      </c>
      <c r="F679" s="4">
        <f t="shared" si="13"/>
        <v>-6.3025210084033612E-2</v>
      </c>
      <c r="G679" s="37">
        <v>25.7</v>
      </c>
      <c r="H679" s="152">
        <v>45522</v>
      </c>
    </row>
    <row r="680" spans="3:8" x14ac:dyDescent="0.25">
      <c r="C680" s="150">
        <v>8</v>
      </c>
      <c r="D680" s="150">
        <v>40</v>
      </c>
      <c r="E680" s="151">
        <v>19.7</v>
      </c>
      <c r="F680" s="4">
        <f t="shared" si="13"/>
        <v>2.0725388601036194E-2</v>
      </c>
      <c r="G680" s="37">
        <v>25.7</v>
      </c>
      <c r="H680" s="152">
        <v>45522</v>
      </c>
    </row>
    <row r="681" spans="3:8" x14ac:dyDescent="0.25">
      <c r="C681" s="150">
        <v>9</v>
      </c>
      <c r="D681" s="150">
        <v>0</v>
      </c>
      <c r="E681" s="151"/>
      <c r="F681" s="4" t="str">
        <f t="shared" si="13"/>
        <v/>
      </c>
      <c r="G681" s="37">
        <v>25.7</v>
      </c>
      <c r="H681" s="152">
        <v>45522</v>
      </c>
    </row>
    <row r="682" spans="3:8" x14ac:dyDescent="0.25">
      <c r="C682" s="150">
        <v>10</v>
      </c>
      <c r="D682" s="150">
        <v>0</v>
      </c>
      <c r="E682" s="151"/>
      <c r="F682" s="4" t="str">
        <f t="shared" si="13"/>
        <v/>
      </c>
      <c r="G682" s="37">
        <v>25.7</v>
      </c>
      <c r="H682" s="152">
        <v>45522</v>
      </c>
    </row>
    <row r="683" spans="3:8" x14ac:dyDescent="0.25">
      <c r="C683" s="150">
        <v>18</v>
      </c>
      <c r="D683" s="150">
        <v>13</v>
      </c>
      <c r="E683" s="151">
        <v>24.8</v>
      </c>
      <c r="F683" s="4">
        <f t="shared" si="13"/>
        <v>0.11711711711711718</v>
      </c>
      <c r="G683" s="37">
        <v>25.7</v>
      </c>
      <c r="H683" s="152">
        <v>45522</v>
      </c>
    </row>
    <row r="684" spans="3:8" x14ac:dyDescent="0.25">
      <c r="C684" s="150">
        <v>19</v>
      </c>
      <c r="D684" s="150">
        <v>26</v>
      </c>
      <c r="E684" s="151">
        <v>19.8</v>
      </c>
      <c r="F684" s="4">
        <f t="shared" si="13"/>
        <v>0.1445086705202312</v>
      </c>
      <c r="G684" s="37">
        <v>25.7</v>
      </c>
      <c r="H684" s="152">
        <v>45522</v>
      </c>
    </row>
    <row r="685" spans="3:8" x14ac:dyDescent="0.25">
      <c r="C685" s="153" t="s">
        <v>0</v>
      </c>
      <c r="D685" s="153" t="s">
        <v>7</v>
      </c>
      <c r="E685" s="154" t="s">
        <v>4</v>
      </c>
      <c r="F685" s="4" t="str">
        <f t="shared" si="13"/>
        <v/>
      </c>
      <c r="G685" s="37">
        <v>26.1</v>
      </c>
      <c r="H685" s="155">
        <v>45523</v>
      </c>
    </row>
    <row r="686" spans="3:8" x14ac:dyDescent="0.25">
      <c r="C686" s="153">
        <v>1</v>
      </c>
      <c r="D686" s="153">
        <v>44</v>
      </c>
      <c r="E686" s="154">
        <v>24.4</v>
      </c>
      <c r="F686" s="4">
        <f t="shared" si="13"/>
        <v>0.26424870466321232</v>
      </c>
      <c r="G686" s="37">
        <v>26.1</v>
      </c>
      <c r="H686" s="155">
        <v>45523</v>
      </c>
    </row>
    <row r="687" spans="3:8" x14ac:dyDescent="0.25">
      <c r="C687" s="153">
        <v>2</v>
      </c>
      <c r="D687" s="153">
        <v>40</v>
      </c>
      <c r="E687" s="154">
        <v>28.1</v>
      </c>
      <c r="F687" s="4">
        <f t="shared" si="13"/>
        <v>3.3088235294117724E-2</v>
      </c>
      <c r="G687" s="37">
        <v>26.1</v>
      </c>
      <c r="H687" s="155">
        <v>45523</v>
      </c>
    </row>
    <row r="688" spans="3:8" x14ac:dyDescent="0.25">
      <c r="C688" s="153">
        <v>3</v>
      </c>
      <c r="D688" s="153">
        <v>110</v>
      </c>
      <c r="E688" s="154">
        <v>24.6</v>
      </c>
      <c r="F688" s="4">
        <f t="shared" ref="F688:F751" si="14">IFERROR((E688-E675)/E675,"")</f>
        <v>4.0816326530612821E-3</v>
      </c>
      <c r="G688" s="37">
        <v>26.1</v>
      </c>
      <c r="H688" s="155">
        <v>45523</v>
      </c>
    </row>
    <row r="689" spans="3:8" x14ac:dyDescent="0.25">
      <c r="C689" s="153">
        <v>4</v>
      </c>
      <c r="D689" s="153">
        <v>115</v>
      </c>
      <c r="E689" s="154">
        <v>26.5</v>
      </c>
      <c r="F689" s="4">
        <f t="shared" si="14"/>
        <v>7.6045627376425586E-3</v>
      </c>
      <c r="G689" s="37">
        <v>26.1</v>
      </c>
      <c r="H689" s="155">
        <v>45523</v>
      </c>
    </row>
    <row r="690" spans="3:8" x14ac:dyDescent="0.25">
      <c r="C690" s="153">
        <v>5</v>
      </c>
      <c r="D690" s="153">
        <v>84</v>
      </c>
      <c r="E690" s="154">
        <v>32.4</v>
      </c>
      <c r="F690" s="4">
        <f t="shared" si="14"/>
        <v>3.0959752321981868E-3</v>
      </c>
      <c r="G690" s="37">
        <v>26.1</v>
      </c>
      <c r="H690" s="155">
        <v>45523</v>
      </c>
    </row>
    <row r="691" spans="3:8" x14ac:dyDescent="0.25">
      <c r="C691" s="153">
        <v>6</v>
      </c>
      <c r="D691" s="153">
        <v>113</v>
      </c>
      <c r="E691" s="154">
        <v>23.9</v>
      </c>
      <c r="F691" s="4">
        <f t="shared" si="14"/>
        <v>1.7021276595744619E-2</v>
      </c>
      <c r="G691" s="37">
        <v>26.1</v>
      </c>
      <c r="H691" s="155">
        <v>45523</v>
      </c>
    </row>
    <row r="692" spans="3:8" x14ac:dyDescent="0.25">
      <c r="C692" s="153">
        <v>7</v>
      </c>
      <c r="D692" s="153">
        <v>92</v>
      </c>
      <c r="E692" s="154">
        <v>23.6</v>
      </c>
      <c r="F692" s="4">
        <f t="shared" si="14"/>
        <v>5.8295964125560568E-2</v>
      </c>
      <c r="G692" s="37">
        <v>26.1</v>
      </c>
      <c r="H692" s="155">
        <v>45523</v>
      </c>
    </row>
    <row r="693" spans="3:8" x14ac:dyDescent="0.25">
      <c r="C693" s="153">
        <v>8</v>
      </c>
      <c r="D693" s="153">
        <v>40</v>
      </c>
      <c r="E693" s="154">
        <v>20.399999999999999</v>
      </c>
      <c r="F693" s="4">
        <f t="shared" si="14"/>
        <v>3.5532994923857836E-2</v>
      </c>
      <c r="G693" s="37">
        <v>26.1</v>
      </c>
      <c r="H693" s="155">
        <v>45523</v>
      </c>
    </row>
    <row r="694" spans="3:8" x14ac:dyDescent="0.25">
      <c r="C694" s="153">
        <v>9</v>
      </c>
      <c r="D694" s="153">
        <v>0</v>
      </c>
      <c r="E694" s="154"/>
      <c r="F694" s="4" t="str">
        <f t="shared" si="14"/>
        <v/>
      </c>
      <c r="G694" s="37">
        <v>26.1</v>
      </c>
      <c r="H694" s="155">
        <v>45523</v>
      </c>
    </row>
    <row r="695" spans="3:8" x14ac:dyDescent="0.25">
      <c r="C695" s="153">
        <v>10</v>
      </c>
      <c r="D695" s="153">
        <v>0</v>
      </c>
      <c r="E695" s="154"/>
      <c r="F695" s="4" t="str">
        <f t="shared" si="14"/>
        <v/>
      </c>
      <c r="G695" s="37">
        <v>26.1</v>
      </c>
      <c r="H695" s="155">
        <v>45523</v>
      </c>
    </row>
    <row r="696" spans="3:8" x14ac:dyDescent="0.25">
      <c r="C696" s="153">
        <v>18</v>
      </c>
      <c r="D696" s="153">
        <v>13</v>
      </c>
      <c r="E696" s="154">
        <v>23.7</v>
      </c>
      <c r="F696" s="4">
        <f t="shared" si="14"/>
        <v>-4.4354838709677477E-2</v>
      </c>
      <c r="G696" s="37">
        <v>26.1</v>
      </c>
      <c r="H696" s="155">
        <v>45523</v>
      </c>
    </row>
    <row r="697" spans="3:8" x14ac:dyDescent="0.25">
      <c r="C697" s="153">
        <v>19</v>
      </c>
      <c r="D697" s="153">
        <v>24</v>
      </c>
      <c r="E697" s="154">
        <v>18.3</v>
      </c>
      <c r="F697" s="4">
        <f t="shared" si="14"/>
        <v>-7.575757575757576E-2</v>
      </c>
      <c r="G697" s="37">
        <v>26.1</v>
      </c>
      <c r="H697" s="155">
        <v>45523</v>
      </c>
    </row>
    <row r="698" spans="3:8" x14ac:dyDescent="0.25">
      <c r="C698" s="156" t="s">
        <v>0</v>
      </c>
      <c r="D698" s="156" t="s">
        <v>7</v>
      </c>
      <c r="E698" s="157" t="s">
        <v>4</v>
      </c>
      <c r="F698" s="4" t="str">
        <f t="shared" si="14"/>
        <v/>
      </c>
      <c r="G698" s="37">
        <v>25.4</v>
      </c>
      <c r="H698" s="158">
        <v>45524</v>
      </c>
    </row>
    <row r="699" spans="3:8" x14ac:dyDescent="0.25">
      <c r="C699" s="156">
        <v>1</v>
      </c>
      <c r="D699" s="156">
        <v>48</v>
      </c>
      <c r="E699" s="157">
        <v>21.1</v>
      </c>
      <c r="F699" s="4">
        <f t="shared" si="14"/>
        <v>-0.13524590163934416</v>
      </c>
      <c r="G699" s="37">
        <v>25.4</v>
      </c>
      <c r="H699" s="158">
        <v>45524</v>
      </c>
    </row>
    <row r="700" spans="3:8" x14ac:dyDescent="0.25">
      <c r="C700" s="156">
        <v>2</v>
      </c>
      <c r="D700" s="156">
        <v>40</v>
      </c>
      <c r="E700" s="157">
        <v>27.9</v>
      </c>
      <c r="F700" s="4">
        <f t="shared" si="14"/>
        <v>-7.1174377224200299E-3</v>
      </c>
      <c r="G700" s="37">
        <v>25.4</v>
      </c>
      <c r="H700" s="158">
        <v>45524</v>
      </c>
    </row>
    <row r="701" spans="3:8" x14ac:dyDescent="0.25">
      <c r="C701" s="156">
        <v>3</v>
      </c>
      <c r="D701" s="156">
        <v>110</v>
      </c>
      <c r="E701" s="157">
        <v>23.2</v>
      </c>
      <c r="F701" s="4">
        <f t="shared" si="14"/>
        <v>-5.6910569105691138E-2</v>
      </c>
      <c r="G701" s="37">
        <v>25.4</v>
      </c>
      <c r="H701" s="158">
        <v>45524</v>
      </c>
    </row>
    <row r="702" spans="3:8" x14ac:dyDescent="0.25">
      <c r="C702" s="156">
        <v>4</v>
      </c>
      <c r="D702" s="156">
        <v>115</v>
      </c>
      <c r="E702" s="157">
        <v>26.7</v>
      </c>
      <c r="F702" s="4">
        <f t="shared" si="14"/>
        <v>7.5471698113207279E-3</v>
      </c>
      <c r="G702" s="37">
        <v>25.4</v>
      </c>
      <c r="H702" s="158">
        <v>45524</v>
      </c>
    </row>
    <row r="703" spans="3:8" x14ac:dyDescent="0.25">
      <c r="C703" s="156">
        <v>5</v>
      </c>
      <c r="D703" s="156">
        <v>82</v>
      </c>
      <c r="E703" s="157">
        <v>32.299999999999997</v>
      </c>
      <c r="F703" s="4">
        <f t="shared" si="14"/>
        <v>-3.0864197530864638E-3</v>
      </c>
      <c r="G703" s="37">
        <v>25.4</v>
      </c>
      <c r="H703" s="158">
        <v>45524</v>
      </c>
    </row>
    <row r="704" spans="3:8" x14ac:dyDescent="0.25">
      <c r="C704" s="156">
        <v>6</v>
      </c>
      <c r="D704" s="156">
        <v>112</v>
      </c>
      <c r="E704" s="157">
        <v>23.5</v>
      </c>
      <c r="F704" s="4">
        <f t="shared" si="14"/>
        <v>-1.673640167364011E-2</v>
      </c>
      <c r="G704" s="37">
        <v>25.4</v>
      </c>
      <c r="H704" s="158">
        <v>45524</v>
      </c>
    </row>
    <row r="705" spans="3:8" x14ac:dyDescent="0.25">
      <c r="C705" s="156">
        <v>7</v>
      </c>
      <c r="D705" s="156">
        <v>93</v>
      </c>
      <c r="E705" s="157">
        <v>23.1</v>
      </c>
      <c r="F705" s="4">
        <f t="shared" si="14"/>
        <v>-2.1186440677966101E-2</v>
      </c>
      <c r="G705" s="37">
        <v>25.4</v>
      </c>
      <c r="H705" s="158">
        <v>45524</v>
      </c>
    </row>
    <row r="706" spans="3:8" x14ac:dyDescent="0.25">
      <c r="C706" s="156">
        <v>8</v>
      </c>
      <c r="D706" s="156">
        <v>40</v>
      </c>
      <c r="E706" s="157">
        <v>19.399999999999999</v>
      </c>
      <c r="F706" s="4">
        <f t="shared" si="14"/>
        <v>-4.9019607843137261E-2</v>
      </c>
      <c r="G706" s="37">
        <v>25.4</v>
      </c>
      <c r="H706" s="158">
        <v>45524</v>
      </c>
    </row>
    <row r="707" spans="3:8" x14ac:dyDescent="0.25">
      <c r="C707" s="156">
        <v>9</v>
      </c>
      <c r="D707" s="156">
        <v>0</v>
      </c>
      <c r="E707" s="157"/>
      <c r="F707" s="4" t="str">
        <f t="shared" si="14"/>
        <v/>
      </c>
      <c r="G707" s="37">
        <v>25.4</v>
      </c>
      <c r="H707" s="158">
        <v>45524</v>
      </c>
    </row>
    <row r="708" spans="3:8" x14ac:dyDescent="0.25">
      <c r="C708" s="156">
        <v>10</v>
      </c>
      <c r="D708" s="156">
        <v>0</v>
      </c>
      <c r="E708" s="157"/>
      <c r="F708" s="4" t="str">
        <f t="shared" si="14"/>
        <v/>
      </c>
      <c r="G708" s="37">
        <v>25.4</v>
      </c>
      <c r="H708" s="158">
        <v>45524</v>
      </c>
    </row>
    <row r="709" spans="3:8" x14ac:dyDescent="0.25">
      <c r="C709" s="156">
        <v>18</v>
      </c>
      <c r="D709" s="156">
        <v>11</v>
      </c>
      <c r="E709" s="157">
        <v>22.4</v>
      </c>
      <c r="F709" s="4">
        <f t="shared" si="14"/>
        <v>-5.4852320675105516E-2</v>
      </c>
      <c r="G709" s="37">
        <v>25.4</v>
      </c>
      <c r="H709" s="158">
        <v>45524</v>
      </c>
    </row>
    <row r="710" spans="3:8" x14ac:dyDescent="0.25">
      <c r="C710" s="156">
        <v>19</v>
      </c>
      <c r="D710" s="156">
        <v>26</v>
      </c>
      <c r="E710" s="157">
        <v>18.5</v>
      </c>
      <c r="F710" s="4">
        <f t="shared" si="14"/>
        <v>1.092896174863384E-2</v>
      </c>
      <c r="G710" s="37">
        <v>25.4</v>
      </c>
      <c r="H710" s="158">
        <v>45524</v>
      </c>
    </row>
    <row r="711" spans="3:8" x14ac:dyDescent="0.25">
      <c r="C711" s="159" t="s">
        <v>8</v>
      </c>
      <c r="D711" s="159" t="s">
        <v>9</v>
      </c>
      <c r="E711" s="160" t="s">
        <v>10</v>
      </c>
      <c r="F711" s="4" t="str">
        <f t="shared" si="14"/>
        <v/>
      </c>
      <c r="G711" s="37">
        <v>23.8</v>
      </c>
      <c r="H711" s="161">
        <v>45525</v>
      </c>
    </row>
    <row r="712" spans="3:8" x14ac:dyDescent="0.25">
      <c r="C712" s="159">
        <v>1</v>
      </c>
      <c r="D712" s="159">
        <v>51</v>
      </c>
      <c r="E712" s="160">
        <v>24.7</v>
      </c>
      <c r="F712" s="4">
        <f t="shared" si="14"/>
        <v>0.1706161137440757</v>
      </c>
      <c r="G712" s="37">
        <v>23.8</v>
      </c>
      <c r="H712" s="161">
        <v>45525</v>
      </c>
    </row>
    <row r="713" spans="3:8" x14ac:dyDescent="0.25">
      <c r="C713" s="159">
        <v>2</v>
      </c>
      <c r="D713" s="159">
        <v>40</v>
      </c>
      <c r="E713" s="160">
        <v>18.8</v>
      </c>
      <c r="F713" s="4">
        <f t="shared" si="14"/>
        <v>-0.32616487455197124</v>
      </c>
      <c r="G713" s="37">
        <v>23.8</v>
      </c>
      <c r="H713" s="161">
        <v>45525</v>
      </c>
    </row>
    <row r="714" spans="3:8" x14ac:dyDescent="0.25">
      <c r="C714" s="159">
        <v>3</v>
      </c>
      <c r="D714" s="159">
        <v>110</v>
      </c>
      <c r="E714" s="160">
        <v>23.7</v>
      </c>
      <c r="F714" s="4">
        <f t="shared" si="14"/>
        <v>2.1551724137931036E-2</v>
      </c>
      <c r="G714" s="37">
        <v>23.8</v>
      </c>
      <c r="H714" s="161">
        <v>45525</v>
      </c>
    </row>
    <row r="715" spans="3:8" x14ac:dyDescent="0.25">
      <c r="C715" s="159">
        <v>4</v>
      </c>
      <c r="D715" s="159">
        <v>115</v>
      </c>
      <c r="E715" s="160">
        <v>26.8</v>
      </c>
      <c r="F715" s="4">
        <f t="shared" si="14"/>
        <v>3.7453183520599785E-3</v>
      </c>
      <c r="G715" s="37">
        <v>23.8</v>
      </c>
      <c r="H715" s="161">
        <v>45525</v>
      </c>
    </row>
    <row r="716" spans="3:8" x14ac:dyDescent="0.25">
      <c r="C716" s="159">
        <v>5</v>
      </c>
      <c r="D716" s="159">
        <v>82</v>
      </c>
      <c r="E716" s="160">
        <v>20.3</v>
      </c>
      <c r="F716" s="4">
        <f t="shared" si="14"/>
        <v>-0.37151702786377699</v>
      </c>
      <c r="G716" s="37">
        <v>23.8</v>
      </c>
      <c r="H716" s="161">
        <v>45525</v>
      </c>
    </row>
    <row r="717" spans="3:8" x14ac:dyDescent="0.25">
      <c r="C717" s="159">
        <v>6</v>
      </c>
      <c r="D717" s="159">
        <v>112</v>
      </c>
      <c r="E717" s="160">
        <v>23.9</v>
      </c>
      <c r="F717" s="4">
        <f t="shared" si="14"/>
        <v>1.7021276595744619E-2</v>
      </c>
      <c r="G717" s="37">
        <v>23.8</v>
      </c>
      <c r="H717" s="161">
        <v>45525</v>
      </c>
    </row>
    <row r="718" spans="3:8" x14ac:dyDescent="0.25">
      <c r="C718" s="159">
        <v>7</v>
      </c>
      <c r="D718" s="159">
        <v>93</v>
      </c>
      <c r="E718" s="160">
        <v>23.1</v>
      </c>
      <c r="F718" s="4">
        <f t="shared" si="14"/>
        <v>0</v>
      </c>
      <c r="G718" s="37">
        <v>23.8</v>
      </c>
      <c r="H718" s="161">
        <v>45525</v>
      </c>
    </row>
    <row r="719" spans="3:8" x14ac:dyDescent="0.25">
      <c r="C719" s="159">
        <v>8</v>
      </c>
      <c r="D719" s="159">
        <v>40</v>
      </c>
      <c r="E719" s="160">
        <v>20</v>
      </c>
      <c r="F719" s="4">
        <f t="shared" si="14"/>
        <v>3.0927835051546466E-2</v>
      </c>
      <c r="G719" s="37">
        <v>23.8</v>
      </c>
      <c r="H719" s="161">
        <v>45525</v>
      </c>
    </row>
    <row r="720" spans="3:8" x14ac:dyDescent="0.25">
      <c r="C720" s="159">
        <v>9</v>
      </c>
      <c r="D720" s="159">
        <v>0</v>
      </c>
      <c r="E720" s="160"/>
      <c r="F720" s="4" t="str">
        <f t="shared" si="14"/>
        <v/>
      </c>
      <c r="G720" s="37">
        <v>23.8</v>
      </c>
      <c r="H720" s="161">
        <v>45525</v>
      </c>
    </row>
    <row r="721" spans="3:8" x14ac:dyDescent="0.25">
      <c r="C721" s="159">
        <v>10</v>
      </c>
      <c r="D721" s="159">
        <v>0</v>
      </c>
      <c r="E721" s="160"/>
      <c r="F721" s="4" t="str">
        <f t="shared" si="14"/>
        <v/>
      </c>
      <c r="G721" s="37">
        <v>23.8</v>
      </c>
      <c r="H721" s="161">
        <v>45525</v>
      </c>
    </row>
    <row r="722" spans="3:8" x14ac:dyDescent="0.25">
      <c r="C722" s="159">
        <v>18</v>
      </c>
      <c r="D722" s="159">
        <v>11</v>
      </c>
      <c r="E722" s="160">
        <v>24.8</v>
      </c>
      <c r="F722" s="4">
        <f t="shared" si="14"/>
        <v>0.10714285714285725</v>
      </c>
      <c r="G722" s="37">
        <v>23.8</v>
      </c>
      <c r="H722" s="161">
        <v>45525</v>
      </c>
    </row>
    <row r="723" spans="3:8" x14ac:dyDescent="0.25">
      <c r="C723" s="159">
        <v>19</v>
      </c>
      <c r="D723" s="159">
        <v>25</v>
      </c>
      <c r="E723" s="160">
        <v>13.5</v>
      </c>
      <c r="F723" s="4">
        <f t="shared" si="14"/>
        <v>-0.27027027027027029</v>
      </c>
      <c r="G723" s="37">
        <v>23.8</v>
      </c>
      <c r="H723" s="161">
        <v>45525</v>
      </c>
    </row>
    <row r="724" spans="3:8" x14ac:dyDescent="0.25">
      <c r="C724" s="162" t="s">
        <v>0</v>
      </c>
      <c r="D724" s="162" t="s">
        <v>7</v>
      </c>
      <c r="E724" s="163" t="s">
        <v>4</v>
      </c>
      <c r="F724" s="4" t="str">
        <f t="shared" si="14"/>
        <v/>
      </c>
      <c r="G724" s="37">
        <v>22.4</v>
      </c>
      <c r="H724" s="164">
        <v>45526</v>
      </c>
    </row>
    <row r="725" spans="3:8" x14ac:dyDescent="0.25">
      <c r="C725" s="162">
        <v>1</v>
      </c>
      <c r="D725" s="162">
        <v>54</v>
      </c>
      <c r="E725" s="163">
        <v>25.5</v>
      </c>
      <c r="F725" s="4">
        <f t="shared" si="14"/>
        <v>3.2388663967611364E-2</v>
      </c>
      <c r="G725" s="37">
        <v>22.4</v>
      </c>
      <c r="H725" s="164">
        <v>45526</v>
      </c>
    </row>
    <row r="726" spans="3:8" x14ac:dyDescent="0.25">
      <c r="C726" s="162">
        <v>2</v>
      </c>
      <c r="D726" s="162">
        <v>40</v>
      </c>
      <c r="E726" s="163">
        <v>19.8</v>
      </c>
      <c r="F726" s="4">
        <f t="shared" si="14"/>
        <v>5.3191489361702128E-2</v>
      </c>
      <c r="G726" s="37">
        <v>22.4</v>
      </c>
      <c r="H726" s="164">
        <v>45526</v>
      </c>
    </row>
    <row r="727" spans="3:8" x14ac:dyDescent="0.25">
      <c r="C727" s="162">
        <v>3</v>
      </c>
      <c r="D727" s="162">
        <v>107</v>
      </c>
      <c r="E727" s="163">
        <v>23.8</v>
      </c>
      <c r="F727" s="4">
        <f t="shared" si="14"/>
        <v>4.2194092827004823E-3</v>
      </c>
      <c r="G727" s="37">
        <v>22.4</v>
      </c>
      <c r="H727" s="164">
        <v>45526</v>
      </c>
    </row>
    <row r="728" spans="3:8" x14ac:dyDescent="0.25">
      <c r="C728" s="162">
        <v>4</v>
      </c>
      <c r="D728" s="162">
        <v>115</v>
      </c>
      <c r="E728" s="163">
        <v>17.399999999999999</v>
      </c>
      <c r="F728" s="4">
        <f t="shared" si="14"/>
        <v>-0.35074626865671649</v>
      </c>
      <c r="G728" s="37">
        <v>22.4</v>
      </c>
      <c r="H728" s="164">
        <v>45526</v>
      </c>
    </row>
    <row r="729" spans="3:8" x14ac:dyDescent="0.25">
      <c r="C729" s="162">
        <v>5</v>
      </c>
      <c r="D729" s="162">
        <v>82</v>
      </c>
      <c r="E729" s="163">
        <v>21.2</v>
      </c>
      <c r="F729" s="4">
        <f t="shared" si="14"/>
        <v>4.4334975369458053E-2</v>
      </c>
      <c r="G729" s="37">
        <v>22.4</v>
      </c>
      <c r="H729" s="164">
        <v>45526</v>
      </c>
    </row>
    <row r="730" spans="3:8" x14ac:dyDescent="0.25">
      <c r="C730" s="162">
        <v>6</v>
      </c>
      <c r="D730" s="162">
        <v>114</v>
      </c>
      <c r="E730" s="163">
        <v>23.6</v>
      </c>
      <c r="F730" s="4">
        <f t="shared" si="14"/>
        <v>-1.2552301255230007E-2</v>
      </c>
      <c r="G730" s="37">
        <v>22.4</v>
      </c>
      <c r="H730" s="164">
        <v>45526</v>
      </c>
    </row>
    <row r="731" spans="3:8" x14ac:dyDescent="0.25">
      <c r="C731" s="162">
        <v>7</v>
      </c>
      <c r="D731" s="162">
        <v>92</v>
      </c>
      <c r="E731" s="163">
        <v>22.9</v>
      </c>
      <c r="F731" s="4">
        <f t="shared" si="14"/>
        <v>-8.6580086580087812E-3</v>
      </c>
      <c r="G731" s="37">
        <v>22.4</v>
      </c>
      <c r="H731" s="164">
        <v>45526</v>
      </c>
    </row>
    <row r="732" spans="3:8" x14ac:dyDescent="0.25">
      <c r="C732" s="162">
        <v>8</v>
      </c>
      <c r="D732" s="162">
        <v>42</v>
      </c>
      <c r="E732" s="163">
        <v>19.3</v>
      </c>
      <c r="F732" s="4">
        <f t="shared" si="14"/>
        <v>-3.4999999999999962E-2</v>
      </c>
      <c r="G732" s="37">
        <v>22.4</v>
      </c>
      <c r="H732" s="164">
        <v>45526</v>
      </c>
    </row>
    <row r="733" spans="3:8" x14ac:dyDescent="0.25">
      <c r="C733" s="162">
        <v>9</v>
      </c>
      <c r="D733" s="162">
        <v>0</v>
      </c>
      <c r="E733" s="163"/>
      <c r="F733" s="4" t="str">
        <f t="shared" si="14"/>
        <v/>
      </c>
      <c r="G733" s="37">
        <v>22.4</v>
      </c>
      <c r="H733" s="164">
        <v>45526</v>
      </c>
    </row>
    <row r="734" spans="3:8" x14ac:dyDescent="0.25">
      <c r="C734" s="162">
        <v>10</v>
      </c>
      <c r="D734" s="162">
        <v>0</v>
      </c>
      <c r="E734" s="163"/>
      <c r="F734" s="4" t="str">
        <f t="shared" si="14"/>
        <v/>
      </c>
      <c r="G734" s="37">
        <v>22.4</v>
      </c>
      <c r="H734" s="164">
        <v>45526</v>
      </c>
    </row>
    <row r="735" spans="3:8" x14ac:dyDescent="0.25">
      <c r="C735" s="162">
        <v>18</v>
      </c>
      <c r="D735" s="162">
        <v>8</v>
      </c>
      <c r="E735" s="163">
        <v>28.6</v>
      </c>
      <c r="F735" s="4">
        <f t="shared" si="14"/>
        <v>0.15322580645161293</v>
      </c>
      <c r="G735" s="37">
        <v>22.4</v>
      </c>
      <c r="H735" s="164">
        <v>45526</v>
      </c>
    </row>
    <row r="736" spans="3:8" x14ac:dyDescent="0.25">
      <c r="C736" s="162">
        <v>19</v>
      </c>
      <c r="D736" s="162">
        <v>23</v>
      </c>
      <c r="E736" s="163">
        <v>15.4</v>
      </c>
      <c r="F736" s="4">
        <f t="shared" si="14"/>
        <v>0.14074074074074078</v>
      </c>
      <c r="G736" s="37">
        <v>22.4</v>
      </c>
      <c r="H736" s="164">
        <v>45526</v>
      </c>
    </row>
    <row r="737" spans="3:8" x14ac:dyDescent="0.25">
      <c r="C737" s="165" t="s">
        <v>0</v>
      </c>
      <c r="D737" s="165" t="s">
        <v>7</v>
      </c>
      <c r="E737" s="166" t="s">
        <v>4</v>
      </c>
      <c r="F737" s="4" t="str">
        <f t="shared" si="14"/>
        <v/>
      </c>
      <c r="G737" s="37">
        <v>25.9</v>
      </c>
      <c r="H737" s="167">
        <v>45527</v>
      </c>
    </row>
    <row r="738" spans="3:8" x14ac:dyDescent="0.25">
      <c r="C738" s="165">
        <v>1</v>
      </c>
      <c r="D738" s="165">
        <v>53</v>
      </c>
      <c r="E738" s="166">
        <v>25.3</v>
      </c>
      <c r="F738" s="4">
        <f t="shared" si="14"/>
        <v>-7.8431372549019329E-3</v>
      </c>
      <c r="G738" s="37">
        <v>25.9</v>
      </c>
      <c r="H738" s="167">
        <v>45527</v>
      </c>
    </row>
    <row r="739" spans="3:8" x14ac:dyDescent="0.25">
      <c r="C739" s="165">
        <v>2</v>
      </c>
      <c r="D739" s="165">
        <v>39</v>
      </c>
      <c r="E739" s="166">
        <v>28.1</v>
      </c>
      <c r="F739" s="4">
        <f t="shared" si="14"/>
        <v>0.41919191919191923</v>
      </c>
      <c r="G739" s="37">
        <v>25.9</v>
      </c>
      <c r="H739" s="167">
        <v>45527</v>
      </c>
    </row>
    <row r="740" spans="3:8" x14ac:dyDescent="0.25">
      <c r="C740" s="165">
        <v>3</v>
      </c>
      <c r="D740" s="165">
        <v>107</v>
      </c>
      <c r="E740" s="166">
        <v>23.6</v>
      </c>
      <c r="F740" s="4">
        <f t="shared" si="14"/>
        <v>-8.4033613445377853E-3</v>
      </c>
      <c r="G740" s="37">
        <v>25.9</v>
      </c>
      <c r="H740" s="167">
        <v>45527</v>
      </c>
    </row>
    <row r="741" spans="3:8" x14ac:dyDescent="0.25">
      <c r="C741" s="165">
        <v>4</v>
      </c>
      <c r="D741" s="165">
        <v>115</v>
      </c>
      <c r="E741" s="166">
        <v>26.5</v>
      </c>
      <c r="F741" s="4">
        <f t="shared" si="14"/>
        <v>0.52298850574712652</v>
      </c>
      <c r="G741" s="37">
        <v>25.9</v>
      </c>
      <c r="H741" s="167">
        <v>45527</v>
      </c>
    </row>
    <row r="742" spans="3:8" x14ac:dyDescent="0.25">
      <c r="C742" s="165">
        <v>5</v>
      </c>
      <c r="D742" s="165">
        <v>82</v>
      </c>
      <c r="E742" s="166">
        <v>32.1</v>
      </c>
      <c r="F742" s="4">
        <f t="shared" si="14"/>
        <v>0.51415094339622658</v>
      </c>
      <c r="G742" s="37">
        <v>25.9</v>
      </c>
      <c r="H742" s="167">
        <v>45527</v>
      </c>
    </row>
    <row r="743" spans="3:8" x14ac:dyDescent="0.25">
      <c r="C743" s="165">
        <v>6</v>
      </c>
      <c r="D743" s="165">
        <v>114</v>
      </c>
      <c r="E743" s="166">
        <v>22.7</v>
      </c>
      <c r="F743" s="4">
        <f t="shared" si="14"/>
        <v>-3.8135593220339069E-2</v>
      </c>
      <c r="G743" s="37">
        <v>25.9</v>
      </c>
      <c r="H743" s="167">
        <v>45527</v>
      </c>
    </row>
    <row r="744" spans="3:8" x14ac:dyDescent="0.25">
      <c r="C744" s="165">
        <v>7</v>
      </c>
      <c r="D744" s="165">
        <v>92</v>
      </c>
      <c r="E744" s="166">
        <v>23.7</v>
      </c>
      <c r="F744" s="4">
        <f t="shared" si="14"/>
        <v>3.4934497816593919E-2</v>
      </c>
      <c r="G744" s="37">
        <v>25.9</v>
      </c>
      <c r="H744" s="167">
        <v>45527</v>
      </c>
    </row>
    <row r="745" spans="3:8" x14ac:dyDescent="0.25">
      <c r="C745" s="165">
        <v>8</v>
      </c>
      <c r="D745" s="165">
        <v>42</v>
      </c>
      <c r="E745" s="166">
        <v>19.2</v>
      </c>
      <c r="F745" s="4">
        <f t="shared" si="14"/>
        <v>-5.1813471502591404E-3</v>
      </c>
      <c r="G745" s="37">
        <v>25.9</v>
      </c>
      <c r="H745" s="167">
        <v>45527</v>
      </c>
    </row>
    <row r="746" spans="3:8" x14ac:dyDescent="0.25">
      <c r="C746" s="165">
        <v>9</v>
      </c>
      <c r="D746" s="165">
        <v>0</v>
      </c>
      <c r="E746" s="166"/>
      <c r="F746" s="4" t="str">
        <f t="shared" si="14"/>
        <v/>
      </c>
      <c r="G746" s="37">
        <v>25.9</v>
      </c>
      <c r="H746" s="167">
        <v>45527</v>
      </c>
    </row>
    <row r="747" spans="3:8" x14ac:dyDescent="0.25">
      <c r="C747" s="165">
        <v>10</v>
      </c>
      <c r="D747" s="165">
        <v>0</v>
      </c>
      <c r="E747" s="166"/>
      <c r="F747" s="4" t="str">
        <f t="shared" si="14"/>
        <v/>
      </c>
      <c r="G747" s="37">
        <v>25.9</v>
      </c>
      <c r="H747" s="167">
        <v>45527</v>
      </c>
    </row>
    <row r="748" spans="3:8" x14ac:dyDescent="0.25">
      <c r="C748" s="165">
        <v>18</v>
      </c>
      <c r="D748" s="165">
        <v>10</v>
      </c>
      <c r="E748" s="166">
        <v>30.4</v>
      </c>
      <c r="F748" s="4">
        <f t="shared" si="14"/>
        <v>6.2937062937062832E-2</v>
      </c>
      <c r="G748" s="37">
        <v>25.9</v>
      </c>
      <c r="H748" s="167">
        <v>45527</v>
      </c>
    </row>
    <row r="749" spans="3:8" x14ac:dyDescent="0.25">
      <c r="C749" s="165">
        <v>19</v>
      </c>
      <c r="D749" s="165">
        <v>23</v>
      </c>
      <c r="E749" s="166">
        <v>21.4</v>
      </c>
      <c r="F749" s="4">
        <f t="shared" si="14"/>
        <v>0.38961038961038946</v>
      </c>
      <c r="G749" s="37">
        <v>25.9</v>
      </c>
      <c r="H749" s="167">
        <v>45527</v>
      </c>
    </row>
    <row r="750" spans="3:8" x14ac:dyDescent="0.25">
      <c r="C750" s="165" t="s">
        <v>0</v>
      </c>
      <c r="D750" s="165" t="s">
        <v>7</v>
      </c>
      <c r="E750" s="166" t="s">
        <v>4</v>
      </c>
      <c r="F750" s="4" t="str">
        <f t="shared" si="14"/>
        <v/>
      </c>
      <c r="G750" s="37">
        <v>26.5</v>
      </c>
      <c r="H750" s="167">
        <v>45528</v>
      </c>
    </row>
    <row r="751" spans="3:8" x14ac:dyDescent="0.25">
      <c r="C751" s="168">
        <v>1</v>
      </c>
      <c r="D751" s="168">
        <v>55</v>
      </c>
      <c r="E751" s="169">
        <v>25.6</v>
      </c>
      <c r="F751" s="4">
        <f t="shared" si="14"/>
        <v>1.185770750988145E-2</v>
      </c>
      <c r="G751" s="37">
        <v>26.5</v>
      </c>
      <c r="H751" s="167">
        <v>45528</v>
      </c>
    </row>
    <row r="752" spans="3:8" x14ac:dyDescent="0.25">
      <c r="C752" s="168">
        <v>2</v>
      </c>
      <c r="D752" s="168">
        <v>40</v>
      </c>
      <c r="E752" s="169">
        <v>28.1</v>
      </c>
      <c r="F752" s="4">
        <f t="shared" ref="F752:F815" si="15">IFERROR((E752-E739)/E739,"")</f>
        <v>0</v>
      </c>
      <c r="G752" s="37">
        <v>26.5</v>
      </c>
      <c r="H752" s="167">
        <v>45528</v>
      </c>
    </row>
    <row r="753" spans="3:8" x14ac:dyDescent="0.25">
      <c r="C753" s="168">
        <v>3</v>
      </c>
      <c r="D753" s="168">
        <v>108</v>
      </c>
      <c r="E753" s="169">
        <v>23</v>
      </c>
      <c r="F753" s="4">
        <f t="shared" si="15"/>
        <v>-2.5423728813559379E-2</v>
      </c>
      <c r="G753" s="37">
        <v>26.5</v>
      </c>
      <c r="H753" s="167">
        <v>45528</v>
      </c>
    </row>
    <row r="754" spans="3:8" x14ac:dyDescent="0.25">
      <c r="C754" s="168">
        <v>4</v>
      </c>
      <c r="D754" s="168">
        <v>117</v>
      </c>
      <c r="E754" s="169">
        <v>26.3</v>
      </c>
      <c r="F754" s="4">
        <f t="shared" si="15"/>
        <v>-7.5471698113207279E-3</v>
      </c>
      <c r="G754" s="37">
        <v>26.5</v>
      </c>
      <c r="H754" s="167">
        <v>45528</v>
      </c>
    </row>
    <row r="755" spans="3:8" x14ac:dyDescent="0.25">
      <c r="C755" s="168">
        <v>5</v>
      </c>
      <c r="D755" s="168">
        <v>0</v>
      </c>
      <c r="E755" s="169">
        <v>29</v>
      </c>
      <c r="F755" s="4">
        <f t="shared" si="15"/>
        <v>-9.6573208722741471E-2</v>
      </c>
      <c r="G755" s="37">
        <v>26.5</v>
      </c>
      <c r="H755" s="167">
        <v>45528</v>
      </c>
    </row>
    <row r="756" spans="3:8" x14ac:dyDescent="0.25">
      <c r="C756" s="168">
        <v>6</v>
      </c>
      <c r="D756" s="168">
        <v>120</v>
      </c>
      <c r="E756" s="169">
        <v>24.9</v>
      </c>
      <c r="F756" s="4">
        <f t="shared" si="15"/>
        <v>9.6916299559471342E-2</v>
      </c>
      <c r="G756" s="37">
        <v>26.5</v>
      </c>
      <c r="H756" s="167">
        <v>45528</v>
      </c>
    </row>
    <row r="757" spans="3:8" x14ac:dyDescent="0.25">
      <c r="C757" s="168">
        <v>7</v>
      </c>
      <c r="D757" s="168">
        <v>93</v>
      </c>
      <c r="E757" s="169">
        <v>24.1</v>
      </c>
      <c r="F757" s="4">
        <f t="shared" si="15"/>
        <v>1.6877637130801777E-2</v>
      </c>
      <c r="G757" s="37">
        <v>26.5</v>
      </c>
      <c r="H757" s="167">
        <v>45528</v>
      </c>
    </row>
    <row r="758" spans="3:8" x14ac:dyDescent="0.25">
      <c r="C758" s="168">
        <v>8</v>
      </c>
      <c r="D758" s="168">
        <v>120</v>
      </c>
      <c r="E758" s="169">
        <v>22.8</v>
      </c>
      <c r="F758" s="4">
        <f t="shared" si="15"/>
        <v>0.18750000000000008</v>
      </c>
      <c r="G758" s="37">
        <v>26.5</v>
      </c>
      <c r="H758" s="167">
        <v>45528</v>
      </c>
    </row>
    <row r="759" spans="3:8" x14ac:dyDescent="0.25">
      <c r="C759" s="168">
        <v>9</v>
      </c>
      <c r="D759" s="168">
        <v>0</v>
      </c>
      <c r="E759" s="169"/>
      <c r="F759" s="4" t="str">
        <f t="shared" si="15"/>
        <v/>
      </c>
      <c r="G759" s="37">
        <v>26.5</v>
      </c>
      <c r="H759" s="167">
        <v>45528</v>
      </c>
    </row>
    <row r="760" spans="3:8" x14ac:dyDescent="0.25">
      <c r="C760" s="168">
        <v>10</v>
      </c>
      <c r="D760" s="168">
        <v>0</v>
      </c>
      <c r="E760" s="169"/>
      <c r="F760" s="4" t="str">
        <f t="shared" si="15"/>
        <v/>
      </c>
      <c r="G760" s="37">
        <v>26.5</v>
      </c>
      <c r="H760" s="167">
        <v>45528</v>
      </c>
    </row>
    <row r="761" spans="3:8" x14ac:dyDescent="0.25">
      <c r="C761" s="168">
        <v>18</v>
      </c>
      <c r="D761" s="168">
        <v>8</v>
      </c>
      <c r="E761" s="169">
        <v>21.8</v>
      </c>
      <c r="F761" s="4">
        <f t="shared" si="15"/>
        <v>-0.2828947368421052</v>
      </c>
      <c r="G761" s="37">
        <v>26.5</v>
      </c>
      <c r="H761" s="167">
        <v>45528</v>
      </c>
    </row>
    <row r="762" spans="3:8" x14ac:dyDescent="0.25">
      <c r="C762" s="168">
        <v>19</v>
      </c>
      <c r="D762" s="168">
        <v>15</v>
      </c>
      <c r="E762" s="169">
        <v>26.3</v>
      </c>
      <c r="F762" s="4">
        <f t="shared" si="15"/>
        <v>0.22897196261682254</v>
      </c>
      <c r="G762" s="37">
        <v>26.5</v>
      </c>
      <c r="H762" s="167">
        <v>45528</v>
      </c>
    </row>
    <row r="763" spans="3:8" x14ac:dyDescent="0.25">
      <c r="C763" s="170" t="s">
        <v>8</v>
      </c>
      <c r="D763" s="170" t="s">
        <v>9</v>
      </c>
      <c r="E763" s="171" t="s">
        <v>10</v>
      </c>
      <c r="F763" s="4" t="str">
        <f t="shared" si="15"/>
        <v/>
      </c>
      <c r="G763" s="37">
        <v>26.6</v>
      </c>
      <c r="H763" s="172">
        <v>45529</v>
      </c>
    </row>
    <row r="764" spans="3:8" x14ac:dyDescent="0.25">
      <c r="C764" s="170">
        <v>1</v>
      </c>
      <c r="D764" s="170">
        <v>57</v>
      </c>
      <c r="E764" s="171">
        <v>25.5</v>
      </c>
      <c r="F764" s="4">
        <f t="shared" si="15"/>
        <v>-3.9062500000000555E-3</v>
      </c>
      <c r="G764" s="37">
        <v>26.6</v>
      </c>
      <c r="H764" s="172">
        <v>45529</v>
      </c>
    </row>
    <row r="765" spans="3:8" x14ac:dyDescent="0.25">
      <c r="C765" s="170">
        <v>2</v>
      </c>
      <c r="D765" s="170">
        <v>40</v>
      </c>
      <c r="E765" s="171">
        <v>28.8</v>
      </c>
      <c r="F765" s="4">
        <f t="shared" si="15"/>
        <v>2.4911032028469723E-2</v>
      </c>
      <c r="G765" s="37">
        <v>26.6</v>
      </c>
      <c r="H765" s="172">
        <v>45529</v>
      </c>
    </row>
    <row r="766" spans="3:8" x14ac:dyDescent="0.25">
      <c r="C766" s="170">
        <v>3</v>
      </c>
      <c r="D766" s="170">
        <v>107</v>
      </c>
      <c r="E766" s="171">
        <v>25</v>
      </c>
      <c r="F766" s="4">
        <f t="shared" si="15"/>
        <v>8.6956521739130432E-2</v>
      </c>
      <c r="G766" s="37">
        <v>26.6</v>
      </c>
      <c r="H766" s="172">
        <v>45529</v>
      </c>
    </row>
    <row r="767" spans="3:8" x14ac:dyDescent="0.25">
      <c r="C767" s="170">
        <v>4</v>
      </c>
      <c r="D767" s="170">
        <v>117</v>
      </c>
      <c r="E767" s="171">
        <v>27.2</v>
      </c>
      <c r="F767" s="4">
        <f t="shared" si="15"/>
        <v>3.4220532319391581E-2</v>
      </c>
      <c r="G767" s="37">
        <v>26.6</v>
      </c>
      <c r="H767" s="172">
        <v>45529</v>
      </c>
    </row>
    <row r="768" spans="3:8" x14ac:dyDescent="0.25">
      <c r="C768" s="170">
        <v>5</v>
      </c>
      <c r="D768" s="170">
        <v>0</v>
      </c>
      <c r="E768" s="171"/>
      <c r="F768" s="4">
        <f t="shared" si="15"/>
        <v>-1</v>
      </c>
      <c r="G768" s="37">
        <v>26.6</v>
      </c>
      <c r="H768" s="172">
        <v>45529</v>
      </c>
    </row>
    <row r="769" spans="3:8" x14ac:dyDescent="0.25">
      <c r="C769" s="170">
        <v>6</v>
      </c>
      <c r="D769" s="170">
        <v>120</v>
      </c>
      <c r="E769" s="171">
        <v>25.4</v>
      </c>
      <c r="F769" s="4">
        <f t="shared" si="15"/>
        <v>2.0080321285140562E-2</v>
      </c>
      <c r="G769" s="37">
        <v>26.6</v>
      </c>
      <c r="H769" s="172">
        <v>45529</v>
      </c>
    </row>
    <row r="770" spans="3:8" x14ac:dyDescent="0.25">
      <c r="C770" s="170">
        <v>7</v>
      </c>
      <c r="D770" s="170">
        <v>93</v>
      </c>
      <c r="E770" s="171">
        <v>22.3</v>
      </c>
      <c r="F770" s="4">
        <f t="shared" si="15"/>
        <v>-7.4688796680497951E-2</v>
      </c>
      <c r="G770" s="37">
        <v>26.6</v>
      </c>
      <c r="H770" s="172">
        <v>45529</v>
      </c>
    </row>
    <row r="771" spans="3:8" x14ac:dyDescent="0.25">
      <c r="C771" s="170">
        <v>8</v>
      </c>
      <c r="D771" s="170">
        <v>120</v>
      </c>
      <c r="E771" s="171">
        <v>27</v>
      </c>
      <c r="F771" s="4">
        <f t="shared" si="15"/>
        <v>0.18421052631578944</v>
      </c>
      <c r="G771" s="37">
        <v>26.6</v>
      </c>
      <c r="H771" s="172">
        <v>45529</v>
      </c>
    </row>
    <row r="772" spans="3:8" x14ac:dyDescent="0.25">
      <c r="C772" s="170">
        <v>9</v>
      </c>
      <c r="D772" s="170">
        <v>0</v>
      </c>
      <c r="E772" s="171"/>
      <c r="F772" s="4" t="str">
        <f t="shared" si="15"/>
        <v/>
      </c>
      <c r="G772" s="37">
        <v>26.6</v>
      </c>
      <c r="H772" s="172">
        <v>45529</v>
      </c>
    </row>
    <row r="773" spans="3:8" x14ac:dyDescent="0.25">
      <c r="C773" s="170">
        <v>10</v>
      </c>
      <c r="D773" s="170">
        <v>0</v>
      </c>
      <c r="E773" s="171"/>
      <c r="F773" s="4" t="str">
        <f t="shared" si="15"/>
        <v/>
      </c>
      <c r="G773" s="37">
        <v>26.6</v>
      </c>
      <c r="H773" s="172">
        <v>45529</v>
      </c>
    </row>
    <row r="774" spans="3:8" x14ac:dyDescent="0.25">
      <c r="C774" s="170">
        <v>18</v>
      </c>
      <c r="D774" s="170">
        <v>11</v>
      </c>
      <c r="E774" s="171">
        <v>20.2</v>
      </c>
      <c r="F774" s="4">
        <f t="shared" si="15"/>
        <v>-7.3394495412844096E-2</v>
      </c>
      <c r="G774" s="37">
        <v>26.6</v>
      </c>
      <c r="H774" s="172">
        <v>45529</v>
      </c>
    </row>
    <row r="775" spans="3:8" x14ac:dyDescent="0.25">
      <c r="C775" s="170">
        <v>19</v>
      </c>
      <c r="D775" s="170">
        <v>15</v>
      </c>
      <c r="E775" s="171">
        <v>18.899999999999999</v>
      </c>
      <c r="F775" s="4">
        <f t="shared" si="15"/>
        <v>-0.28136882129277574</v>
      </c>
      <c r="G775" s="37">
        <v>26.6</v>
      </c>
      <c r="H775" s="172">
        <v>45529</v>
      </c>
    </row>
    <row r="776" spans="3:8" x14ac:dyDescent="0.25">
      <c r="C776" s="173" t="s">
        <v>8</v>
      </c>
      <c r="D776" s="173" t="s">
        <v>9</v>
      </c>
      <c r="E776" s="174" t="s">
        <v>10</v>
      </c>
      <c r="F776" s="4" t="str">
        <f t="shared" si="15"/>
        <v/>
      </c>
      <c r="G776" s="37">
        <v>26</v>
      </c>
      <c r="H776" s="175">
        <v>45530</v>
      </c>
    </row>
    <row r="777" spans="3:8" x14ac:dyDescent="0.25">
      <c r="C777" s="173">
        <v>1</v>
      </c>
      <c r="D777" s="173">
        <v>54</v>
      </c>
      <c r="E777" s="174">
        <v>24.6</v>
      </c>
      <c r="F777" s="4">
        <f t="shared" si="15"/>
        <v>-3.5294117647058768E-2</v>
      </c>
      <c r="G777" s="37">
        <v>26</v>
      </c>
      <c r="H777" s="175">
        <v>45530</v>
      </c>
    </row>
    <row r="778" spans="3:8" x14ac:dyDescent="0.25">
      <c r="C778" s="173">
        <v>2</v>
      </c>
      <c r="D778" s="173">
        <v>40</v>
      </c>
      <c r="E778" s="174">
        <v>28.7</v>
      </c>
      <c r="F778" s="4">
        <f t="shared" si="15"/>
        <v>-3.4722222222222715E-3</v>
      </c>
      <c r="G778" s="37">
        <v>26</v>
      </c>
      <c r="H778" s="175">
        <v>45530</v>
      </c>
    </row>
    <row r="779" spans="3:8" x14ac:dyDescent="0.25">
      <c r="C779" s="173">
        <v>3</v>
      </c>
      <c r="D779" s="173">
        <v>107</v>
      </c>
      <c r="E779" s="174">
        <v>24.4</v>
      </c>
      <c r="F779" s="4">
        <f t="shared" si="15"/>
        <v>-2.4000000000000056E-2</v>
      </c>
      <c r="G779" s="37">
        <v>26</v>
      </c>
      <c r="H779" s="175">
        <v>45530</v>
      </c>
    </row>
    <row r="780" spans="3:8" x14ac:dyDescent="0.25">
      <c r="C780" s="173">
        <v>4</v>
      </c>
      <c r="D780" s="173">
        <v>117</v>
      </c>
      <c r="E780" s="174">
        <v>26.6</v>
      </c>
      <c r="F780" s="4">
        <f t="shared" si="15"/>
        <v>-2.2058823529411686E-2</v>
      </c>
      <c r="G780" s="37">
        <v>26</v>
      </c>
      <c r="H780" s="175">
        <v>45530</v>
      </c>
    </row>
    <row r="781" spans="3:8" x14ac:dyDescent="0.25">
      <c r="C781" s="173">
        <v>5</v>
      </c>
      <c r="D781" s="173">
        <v>0</v>
      </c>
      <c r="E781" s="174"/>
      <c r="F781" s="4" t="str">
        <f t="shared" si="15"/>
        <v/>
      </c>
      <c r="G781" s="37">
        <v>26</v>
      </c>
      <c r="H781" s="175">
        <v>45530</v>
      </c>
    </row>
    <row r="782" spans="3:8" x14ac:dyDescent="0.25">
      <c r="C782" s="173">
        <v>6</v>
      </c>
      <c r="D782" s="173">
        <v>119</v>
      </c>
      <c r="E782" s="174">
        <v>23.6</v>
      </c>
      <c r="F782" s="4">
        <f t="shared" si="15"/>
        <v>-7.0866141732283353E-2</v>
      </c>
      <c r="G782" s="37">
        <v>26</v>
      </c>
      <c r="H782" s="175">
        <v>45530</v>
      </c>
    </row>
    <row r="783" spans="3:8" x14ac:dyDescent="0.25">
      <c r="C783" s="173">
        <v>7</v>
      </c>
      <c r="D783" s="173">
        <v>92</v>
      </c>
      <c r="E783" s="174">
        <v>22.2</v>
      </c>
      <c r="F783" s="4">
        <f t="shared" si="15"/>
        <v>-4.4843049327354893E-3</v>
      </c>
      <c r="G783" s="37">
        <v>26</v>
      </c>
      <c r="H783" s="175">
        <v>45530</v>
      </c>
    </row>
    <row r="784" spans="3:8" x14ac:dyDescent="0.25">
      <c r="C784" s="173">
        <v>8</v>
      </c>
      <c r="D784" s="173">
        <v>120</v>
      </c>
      <c r="E784" s="174">
        <v>26.6</v>
      </c>
      <c r="F784" s="4">
        <f t="shared" si="15"/>
        <v>-1.4814814814814762E-2</v>
      </c>
      <c r="G784" s="37">
        <v>26</v>
      </c>
      <c r="H784" s="175">
        <v>45530</v>
      </c>
    </row>
    <row r="785" spans="3:8" x14ac:dyDescent="0.25">
      <c r="C785" s="173">
        <v>9</v>
      </c>
      <c r="D785" s="173">
        <v>0</v>
      </c>
      <c r="E785" s="174"/>
      <c r="F785" s="4" t="str">
        <f t="shared" si="15"/>
        <v/>
      </c>
      <c r="G785" s="37">
        <v>26</v>
      </c>
      <c r="H785" s="175">
        <v>45530</v>
      </c>
    </row>
    <row r="786" spans="3:8" x14ac:dyDescent="0.25">
      <c r="C786" s="173">
        <v>10</v>
      </c>
      <c r="D786" s="173">
        <v>0</v>
      </c>
      <c r="E786" s="174"/>
      <c r="F786" s="4" t="str">
        <f t="shared" si="15"/>
        <v/>
      </c>
      <c r="G786" s="37">
        <v>26</v>
      </c>
      <c r="H786" s="175">
        <v>45530</v>
      </c>
    </row>
    <row r="787" spans="3:8" x14ac:dyDescent="0.25">
      <c r="C787" s="173">
        <v>18</v>
      </c>
      <c r="D787" s="173">
        <v>12</v>
      </c>
      <c r="E787" s="174">
        <v>26.4</v>
      </c>
      <c r="F787" s="4">
        <f t="shared" si="15"/>
        <v>0.30693069306930693</v>
      </c>
      <c r="G787" s="37">
        <v>26</v>
      </c>
      <c r="H787" s="175">
        <v>45530</v>
      </c>
    </row>
    <row r="788" spans="3:8" x14ac:dyDescent="0.25">
      <c r="C788" s="173">
        <v>19</v>
      </c>
      <c r="D788" s="173">
        <v>16</v>
      </c>
      <c r="E788" s="174">
        <v>15.8</v>
      </c>
      <c r="F788" s="4">
        <f t="shared" si="15"/>
        <v>-0.16402116402116393</v>
      </c>
      <c r="G788" s="37">
        <v>26</v>
      </c>
      <c r="H788" s="175">
        <v>45530</v>
      </c>
    </row>
    <row r="789" spans="3:8" x14ac:dyDescent="0.25">
      <c r="C789" s="176" t="s">
        <v>8</v>
      </c>
      <c r="D789" s="176" t="s">
        <v>9</v>
      </c>
      <c r="E789" s="177" t="s">
        <v>10</v>
      </c>
      <c r="F789" s="4" t="str">
        <f t="shared" si="15"/>
        <v/>
      </c>
      <c r="G789" s="37">
        <v>26</v>
      </c>
      <c r="H789" s="178">
        <v>45531</v>
      </c>
    </row>
    <row r="790" spans="3:8" x14ac:dyDescent="0.25">
      <c r="C790" s="176">
        <v>1</v>
      </c>
      <c r="D790" s="176">
        <v>54</v>
      </c>
      <c r="E790" s="177">
        <v>25.1</v>
      </c>
      <c r="F790" s="4">
        <f t="shared" si="15"/>
        <v>2.032520325203252E-2</v>
      </c>
      <c r="G790" s="37">
        <v>26</v>
      </c>
      <c r="H790" s="178">
        <v>45531</v>
      </c>
    </row>
    <row r="791" spans="3:8" x14ac:dyDescent="0.25">
      <c r="C791" s="176">
        <v>2</v>
      </c>
      <c r="D791" s="176">
        <v>40</v>
      </c>
      <c r="E791" s="177">
        <v>28.1</v>
      </c>
      <c r="F791" s="4">
        <f t="shared" si="15"/>
        <v>-2.0905923344947661E-2</v>
      </c>
      <c r="G791" s="37">
        <v>26</v>
      </c>
      <c r="H791" s="178">
        <v>45531</v>
      </c>
    </row>
    <row r="792" spans="3:8" x14ac:dyDescent="0.25">
      <c r="C792" s="176">
        <v>3</v>
      </c>
      <c r="D792" s="176">
        <v>108</v>
      </c>
      <c r="E792" s="177">
        <v>25.5</v>
      </c>
      <c r="F792" s="4">
        <f t="shared" si="15"/>
        <v>4.5081967213114818E-2</v>
      </c>
      <c r="G792" s="37">
        <v>26</v>
      </c>
      <c r="H792" s="178">
        <v>45531</v>
      </c>
    </row>
    <row r="793" spans="3:8" x14ac:dyDescent="0.25">
      <c r="C793" s="176">
        <v>4</v>
      </c>
      <c r="D793" s="176">
        <v>116</v>
      </c>
      <c r="E793" s="177">
        <v>24.8</v>
      </c>
      <c r="F793" s="4">
        <f t="shared" si="15"/>
        <v>-6.7669172932330851E-2</v>
      </c>
      <c r="G793" s="37">
        <v>26</v>
      </c>
      <c r="H793" s="178">
        <v>45531</v>
      </c>
    </row>
    <row r="794" spans="3:8" x14ac:dyDescent="0.25">
      <c r="C794" s="176">
        <v>5</v>
      </c>
      <c r="D794" s="176">
        <v>0</v>
      </c>
      <c r="E794" s="177"/>
      <c r="F794" s="4" t="str">
        <f t="shared" si="15"/>
        <v/>
      </c>
      <c r="G794" s="37">
        <v>26</v>
      </c>
      <c r="H794" s="178">
        <v>45531</v>
      </c>
    </row>
    <row r="795" spans="3:8" x14ac:dyDescent="0.25">
      <c r="C795" s="176">
        <v>6</v>
      </c>
      <c r="D795" s="176">
        <v>118</v>
      </c>
      <c r="E795" s="177">
        <v>24.7</v>
      </c>
      <c r="F795" s="4">
        <f t="shared" si="15"/>
        <v>4.6610169491525327E-2</v>
      </c>
      <c r="G795" s="37">
        <v>26</v>
      </c>
      <c r="H795" s="178">
        <v>45531</v>
      </c>
    </row>
    <row r="796" spans="3:8" x14ac:dyDescent="0.25">
      <c r="C796" s="176">
        <v>7</v>
      </c>
      <c r="D796" s="176">
        <v>92</v>
      </c>
      <c r="E796" s="177">
        <v>23.6</v>
      </c>
      <c r="F796" s="4">
        <f t="shared" si="15"/>
        <v>6.3063063063063154E-2</v>
      </c>
      <c r="G796" s="37">
        <v>26</v>
      </c>
      <c r="H796" s="178">
        <v>45531</v>
      </c>
    </row>
    <row r="797" spans="3:8" x14ac:dyDescent="0.25">
      <c r="C797" s="176">
        <v>8</v>
      </c>
      <c r="D797" s="176">
        <v>120</v>
      </c>
      <c r="E797" s="177">
        <v>25.8</v>
      </c>
      <c r="F797" s="4">
        <f t="shared" si="15"/>
        <v>-3.0075187969924838E-2</v>
      </c>
      <c r="G797" s="37">
        <v>26</v>
      </c>
      <c r="H797" s="178">
        <v>45531</v>
      </c>
    </row>
    <row r="798" spans="3:8" x14ac:dyDescent="0.25">
      <c r="C798" s="176">
        <v>9</v>
      </c>
      <c r="D798" s="176">
        <v>0</v>
      </c>
      <c r="E798" s="177"/>
      <c r="F798" s="4" t="str">
        <f t="shared" si="15"/>
        <v/>
      </c>
      <c r="G798" s="37">
        <v>26</v>
      </c>
      <c r="H798" s="178">
        <v>45531</v>
      </c>
    </row>
    <row r="799" spans="3:8" x14ac:dyDescent="0.25">
      <c r="C799" s="176">
        <v>10</v>
      </c>
      <c r="D799" s="176">
        <v>0</v>
      </c>
      <c r="E799" s="177"/>
      <c r="F799" s="4" t="str">
        <f t="shared" si="15"/>
        <v/>
      </c>
      <c r="G799" s="37">
        <v>26</v>
      </c>
      <c r="H799" s="178">
        <v>45531</v>
      </c>
    </row>
    <row r="800" spans="3:8" x14ac:dyDescent="0.25">
      <c r="C800" s="176">
        <v>18</v>
      </c>
      <c r="D800" s="176">
        <v>16</v>
      </c>
      <c r="E800" s="177">
        <v>26.6</v>
      </c>
      <c r="F800" s="4">
        <f t="shared" si="15"/>
        <v>7.5757575757576835E-3</v>
      </c>
      <c r="G800" s="37">
        <v>26</v>
      </c>
      <c r="H800" s="178">
        <v>45531</v>
      </c>
    </row>
    <row r="801" spans="3:8" x14ac:dyDescent="0.25">
      <c r="C801" s="176">
        <v>19</v>
      </c>
      <c r="D801" s="176">
        <v>14</v>
      </c>
      <c r="E801" s="177">
        <v>11.8</v>
      </c>
      <c r="F801" s="4">
        <f t="shared" si="15"/>
        <v>-0.25316455696202528</v>
      </c>
      <c r="G801" s="37">
        <v>26</v>
      </c>
      <c r="H801" s="178">
        <v>45531</v>
      </c>
    </row>
    <row r="802" spans="3:8" x14ac:dyDescent="0.25">
      <c r="C802" s="179" t="s">
        <v>8</v>
      </c>
      <c r="D802" s="179" t="s">
        <v>9</v>
      </c>
      <c r="E802" s="180" t="s">
        <v>10</v>
      </c>
      <c r="F802" s="4" t="str">
        <f t="shared" si="15"/>
        <v/>
      </c>
      <c r="G802" s="37">
        <v>26.4</v>
      </c>
      <c r="H802" s="181">
        <v>45532</v>
      </c>
    </row>
    <row r="803" spans="3:8" x14ac:dyDescent="0.25">
      <c r="C803" s="179">
        <v>1</v>
      </c>
      <c r="D803" s="179">
        <v>60</v>
      </c>
      <c r="E803" s="180">
        <v>23.5</v>
      </c>
      <c r="F803" s="4">
        <f t="shared" si="15"/>
        <v>-6.374501992031878E-2</v>
      </c>
      <c r="G803" s="37">
        <v>26.4</v>
      </c>
      <c r="H803" s="181">
        <v>45532</v>
      </c>
    </row>
    <row r="804" spans="3:8" x14ac:dyDescent="0.25">
      <c r="C804" s="179">
        <v>2</v>
      </c>
      <c r="D804" s="179">
        <v>39</v>
      </c>
      <c r="E804" s="180">
        <v>28.2</v>
      </c>
      <c r="F804" s="4">
        <f t="shared" si="15"/>
        <v>3.5587188612098883E-3</v>
      </c>
      <c r="G804" s="37">
        <v>26.4</v>
      </c>
      <c r="H804" s="181">
        <v>45532</v>
      </c>
    </row>
    <row r="805" spans="3:8" x14ac:dyDescent="0.25">
      <c r="C805" s="179">
        <v>3</v>
      </c>
      <c r="D805" s="179">
        <v>108</v>
      </c>
      <c r="E805" s="180">
        <v>25.7</v>
      </c>
      <c r="F805" s="4">
        <f t="shared" si="15"/>
        <v>7.8431372549019329E-3</v>
      </c>
      <c r="G805" s="37">
        <v>26.4</v>
      </c>
      <c r="H805" s="181">
        <v>45532</v>
      </c>
    </row>
    <row r="806" spans="3:8" x14ac:dyDescent="0.25">
      <c r="C806" s="179">
        <v>4</v>
      </c>
      <c r="D806" s="179">
        <v>115</v>
      </c>
      <c r="E806" s="180">
        <v>26.7</v>
      </c>
      <c r="F806" s="4">
        <f t="shared" si="15"/>
        <v>7.6612903225806397E-2</v>
      </c>
      <c r="G806" s="37">
        <v>26.4</v>
      </c>
      <c r="H806" s="181">
        <v>45532</v>
      </c>
    </row>
    <row r="807" spans="3:8" x14ac:dyDescent="0.25">
      <c r="C807" s="179">
        <v>5</v>
      </c>
      <c r="D807" s="179">
        <v>119</v>
      </c>
      <c r="E807" s="180">
        <v>25.6</v>
      </c>
      <c r="F807" s="4" t="str">
        <f t="shared" si="15"/>
        <v/>
      </c>
      <c r="G807" s="37">
        <v>26.4</v>
      </c>
      <c r="H807" s="181">
        <v>45532</v>
      </c>
    </row>
    <row r="808" spans="3:8" x14ac:dyDescent="0.25">
      <c r="C808" s="179">
        <v>6</v>
      </c>
      <c r="D808" s="179">
        <v>0</v>
      </c>
      <c r="E808" s="180"/>
      <c r="F808" s="4">
        <f t="shared" si="15"/>
        <v>-1</v>
      </c>
      <c r="G808" s="37">
        <v>26.4</v>
      </c>
      <c r="H808" s="181">
        <v>45532</v>
      </c>
    </row>
    <row r="809" spans="3:8" x14ac:dyDescent="0.25">
      <c r="C809" s="179">
        <v>7</v>
      </c>
      <c r="D809" s="179">
        <v>92</v>
      </c>
      <c r="E809" s="180">
        <v>24.7</v>
      </c>
      <c r="F809" s="4">
        <f t="shared" si="15"/>
        <v>4.6610169491525327E-2</v>
      </c>
      <c r="G809" s="37">
        <v>26.4</v>
      </c>
      <c r="H809" s="181">
        <v>45532</v>
      </c>
    </row>
    <row r="810" spans="3:8" x14ac:dyDescent="0.25">
      <c r="C810" s="179">
        <v>8</v>
      </c>
      <c r="D810" s="179">
        <v>120</v>
      </c>
      <c r="E810" s="180">
        <v>25</v>
      </c>
      <c r="F810" s="4">
        <f t="shared" si="15"/>
        <v>-3.1007751937984523E-2</v>
      </c>
      <c r="G810" s="37">
        <v>26.4</v>
      </c>
      <c r="H810" s="181">
        <v>45532</v>
      </c>
    </row>
    <row r="811" spans="3:8" x14ac:dyDescent="0.25">
      <c r="C811" s="179">
        <v>9</v>
      </c>
      <c r="D811" s="179">
        <v>0</v>
      </c>
      <c r="E811" s="180"/>
      <c r="F811" s="4" t="str">
        <f t="shared" si="15"/>
        <v/>
      </c>
      <c r="G811" s="37">
        <v>26.4</v>
      </c>
      <c r="H811" s="181">
        <v>45532</v>
      </c>
    </row>
    <row r="812" spans="3:8" x14ac:dyDescent="0.25">
      <c r="C812" s="179">
        <v>10</v>
      </c>
      <c r="D812" s="179">
        <v>0</v>
      </c>
      <c r="E812" s="180"/>
      <c r="F812" s="4" t="str">
        <f t="shared" si="15"/>
        <v/>
      </c>
      <c r="G812" s="37">
        <v>26.4</v>
      </c>
      <c r="H812" s="181">
        <v>45532</v>
      </c>
    </row>
    <row r="813" spans="3:8" x14ac:dyDescent="0.25">
      <c r="C813" s="179">
        <v>18</v>
      </c>
      <c r="D813" s="179">
        <v>12</v>
      </c>
      <c r="E813" s="180">
        <v>24.7</v>
      </c>
      <c r="F813" s="4">
        <f t="shared" si="15"/>
        <v>-7.1428571428571508E-2</v>
      </c>
      <c r="G813" s="37">
        <v>26.4</v>
      </c>
      <c r="H813" s="181">
        <v>45532</v>
      </c>
    </row>
    <row r="814" spans="3:8" x14ac:dyDescent="0.25">
      <c r="C814" s="179">
        <v>19</v>
      </c>
      <c r="D814" s="179">
        <v>16</v>
      </c>
      <c r="E814" s="180">
        <v>21.8</v>
      </c>
      <c r="F814" s="4">
        <f t="shared" si="15"/>
        <v>0.84745762711864403</v>
      </c>
      <c r="G814" s="37">
        <v>26.4</v>
      </c>
      <c r="H814" s="181">
        <v>45532</v>
      </c>
    </row>
    <row r="815" spans="3:8" x14ac:dyDescent="0.25">
      <c r="C815" s="182" t="s">
        <v>8</v>
      </c>
      <c r="D815" s="182" t="s">
        <v>9</v>
      </c>
      <c r="E815" s="183" t="s">
        <v>10</v>
      </c>
      <c r="F815" s="4" t="str">
        <f t="shared" si="15"/>
        <v/>
      </c>
      <c r="G815" s="37">
        <v>26.2</v>
      </c>
      <c r="H815" s="184">
        <v>45533</v>
      </c>
    </row>
    <row r="816" spans="3:8" x14ac:dyDescent="0.25">
      <c r="C816" s="182">
        <v>1</v>
      </c>
      <c r="D816" s="182">
        <v>59</v>
      </c>
      <c r="E816" s="183">
        <v>26.1</v>
      </c>
      <c r="F816" s="4">
        <f t="shared" ref="F816:F880" si="16">IFERROR((E816-E803)/E803,"")</f>
        <v>0.11063829787234049</v>
      </c>
      <c r="G816" s="37">
        <v>26.2</v>
      </c>
      <c r="H816" s="184">
        <v>45533</v>
      </c>
    </row>
    <row r="817" spans="3:8" x14ac:dyDescent="0.25">
      <c r="C817" s="182">
        <v>2</v>
      </c>
      <c r="D817" s="182">
        <v>39</v>
      </c>
      <c r="E817" s="183">
        <v>30.4</v>
      </c>
      <c r="F817" s="4">
        <f t="shared" si="16"/>
        <v>7.8014184397163094E-2</v>
      </c>
      <c r="G817" s="37">
        <v>26.2</v>
      </c>
      <c r="H817" s="184">
        <v>45533</v>
      </c>
    </row>
    <row r="818" spans="3:8" x14ac:dyDescent="0.25">
      <c r="C818" s="182">
        <v>3</v>
      </c>
      <c r="D818" s="182">
        <v>108</v>
      </c>
      <c r="E818" s="183">
        <v>22.9</v>
      </c>
      <c r="F818" s="4">
        <f t="shared" si="16"/>
        <v>-0.10894941634241248</v>
      </c>
      <c r="G818" s="37">
        <v>26.2</v>
      </c>
      <c r="H818" s="184">
        <v>45533</v>
      </c>
    </row>
    <row r="819" spans="3:8" x14ac:dyDescent="0.25">
      <c r="C819" s="182">
        <v>4</v>
      </c>
      <c r="D819" s="182">
        <v>115</v>
      </c>
      <c r="E819" s="183">
        <v>25</v>
      </c>
      <c r="F819" s="4">
        <f t="shared" si="16"/>
        <v>-6.3670411985018702E-2</v>
      </c>
      <c r="G819" s="37">
        <v>26.2</v>
      </c>
      <c r="H819" s="184">
        <v>45533</v>
      </c>
    </row>
    <row r="820" spans="3:8" x14ac:dyDescent="0.25">
      <c r="C820" s="182">
        <v>5</v>
      </c>
      <c r="D820" s="182">
        <v>122</v>
      </c>
      <c r="E820" s="183">
        <v>22.2</v>
      </c>
      <c r="F820" s="4">
        <f t="shared" si="16"/>
        <v>-0.13281250000000008</v>
      </c>
      <c r="G820" s="37">
        <v>26.2</v>
      </c>
      <c r="H820" s="184">
        <v>45533</v>
      </c>
    </row>
    <row r="821" spans="3:8" x14ac:dyDescent="0.25">
      <c r="C821" s="182">
        <v>6</v>
      </c>
      <c r="D821" s="182">
        <v>0</v>
      </c>
      <c r="E821" s="183"/>
      <c r="F821" s="4" t="str">
        <f t="shared" si="16"/>
        <v/>
      </c>
      <c r="G821" s="37">
        <v>26.2</v>
      </c>
      <c r="H821" s="184">
        <v>45533</v>
      </c>
    </row>
    <row r="822" spans="3:8" x14ac:dyDescent="0.25">
      <c r="C822" s="182">
        <v>7</v>
      </c>
      <c r="D822" s="182">
        <v>90</v>
      </c>
      <c r="E822" s="183">
        <v>20.8</v>
      </c>
      <c r="F822" s="4">
        <f t="shared" si="16"/>
        <v>-0.1578947368421052</v>
      </c>
      <c r="G822" s="37">
        <v>26.2</v>
      </c>
      <c r="H822" s="184">
        <v>45533</v>
      </c>
    </row>
    <row r="823" spans="3:8" x14ac:dyDescent="0.25">
      <c r="C823" s="182">
        <v>8</v>
      </c>
      <c r="D823" s="182">
        <v>120</v>
      </c>
      <c r="E823" s="183">
        <v>29.5</v>
      </c>
      <c r="F823" s="4">
        <f t="shared" si="16"/>
        <v>0.18</v>
      </c>
      <c r="G823" s="37">
        <v>26.2</v>
      </c>
      <c r="H823" s="184">
        <v>45533</v>
      </c>
    </row>
    <row r="824" spans="3:8" x14ac:dyDescent="0.25">
      <c r="C824" s="182">
        <v>9</v>
      </c>
      <c r="D824" s="182">
        <v>0</v>
      </c>
      <c r="E824" s="183"/>
      <c r="F824" s="4" t="str">
        <f t="shared" si="16"/>
        <v/>
      </c>
      <c r="G824" s="37">
        <v>26.2</v>
      </c>
      <c r="H824" s="184">
        <v>45533</v>
      </c>
    </row>
    <row r="825" spans="3:8" x14ac:dyDescent="0.25">
      <c r="C825" s="182">
        <v>10</v>
      </c>
      <c r="D825" s="182">
        <v>0</v>
      </c>
      <c r="E825" s="183"/>
      <c r="F825" s="4" t="str">
        <f t="shared" si="16"/>
        <v/>
      </c>
      <c r="G825" s="37">
        <v>26.2</v>
      </c>
      <c r="H825" s="184">
        <v>45533</v>
      </c>
    </row>
    <row r="826" spans="3:8" x14ac:dyDescent="0.25">
      <c r="C826" s="182">
        <v>18</v>
      </c>
      <c r="D826" s="182">
        <v>7</v>
      </c>
      <c r="E826" s="183">
        <v>26.9</v>
      </c>
      <c r="F826" s="4">
        <f t="shared" si="16"/>
        <v>8.9068825910931154E-2</v>
      </c>
      <c r="G826" s="37">
        <v>26.2</v>
      </c>
      <c r="H826" s="184">
        <v>45533</v>
      </c>
    </row>
    <row r="827" spans="3:8" x14ac:dyDescent="0.25">
      <c r="C827" s="182">
        <v>19</v>
      </c>
      <c r="D827" s="182">
        <v>22</v>
      </c>
      <c r="E827" s="183">
        <v>22.1</v>
      </c>
      <c r="F827" s="4">
        <f t="shared" si="16"/>
        <v>1.3761467889908289E-2</v>
      </c>
      <c r="G827" s="37">
        <v>26.2</v>
      </c>
      <c r="H827" s="184">
        <v>45533</v>
      </c>
    </row>
    <row r="828" spans="3:8" x14ac:dyDescent="0.25">
      <c r="C828" s="185" t="s">
        <v>0</v>
      </c>
      <c r="D828" s="185" t="s">
        <v>7</v>
      </c>
      <c r="E828" s="186" t="s">
        <v>4</v>
      </c>
      <c r="F828" s="4" t="str">
        <f t="shared" si="16"/>
        <v/>
      </c>
      <c r="G828" s="37">
        <v>26.7</v>
      </c>
      <c r="H828" s="187">
        <v>45534</v>
      </c>
    </row>
    <row r="829" spans="3:8" x14ac:dyDescent="0.25">
      <c r="C829" s="185">
        <v>1</v>
      </c>
      <c r="D829" s="185">
        <v>63</v>
      </c>
      <c r="E829" s="186">
        <v>22.7</v>
      </c>
      <c r="F829" s="4">
        <f t="shared" si="16"/>
        <v>-0.13026819923371655</v>
      </c>
      <c r="G829" s="37">
        <v>26.7</v>
      </c>
      <c r="H829" s="187">
        <v>45534</v>
      </c>
    </row>
    <row r="830" spans="3:8" x14ac:dyDescent="0.25">
      <c r="C830" s="185">
        <v>2</v>
      </c>
      <c r="D830" s="185">
        <v>39</v>
      </c>
      <c r="E830" s="186">
        <v>28.6</v>
      </c>
      <c r="F830" s="4">
        <f t="shared" si="16"/>
        <v>-5.921052631578938E-2</v>
      </c>
      <c r="G830" s="37">
        <v>26.7</v>
      </c>
      <c r="H830" s="187">
        <v>45534</v>
      </c>
    </row>
    <row r="831" spans="3:8" x14ac:dyDescent="0.25">
      <c r="C831" s="185">
        <v>3</v>
      </c>
      <c r="D831" s="185">
        <v>108</v>
      </c>
      <c r="E831" s="186">
        <v>24.6</v>
      </c>
      <c r="F831" s="4">
        <f t="shared" si="16"/>
        <v>7.423580786026214E-2</v>
      </c>
      <c r="G831" s="37">
        <v>26.7</v>
      </c>
      <c r="H831" s="187">
        <v>45534</v>
      </c>
    </row>
    <row r="832" spans="3:8" x14ac:dyDescent="0.25">
      <c r="C832" s="185">
        <v>4</v>
      </c>
      <c r="D832" s="185">
        <v>114</v>
      </c>
      <c r="E832" s="186">
        <v>25</v>
      </c>
      <c r="F832" s="4">
        <f t="shared" si="16"/>
        <v>0</v>
      </c>
      <c r="G832" s="37">
        <v>26.7</v>
      </c>
      <c r="H832" s="187">
        <v>45534</v>
      </c>
    </row>
    <row r="833" spans="3:8" x14ac:dyDescent="0.25">
      <c r="C833" s="185">
        <v>5</v>
      </c>
      <c r="D833" s="185">
        <v>121</v>
      </c>
      <c r="E833" s="186">
        <v>25.2</v>
      </c>
      <c r="F833" s="4">
        <f t="shared" si="16"/>
        <v>0.13513513513513514</v>
      </c>
      <c r="G833" s="37">
        <v>26.7</v>
      </c>
      <c r="H833" s="187">
        <v>45534</v>
      </c>
    </row>
    <row r="834" spans="3:8" x14ac:dyDescent="0.25">
      <c r="C834" s="185">
        <v>6</v>
      </c>
      <c r="D834" s="185">
        <v>121</v>
      </c>
      <c r="E834" s="186"/>
      <c r="F834" s="4" t="str">
        <f t="shared" si="16"/>
        <v/>
      </c>
      <c r="G834" s="37">
        <v>26.7</v>
      </c>
      <c r="H834" s="187">
        <v>45534</v>
      </c>
    </row>
    <row r="835" spans="3:8" x14ac:dyDescent="0.25">
      <c r="C835" s="185">
        <v>7</v>
      </c>
      <c r="D835" s="185">
        <v>91</v>
      </c>
      <c r="E835" s="186">
        <v>23.5</v>
      </c>
      <c r="F835" s="4">
        <f t="shared" si="16"/>
        <v>0.12980769230769226</v>
      </c>
      <c r="G835" s="37">
        <v>26.7</v>
      </c>
      <c r="H835" s="187">
        <v>45534</v>
      </c>
    </row>
    <row r="836" spans="3:8" x14ac:dyDescent="0.25">
      <c r="C836" s="185">
        <v>8</v>
      </c>
      <c r="D836" s="185">
        <v>0</v>
      </c>
      <c r="E836" s="186">
        <v>26.4</v>
      </c>
      <c r="F836" s="4">
        <f t="shared" si="16"/>
        <v>-0.10508474576271191</v>
      </c>
      <c r="G836" s="37">
        <v>26.7</v>
      </c>
      <c r="H836" s="187">
        <v>45534</v>
      </c>
    </row>
    <row r="837" spans="3:8" x14ac:dyDescent="0.25">
      <c r="C837" s="185">
        <v>9</v>
      </c>
      <c r="D837" s="185">
        <v>0</v>
      </c>
      <c r="E837" s="186"/>
      <c r="F837" s="4" t="str">
        <f t="shared" si="16"/>
        <v/>
      </c>
      <c r="G837" s="37">
        <v>26.7</v>
      </c>
      <c r="H837" s="187">
        <v>45534</v>
      </c>
    </row>
    <row r="838" spans="3:8" x14ac:dyDescent="0.25">
      <c r="C838" s="185">
        <v>10</v>
      </c>
      <c r="D838" s="185">
        <v>0</v>
      </c>
      <c r="E838" s="186"/>
      <c r="F838" s="4" t="str">
        <f t="shared" si="16"/>
        <v/>
      </c>
      <c r="G838" s="37">
        <v>26.7</v>
      </c>
      <c r="H838" s="187">
        <v>45534</v>
      </c>
    </row>
    <row r="839" spans="3:8" x14ac:dyDescent="0.25">
      <c r="C839" s="185">
        <v>18</v>
      </c>
      <c r="D839" s="185">
        <v>8</v>
      </c>
      <c r="E839" s="186">
        <v>23.5</v>
      </c>
      <c r="F839" s="4">
        <f t="shared" si="16"/>
        <v>-0.12639405204460963</v>
      </c>
      <c r="G839" s="37">
        <v>26.7</v>
      </c>
      <c r="H839" s="187">
        <v>45534</v>
      </c>
    </row>
    <row r="840" spans="3:8" x14ac:dyDescent="0.25">
      <c r="C840" s="185">
        <v>19</v>
      </c>
      <c r="D840" s="185">
        <v>21</v>
      </c>
      <c r="E840" s="186">
        <v>27.5</v>
      </c>
      <c r="F840" s="4">
        <f t="shared" si="16"/>
        <v>0.24434389140271484</v>
      </c>
      <c r="G840" s="37">
        <v>26.7</v>
      </c>
      <c r="H840" s="187">
        <v>45534</v>
      </c>
    </row>
    <row r="841" spans="3:8" x14ac:dyDescent="0.25">
      <c r="C841" s="188" t="s">
        <v>0</v>
      </c>
      <c r="D841" s="188" t="s">
        <v>7</v>
      </c>
      <c r="E841" s="189" t="s">
        <v>4</v>
      </c>
      <c r="F841" s="4" t="str">
        <f t="shared" si="16"/>
        <v/>
      </c>
      <c r="G841" s="37">
        <v>26.6</v>
      </c>
      <c r="H841" s="187">
        <v>45535</v>
      </c>
    </row>
    <row r="842" spans="3:8" x14ac:dyDescent="0.25">
      <c r="C842" s="188">
        <v>1</v>
      </c>
      <c r="D842" s="188">
        <v>60</v>
      </c>
      <c r="E842" s="189">
        <v>24.4</v>
      </c>
      <c r="F842" s="4">
        <f t="shared" si="16"/>
        <v>7.4889867841409663E-2</v>
      </c>
      <c r="G842" s="37">
        <v>26.6</v>
      </c>
      <c r="H842" s="187">
        <v>45535</v>
      </c>
    </row>
    <row r="843" spans="3:8" x14ac:dyDescent="0.25">
      <c r="C843" s="188">
        <v>2</v>
      </c>
      <c r="D843" s="188">
        <v>38</v>
      </c>
      <c r="E843" s="189">
        <v>26</v>
      </c>
      <c r="F843" s="4">
        <f t="shared" si="16"/>
        <v>-9.0909090909090953E-2</v>
      </c>
      <c r="G843" s="37">
        <v>26.6</v>
      </c>
      <c r="H843" s="187">
        <v>45535</v>
      </c>
    </row>
    <row r="844" spans="3:8" x14ac:dyDescent="0.25">
      <c r="C844" s="188">
        <v>3</v>
      </c>
      <c r="D844" s="188">
        <v>105</v>
      </c>
      <c r="E844" s="189">
        <v>24.5</v>
      </c>
      <c r="F844" s="4">
        <f t="shared" si="16"/>
        <v>-4.0650406504065617E-3</v>
      </c>
      <c r="G844" s="37">
        <v>26.6</v>
      </c>
      <c r="H844" s="187">
        <v>45535</v>
      </c>
    </row>
    <row r="845" spans="3:8" x14ac:dyDescent="0.25">
      <c r="C845" s="188">
        <v>4</v>
      </c>
      <c r="D845" s="188">
        <v>114</v>
      </c>
      <c r="E845" s="189">
        <v>24.3</v>
      </c>
      <c r="F845" s="4">
        <f t="shared" si="16"/>
        <v>-2.7999999999999973E-2</v>
      </c>
      <c r="G845" s="37">
        <v>26.6</v>
      </c>
      <c r="H845" s="187">
        <v>45535</v>
      </c>
    </row>
    <row r="846" spans="3:8" x14ac:dyDescent="0.25">
      <c r="C846" s="188">
        <v>5</v>
      </c>
      <c r="D846" s="188">
        <v>121</v>
      </c>
      <c r="E846" s="189">
        <v>23.4</v>
      </c>
      <c r="F846" s="4">
        <f t="shared" si="16"/>
        <v>-7.1428571428571452E-2</v>
      </c>
      <c r="G846" s="37">
        <v>26.6</v>
      </c>
      <c r="H846" s="187">
        <v>45535</v>
      </c>
    </row>
    <row r="847" spans="3:8" x14ac:dyDescent="0.25">
      <c r="C847" s="188">
        <v>6</v>
      </c>
      <c r="D847" s="188">
        <v>121</v>
      </c>
      <c r="E847" s="189">
        <v>24.8</v>
      </c>
      <c r="F847" s="4" t="str">
        <f t="shared" si="16"/>
        <v/>
      </c>
      <c r="G847" s="37">
        <v>26.6</v>
      </c>
      <c r="H847" s="187">
        <v>45535</v>
      </c>
    </row>
    <row r="848" spans="3:8" x14ac:dyDescent="0.25">
      <c r="C848" s="188">
        <v>7</v>
      </c>
      <c r="D848" s="188">
        <v>88</v>
      </c>
      <c r="E848" s="189">
        <v>23.9</v>
      </c>
      <c r="F848" s="4">
        <f t="shared" si="16"/>
        <v>1.7021276595744619E-2</v>
      </c>
      <c r="G848" s="37">
        <v>26.6</v>
      </c>
      <c r="H848" s="187">
        <v>45535</v>
      </c>
    </row>
    <row r="849" spans="3:8" x14ac:dyDescent="0.25">
      <c r="C849" s="188">
        <v>8</v>
      </c>
      <c r="D849" s="188">
        <v>0</v>
      </c>
      <c r="E849" s="189"/>
      <c r="F849" s="4">
        <f t="shared" si="16"/>
        <v>-1</v>
      </c>
      <c r="G849" s="37">
        <v>26.6</v>
      </c>
      <c r="H849" s="187">
        <v>45535</v>
      </c>
    </row>
    <row r="850" spans="3:8" x14ac:dyDescent="0.25">
      <c r="C850" s="188">
        <v>9</v>
      </c>
      <c r="D850" s="188">
        <v>0</v>
      </c>
      <c r="E850" s="189"/>
      <c r="F850" s="4" t="str">
        <f t="shared" si="16"/>
        <v/>
      </c>
      <c r="G850" s="37">
        <v>26.6</v>
      </c>
      <c r="H850" s="187">
        <v>45535</v>
      </c>
    </row>
    <row r="851" spans="3:8" x14ac:dyDescent="0.25">
      <c r="C851" s="188">
        <v>10</v>
      </c>
      <c r="D851" s="188">
        <v>0</v>
      </c>
      <c r="E851" s="189"/>
      <c r="F851" s="4" t="str">
        <f t="shared" si="16"/>
        <v/>
      </c>
      <c r="G851" s="37">
        <v>26.6</v>
      </c>
      <c r="H851" s="187">
        <v>45535</v>
      </c>
    </row>
    <row r="852" spans="3:8" x14ac:dyDescent="0.25">
      <c r="C852" s="188">
        <v>18</v>
      </c>
      <c r="D852" s="188">
        <v>7</v>
      </c>
      <c r="E852" s="189">
        <v>27.6</v>
      </c>
      <c r="F852" s="4">
        <f t="shared" si="16"/>
        <v>0.17446808510638304</v>
      </c>
      <c r="G852" s="37">
        <v>26.6</v>
      </c>
      <c r="H852" s="187">
        <v>45535</v>
      </c>
    </row>
    <row r="853" spans="3:8" x14ac:dyDescent="0.25">
      <c r="C853" s="188">
        <v>19</v>
      </c>
      <c r="D853" s="188">
        <v>23</v>
      </c>
      <c r="E853" s="189">
        <v>24.9</v>
      </c>
      <c r="F853" s="4">
        <f t="shared" si="16"/>
        <v>-9.4545454545454599E-2</v>
      </c>
      <c r="G853" s="37">
        <v>26.6</v>
      </c>
      <c r="H853" s="187">
        <v>45535</v>
      </c>
    </row>
    <row r="854" spans="3:8" x14ac:dyDescent="0.25">
      <c r="C854" s="190" t="s">
        <v>0</v>
      </c>
      <c r="D854" s="190" t="s">
        <v>7</v>
      </c>
      <c r="E854" s="191" t="s">
        <v>4</v>
      </c>
      <c r="F854" s="4" t="str">
        <f t="shared" si="16"/>
        <v/>
      </c>
      <c r="G854" s="37">
        <v>27.4</v>
      </c>
      <c r="H854" s="192">
        <v>45536</v>
      </c>
    </row>
    <row r="855" spans="3:8" x14ac:dyDescent="0.25">
      <c r="C855" s="190">
        <v>1</v>
      </c>
      <c r="D855" s="190">
        <v>60</v>
      </c>
      <c r="E855" s="191">
        <v>24.5</v>
      </c>
      <c r="F855" s="4">
        <f t="shared" si="16"/>
        <v>4.0983606557377632E-3</v>
      </c>
      <c r="G855" s="37">
        <v>27.4</v>
      </c>
      <c r="H855" s="192">
        <v>45536</v>
      </c>
    </row>
    <row r="856" spans="3:8" x14ac:dyDescent="0.25">
      <c r="C856" s="190">
        <v>2</v>
      </c>
      <c r="D856" s="190">
        <v>37</v>
      </c>
      <c r="E856" s="191">
        <v>30</v>
      </c>
      <c r="F856" s="4">
        <f t="shared" si="16"/>
        <v>0.15384615384615385</v>
      </c>
      <c r="G856" s="37">
        <v>27.4</v>
      </c>
      <c r="H856" s="192">
        <v>45536</v>
      </c>
    </row>
    <row r="857" spans="3:8" x14ac:dyDescent="0.25">
      <c r="C857" s="190">
        <v>3</v>
      </c>
      <c r="D857" s="190">
        <v>105</v>
      </c>
      <c r="E857" s="191">
        <v>23.9</v>
      </c>
      <c r="F857" s="4">
        <f t="shared" si="16"/>
        <v>-2.4489795918367405E-2</v>
      </c>
      <c r="G857" s="37">
        <v>27.4</v>
      </c>
      <c r="H857" s="192">
        <v>45536</v>
      </c>
    </row>
    <row r="858" spans="3:8" x14ac:dyDescent="0.25">
      <c r="C858" s="190">
        <v>4</v>
      </c>
      <c r="D858" s="190">
        <v>114</v>
      </c>
      <c r="E858" s="191">
        <v>27.5</v>
      </c>
      <c r="F858" s="4">
        <f t="shared" si="16"/>
        <v>0.13168724279835387</v>
      </c>
      <c r="G858" s="37">
        <v>27.4</v>
      </c>
      <c r="H858" s="192">
        <v>45536</v>
      </c>
    </row>
    <row r="859" spans="3:8" x14ac:dyDescent="0.25">
      <c r="C859" s="190">
        <v>5</v>
      </c>
      <c r="D859" s="190">
        <v>121</v>
      </c>
      <c r="E859" s="191">
        <v>25.7</v>
      </c>
      <c r="F859" s="4">
        <f t="shared" si="16"/>
        <v>9.829059829059833E-2</v>
      </c>
      <c r="G859" s="37">
        <v>27.4</v>
      </c>
      <c r="H859" s="192">
        <v>45536</v>
      </c>
    </row>
    <row r="860" spans="3:8" x14ac:dyDescent="0.25">
      <c r="C860" s="190">
        <v>6</v>
      </c>
      <c r="D860" s="190">
        <v>121</v>
      </c>
      <c r="E860" s="191">
        <v>26.7</v>
      </c>
      <c r="F860" s="4">
        <f t="shared" si="16"/>
        <v>7.6612903225806397E-2</v>
      </c>
      <c r="G860" s="37">
        <v>27.4</v>
      </c>
      <c r="H860" s="192">
        <v>45536</v>
      </c>
    </row>
    <row r="861" spans="3:8" x14ac:dyDescent="0.25">
      <c r="C861" s="190">
        <v>7</v>
      </c>
      <c r="D861" s="190">
        <v>87</v>
      </c>
      <c r="E861" s="191">
        <v>24.6</v>
      </c>
      <c r="F861" s="4">
        <f t="shared" si="16"/>
        <v>2.9288702928870414E-2</v>
      </c>
      <c r="G861" s="37">
        <v>27.4</v>
      </c>
      <c r="H861" s="192">
        <v>45536</v>
      </c>
    </row>
    <row r="862" spans="3:8" x14ac:dyDescent="0.25">
      <c r="C862" s="190">
        <v>8</v>
      </c>
      <c r="D862" s="190">
        <v>0</v>
      </c>
      <c r="E862" s="191"/>
      <c r="F862" s="4" t="str">
        <f t="shared" si="16"/>
        <v/>
      </c>
      <c r="G862" s="37">
        <v>27.4</v>
      </c>
      <c r="H862" s="192">
        <v>45536</v>
      </c>
    </row>
    <row r="863" spans="3:8" x14ac:dyDescent="0.25">
      <c r="C863" s="190">
        <v>9</v>
      </c>
      <c r="D863" s="190">
        <v>0</v>
      </c>
      <c r="E863" s="191"/>
      <c r="F863" s="4" t="str">
        <f t="shared" si="16"/>
        <v/>
      </c>
      <c r="G863" s="37">
        <v>27.4</v>
      </c>
      <c r="H863" s="192">
        <v>45536</v>
      </c>
    </row>
    <row r="864" spans="3:8" x14ac:dyDescent="0.25">
      <c r="C864" s="190">
        <v>10</v>
      </c>
      <c r="D864" s="190">
        <v>0</v>
      </c>
      <c r="E864" s="191"/>
      <c r="F864" s="4" t="str">
        <f t="shared" si="16"/>
        <v/>
      </c>
      <c r="G864" s="37">
        <v>27.4</v>
      </c>
      <c r="H864" s="192">
        <v>45536</v>
      </c>
    </row>
    <row r="865" spans="3:8" x14ac:dyDescent="0.25">
      <c r="C865" s="190">
        <v>18</v>
      </c>
      <c r="D865" s="190">
        <v>8</v>
      </c>
      <c r="E865" s="191">
        <v>24.9</v>
      </c>
      <c r="F865" s="4">
        <f t="shared" si="16"/>
        <v>-9.782608695652184E-2</v>
      </c>
      <c r="G865" s="37">
        <v>27.4</v>
      </c>
      <c r="H865" s="192">
        <v>45536</v>
      </c>
    </row>
    <row r="866" spans="3:8" x14ac:dyDescent="0.25">
      <c r="C866" s="190">
        <v>19</v>
      </c>
      <c r="D866" s="190">
        <v>29</v>
      </c>
      <c r="E866" s="191">
        <v>32.299999999999997</v>
      </c>
      <c r="F866" s="4">
        <f t="shared" si="16"/>
        <v>0.2971887550200803</v>
      </c>
      <c r="G866" s="37">
        <v>27.4</v>
      </c>
      <c r="H866" s="192">
        <v>45536</v>
      </c>
    </row>
    <row r="867" spans="3:8" x14ac:dyDescent="0.25">
      <c r="C867" s="193" t="s">
        <v>8</v>
      </c>
      <c r="D867" s="193" t="s">
        <v>9</v>
      </c>
      <c r="E867" s="194" t="s">
        <v>10</v>
      </c>
      <c r="F867" s="4" t="str">
        <f t="shared" si="16"/>
        <v/>
      </c>
      <c r="G867" s="37">
        <v>25.7</v>
      </c>
      <c r="H867" s="195">
        <v>45537</v>
      </c>
    </row>
    <row r="868" spans="3:8" x14ac:dyDescent="0.25">
      <c r="C868" s="193">
        <v>1</v>
      </c>
      <c r="D868" s="193">
        <v>60</v>
      </c>
      <c r="E868" s="194">
        <v>23.9</v>
      </c>
      <c r="F868" s="4">
        <f t="shared" si="16"/>
        <v>-2.4489795918367405E-2</v>
      </c>
      <c r="G868" s="37">
        <v>25.7</v>
      </c>
      <c r="H868" s="195">
        <v>45537</v>
      </c>
    </row>
    <row r="869" spans="3:8" x14ac:dyDescent="0.25">
      <c r="C869" s="193">
        <v>2</v>
      </c>
      <c r="D869" s="193">
        <v>37</v>
      </c>
      <c r="E869" s="194">
        <v>29.5</v>
      </c>
      <c r="F869" s="4">
        <f t="shared" si="16"/>
        <v>-1.6666666666666666E-2</v>
      </c>
      <c r="G869" s="37">
        <v>25.7</v>
      </c>
      <c r="H869" s="195">
        <v>45537</v>
      </c>
    </row>
    <row r="870" spans="3:8" x14ac:dyDescent="0.25">
      <c r="C870" s="193">
        <v>3</v>
      </c>
      <c r="D870" s="193">
        <v>105</v>
      </c>
      <c r="E870" s="194">
        <v>20.8</v>
      </c>
      <c r="F870" s="4">
        <f t="shared" si="16"/>
        <v>-0.12970711297071122</v>
      </c>
      <c r="G870" s="37">
        <v>25.7</v>
      </c>
      <c r="H870" s="195">
        <v>45537</v>
      </c>
    </row>
    <row r="871" spans="3:8" x14ac:dyDescent="0.25">
      <c r="C871" s="193">
        <v>4</v>
      </c>
      <c r="D871" s="193">
        <v>114</v>
      </c>
      <c r="E871" s="194">
        <v>26.5</v>
      </c>
      <c r="F871" s="4">
        <f t="shared" si="16"/>
        <v>-3.6363636363636362E-2</v>
      </c>
      <c r="G871" s="37">
        <v>25.7</v>
      </c>
      <c r="H871" s="195">
        <v>45537</v>
      </c>
    </row>
    <row r="872" spans="3:8" x14ac:dyDescent="0.25">
      <c r="C872" s="193">
        <v>5</v>
      </c>
      <c r="D872" s="193">
        <v>120</v>
      </c>
      <c r="E872" s="194">
        <v>19.100000000000001</v>
      </c>
      <c r="F872" s="4">
        <f t="shared" si="16"/>
        <v>-0.2568093385214007</v>
      </c>
      <c r="G872" s="37">
        <v>25.7</v>
      </c>
      <c r="H872" s="195">
        <v>45537</v>
      </c>
    </row>
    <row r="873" spans="3:8" x14ac:dyDescent="0.25">
      <c r="C873" s="193">
        <v>6</v>
      </c>
      <c r="D873" s="193">
        <v>119</v>
      </c>
      <c r="E873" s="194">
        <v>25.3</v>
      </c>
      <c r="F873" s="4">
        <f t="shared" si="16"/>
        <v>-5.2434456928838899E-2</v>
      </c>
      <c r="G873" s="37">
        <v>25.7</v>
      </c>
      <c r="H873" s="195">
        <v>45537</v>
      </c>
    </row>
    <row r="874" spans="3:8" x14ac:dyDescent="0.25">
      <c r="C874" s="193">
        <v>7</v>
      </c>
      <c r="D874" s="193">
        <v>87</v>
      </c>
      <c r="E874" s="194">
        <v>21.5</v>
      </c>
      <c r="F874" s="4">
        <f t="shared" si="16"/>
        <v>-0.12601626016260167</v>
      </c>
      <c r="G874" s="37">
        <v>25.7</v>
      </c>
      <c r="H874" s="195">
        <v>45537</v>
      </c>
    </row>
    <row r="875" spans="3:8" x14ac:dyDescent="0.25">
      <c r="C875" s="193">
        <v>8</v>
      </c>
      <c r="D875" s="193">
        <v>0</v>
      </c>
      <c r="E875" s="194"/>
      <c r="F875" s="4" t="str">
        <f t="shared" si="16"/>
        <v/>
      </c>
      <c r="G875" s="37">
        <v>25.7</v>
      </c>
      <c r="H875" s="195">
        <v>45537</v>
      </c>
    </row>
    <row r="876" spans="3:8" x14ac:dyDescent="0.25">
      <c r="C876" s="193">
        <v>9</v>
      </c>
      <c r="D876" s="193">
        <v>0</v>
      </c>
      <c r="E876" s="194"/>
      <c r="F876" s="4" t="str">
        <f t="shared" si="16"/>
        <v/>
      </c>
      <c r="G876" s="37">
        <v>25.7</v>
      </c>
      <c r="H876" s="195">
        <v>45537</v>
      </c>
    </row>
    <row r="877" spans="3:8" x14ac:dyDescent="0.25">
      <c r="C877" s="193">
        <v>10</v>
      </c>
      <c r="D877" s="193">
        <v>0</v>
      </c>
      <c r="E877" s="194"/>
      <c r="F877" s="4" t="str">
        <f t="shared" si="16"/>
        <v/>
      </c>
      <c r="G877" s="37">
        <v>25.7</v>
      </c>
      <c r="H877" s="195">
        <v>45537</v>
      </c>
    </row>
    <row r="878" spans="3:8" x14ac:dyDescent="0.25">
      <c r="C878" s="193">
        <v>18</v>
      </c>
      <c r="D878" s="193">
        <v>11</v>
      </c>
      <c r="E878" s="194">
        <v>15.9</v>
      </c>
      <c r="F878" s="4">
        <f t="shared" si="16"/>
        <v>-0.36144578313253006</v>
      </c>
      <c r="G878" s="37">
        <v>25.7</v>
      </c>
      <c r="H878" s="195">
        <v>45537</v>
      </c>
    </row>
    <row r="879" spans="3:8" x14ac:dyDescent="0.25">
      <c r="C879" s="193">
        <v>19</v>
      </c>
      <c r="D879" s="193">
        <v>29</v>
      </c>
      <c r="E879" s="194">
        <v>23.7</v>
      </c>
      <c r="F879" s="4">
        <f t="shared" si="16"/>
        <v>-0.26625386996904021</v>
      </c>
      <c r="G879" s="37">
        <v>25.7</v>
      </c>
      <c r="H879" s="195">
        <v>45537</v>
      </c>
    </row>
    <row r="880" spans="3:8" x14ac:dyDescent="0.25">
      <c r="C880" s="196" t="s">
        <v>0</v>
      </c>
      <c r="D880" s="196" t="s">
        <v>7</v>
      </c>
      <c r="E880" s="197" t="s">
        <v>4</v>
      </c>
      <c r="F880" s="4" t="str">
        <f t="shared" si="16"/>
        <v/>
      </c>
      <c r="G880" s="37">
        <v>25.3</v>
      </c>
      <c r="H880" s="195">
        <v>45538</v>
      </c>
    </row>
    <row r="881" spans="3:8" x14ac:dyDescent="0.25">
      <c r="C881" s="196">
        <v>1</v>
      </c>
      <c r="D881" s="196">
        <v>67</v>
      </c>
      <c r="E881" s="197">
        <v>22.2</v>
      </c>
      <c r="F881" s="4">
        <f t="shared" ref="F881:F945" si="17">IFERROR((E881-E868)/E868,"")</f>
        <v>-7.1129707112970689E-2</v>
      </c>
      <c r="G881" s="37">
        <v>25.3</v>
      </c>
      <c r="H881" s="195">
        <v>45538</v>
      </c>
    </row>
    <row r="882" spans="3:8" x14ac:dyDescent="0.25">
      <c r="C882" s="196">
        <v>2</v>
      </c>
      <c r="D882" s="196">
        <v>39</v>
      </c>
      <c r="E882" s="197">
        <v>29.8</v>
      </c>
      <c r="F882" s="4">
        <f t="shared" si="17"/>
        <v>1.0169491525423752E-2</v>
      </c>
      <c r="G882" s="37">
        <v>25.3</v>
      </c>
      <c r="H882" s="195">
        <v>45538</v>
      </c>
    </row>
    <row r="883" spans="3:8" x14ac:dyDescent="0.25">
      <c r="C883" s="196">
        <v>3</v>
      </c>
      <c r="D883" s="196">
        <v>105</v>
      </c>
      <c r="E883" s="197">
        <v>22.2</v>
      </c>
      <c r="F883" s="4">
        <f t="shared" si="17"/>
        <v>6.7307692307692235E-2</v>
      </c>
      <c r="G883" s="37">
        <v>25.3</v>
      </c>
      <c r="H883" s="195">
        <v>45538</v>
      </c>
    </row>
    <row r="884" spans="3:8" x14ac:dyDescent="0.25">
      <c r="C884" s="196">
        <v>4</v>
      </c>
      <c r="D884" s="196">
        <v>114</v>
      </c>
      <c r="E884" s="197">
        <v>26.2</v>
      </c>
      <c r="F884" s="4">
        <f t="shared" si="17"/>
        <v>-1.1320754716981159E-2</v>
      </c>
      <c r="G884" s="37">
        <v>25.3</v>
      </c>
      <c r="H884" s="195">
        <v>45538</v>
      </c>
    </row>
    <row r="885" spans="3:8" x14ac:dyDescent="0.25">
      <c r="C885" s="196">
        <v>5</v>
      </c>
      <c r="D885" s="196">
        <v>120</v>
      </c>
      <c r="E885" s="197">
        <v>24.2</v>
      </c>
      <c r="F885" s="4">
        <f t="shared" si="17"/>
        <v>0.26701570680628262</v>
      </c>
      <c r="G885" s="37">
        <v>25.3</v>
      </c>
      <c r="H885" s="195">
        <v>45538</v>
      </c>
    </row>
    <row r="886" spans="3:8" x14ac:dyDescent="0.25">
      <c r="C886" s="196">
        <v>6</v>
      </c>
      <c r="D886" s="196">
        <v>119</v>
      </c>
      <c r="E886" s="197">
        <v>25.8</v>
      </c>
      <c r="F886" s="4">
        <f t="shared" si="17"/>
        <v>1.9762845849802372E-2</v>
      </c>
      <c r="G886" s="37">
        <v>25.3</v>
      </c>
      <c r="H886" s="195">
        <v>45538</v>
      </c>
    </row>
    <row r="887" spans="3:8" x14ac:dyDescent="0.25">
      <c r="C887" s="196">
        <v>7</v>
      </c>
      <c r="D887" s="196">
        <v>0</v>
      </c>
      <c r="E887" s="197">
        <v>22.2</v>
      </c>
      <c r="F887" s="4">
        <f t="shared" si="17"/>
        <v>3.2558139534883686E-2</v>
      </c>
      <c r="G887" s="37">
        <v>25.3</v>
      </c>
      <c r="H887" s="195">
        <v>45538</v>
      </c>
    </row>
    <row r="888" spans="3:8" x14ac:dyDescent="0.25">
      <c r="C888" s="196">
        <v>8</v>
      </c>
      <c r="D888" s="196">
        <v>86</v>
      </c>
      <c r="E888" s="197"/>
      <c r="F888" s="4" t="str">
        <f t="shared" si="17"/>
        <v/>
      </c>
      <c r="G888" s="37">
        <v>25.3</v>
      </c>
      <c r="H888" s="195">
        <v>45538</v>
      </c>
    </row>
    <row r="889" spans="3:8" x14ac:dyDescent="0.25">
      <c r="C889" s="196">
        <v>9</v>
      </c>
      <c r="D889" s="196">
        <v>0</v>
      </c>
      <c r="E889" s="197"/>
      <c r="F889" s="4" t="str">
        <f t="shared" si="17"/>
        <v/>
      </c>
      <c r="G889" s="37">
        <v>25.3</v>
      </c>
      <c r="H889" s="195">
        <v>45538</v>
      </c>
    </row>
    <row r="890" spans="3:8" x14ac:dyDescent="0.25">
      <c r="C890" s="196">
        <v>10</v>
      </c>
      <c r="D890" s="196">
        <v>0</v>
      </c>
      <c r="E890" s="197"/>
      <c r="F890" s="4" t="str">
        <f t="shared" si="17"/>
        <v/>
      </c>
      <c r="G890" s="37">
        <v>25.3</v>
      </c>
      <c r="H890" s="195">
        <v>45538</v>
      </c>
    </row>
    <row r="891" spans="3:8" x14ac:dyDescent="0.25">
      <c r="C891" s="196">
        <v>18</v>
      </c>
      <c r="D891" s="196">
        <v>10</v>
      </c>
      <c r="E891" s="197">
        <v>11.1</v>
      </c>
      <c r="F891" s="4">
        <f t="shared" si="17"/>
        <v>-0.30188679245283023</v>
      </c>
      <c r="G891" s="37">
        <v>25.3</v>
      </c>
      <c r="H891" s="195">
        <v>45538</v>
      </c>
    </row>
    <row r="892" spans="3:8" x14ac:dyDescent="0.25">
      <c r="C892" s="196">
        <v>19</v>
      </c>
      <c r="D892" s="196">
        <v>20</v>
      </c>
      <c r="E892" s="197">
        <v>19.7</v>
      </c>
      <c r="F892" s="4">
        <f t="shared" si="17"/>
        <v>-0.16877637130801687</v>
      </c>
      <c r="G892" s="37">
        <v>25.3</v>
      </c>
      <c r="H892" s="195">
        <v>45538</v>
      </c>
    </row>
    <row r="893" spans="3:8" x14ac:dyDescent="0.25">
      <c r="C893" s="198" t="s">
        <v>0</v>
      </c>
      <c r="D893" s="198" t="s">
        <v>7</v>
      </c>
      <c r="E893" s="199" t="s">
        <v>4</v>
      </c>
      <c r="F893" s="4" t="str">
        <f t="shared" si="17"/>
        <v/>
      </c>
      <c r="G893" s="37">
        <v>26.2</v>
      </c>
      <c r="H893" s="200">
        <v>45539</v>
      </c>
    </row>
    <row r="894" spans="3:8" x14ac:dyDescent="0.25">
      <c r="C894" s="198">
        <v>1</v>
      </c>
      <c r="D894" s="198">
        <v>70</v>
      </c>
      <c r="E894" s="199">
        <v>24.2</v>
      </c>
      <c r="F894" s="4">
        <f t="shared" si="17"/>
        <v>9.00900900900901E-2</v>
      </c>
      <c r="G894" s="37">
        <v>26.2</v>
      </c>
      <c r="H894" s="200">
        <v>45539</v>
      </c>
    </row>
    <row r="895" spans="3:8" x14ac:dyDescent="0.25">
      <c r="C895" s="198">
        <v>2</v>
      </c>
      <c r="D895" s="198">
        <v>40</v>
      </c>
      <c r="E895" s="199">
        <v>28.9</v>
      </c>
      <c r="F895" s="4">
        <f t="shared" si="17"/>
        <v>-3.0201342281879266E-2</v>
      </c>
      <c r="G895" s="37">
        <v>26.2</v>
      </c>
      <c r="H895" s="200">
        <v>45539</v>
      </c>
    </row>
    <row r="896" spans="3:8" x14ac:dyDescent="0.25">
      <c r="C896" s="198">
        <v>3</v>
      </c>
      <c r="D896" s="198">
        <v>105</v>
      </c>
      <c r="E896" s="199">
        <v>24.3</v>
      </c>
      <c r="F896" s="4">
        <f t="shared" si="17"/>
        <v>9.4594594594594655E-2</v>
      </c>
      <c r="G896" s="37">
        <v>26.2</v>
      </c>
      <c r="H896" s="200">
        <v>45539</v>
      </c>
    </row>
    <row r="897" spans="3:8" x14ac:dyDescent="0.25">
      <c r="C897" s="198">
        <v>4</v>
      </c>
      <c r="D897" s="198">
        <v>114</v>
      </c>
      <c r="E897" s="199">
        <v>26.1</v>
      </c>
      <c r="F897" s="4">
        <f t="shared" si="17"/>
        <v>-3.8167938931296897E-3</v>
      </c>
      <c r="G897" s="37">
        <v>26.2</v>
      </c>
      <c r="H897" s="200">
        <v>45539</v>
      </c>
    </row>
    <row r="898" spans="3:8" x14ac:dyDescent="0.25">
      <c r="C898" s="198">
        <v>5</v>
      </c>
      <c r="D898" s="198">
        <v>118</v>
      </c>
      <c r="E898" s="199">
        <v>24.5</v>
      </c>
      <c r="F898" s="4">
        <f t="shared" si="17"/>
        <v>1.2396694214876063E-2</v>
      </c>
      <c r="G898" s="37">
        <v>26.2</v>
      </c>
      <c r="H898" s="200">
        <v>45539</v>
      </c>
    </row>
    <row r="899" spans="3:8" x14ac:dyDescent="0.25">
      <c r="C899" s="198">
        <v>6</v>
      </c>
      <c r="D899" s="198">
        <v>118</v>
      </c>
      <c r="E899" s="199">
        <v>26.2</v>
      </c>
      <c r="F899" s="4">
        <f t="shared" si="17"/>
        <v>1.5503875968992192E-2</v>
      </c>
      <c r="G899" s="37">
        <v>26.2</v>
      </c>
      <c r="H899" s="200">
        <v>45539</v>
      </c>
    </row>
    <row r="900" spans="3:8" x14ac:dyDescent="0.25">
      <c r="C900" s="198">
        <v>7</v>
      </c>
      <c r="D900" s="198">
        <v>0</v>
      </c>
      <c r="E900" s="199"/>
      <c r="F900" s="4">
        <f t="shared" si="17"/>
        <v>-1</v>
      </c>
      <c r="G900" s="37">
        <v>26.2</v>
      </c>
      <c r="H900" s="200">
        <v>45539</v>
      </c>
    </row>
    <row r="901" spans="3:8" x14ac:dyDescent="0.25">
      <c r="C901" s="198">
        <v>8</v>
      </c>
      <c r="D901" s="198">
        <v>86</v>
      </c>
      <c r="E901" s="199">
        <v>22.4</v>
      </c>
      <c r="F901" s="4" t="str">
        <f t="shared" si="17"/>
        <v/>
      </c>
      <c r="G901" s="37">
        <v>26.2</v>
      </c>
      <c r="H901" s="200">
        <v>45539</v>
      </c>
    </row>
    <row r="902" spans="3:8" x14ac:dyDescent="0.25">
      <c r="C902" s="198">
        <v>9</v>
      </c>
      <c r="D902" s="198">
        <v>0</v>
      </c>
      <c r="E902" s="199"/>
      <c r="F902" s="4" t="str">
        <f t="shared" si="17"/>
        <v/>
      </c>
      <c r="G902" s="37">
        <v>26.2</v>
      </c>
      <c r="H902" s="200">
        <v>45539</v>
      </c>
    </row>
    <row r="903" spans="3:8" x14ac:dyDescent="0.25">
      <c r="C903" s="198">
        <v>10</v>
      </c>
      <c r="D903" s="198">
        <v>0</v>
      </c>
      <c r="E903" s="199"/>
      <c r="F903" s="4" t="str">
        <f t="shared" si="17"/>
        <v/>
      </c>
      <c r="G903" s="37">
        <v>26.2</v>
      </c>
      <c r="H903" s="200">
        <v>45539</v>
      </c>
    </row>
    <row r="904" spans="3:8" x14ac:dyDescent="0.25">
      <c r="C904" s="198">
        <v>18</v>
      </c>
      <c r="D904" s="198">
        <v>12</v>
      </c>
      <c r="E904" s="199">
        <v>21.3</v>
      </c>
      <c r="F904" s="4">
        <f t="shared" si="17"/>
        <v>0.91891891891891908</v>
      </c>
      <c r="G904" s="37">
        <v>26.2</v>
      </c>
      <c r="H904" s="200">
        <v>45539</v>
      </c>
    </row>
    <row r="905" spans="3:8" x14ac:dyDescent="0.25">
      <c r="C905" s="198">
        <v>19</v>
      </c>
      <c r="D905" s="198">
        <v>16</v>
      </c>
      <c r="E905" s="199">
        <v>30.3</v>
      </c>
      <c r="F905" s="4">
        <f t="shared" si="17"/>
        <v>0.53807106598984777</v>
      </c>
      <c r="G905" s="37">
        <v>26.2</v>
      </c>
      <c r="H905" s="200">
        <v>45539</v>
      </c>
    </row>
    <row r="906" spans="3:8" x14ac:dyDescent="0.25">
      <c r="C906" s="201" t="s">
        <v>0</v>
      </c>
      <c r="D906" s="201" t="s">
        <v>7</v>
      </c>
      <c r="E906" s="202" t="s">
        <v>4</v>
      </c>
      <c r="F906" s="4" t="str">
        <f t="shared" si="17"/>
        <v/>
      </c>
      <c r="G906" s="37">
        <v>25.8</v>
      </c>
      <c r="H906" s="203">
        <v>45540</v>
      </c>
    </row>
    <row r="907" spans="3:8" x14ac:dyDescent="0.25">
      <c r="C907" s="201">
        <v>1</v>
      </c>
      <c r="D907" s="201">
        <v>72</v>
      </c>
      <c r="E907" s="202">
        <v>24.3</v>
      </c>
      <c r="F907" s="4">
        <f t="shared" si="17"/>
        <v>4.1322314049587368E-3</v>
      </c>
      <c r="G907" s="37">
        <v>25.8</v>
      </c>
      <c r="H907" s="203">
        <v>45540</v>
      </c>
    </row>
    <row r="908" spans="3:8" x14ac:dyDescent="0.25">
      <c r="C908" s="201">
        <v>2</v>
      </c>
      <c r="D908" s="201">
        <v>40</v>
      </c>
      <c r="E908" s="202">
        <v>29.7</v>
      </c>
      <c r="F908" s="4">
        <f t="shared" si="17"/>
        <v>2.7681660899654004E-2</v>
      </c>
      <c r="G908" s="37">
        <v>25.8</v>
      </c>
      <c r="H908" s="203">
        <v>45540</v>
      </c>
    </row>
    <row r="909" spans="3:8" x14ac:dyDescent="0.25">
      <c r="C909" s="201">
        <v>3</v>
      </c>
      <c r="D909" s="201">
        <v>103</v>
      </c>
      <c r="E909" s="202">
        <v>24.4</v>
      </c>
      <c r="F909" s="4">
        <f t="shared" si="17"/>
        <v>4.1152263374484715E-3</v>
      </c>
      <c r="G909" s="37">
        <v>25.8</v>
      </c>
      <c r="H909" s="203">
        <v>45540</v>
      </c>
    </row>
    <row r="910" spans="3:8" x14ac:dyDescent="0.25">
      <c r="C910" s="201">
        <v>4</v>
      </c>
      <c r="D910" s="201">
        <v>0</v>
      </c>
      <c r="E910" s="202">
        <v>26.2</v>
      </c>
      <c r="F910" s="4">
        <f t="shared" si="17"/>
        <v>3.8314176245209911E-3</v>
      </c>
      <c r="G910" s="37">
        <v>25.8</v>
      </c>
      <c r="H910" s="203">
        <v>45540</v>
      </c>
    </row>
    <row r="911" spans="3:8" x14ac:dyDescent="0.25">
      <c r="C911" s="201">
        <v>5</v>
      </c>
      <c r="D911" s="201">
        <v>114</v>
      </c>
      <c r="E911" s="202">
        <v>24.6</v>
      </c>
      <c r="F911" s="4">
        <f t="shared" si="17"/>
        <v>4.0816326530612821E-3</v>
      </c>
      <c r="G911" s="37">
        <v>25.8</v>
      </c>
      <c r="H911" s="203">
        <v>45540</v>
      </c>
    </row>
    <row r="912" spans="3:8" x14ac:dyDescent="0.25">
      <c r="C912" s="201">
        <v>6</v>
      </c>
      <c r="D912" s="201">
        <v>117</v>
      </c>
      <c r="E912" s="202">
        <v>24.8</v>
      </c>
      <c r="F912" s="4">
        <f t="shared" si="17"/>
        <v>-5.3435114503816744E-2</v>
      </c>
      <c r="G912" s="37">
        <v>25.8</v>
      </c>
      <c r="H912" s="203">
        <v>45540</v>
      </c>
    </row>
    <row r="913" spans="3:8" x14ac:dyDescent="0.25">
      <c r="C913" s="201">
        <v>7</v>
      </c>
      <c r="D913" s="201">
        <v>119</v>
      </c>
      <c r="E913" s="202"/>
      <c r="F913" s="4" t="str">
        <f t="shared" si="17"/>
        <v/>
      </c>
      <c r="G913" s="37">
        <v>25.8</v>
      </c>
      <c r="H913" s="203">
        <v>45540</v>
      </c>
    </row>
    <row r="914" spans="3:8" x14ac:dyDescent="0.25">
      <c r="C914" s="201">
        <v>8</v>
      </c>
      <c r="D914" s="201">
        <v>82</v>
      </c>
      <c r="E914" s="202">
        <v>22.5</v>
      </c>
      <c r="F914" s="4">
        <f t="shared" si="17"/>
        <v>4.4642857142857782E-3</v>
      </c>
      <c r="G914" s="37">
        <v>25.8</v>
      </c>
      <c r="H914" s="203">
        <v>45540</v>
      </c>
    </row>
    <row r="915" spans="3:8" x14ac:dyDescent="0.25">
      <c r="C915" s="201">
        <v>9</v>
      </c>
      <c r="D915" s="201">
        <v>0</v>
      </c>
      <c r="E915" s="202"/>
      <c r="F915" s="4" t="str">
        <f t="shared" si="17"/>
        <v/>
      </c>
      <c r="G915" s="37">
        <v>25.8</v>
      </c>
      <c r="H915" s="203">
        <v>45540</v>
      </c>
    </row>
    <row r="916" spans="3:8" x14ac:dyDescent="0.25">
      <c r="C916" s="201">
        <v>10</v>
      </c>
      <c r="D916" s="201">
        <v>0</v>
      </c>
      <c r="E916" s="202"/>
      <c r="F916" s="4" t="str">
        <f t="shared" si="17"/>
        <v/>
      </c>
      <c r="G916" s="37">
        <v>25.8</v>
      </c>
      <c r="H916" s="203">
        <v>45540</v>
      </c>
    </row>
    <row r="917" spans="3:8" x14ac:dyDescent="0.25">
      <c r="C917" s="201">
        <v>18</v>
      </c>
      <c r="D917" s="201">
        <v>12</v>
      </c>
      <c r="E917" s="202">
        <v>16</v>
      </c>
      <c r="F917" s="4">
        <f t="shared" si="17"/>
        <v>-0.24882629107981225</v>
      </c>
      <c r="G917" s="37">
        <v>25.8</v>
      </c>
      <c r="H917" s="203">
        <v>45540</v>
      </c>
    </row>
    <row r="918" spans="3:8" x14ac:dyDescent="0.25">
      <c r="C918" s="201">
        <v>19</v>
      </c>
      <c r="D918" s="201">
        <v>19</v>
      </c>
      <c r="E918" s="202">
        <v>22.4</v>
      </c>
      <c r="F918" s="4">
        <f t="shared" si="17"/>
        <v>-0.26072607260726077</v>
      </c>
      <c r="G918" s="37">
        <v>25.8</v>
      </c>
      <c r="H918" s="203">
        <v>45540</v>
      </c>
    </row>
    <row r="919" spans="3:8" x14ac:dyDescent="0.25">
      <c r="C919" s="204" t="s">
        <v>0</v>
      </c>
      <c r="D919" s="204" t="s">
        <v>7</v>
      </c>
      <c r="E919" s="205" t="s">
        <v>4</v>
      </c>
      <c r="F919" s="4" t="str">
        <f t="shared" si="17"/>
        <v/>
      </c>
      <c r="G919" s="37">
        <v>26.9</v>
      </c>
      <c r="H919" s="206">
        <v>45541</v>
      </c>
    </row>
    <row r="920" spans="3:8" x14ac:dyDescent="0.25">
      <c r="C920" s="204">
        <v>1</v>
      </c>
      <c r="D920" s="204">
        <v>73</v>
      </c>
      <c r="E920" s="205">
        <v>23.8</v>
      </c>
      <c r="F920" s="4">
        <f t="shared" si="17"/>
        <v>-2.0576131687242798E-2</v>
      </c>
      <c r="G920" s="37">
        <v>26.9</v>
      </c>
      <c r="H920" s="206">
        <v>45541</v>
      </c>
    </row>
    <row r="921" spans="3:8" x14ac:dyDescent="0.25">
      <c r="C921" s="204">
        <v>2</v>
      </c>
      <c r="D921" s="204">
        <v>41</v>
      </c>
      <c r="E921" s="205">
        <v>29.1</v>
      </c>
      <c r="F921" s="4">
        <f t="shared" si="17"/>
        <v>-2.0202020202020131E-2</v>
      </c>
      <c r="G921" s="37">
        <v>26.9</v>
      </c>
      <c r="H921" s="206">
        <v>45541</v>
      </c>
    </row>
    <row r="922" spans="3:8" x14ac:dyDescent="0.25">
      <c r="C922" s="204">
        <v>3</v>
      </c>
      <c r="D922" s="204">
        <v>103</v>
      </c>
      <c r="E922" s="205">
        <v>25.5</v>
      </c>
      <c r="F922" s="4">
        <f t="shared" si="17"/>
        <v>4.5081967213114818E-2</v>
      </c>
      <c r="G922" s="37">
        <v>26.9</v>
      </c>
      <c r="H922" s="206">
        <v>45541</v>
      </c>
    </row>
    <row r="923" spans="3:8" x14ac:dyDescent="0.25">
      <c r="C923" s="204">
        <v>4</v>
      </c>
      <c r="D923" s="204">
        <v>0</v>
      </c>
      <c r="E923" s="205"/>
      <c r="F923" s="4">
        <f t="shared" si="17"/>
        <v>-1</v>
      </c>
      <c r="G923" s="37">
        <v>26.9</v>
      </c>
      <c r="H923" s="206">
        <v>45541</v>
      </c>
    </row>
    <row r="924" spans="3:8" x14ac:dyDescent="0.25">
      <c r="C924" s="204">
        <v>5</v>
      </c>
      <c r="D924" s="204">
        <v>114</v>
      </c>
      <c r="E924" s="205">
        <v>26.9</v>
      </c>
      <c r="F924" s="4">
        <f t="shared" si="17"/>
        <v>9.3495934959349478E-2</v>
      </c>
      <c r="G924" s="37">
        <v>26.9</v>
      </c>
      <c r="H924" s="206">
        <v>45541</v>
      </c>
    </row>
    <row r="925" spans="3:8" x14ac:dyDescent="0.25">
      <c r="C925" s="204">
        <v>6</v>
      </c>
      <c r="D925" s="204">
        <v>117</v>
      </c>
      <c r="E925" s="205">
        <v>25.9</v>
      </c>
      <c r="F925" s="4">
        <f t="shared" si="17"/>
        <v>4.4354838709677331E-2</v>
      </c>
      <c r="G925" s="37">
        <v>26.9</v>
      </c>
      <c r="H925" s="206">
        <v>45541</v>
      </c>
    </row>
    <row r="926" spans="3:8" x14ac:dyDescent="0.25">
      <c r="C926" s="204">
        <v>7</v>
      </c>
      <c r="D926" s="204">
        <v>121</v>
      </c>
      <c r="E926" s="205">
        <v>27.3</v>
      </c>
      <c r="F926" s="4" t="str">
        <f t="shared" si="17"/>
        <v/>
      </c>
      <c r="G926" s="37">
        <v>26.9</v>
      </c>
      <c r="H926" s="206">
        <v>45541</v>
      </c>
    </row>
    <row r="927" spans="3:8" x14ac:dyDescent="0.25">
      <c r="C927" s="204">
        <v>8</v>
      </c>
      <c r="D927" s="204">
        <v>82</v>
      </c>
      <c r="E927" s="205">
        <v>24.1</v>
      </c>
      <c r="F927" s="4">
        <f t="shared" si="17"/>
        <v>7.111111111111118E-2</v>
      </c>
      <c r="G927" s="37">
        <v>26.9</v>
      </c>
      <c r="H927" s="206">
        <v>45541</v>
      </c>
    </row>
    <row r="928" spans="3:8" x14ac:dyDescent="0.25">
      <c r="C928" s="204">
        <v>9</v>
      </c>
      <c r="D928" s="204">
        <v>0</v>
      </c>
      <c r="E928" s="205"/>
      <c r="F928" s="4" t="str">
        <f t="shared" si="17"/>
        <v/>
      </c>
      <c r="G928" s="37">
        <v>26.9</v>
      </c>
      <c r="H928" s="206">
        <v>45541</v>
      </c>
    </row>
    <row r="929" spans="3:8" x14ac:dyDescent="0.25">
      <c r="C929" s="204">
        <v>10</v>
      </c>
      <c r="D929" s="204">
        <v>0</v>
      </c>
      <c r="E929" s="205"/>
      <c r="F929" s="4" t="str">
        <f t="shared" si="17"/>
        <v/>
      </c>
      <c r="G929" s="37">
        <v>26.9</v>
      </c>
      <c r="H929" s="206">
        <v>45541</v>
      </c>
    </row>
    <row r="930" spans="3:8" x14ac:dyDescent="0.25">
      <c r="C930" s="204">
        <v>18</v>
      </c>
      <c r="D930" s="204">
        <v>8</v>
      </c>
      <c r="E930" s="205">
        <v>23.2</v>
      </c>
      <c r="F930" s="4">
        <f t="shared" si="17"/>
        <v>0.44999999999999996</v>
      </c>
      <c r="G930" s="37">
        <v>26.9</v>
      </c>
      <c r="H930" s="206">
        <v>45541</v>
      </c>
    </row>
    <row r="931" spans="3:8" x14ac:dyDescent="0.25">
      <c r="C931" s="204">
        <v>19</v>
      </c>
      <c r="D931" s="204">
        <v>19</v>
      </c>
      <c r="E931" s="205">
        <v>31.2</v>
      </c>
      <c r="F931" s="4">
        <f t="shared" si="17"/>
        <v>0.3928571428571429</v>
      </c>
      <c r="G931" s="37">
        <v>26.9</v>
      </c>
      <c r="H931" s="206">
        <v>45541</v>
      </c>
    </row>
    <row r="932" spans="3:8" x14ac:dyDescent="0.25">
      <c r="C932" s="207" t="s">
        <v>0</v>
      </c>
      <c r="D932" s="207" t="s">
        <v>7</v>
      </c>
      <c r="E932" s="208" t="s">
        <v>4</v>
      </c>
      <c r="F932" s="4" t="str">
        <f t="shared" si="17"/>
        <v/>
      </c>
      <c r="G932" s="37">
        <v>26.1</v>
      </c>
      <c r="H932" s="206">
        <v>45542</v>
      </c>
    </row>
    <row r="933" spans="3:8" x14ac:dyDescent="0.25">
      <c r="C933" s="207">
        <v>1</v>
      </c>
      <c r="D933" s="207">
        <v>74</v>
      </c>
      <c r="E933" s="208">
        <v>24.4</v>
      </c>
      <c r="F933" s="4">
        <f t="shared" si="17"/>
        <v>2.5210084033613356E-2</v>
      </c>
      <c r="G933" s="37">
        <v>26.1</v>
      </c>
      <c r="H933" s="206">
        <v>45542</v>
      </c>
    </row>
    <row r="934" spans="3:8" x14ac:dyDescent="0.25">
      <c r="C934" s="207">
        <v>2</v>
      </c>
      <c r="D934" s="207">
        <v>40</v>
      </c>
      <c r="E934" s="208">
        <v>29.6</v>
      </c>
      <c r="F934" s="4">
        <f t="shared" si="17"/>
        <v>1.7182130584192438E-2</v>
      </c>
      <c r="G934" s="37">
        <v>26.1</v>
      </c>
      <c r="H934" s="206">
        <v>45542</v>
      </c>
    </row>
    <row r="935" spans="3:8" x14ac:dyDescent="0.25">
      <c r="C935" s="207">
        <v>3</v>
      </c>
      <c r="D935" s="207">
        <v>102</v>
      </c>
      <c r="E935" s="208">
        <v>24.4</v>
      </c>
      <c r="F935" s="4">
        <f t="shared" si="17"/>
        <v>-4.3137254901960839E-2</v>
      </c>
      <c r="G935" s="37">
        <v>26.1</v>
      </c>
      <c r="H935" s="206">
        <v>45542</v>
      </c>
    </row>
    <row r="936" spans="3:8" x14ac:dyDescent="0.25">
      <c r="C936" s="207">
        <v>4</v>
      </c>
      <c r="D936" s="207">
        <v>0</v>
      </c>
      <c r="E936" s="208"/>
      <c r="F936" s="4" t="str">
        <f t="shared" si="17"/>
        <v/>
      </c>
      <c r="G936" s="37">
        <v>26.1</v>
      </c>
      <c r="H936" s="206">
        <v>45542</v>
      </c>
    </row>
    <row r="937" spans="3:8" x14ac:dyDescent="0.25">
      <c r="C937" s="207">
        <v>5</v>
      </c>
      <c r="D937" s="207">
        <v>114</v>
      </c>
      <c r="E937" s="208">
        <v>26.3</v>
      </c>
      <c r="F937" s="4">
        <f t="shared" si="17"/>
        <v>-2.2304832713754569E-2</v>
      </c>
      <c r="G937" s="37">
        <v>26.1</v>
      </c>
      <c r="H937" s="206">
        <v>45542</v>
      </c>
    </row>
    <row r="938" spans="3:8" x14ac:dyDescent="0.25">
      <c r="C938" s="207">
        <v>6</v>
      </c>
      <c r="D938" s="207">
        <v>118</v>
      </c>
      <c r="E938" s="208">
        <v>24.6</v>
      </c>
      <c r="F938" s="4">
        <f t="shared" si="17"/>
        <v>-5.0193050193050086E-2</v>
      </c>
      <c r="G938" s="37">
        <v>26.1</v>
      </c>
      <c r="H938" s="206">
        <v>45542</v>
      </c>
    </row>
    <row r="939" spans="3:8" x14ac:dyDescent="0.25">
      <c r="C939" s="207">
        <v>7</v>
      </c>
      <c r="D939" s="207">
        <v>121</v>
      </c>
      <c r="E939" s="208">
        <v>26</v>
      </c>
      <c r="F939" s="4">
        <f t="shared" si="17"/>
        <v>-4.7619047619047644E-2</v>
      </c>
      <c r="G939" s="37">
        <v>26.1</v>
      </c>
      <c r="H939" s="206">
        <v>45542</v>
      </c>
    </row>
    <row r="940" spans="3:8" x14ac:dyDescent="0.25">
      <c r="C940" s="207">
        <v>8</v>
      </c>
      <c r="D940" s="207">
        <v>82</v>
      </c>
      <c r="E940" s="208">
        <v>23.4</v>
      </c>
      <c r="F940" s="4">
        <f t="shared" si="17"/>
        <v>-2.9045643153527086E-2</v>
      </c>
      <c r="G940" s="37">
        <v>26.1</v>
      </c>
      <c r="H940" s="206">
        <v>45542</v>
      </c>
    </row>
    <row r="941" spans="3:8" x14ac:dyDescent="0.25">
      <c r="C941" s="207">
        <v>9</v>
      </c>
      <c r="D941" s="207">
        <v>0</v>
      </c>
      <c r="E941" s="208"/>
      <c r="F941" s="4" t="str">
        <f t="shared" si="17"/>
        <v/>
      </c>
      <c r="G941" s="37">
        <v>26.1</v>
      </c>
      <c r="H941" s="206">
        <v>45542</v>
      </c>
    </row>
    <row r="942" spans="3:8" x14ac:dyDescent="0.25">
      <c r="C942" s="207">
        <v>10</v>
      </c>
      <c r="D942" s="207">
        <v>0</v>
      </c>
      <c r="E942" s="208"/>
      <c r="F942" s="4" t="str">
        <f t="shared" si="17"/>
        <v/>
      </c>
      <c r="G942" s="37">
        <v>26.1</v>
      </c>
      <c r="H942" s="206">
        <v>45542</v>
      </c>
    </row>
    <row r="943" spans="3:8" x14ac:dyDescent="0.25">
      <c r="C943" s="207">
        <v>18</v>
      </c>
      <c r="D943" s="207">
        <v>8</v>
      </c>
      <c r="E943" s="208">
        <v>15.2</v>
      </c>
      <c r="F943" s="4">
        <f t="shared" si="17"/>
        <v>-0.34482758620689657</v>
      </c>
      <c r="G943" s="37">
        <v>26.1</v>
      </c>
      <c r="H943" s="206">
        <v>45542</v>
      </c>
    </row>
    <row r="944" spans="3:8" x14ac:dyDescent="0.25">
      <c r="C944" s="207">
        <v>19</v>
      </c>
      <c r="D944" s="207">
        <v>17</v>
      </c>
      <c r="E944" s="208">
        <v>24.7</v>
      </c>
      <c r="F944" s="4">
        <f t="shared" si="17"/>
        <v>-0.20833333333333334</v>
      </c>
      <c r="G944" s="37">
        <v>26.1</v>
      </c>
      <c r="H944" s="206">
        <v>45542</v>
      </c>
    </row>
    <row r="945" spans="3:8" x14ac:dyDescent="0.25">
      <c r="C945" s="209" t="s">
        <v>8</v>
      </c>
      <c r="D945" s="209" t="s">
        <v>9</v>
      </c>
      <c r="E945" s="210" t="s">
        <v>10</v>
      </c>
      <c r="F945" s="4" t="str">
        <f t="shared" si="17"/>
        <v/>
      </c>
      <c r="G945" s="37">
        <v>26.6</v>
      </c>
      <c r="H945" s="206">
        <v>45543</v>
      </c>
    </row>
    <row r="946" spans="3:8" x14ac:dyDescent="0.25">
      <c r="C946" s="209">
        <v>1</v>
      </c>
      <c r="D946" s="209">
        <v>72</v>
      </c>
      <c r="E946" s="210">
        <v>24.4</v>
      </c>
      <c r="F946" s="4">
        <f t="shared" ref="F946:F1010" si="18">IFERROR((E946-E933)/E933,"")</f>
        <v>0</v>
      </c>
      <c r="G946" s="37">
        <v>26.6</v>
      </c>
      <c r="H946" s="206">
        <v>45543</v>
      </c>
    </row>
    <row r="947" spans="3:8" x14ac:dyDescent="0.25">
      <c r="C947" s="209">
        <v>2</v>
      </c>
      <c r="D947" s="209">
        <v>39</v>
      </c>
      <c r="E947" s="210">
        <v>28.3</v>
      </c>
      <c r="F947" s="4">
        <f t="shared" si="18"/>
        <v>-4.3918918918918942E-2</v>
      </c>
      <c r="G947" s="37">
        <v>26.6</v>
      </c>
      <c r="H947" s="206">
        <v>45543</v>
      </c>
    </row>
    <row r="948" spans="3:8" x14ac:dyDescent="0.25">
      <c r="C948" s="209">
        <v>3</v>
      </c>
      <c r="D948" s="209">
        <v>101</v>
      </c>
      <c r="E948" s="210">
        <v>24.5</v>
      </c>
      <c r="F948" s="4">
        <f t="shared" si="18"/>
        <v>4.0983606557377632E-3</v>
      </c>
      <c r="G948" s="37">
        <v>26.6</v>
      </c>
      <c r="H948" s="206">
        <v>45543</v>
      </c>
    </row>
    <row r="949" spans="3:8" x14ac:dyDescent="0.25">
      <c r="C949" s="209">
        <v>4</v>
      </c>
      <c r="D949" s="209">
        <v>0</v>
      </c>
      <c r="E949" s="210"/>
      <c r="F949" s="4" t="str">
        <f t="shared" si="18"/>
        <v/>
      </c>
      <c r="G949" s="37">
        <v>26.6</v>
      </c>
      <c r="H949" s="206">
        <v>45543</v>
      </c>
    </row>
    <row r="950" spans="3:8" x14ac:dyDescent="0.25">
      <c r="C950" s="209">
        <v>5</v>
      </c>
      <c r="D950" s="209">
        <v>114</v>
      </c>
      <c r="E950" s="210">
        <v>25.8</v>
      </c>
      <c r="F950" s="4">
        <f t="shared" si="18"/>
        <v>-1.9011406844106463E-2</v>
      </c>
      <c r="G950" s="37">
        <v>26.6</v>
      </c>
      <c r="H950" s="206">
        <v>45543</v>
      </c>
    </row>
    <row r="951" spans="3:8" x14ac:dyDescent="0.25">
      <c r="C951" s="209">
        <v>6</v>
      </c>
      <c r="D951" s="209">
        <v>119</v>
      </c>
      <c r="E951" s="210">
        <v>24.9</v>
      </c>
      <c r="F951" s="4">
        <f t="shared" si="18"/>
        <v>1.2195121951219396E-2</v>
      </c>
      <c r="G951" s="37">
        <v>26.6</v>
      </c>
      <c r="H951" s="206">
        <v>45543</v>
      </c>
    </row>
    <row r="952" spans="3:8" x14ac:dyDescent="0.25">
      <c r="C952" s="209">
        <v>7</v>
      </c>
      <c r="D952" s="209">
        <v>121</v>
      </c>
      <c r="E952" s="210">
        <v>27.5</v>
      </c>
      <c r="F952" s="4">
        <f t="shared" si="18"/>
        <v>5.7692307692307696E-2</v>
      </c>
      <c r="G952" s="37">
        <v>26.6</v>
      </c>
      <c r="H952" s="206">
        <v>45543</v>
      </c>
    </row>
    <row r="953" spans="3:8" x14ac:dyDescent="0.25">
      <c r="C953" s="209">
        <v>8</v>
      </c>
      <c r="D953" s="209">
        <v>82</v>
      </c>
      <c r="E953" s="210">
        <v>23.4</v>
      </c>
      <c r="F953" s="4">
        <f t="shared" si="18"/>
        <v>0</v>
      </c>
      <c r="G953" s="37">
        <v>26.6</v>
      </c>
      <c r="H953" s="206">
        <v>45543</v>
      </c>
    </row>
    <row r="954" spans="3:8" x14ac:dyDescent="0.25">
      <c r="C954" s="209">
        <v>9</v>
      </c>
      <c r="D954" s="209">
        <v>0</v>
      </c>
      <c r="E954" s="210"/>
      <c r="F954" s="4" t="str">
        <f t="shared" si="18"/>
        <v/>
      </c>
      <c r="G954" s="37">
        <v>26.6</v>
      </c>
      <c r="H954" s="206">
        <v>45543</v>
      </c>
    </row>
    <row r="955" spans="3:8" x14ac:dyDescent="0.25">
      <c r="C955" s="209">
        <v>10</v>
      </c>
      <c r="D955" s="209">
        <v>0</v>
      </c>
      <c r="E955" s="210"/>
      <c r="F955" s="4" t="str">
        <f t="shared" si="18"/>
        <v/>
      </c>
      <c r="G955" s="37">
        <v>26.6</v>
      </c>
      <c r="H955" s="206">
        <v>45543</v>
      </c>
    </row>
    <row r="956" spans="3:8" x14ac:dyDescent="0.25">
      <c r="C956" s="209">
        <v>18</v>
      </c>
      <c r="D956" s="209">
        <v>11</v>
      </c>
      <c r="E956" s="210">
        <v>33.200000000000003</v>
      </c>
      <c r="F956" s="4">
        <f t="shared" si="18"/>
        <v>1.1842105263157898</v>
      </c>
      <c r="G956" s="37">
        <v>26.6</v>
      </c>
      <c r="H956" s="206">
        <v>45543</v>
      </c>
    </row>
    <row r="957" spans="3:8" x14ac:dyDescent="0.25">
      <c r="C957" s="209">
        <v>19</v>
      </c>
      <c r="D957" s="209">
        <v>18</v>
      </c>
      <c r="E957" s="210">
        <v>25.3</v>
      </c>
      <c r="F957" s="4">
        <f t="shared" si="18"/>
        <v>2.4291497975708561E-2</v>
      </c>
      <c r="G957" s="37">
        <v>26.6</v>
      </c>
      <c r="H957" s="206">
        <v>45543</v>
      </c>
    </row>
    <row r="958" spans="3:8" x14ac:dyDescent="0.25">
      <c r="C958" s="211" t="s">
        <v>0</v>
      </c>
      <c r="D958" s="211" t="s">
        <v>7</v>
      </c>
      <c r="E958" s="212" t="s">
        <v>4</v>
      </c>
      <c r="F958" s="4" t="str">
        <f t="shared" si="18"/>
        <v/>
      </c>
      <c r="G958" s="37">
        <v>26.7</v>
      </c>
      <c r="H958" s="206">
        <v>45544</v>
      </c>
    </row>
    <row r="959" spans="3:8" x14ac:dyDescent="0.25">
      <c r="C959" s="211">
        <v>1</v>
      </c>
      <c r="D959" s="211">
        <v>75</v>
      </c>
      <c r="E959" s="212">
        <v>23.9</v>
      </c>
      <c r="F959" s="4">
        <f t="shared" si="18"/>
        <v>-2.0491803278688527E-2</v>
      </c>
      <c r="G959" s="37">
        <v>26.7</v>
      </c>
      <c r="H959" s="206">
        <v>45544</v>
      </c>
    </row>
    <row r="960" spans="3:8" x14ac:dyDescent="0.25">
      <c r="C960" s="211">
        <v>2</v>
      </c>
      <c r="D960" s="211">
        <v>39</v>
      </c>
      <c r="E960" s="212">
        <v>28.5</v>
      </c>
      <c r="F960" s="4">
        <f t="shared" si="18"/>
        <v>7.0671378091872539E-3</v>
      </c>
      <c r="G960" s="37">
        <v>26.7</v>
      </c>
      <c r="H960" s="206">
        <v>45544</v>
      </c>
    </row>
    <row r="961" spans="3:8" x14ac:dyDescent="0.25">
      <c r="C961" s="211">
        <v>3</v>
      </c>
      <c r="D961" s="211">
        <v>100</v>
      </c>
      <c r="E961" s="212">
        <v>23.8</v>
      </c>
      <c r="F961" s="4">
        <f t="shared" si="18"/>
        <v>-2.8571428571428543E-2</v>
      </c>
      <c r="G961" s="37">
        <v>26.7</v>
      </c>
      <c r="H961" s="206">
        <v>45544</v>
      </c>
    </row>
    <row r="962" spans="3:8" x14ac:dyDescent="0.25">
      <c r="C962" s="211">
        <v>4</v>
      </c>
      <c r="D962" s="211">
        <v>0</v>
      </c>
      <c r="E962" s="212"/>
      <c r="F962" s="4" t="str">
        <f t="shared" si="18"/>
        <v/>
      </c>
      <c r="G962" s="37">
        <v>26.7</v>
      </c>
      <c r="H962" s="206">
        <v>45544</v>
      </c>
    </row>
    <row r="963" spans="3:8" x14ac:dyDescent="0.25">
      <c r="C963" s="211">
        <v>5</v>
      </c>
      <c r="D963" s="211">
        <v>113</v>
      </c>
      <c r="E963" s="212">
        <v>27.5</v>
      </c>
      <c r="F963" s="4">
        <f t="shared" si="18"/>
        <v>6.5891472868217019E-2</v>
      </c>
      <c r="G963" s="37">
        <v>26.7</v>
      </c>
      <c r="H963" s="206">
        <v>45544</v>
      </c>
    </row>
    <row r="964" spans="3:8" x14ac:dyDescent="0.25">
      <c r="C964" s="211">
        <v>6</v>
      </c>
      <c r="D964" s="211">
        <v>119</v>
      </c>
      <c r="E964" s="212">
        <v>25.2</v>
      </c>
      <c r="F964" s="4">
        <f t="shared" si="18"/>
        <v>1.2048192771084366E-2</v>
      </c>
      <c r="G964" s="37">
        <v>26.7</v>
      </c>
      <c r="H964" s="206">
        <v>45544</v>
      </c>
    </row>
    <row r="965" spans="3:8" x14ac:dyDescent="0.25">
      <c r="C965" s="211">
        <v>7</v>
      </c>
      <c r="D965" s="211">
        <v>121</v>
      </c>
      <c r="E965" s="212">
        <v>26.6</v>
      </c>
      <c r="F965" s="4">
        <f t="shared" si="18"/>
        <v>-3.2727272727272674E-2</v>
      </c>
      <c r="G965" s="37">
        <v>26.7</v>
      </c>
      <c r="H965" s="206">
        <v>45544</v>
      </c>
    </row>
    <row r="966" spans="3:8" x14ac:dyDescent="0.25">
      <c r="C966" s="211">
        <v>8</v>
      </c>
      <c r="D966" s="211">
        <v>82</v>
      </c>
      <c r="E966" s="212">
        <v>20.5</v>
      </c>
      <c r="F966" s="4">
        <f t="shared" si="18"/>
        <v>-0.12393162393162388</v>
      </c>
      <c r="G966" s="37">
        <v>26.7</v>
      </c>
      <c r="H966" s="206">
        <v>45544</v>
      </c>
    </row>
    <row r="967" spans="3:8" x14ac:dyDescent="0.25">
      <c r="C967" s="211">
        <v>9</v>
      </c>
      <c r="D967" s="211">
        <v>0</v>
      </c>
      <c r="E967" s="212"/>
      <c r="F967" s="4" t="str">
        <f t="shared" si="18"/>
        <v/>
      </c>
      <c r="G967" s="37">
        <v>26.7</v>
      </c>
      <c r="H967" s="206">
        <v>45544</v>
      </c>
    </row>
    <row r="968" spans="3:8" x14ac:dyDescent="0.25">
      <c r="C968" s="211">
        <v>10</v>
      </c>
      <c r="D968" s="211">
        <v>0</v>
      </c>
      <c r="E968" s="212"/>
      <c r="F968" s="4" t="str">
        <f t="shared" si="18"/>
        <v/>
      </c>
      <c r="G968" s="37">
        <v>26.7</v>
      </c>
      <c r="H968" s="206">
        <v>45544</v>
      </c>
    </row>
    <row r="969" spans="3:8" x14ac:dyDescent="0.25">
      <c r="C969" s="211">
        <v>18</v>
      </c>
      <c r="D969" s="211">
        <v>11</v>
      </c>
      <c r="E969" s="212">
        <v>23.2</v>
      </c>
      <c r="F969" s="4">
        <f t="shared" si="18"/>
        <v>-0.30120481927710852</v>
      </c>
      <c r="G969" s="37">
        <v>26.7</v>
      </c>
      <c r="H969" s="206">
        <v>45544</v>
      </c>
    </row>
    <row r="970" spans="3:8" x14ac:dyDescent="0.25">
      <c r="C970" s="211">
        <v>19</v>
      </c>
      <c r="D970" s="211">
        <v>20</v>
      </c>
      <c r="E970" s="212">
        <v>20.3</v>
      </c>
      <c r="F970" s="4">
        <f t="shared" si="18"/>
        <v>-0.19762845849802371</v>
      </c>
      <c r="G970" s="37">
        <v>26.7</v>
      </c>
      <c r="H970" s="206">
        <v>45544</v>
      </c>
    </row>
    <row r="971" spans="3:8" x14ac:dyDescent="0.25">
      <c r="C971" s="213" t="s">
        <v>8</v>
      </c>
      <c r="D971" s="213" t="s">
        <v>9</v>
      </c>
      <c r="E971" s="214" t="s">
        <v>10</v>
      </c>
      <c r="F971" s="4" t="str">
        <f t="shared" si="18"/>
        <v/>
      </c>
      <c r="G971" s="37">
        <v>26.3</v>
      </c>
      <c r="H971" s="206">
        <v>45545</v>
      </c>
    </row>
    <row r="972" spans="3:8" x14ac:dyDescent="0.25">
      <c r="C972" s="213">
        <v>1</v>
      </c>
      <c r="D972" s="213">
        <v>75</v>
      </c>
      <c r="E972" s="214">
        <v>25.8</v>
      </c>
      <c r="F972" s="4">
        <f t="shared" si="18"/>
        <v>7.9497907949790891E-2</v>
      </c>
      <c r="G972" s="37">
        <v>26.3</v>
      </c>
      <c r="H972" s="206">
        <v>45545</v>
      </c>
    </row>
    <row r="973" spans="3:8" x14ac:dyDescent="0.25">
      <c r="C973" s="213">
        <v>2</v>
      </c>
      <c r="D973" s="213">
        <v>38</v>
      </c>
      <c r="E973" s="214">
        <v>27.9</v>
      </c>
      <c r="F973" s="4">
        <f t="shared" si="18"/>
        <v>-2.105263157894742E-2</v>
      </c>
      <c r="G973" s="37">
        <v>26.3</v>
      </c>
      <c r="H973" s="206">
        <v>45545</v>
      </c>
    </row>
    <row r="974" spans="3:8" x14ac:dyDescent="0.25">
      <c r="C974" s="213">
        <v>3</v>
      </c>
      <c r="D974" s="213">
        <v>100</v>
      </c>
      <c r="E974" s="214">
        <v>25.1</v>
      </c>
      <c r="F974" s="4">
        <f t="shared" si="18"/>
        <v>5.4621848739495826E-2</v>
      </c>
      <c r="G974" s="37">
        <v>26.3</v>
      </c>
      <c r="H974" s="206">
        <v>45545</v>
      </c>
    </row>
    <row r="975" spans="3:8" x14ac:dyDescent="0.25">
      <c r="C975" s="213">
        <v>4</v>
      </c>
      <c r="D975" s="213">
        <v>0</v>
      </c>
      <c r="E975" s="214"/>
      <c r="F975" s="4" t="str">
        <f t="shared" si="18"/>
        <v/>
      </c>
      <c r="G975" s="37">
        <v>26.3</v>
      </c>
      <c r="H975" s="206">
        <v>45545</v>
      </c>
    </row>
    <row r="976" spans="3:8" x14ac:dyDescent="0.25">
      <c r="C976" s="213">
        <v>5</v>
      </c>
      <c r="D976" s="213">
        <v>113</v>
      </c>
      <c r="E976" s="214">
        <v>28.1</v>
      </c>
      <c r="F976" s="4">
        <f t="shared" si="18"/>
        <v>2.1818181818181868E-2</v>
      </c>
      <c r="G976" s="37">
        <v>26.3</v>
      </c>
      <c r="H976" s="206">
        <v>45545</v>
      </c>
    </row>
    <row r="977" spans="3:8" x14ac:dyDescent="0.25">
      <c r="C977" s="213">
        <v>6</v>
      </c>
      <c r="D977" s="213">
        <v>120</v>
      </c>
      <c r="E977" s="214">
        <v>23.8</v>
      </c>
      <c r="F977" s="4">
        <f t="shared" si="18"/>
        <v>-5.5555555555555504E-2</v>
      </c>
      <c r="G977" s="37">
        <v>26.3</v>
      </c>
      <c r="H977" s="206">
        <v>45545</v>
      </c>
    </row>
    <row r="978" spans="3:8" x14ac:dyDescent="0.25">
      <c r="C978" s="213">
        <v>7</v>
      </c>
      <c r="D978" s="213">
        <v>122</v>
      </c>
      <c r="E978" s="214">
        <v>23.6</v>
      </c>
      <c r="F978" s="4">
        <f t="shared" si="18"/>
        <v>-0.11278195488721804</v>
      </c>
      <c r="G978" s="37">
        <v>26.3</v>
      </c>
      <c r="H978" s="206">
        <v>45545</v>
      </c>
    </row>
    <row r="979" spans="3:8" x14ac:dyDescent="0.25">
      <c r="C979" s="213">
        <v>8</v>
      </c>
      <c r="D979" s="213">
        <v>82</v>
      </c>
      <c r="E979" s="214">
        <v>22.5</v>
      </c>
      <c r="F979" s="4">
        <f t="shared" si="18"/>
        <v>9.7560975609756101E-2</v>
      </c>
      <c r="G979" s="37">
        <v>26.3</v>
      </c>
      <c r="H979" s="206">
        <v>45545</v>
      </c>
    </row>
    <row r="980" spans="3:8" x14ac:dyDescent="0.25">
      <c r="C980" s="213">
        <v>9</v>
      </c>
      <c r="D980" s="213">
        <v>0</v>
      </c>
      <c r="E980" s="214"/>
      <c r="F980" s="4" t="str">
        <f t="shared" si="18"/>
        <v/>
      </c>
      <c r="G980" s="37">
        <v>26.3</v>
      </c>
      <c r="H980" s="206">
        <v>45545</v>
      </c>
    </row>
    <row r="981" spans="3:8" x14ac:dyDescent="0.25">
      <c r="C981" s="213">
        <v>10</v>
      </c>
      <c r="D981" s="213">
        <v>0</v>
      </c>
      <c r="E981" s="214"/>
      <c r="F981" s="4" t="str">
        <f t="shared" si="18"/>
        <v/>
      </c>
      <c r="G981" s="37">
        <v>26.3</v>
      </c>
      <c r="H981" s="206">
        <v>45545</v>
      </c>
    </row>
    <row r="982" spans="3:8" x14ac:dyDescent="0.25">
      <c r="C982" s="213">
        <v>18</v>
      </c>
      <c r="D982" s="213">
        <v>9</v>
      </c>
      <c r="E982" s="214">
        <v>19.2</v>
      </c>
      <c r="F982" s="4">
        <f t="shared" si="18"/>
        <v>-0.17241379310344829</v>
      </c>
      <c r="G982" s="37">
        <v>26.3</v>
      </c>
      <c r="H982" s="206">
        <v>45545</v>
      </c>
    </row>
    <row r="983" spans="3:8" x14ac:dyDescent="0.25">
      <c r="C983" s="213">
        <v>19</v>
      </c>
      <c r="D983" s="213">
        <v>20</v>
      </c>
      <c r="E983" s="214">
        <v>13</v>
      </c>
      <c r="F983" s="4">
        <f t="shared" si="18"/>
        <v>-0.35960591133004927</v>
      </c>
      <c r="G983" s="37">
        <v>26.3</v>
      </c>
      <c r="H983" s="206">
        <v>45545</v>
      </c>
    </row>
    <row r="984" spans="3:8" x14ac:dyDescent="0.25">
      <c r="C984" s="211" t="s">
        <v>0</v>
      </c>
      <c r="D984" s="211" t="s">
        <v>7</v>
      </c>
      <c r="E984" s="212" t="s">
        <v>4</v>
      </c>
      <c r="F984" s="4" t="str">
        <f t="shared" si="18"/>
        <v/>
      </c>
      <c r="G984" s="37">
        <v>25.8</v>
      </c>
      <c r="H984" s="206">
        <v>45546</v>
      </c>
    </row>
    <row r="985" spans="3:8" x14ac:dyDescent="0.25">
      <c r="C985" s="215">
        <v>1</v>
      </c>
      <c r="D985" s="215">
        <v>78</v>
      </c>
      <c r="E985" s="216">
        <v>26.8</v>
      </c>
      <c r="F985" s="4">
        <f t="shared" si="18"/>
        <v>3.875968992248062E-2</v>
      </c>
      <c r="G985" s="37">
        <v>25.8</v>
      </c>
      <c r="H985" s="206">
        <v>45546</v>
      </c>
    </row>
    <row r="986" spans="3:8" x14ac:dyDescent="0.25">
      <c r="C986" s="215">
        <v>2</v>
      </c>
      <c r="D986" s="215">
        <v>39</v>
      </c>
      <c r="E986" s="216">
        <v>29</v>
      </c>
      <c r="F986" s="4">
        <f t="shared" si="18"/>
        <v>3.9426523297491092E-2</v>
      </c>
      <c r="G986" s="37">
        <v>25.8</v>
      </c>
      <c r="H986" s="206">
        <v>45546</v>
      </c>
    </row>
    <row r="987" spans="3:8" x14ac:dyDescent="0.25">
      <c r="C987" s="215">
        <v>3</v>
      </c>
      <c r="D987" s="215">
        <v>99</v>
      </c>
      <c r="E987" s="216">
        <v>24.8</v>
      </c>
      <c r="F987" s="4">
        <f t="shared" si="18"/>
        <v>-1.1952191235059789E-2</v>
      </c>
      <c r="G987" s="37">
        <v>25.8</v>
      </c>
      <c r="H987" s="206">
        <v>45546</v>
      </c>
    </row>
    <row r="988" spans="3:8" x14ac:dyDescent="0.25">
      <c r="C988" s="215">
        <v>4</v>
      </c>
      <c r="D988" s="215">
        <v>0</v>
      </c>
      <c r="E988" s="216"/>
      <c r="F988" s="4" t="str">
        <f t="shared" si="18"/>
        <v/>
      </c>
      <c r="G988" s="37">
        <v>25.8</v>
      </c>
      <c r="H988" s="206">
        <v>45546</v>
      </c>
    </row>
    <row r="989" spans="3:8" x14ac:dyDescent="0.25">
      <c r="C989" s="215">
        <v>5</v>
      </c>
      <c r="D989" s="215">
        <v>113</v>
      </c>
      <c r="E989" s="216">
        <v>25.5</v>
      </c>
      <c r="F989" s="4">
        <f t="shared" si="18"/>
        <v>-9.2526690391459124E-2</v>
      </c>
      <c r="G989" s="37">
        <v>25.8</v>
      </c>
      <c r="H989" s="206">
        <v>45546</v>
      </c>
    </row>
    <row r="990" spans="3:8" x14ac:dyDescent="0.25">
      <c r="C990" s="215">
        <v>6</v>
      </c>
      <c r="D990" s="215">
        <v>118</v>
      </c>
      <c r="E990" s="216">
        <v>22.8</v>
      </c>
      <c r="F990" s="4">
        <f t="shared" si="18"/>
        <v>-4.2016806722689072E-2</v>
      </c>
      <c r="G990" s="37">
        <v>25.8</v>
      </c>
      <c r="H990" s="206">
        <v>45546</v>
      </c>
    </row>
    <row r="991" spans="3:8" x14ac:dyDescent="0.25">
      <c r="C991" s="215">
        <v>7</v>
      </c>
      <c r="D991" s="215">
        <v>121</v>
      </c>
      <c r="E991" s="216">
        <v>25.3</v>
      </c>
      <c r="F991" s="4">
        <f t="shared" si="18"/>
        <v>7.2033898305084706E-2</v>
      </c>
      <c r="G991" s="37">
        <v>25.8</v>
      </c>
      <c r="H991" s="206">
        <v>45546</v>
      </c>
    </row>
    <row r="992" spans="3:8" x14ac:dyDescent="0.25">
      <c r="C992" s="215">
        <v>8</v>
      </c>
      <c r="D992" s="215">
        <v>82</v>
      </c>
      <c r="E992" s="216">
        <v>21.9</v>
      </c>
      <c r="F992" s="4">
        <f t="shared" si="18"/>
        <v>-2.6666666666666731E-2</v>
      </c>
      <c r="G992" s="37">
        <v>25.8</v>
      </c>
      <c r="H992" s="206">
        <v>45546</v>
      </c>
    </row>
    <row r="993" spans="3:8" x14ac:dyDescent="0.25">
      <c r="C993" s="215">
        <v>9</v>
      </c>
      <c r="D993" s="215">
        <v>0</v>
      </c>
      <c r="E993" s="216"/>
      <c r="F993" s="4" t="str">
        <f t="shared" si="18"/>
        <v/>
      </c>
      <c r="G993" s="37">
        <v>25.8</v>
      </c>
      <c r="H993" s="206">
        <v>45546</v>
      </c>
    </row>
    <row r="994" spans="3:8" x14ac:dyDescent="0.25">
      <c r="C994" s="215">
        <v>10</v>
      </c>
      <c r="D994" s="215">
        <v>0</v>
      </c>
      <c r="E994" s="216"/>
      <c r="F994" s="4" t="str">
        <f t="shared" si="18"/>
        <v/>
      </c>
      <c r="G994" s="37">
        <v>25.8</v>
      </c>
      <c r="H994" s="206">
        <v>45546</v>
      </c>
    </row>
    <row r="995" spans="3:8" x14ac:dyDescent="0.25">
      <c r="C995" s="215">
        <v>18</v>
      </c>
      <c r="D995" s="215">
        <v>9</v>
      </c>
      <c r="E995" s="216">
        <v>23</v>
      </c>
      <c r="F995" s="4">
        <f t="shared" si="18"/>
        <v>0.19791666666666671</v>
      </c>
      <c r="G995" s="37">
        <v>25.8</v>
      </c>
      <c r="H995" s="206">
        <v>45546</v>
      </c>
    </row>
    <row r="996" spans="3:8" x14ac:dyDescent="0.25">
      <c r="C996" s="215">
        <v>19</v>
      </c>
      <c r="D996" s="215">
        <v>19</v>
      </c>
      <c r="E996" s="216">
        <v>22.3</v>
      </c>
      <c r="F996" s="4">
        <f t="shared" si="18"/>
        <v>0.7153846153846154</v>
      </c>
      <c r="G996" s="37">
        <v>25.8</v>
      </c>
      <c r="H996" s="206">
        <v>45546</v>
      </c>
    </row>
    <row r="997" spans="3:8" x14ac:dyDescent="0.25">
      <c r="C997" s="211" t="s">
        <v>0</v>
      </c>
      <c r="D997" s="211" t="s">
        <v>7</v>
      </c>
      <c r="E997" s="212" t="s">
        <v>4</v>
      </c>
      <c r="F997" s="4" t="str">
        <f t="shared" si="18"/>
        <v/>
      </c>
      <c r="G997" s="37">
        <v>25.5</v>
      </c>
      <c r="H997" s="206">
        <v>45547</v>
      </c>
    </row>
    <row r="998" spans="3:8" x14ac:dyDescent="0.25">
      <c r="C998" s="217">
        <v>1</v>
      </c>
      <c r="D998" s="217">
        <v>80</v>
      </c>
      <c r="E998" s="218">
        <v>26.1</v>
      </c>
      <c r="F998" s="4">
        <f t="shared" si="18"/>
        <v>-2.6119402985074598E-2</v>
      </c>
      <c r="G998" s="37">
        <v>25.5</v>
      </c>
      <c r="H998" s="206">
        <v>45547</v>
      </c>
    </row>
    <row r="999" spans="3:8" x14ac:dyDescent="0.25">
      <c r="C999" s="217">
        <v>2</v>
      </c>
      <c r="D999" s="217">
        <v>39</v>
      </c>
      <c r="E999" s="218">
        <v>27.8</v>
      </c>
      <c r="F999" s="4">
        <f t="shared" si="18"/>
        <v>-4.1379310344827565E-2</v>
      </c>
      <c r="G999" s="37">
        <v>25.5</v>
      </c>
      <c r="H999" s="206">
        <v>45547</v>
      </c>
    </row>
    <row r="1000" spans="3:8" x14ac:dyDescent="0.25">
      <c r="C1000" s="217">
        <v>3</v>
      </c>
      <c r="D1000" s="217">
        <v>97</v>
      </c>
      <c r="E1000" s="218">
        <v>22.4</v>
      </c>
      <c r="F1000" s="4">
        <f t="shared" si="18"/>
        <v>-9.6774193548387177E-2</v>
      </c>
      <c r="G1000" s="37">
        <v>25.5</v>
      </c>
      <c r="H1000" s="206">
        <v>45547</v>
      </c>
    </row>
    <row r="1001" spans="3:8" x14ac:dyDescent="0.25">
      <c r="C1001" s="217">
        <v>4</v>
      </c>
      <c r="D1001" s="217">
        <v>0</v>
      </c>
      <c r="E1001" s="218"/>
      <c r="F1001" s="4" t="str">
        <f t="shared" si="18"/>
        <v/>
      </c>
      <c r="G1001" s="37">
        <v>25.5</v>
      </c>
      <c r="H1001" s="206">
        <v>45547</v>
      </c>
    </row>
    <row r="1002" spans="3:8" x14ac:dyDescent="0.25">
      <c r="C1002" s="217">
        <v>5</v>
      </c>
      <c r="D1002" s="217">
        <v>113</v>
      </c>
      <c r="E1002" s="218">
        <v>29.3</v>
      </c>
      <c r="F1002" s="4">
        <f t="shared" si="18"/>
        <v>0.14901960784313728</v>
      </c>
      <c r="G1002" s="37">
        <v>25.5</v>
      </c>
      <c r="H1002" s="206">
        <v>45547</v>
      </c>
    </row>
    <row r="1003" spans="3:8" x14ac:dyDescent="0.25">
      <c r="C1003" s="217">
        <v>6</v>
      </c>
      <c r="D1003" s="217">
        <v>115</v>
      </c>
      <c r="E1003" s="218">
        <v>22.4</v>
      </c>
      <c r="F1003" s="4">
        <f t="shared" si="18"/>
        <v>-1.75438596491229E-2</v>
      </c>
      <c r="G1003" s="37">
        <v>25.5</v>
      </c>
      <c r="H1003" s="206">
        <v>45547</v>
      </c>
    </row>
    <row r="1004" spans="3:8" x14ac:dyDescent="0.25">
      <c r="C1004" s="217">
        <v>7</v>
      </c>
      <c r="D1004" s="217">
        <v>115</v>
      </c>
      <c r="E1004" s="218">
        <v>23.1</v>
      </c>
      <c r="F1004" s="4">
        <f t="shared" si="18"/>
        <v>-8.6956521739130405E-2</v>
      </c>
      <c r="G1004" s="37">
        <v>25.5</v>
      </c>
      <c r="H1004" s="206">
        <v>45547</v>
      </c>
    </row>
    <row r="1005" spans="3:8" x14ac:dyDescent="0.25">
      <c r="C1005" s="217">
        <v>8</v>
      </c>
      <c r="D1005" s="217">
        <v>77</v>
      </c>
      <c r="E1005" s="218">
        <v>21.9</v>
      </c>
      <c r="F1005" s="4">
        <f t="shared" si="18"/>
        <v>0</v>
      </c>
      <c r="G1005" s="37">
        <v>25.5</v>
      </c>
      <c r="H1005" s="206">
        <v>45547</v>
      </c>
    </row>
    <row r="1006" spans="3:8" x14ac:dyDescent="0.25">
      <c r="C1006" s="217">
        <v>9</v>
      </c>
      <c r="D1006" s="217">
        <v>0</v>
      </c>
      <c r="E1006" s="218"/>
      <c r="F1006" s="4" t="str">
        <f t="shared" si="18"/>
        <v/>
      </c>
      <c r="G1006" s="37">
        <v>25.5</v>
      </c>
      <c r="H1006" s="206">
        <v>45547</v>
      </c>
    </row>
    <row r="1007" spans="3:8" x14ac:dyDescent="0.25">
      <c r="C1007" s="217">
        <v>10</v>
      </c>
      <c r="D1007" s="217">
        <v>0</v>
      </c>
      <c r="E1007" s="218"/>
      <c r="F1007" s="4" t="str">
        <f t="shared" si="18"/>
        <v/>
      </c>
      <c r="G1007" s="37">
        <v>25.5</v>
      </c>
      <c r="H1007" s="206">
        <v>45547</v>
      </c>
    </row>
    <row r="1008" spans="3:8" x14ac:dyDescent="0.25">
      <c r="C1008" s="217">
        <v>18</v>
      </c>
      <c r="D1008" s="217">
        <v>6</v>
      </c>
      <c r="E1008" s="218">
        <v>13.9</v>
      </c>
      <c r="F1008" s="4">
        <f t="shared" si="18"/>
        <v>-0.39565217391304347</v>
      </c>
      <c r="G1008" s="37">
        <v>25.5</v>
      </c>
      <c r="H1008" s="206">
        <v>45547</v>
      </c>
    </row>
    <row r="1009" spans="3:8" x14ac:dyDescent="0.25">
      <c r="C1009" s="217">
        <v>19</v>
      </c>
      <c r="D1009" s="217">
        <v>17</v>
      </c>
      <c r="E1009" s="218">
        <v>18.899999999999999</v>
      </c>
      <c r="F1009" s="4">
        <f t="shared" si="18"/>
        <v>-0.15246636771300456</v>
      </c>
      <c r="G1009" s="37">
        <v>25.5</v>
      </c>
      <c r="H1009" s="206">
        <v>45547</v>
      </c>
    </row>
    <row r="1010" spans="3:8" x14ac:dyDescent="0.25">
      <c r="C1010" s="211" t="s">
        <v>0</v>
      </c>
      <c r="D1010" s="211" t="s">
        <v>7</v>
      </c>
      <c r="E1010" s="212" t="s">
        <v>4</v>
      </c>
      <c r="F1010" s="4" t="str">
        <f t="shared" si="18"/>
        <v/>
      </c>
      <c r="G1010" s="37">
        <v>27</v>
      </c>
      <c r="H1010" s="206">
        <v>45548</v>
      </c>
    </row>
    <row r="1011" spans="3:8" x14ac:dyDescent="0.25">
      <c r="C1011" s="219">
        <v>1</v>
      </c>
      <c r="D1011" s="219">
        <v>82</v>
      </c>
      <c r="E1011" s="220">
        <v>26.9</v>
      </c>
      <c r="F1011" s="4">
        <f t="shared" ref="F1011:F1075" si="19">IFERROR((E1011-E998)/E998,"")</f>
        <v>3.0651340996168473E-2</v>
      </c>
      <c r="G1011" s="37">
        <v>27</v>
      </c>
      <c r="H1011" s="206">
        <v>45548</v>
      </c>
    </row>
    <row r="1012" spans="3:8" x14ac:dyDescent="0.25">
      <c r="C1012" s="219">
        <v>2</v>
      </c>
      <c r="D1012" s="219">
        <v>40</v>
      </c>
      <c r="E1012" s="220">
        <v>28.4</v>
      </c>
      <c r="F1012" s="4">
        <f t="shared" si="19"/>
        <v>2.1582733812949562E-2</v>
      </c>
      <c r="G1012" s="37">
        <v>27</v>
      </c>
      <c r="H1012" s="206">
        <v>45548</v>
      </c>
    </row>
    <row r="1013" spans="3:8" x14ac:dyDescent="0.25">
      <c r="C1013" s="219">
        <v>3</v>
      </c>
      <c r="D1013" s="219">
        <v>98</v>
      </c>
      <c r="E1013" s="220">
        <v>23.3</v>
      </c>
      <c r="F1013" s="4">
        <f t="shared" si="19"/>
        <v>4.0178571428571529E-2</v>
      </c>
      <c r="G1013" s="37">
        <v>27</v>
      </c>
      <c r="H1013" s="206">
        <v>45548</v>
      </c>
    </row>
    <row r="1014" spans="3:8" x14ac:dyDescent="0.25">
      <c r="C1014" s="219">
        <v>4</v>
      </c>
      <c r="D1014" s="219">
        <v>0</v>
      </c>
      <c r="E1014" s="220"/>
      <c r="F1014" s="4" t="str">
        <f t="shared" si="19"/>
        <v/>
      </c>
      <c r="G1014" s="37">
        <v>27</v>
      </c>
      <c r="H1014" s="206">
        <v>45548</v>
      </c>
    </row>
    <row r="1015" spans="3:8" x14ac:dyDescent="0.25">
      <c r="C1015" s="219">
        <v>5</v>
      </c>
      <c r="D1015" s="219">
        <v>116</v>
      </c>
      <c r="E1015" s="220">
        <v>26.5</v>
      </c>
      <c r="F1015" s="4">
        <f t="shared" si="19"/>
        <v>-9.5563139931740634E-2</v>
      </c>
      <c r="G1015" s="37">
        <v>27</v>
      </c>
      <c r="H1015" s="206">
        <v>45548</v>
      </c>
    </row>
    <row r="1016" spans="3:8" x14ac:dyDescent="0.25">
      <c r="C1016" s="219">
        <v>6</v>
      </c>
      <c r="D1016" s="219">
        <v>115</v>
      </c>
      <c r="E1016" s="220">
        <v>19.100000000000001</v>
      </c>
      <c r="F1016" s="4">
        <f t="shared" si="19"/>
        <v>-0.14732142857142846</v>
      </c>
      <c r="G1016" s="37">
        <v>27</v>
      </c>
      <c r="H1016" s="206">
        <v>45548</v>
      </c>
    </row>
    <row r="1017" spans="3:8" x14ac:dyDescent="0.25">
      <c r="C1017" s="219">
        <v>7</v>
      </c>
      <c r="D1017" s="219">
        <v>115</v>
      </c>
      <c r="E1017" s="220">
        <v>25.9</v>
      </c>
      <c r="F1017" s="4">
        <f t="shared" si="19"/>
        <v>0.12121212121212108</v>
      </c>
      <c r="G1017" s="37">
        <v>27</v>
      </c>
      <c r="H1017" s="206">
        <v>45548</v>
      </c>
    </row>
    <row r="1018" spans="3:8" x14ac:dyDescent="0.25">
      <c r="C1018" s="219">
        <v>8</v>
      </c>
      <c r="D1018" s="219">
        <v>78</v>
      </c>
      <c r="E1018" s="220">
        <v>22.1</v>
      </c>
      <c r="F1018" s="4">
        <f t="shared" si="19"/>
        <v>9.1324200913243305E-3</v>
      </c>
      <c r="G1018" s="37">
        <v>27</v>
      </c>
      <c r="H1018" s="206">
        <v>45548</v>
      </c>
    </row>
    <row r="1019" spans="3:8" x14ac:dyDescent="0.25">
      <c r="C1019" s="219">
        <v>9</v>
      </c>
      <c r="D1019" s="219">
        <v>0</v>
      </c>
      <c r="E1019" s="220"/>
      <c r="F1019" s="4" t="str">
        <f t="shared" si="19"/>
        <v/>
      </c>
      <c r="G1019" s="37">
        <v>27</v>
      </c>
      <c r="H1019" s="206">
        <v>45548</v>
      </c>
    </row>
    <row r="1020" spans="3:8" x14ac:dyDescent="0.25">
      <c r="C1020" s="219">
        <v>10</v>
      </c>
      <c r="D1020" s="219">
        <v>0</v>
      </c>
      <c r="E1020" s="220"/>
      <c r="F1020" s="4" t="str">
        <f t="shared" si="19"/>
        <v/>
      </c>
      <c r="G1020" s="37">
        <v>27</v>
      </c>
      <c r="H1020" s="206">
        <v>45548</v>
      </c>
    </row>
    <row r="1021" spans="3:8" x14ac:dyDescent="0.25">
      <c r="C1021" s="219">
        <v>18</v>
      </c>
      <c r="D1021" s="219">
        <v>6</v>
      </c>
      <c r="E1021" s="220">
        <v>16.5</v>
      </c>
      <c r="F1021" s="4">
        <f t="shared" si="19"/>
        <v>0.18705035971223019</v>
      </c>
      <c r="G1021" s="37">
        <v>27</v>
      </c>
      <c r="H1021" s="206">
        <v>45548</v>
      </c>
    </row>
    <row r="1022" spans="3:8" x14ac:dyDescent="0.25">
      <c r="C1022" s="219">
        <v>19</v>
      </c>
      <c r="D1022" s="219">
        <v>10</v>
      </c>
      <c r="E1022" s="220">
        <v>19.100000000000001</v>
      </c>
      <c r="F1022" s="4">
        <f t="shared" si="19"/>
        <v>1.0582010582010732E-2</v>
      </c>
      <c r="G1022" s="37">
        <v>27</v>
      </c>
      <c r="H1022" s="206">
        <v>45548</v>
      </c>
    </row>
    <row r="1023" spans="3:8" x14ac:dyDescent="0.25">
      <c r="C1023" s="211" t="s">
        <v>0</v>
      </c>
      <c r="D1023" s="211" t="s">
        <v>7</v>
      </c>
      <c r="E1023" s="212" t="s">
        <v>4</v>
      </c>
      <c r="F1023" s="4" t="str">
        <f t="shared" si="19"/>
        <v/>
      </c>
      <c r="G1023" s="37">
        <v>26.8</v>
      </c>
      <c r="H1023" s="206">
        <v>45549</v>
      </c>
    </row>
    <row r="1024" spans="3:8" x14ac:dyDescent="0.25">
      <c r="C1024" s="221">
        <v>1</v>
      </c>
      <c r="D1024" s="221">
        <v>81</v>
      </c>
      <c r="E1024" s="222">
        <v>29.3</v>
      </c>
      <c r="F1024" s="4">
        <f t="shared" si="19"/>
        <v>8.9219330855018666E-2</v>
      </c>
      <c r="G1024" s="37">
        <v>26.8</v>
      </c>
      <c r="H1024" s="206">
        <v>45549</v>
      </c>
    </row>
    <row r="1025" spans="3:8" x14ac:dyDescent="0.25">
      <c r="C1025" s="221">
        <v>2</v>
      </c>
      <c r="D1025" s="221">
        <v>40</v>
      </c>
      <c r="E1025" s="222">
        <v>30</v>
      </c>
      <c r="F1025" s="4">
        <f t="shared" si="19"/>
        <v>5.6338028169014134E-2</v>
      </c>
      <c r="G1025" s="37">
        <v>26.8</v>
      </c>
      <c r="H1025" s="206">
        <v>45549</v>
      </c>
    </row>
    <row r="1026" spans="3:8" x14ac:dyDescent="0.25">
      <c r="C1026" s="221">
        <v>3</v>
      </c>
      <c r="D1026" s="221">
        <v>96</v>
      </c>
      <c r="E1026" s="222">
        <v>23.7</v>
      </c>
      <c r="F1026" s="4">
        <f t="shared" si="19"/>
        <v>1.7167381974248865E-2</v>
      </c>
      <c r="G1026" s="37">
        <v>26.8</v>
      </c>
      <c r="H1026" s="206">
        <v>45549</v>
      </c>
    </row>
    <row r="1027" spans="3:8" x14ac:dyDescent="0.25">
      <c r="C1027" s="221">
        <v>4</v>
      </c>
      <c r="D1027" s="221">
        <v>0</v>
      </c>
      <c r="E1027" s="222"/>
      <c r="F1027" s="4" t="str">
        <f t="shared" si="19"/>
        <v/>
      </c>
      <c r="G1027" s="37">
        <v>26.8</v>
      </c>
      <c r="H1027" s="206">
        <v>45549</v>
      </c>
    </row>
    <row r="1028" spans="3:8" x14ac:dyDescent="0.25">
      <c r="C1028" s="221">
        <v>5</v>
      </c>
      <c r="D1028" s="221">
        <v>116</v>
      </c>
      <c r="E1028" s="222">
        <v>29.9</v>
      </c>
      <c r="F1028" s="4">
        <f t="shared" si="19"/>
        <v>0.12830188679245277</v>
      </c>
      <c r="G1028" s="37">
        <v>26.8</v>
      </c>
      <c r="H1028" s="206">
        <v>45549</v>
      </c>
    </row>
    <row r="1029" spans="3:8" x14ac:dyDescent="0.25">
      <c r="C1029" s="221">
        <v>6</v>
      </c>
      <c r="D1029" s="221">
        <v>114</v>
      </c>
      <c r="E1029" s="222">
        <v>20.2</v>
      </c>
      <c r="F1029" s="4">
        <f t="shared" si="19"/>
        <v>5.7591623036649102E-2</v>
      </c>
      <c r="G1029" s="37">
        <v>26.8</v>
      </c>
      <c r="H1029" s="206">
        <v>45549</v>
      </c>
    </row>
    <row r="1030" spans="3:8" x14ac:dyDescent="0.25">
      <c r="C1030" s="221">
        <v>7</v>
      </c>
      <c r="D1030" s="221">
        <v>114</v>
      </c>
      <c r="E1030" s="222">
        <v>23.7</v>
      </c>
      <c r="F1030" s="4">
        <f t="shared" si="19"/>
        <v>-8.4942084942084925E-2</v>
      </c>
      <c r="G1030" s="37">
        <v>26.8</v>
      </c>
      <c r="H1030" s="206">
        <v>45549</v>
      </c>
    </row>
    <row r="1031" spans="3:8" x14ac:dyDescent="0.25">
      <c r="C1031" s="221">
        <v>8</v>
      </c>
      <c r="D1031" s="221">
        <v>78</v>
      </c>
      <c r="E1031" s="222">
        <v>23.4</v>
      </c>
      <c r="F1031" s="4">
        <f t="shared" si="19"/>
        <v>5.8823529411764573E-2</v>
      </c>
      <c r="G1031" s="37">
        <v>26.8</v>
      </c>
      <c r="H1031" s="206">
        <v>45549</v>
      </c>
    </row>
    <row r="1032" spans="3:8" x14ac:dyDescent="0.25">
      <c r="C1032" s="221">
        <v>9</v>
      </c>
      <c r="D1032" s="221">
        <v>0</v>
      </c>
      <c r="E1032" s="222"/>
      <c r="F1032" s="4" t="str">
        <f t="shared" si="19"/>
        <v/>
      </c>
      <c r="G1032" s="37">
        <v>26.8</v>
      </c>
      <c r="H1032" s="206">
        <v>45549</v>
      </c>
    </row>
    <row r="1033" spans="3:8" x14ac:dyDescent="0.25">
      <c r="C1033" s="221">
        <v>10</v>
      </c>
      <c r="D1033" s="221">
        <v>0</v>
      </c>
      <c r="E1033" s="222"/>
      <c r="F1033" s="4" t="str">
        <f t="shared" si="19"/>
        <v/>
      </c>
      <c r="G1033" s="37">
        <v>26.8</v>
      </c>
      <c r="H1033" s="206">
        <v>45549</v>
      </c>
    </row>
    <row r="1034" spans="3:8" x14ac:dyDescent="0.25">
      <c r="C1034" s="221">
        <v>18</v>
      </c>
      <c r="D1034" s="221">
        <v>7</v>
      </c>
      <c r="E1034" s="222">
        <v>12.9</v>
      </c>
      <c r="F1034" s="4">
        <f t="shared" si="19"/>
        <v>-0.21818181818181817</v>
      </c>
      <c r="G1034" s="37">
        <v>26.8</v>
      </c>
      <c r="H1034" s="206">
        <v>45549</v>
      </c>
    </row>
    <row r="1035" spans="3:8" x14ac:dyDescent="0.25">
      <c r="C1035" s="221">
        <v>19</v>
      </c>
      <c r="D1035" s="221">
        <v>15</v>
      </c>
      <c r="E1035" s="222">
        <v>20.399999999999999</v>
      </c>
      <c r="F1035" s="4">
        <f t="shared" si="19"/>
        <v>6.806282722513074E-2</v>
      </c>
      <c r="G1035" s="37">
        <v>26.8</v>
      </c>
      <c r="H1035" s="206">
        <v>45549</v>
      </c>
    </row>
    <row r="1036" spans="3:8" x14ac:dyDescent="0.25">
      <c r="C1036" s="223" t="s">
        <v>8</v>
      </c>
      <c r="D1036" s="223" t="s">
        <v>9</v>
      </c>
      <c r="E1036" s="224" t="s">
        <v>10</v>
      </c>
      <c r="F1036" s="4" t="str">
        <f t="shared" si="19"/>
        <v/>
      </c>
      <c r="G1036" s="37">
        <v>25.7</v>
      </c>
      <c r="H1036" s="206">
        <v>45550</v>
      </c>
    </row>
    <row r="1037" spans="3:8" x14ac:dyDescent="0.25">
      <c r="C1037" s="223">
        <v>1</v>
      </c>
      <c r="D1037" s="223">
        <v>64</v>
      </c>
      <c r="E1037" s="224">
        <v>28.4</v>
      </c>
      <c r="F1037" s="4">
        <f t="shared" si="19"/>
        <v>-3.0716723549488126E-2</v>
      </c>
      <c r="G1037" s="37">
        <v>25.7</v>
      </c>
      <c r="H1037" s="206">
        <v>45550</v>
      </c>
    </row>
    <row r="1038" spans="3:8" x14ac:dyDescent="0.25">
      <c r="C1038" s="223">
        <v>2</v>
      </c>
      <c r="D1038" s="223">
        <v>41</v>
      </c>
      <c r="E1038" s="224">
        <v>28.1</v>
      </c>
      <c r="F1038" s="4">
        <f t="shared" si="19"/>
        <v>-6.3333333333333283E-2</v>
      </c>
      <c r="G1038" s="37">
        <v>25.7</v>
      </c>
      <c r="H1038" s="206">
        <v>45550</v>
      </c>
    </row>
    <row r="1039" spans="3:8" x14ac:dyDescent="0.25">
      <c r="C1039" s="223">
        <v>3</v>
      </c>
      <c r="D1039" s="223">
        <v>119</v>
      </c>
      <c r="E1039" s="224">
        <v>24.4</v>
      </c>
      <c r="F1039" s="4">
        <f t="shared" si="19"/>
        <v>2.9535864978902926E-2</v>
      </c>
      <c r="G1039" s="37">
        <v>25.7</v>
      </c>
      <c r="H1039" s="206">
        <v>45550</v>
      </c>
    </row>
    <row r="1040" spans="3:8" x14ac:dyDescent="0.25">
      <c r="C1040" s="223">
        <v>4</v>
      </c>
      <c r="D1040" s="223">
        <v>0</v>
      </c>
      <c r="E1040" s="224"/>
      <c r="F1040" s="4" t="str">
        <f t="shared" si="19"/>
        <v/>
      </c>
      <c r="G1040" s="37">
        <v>25.7</v>
      </c>
      <c r="H1040" s="206">
        <v>45550</v>
      </c>
    </row>
    <row r="1041" spans="3:8" x14ac:dyDescent="0.25">
      <c r="C1041" s="223">
        <v>5</v>
      </c>
      <c r="D1041" s="223">
        <v>116</v>
      </c>
      <c r="E1041" s="224">
        <v>24.6</v>
      </c>
      <c r="F1041" s="4">
        <f t="shared" si="19"/>
        <v>-0.17725752508361195</v>
      </c>
      <c r="G1041" s="37">
        <v>25.7</v>
      </c>
      <c r="H1041" s="206">
        <v>45550</v>
      </c>
    </row>
    <row r="1042" spans="3:8" x14ac:dyDescent="0.25">
      <c r="C1042" s="223">
        <v>6</v>
      </c>
      <c r="D1042" s="223">
        <v>113</v>
      </c>
      <c r="E1042" s="224">
        <v>23</v>
      </c>
      <c r="F1042" s="4">
        <f t="shared" si="19"/>
        <v>0.13861386138613865</v>
      </c>
      <c r="G1042" s="37">
        <v>25.7</v>
      </c>
      <c r="H1042" s="206">
        <v>45550</v>
      </c>
    </row>
    <row r="1043" spans="3:8" x14ac:dyDescent="0.25">
      <c r="C1043" s="223">
        <v>7</v>
      </c>
      <c r="D1043" s="223">
        <v>114</v>
      </c>
      <c r="E1043" s="224">
        <v>26.1</v>
      </c>
      <c r="F1043" s="4">
        <f t="shared" si="19"/>
        <v>0.10126582278481022</v>
      </c>
      <c r="G1043" s="37">
        <v>25.7</v>
      </c>
      <c r="H1043" s="206">
        <v>45550</v>
      </c>
    </row>
    <row r="1044" spans="3:8" x14ac:dyDescent="0.25">
      <c r="C1044" s="223">
        <v>8</v>
      </c>
      <c r="D1044" s="223">
        <v>79</v>
      </c>
      <c r="E1044" s="224">
        <v>23.6</v>
      </c>
      <c r="F1044" s="4">
        <f t="shared" si="19"/>
        <v>8.5470085470086693E-3</v>
      </c>
      <c r="G1044" s="37">
        <v>25.7</v>
      </c>
      <c r="H1044" s="206">
        <v>45550</v>
      </c>
    </row>
    <row r="1045" spans="3:8" x14ac:dyDescent="0.25">
      <c r="C1045" s="223">
        <v>9</v>
      </c>
      <c r="D1045" s="223">
        <v>0</v>
      </c>
      <c r="E1045" s="224"/>
      <c r="F1045" s="4" t="str">
        <f t="shared" si="19"/>
        <v/>
      </c>
      <c r="G1045" s="37">
        <v>25.7</v>
      </c>
      <c r="H1045" s="206">
        <v>45550</v>
      </c>
    </row>
    <row r="1046" spans="3:8" x14ac:dyDescent="0.25">
      <c r="C1046" s="223">
        <v>10</v>
      </c>
      <c r="D1046" s="223">
        <v>0</v>
      </c>
      <c r="E1046" s="224"/>
      <c r="F1046" s="4" t="str">
        <f t="shared" si="19"/>
        <v/>
      </c>
      <c r="G1046" s="37">
        <v>25.7</v>
      </c>
      <c r="H1046" s="206">
        <v>45550</v>
      </c>
    </row>
    <row r="1047" spans="3:8" x14ac:dyDescent="0.25">
      <c r="C1047" s="223">
        <v>18</v>
      </c>
      <c r="D1047" s="223">
        <v>7</v>
      </c>
      <c r="E1047" s="224">
        <v>9.6999999999999993</v>
      </c>
      <c r="F1047" s="4">
        <f t="shared" si="19"/>
        <v>-0.24806201550387605</v>
      </c>
      <c r="G1047" s="37">
        <v>25.7</v>
      </c>
      <c r="H1047" s="206">
        <v>45550</v>
      </c>
    </row>
    <row r="1048" spans="3:8" x14ac:dyDescent="0.25">
      <c r="C1048" s="223">
        <v>19</v>
      </c>
      <c r="D1048" s="223">
        <v>9</v>
      </c>
      <c r="E1048" s="224">
        <v>20.9</v>
      </c>
      <c r="F1048" s="4">
        <f t="shared" si="19"/>
        <v>2.4509803921568631E-2</v>
      </c>
      <c r="G1048" s="37">
        <v>25.7</v>
      </c>
      <c r="H1048" s="206">
        <v>45550</v>
      </c>
    </row>
    <row r="1049" spans="3:8" x14ac:dyDescent="0.25">
      <c r="C1049" s="225" t="s">
        <v>0</v>
      </c>
      <c r="D1049" s="225" t="s">
        <v>7</v>
      </c>
      <c r="E1049" s="226" t="s">
        <v>4</v>
      </c>
      <c r="F1049" s="4" t="str">
        <f t="shared" si="19"/>
        <v/>
      </c>
      <c r="G1049" s="37">
        <v>26.2</v>
      </c>
      <c r="H1049" s="206">
        <v>45551</v>
      </c>
    </row>
    <row r="1050" spans="3:8" x14ac:dyDescent="0.25">
      <c r="C1050" s="225">
        <v>1</v>
      </c>
      <c r="D1050" s="225">
        <v>62</v>
      </c>
      <c r="E1050" s="226">
        <v>28.1</v>
      </c>
      <c r="F1050" s="4">
        <f t="shared" si="19"/>
        <v>-1.0563380281690042E-2</v>
      </c>
      <c r="G1050" s="37">
        <v>26.2</v>
      </c>
      <c r="H1050" s="206">
        <v>45551</v>
      </c>
    </row>
    <row r="1051" spans="3:8" x14ac:dyDescent="0.25">
      <c r="C1051" s="225">
        <v>2</v>
      </c>
      <c r="D1051" s="225">
        <v>39</v>
      </c>
      <c r="E1051" s="226">
        <v>26.9</v>
      </c>
      <c r="F1051" s="4">
        <f t="shared" si="19"/>
        <v>-4.2704626334519671E-2</v>
      </c>
      <c r="G1051" s="37">
        <v>26.2</v>
      </c>
      <c r="H1051" s="206">
        <v>45551</v>
      </c>
    </row>
    <row r="1052" spans="3:8" x14ac:dyDescent="0.25">
      <c r="C1052" s="225">
        <v>3</v>
      </c>
      <c r="D1052" s="225">
        <v>120</v>
      </c>
      <c r="E1052" s="226">
        <v>25.2</v>
      </c>
      <c r="F1052" s="4">
        <f t="shared" si="19"/>
        <v>3.2786885245901669E-2</v>
      </c>
      <c r="G1052" s="37">
        <v>26.2</v>
      </c>
      <c r="H1052" s="206">
        <v>45551</v>
      </c>
    </row>
    <row r="1053" spans="3:8" x14ac:dyDescent="0.25">
      <c r="C1053" s="225">
        <v>4</v>
      </c>
      <c r="D1053" s="225">
        <v>0</v>
      </c>
      <c r="E1053" s="226"/>
      <c r="F1053" s="4" t="str">
        <f t="shared" si="19"/>
        <v/>
      </c>
      <c r="G1053" s="37">
        <v>26.2</v>
      </c>
      <c r="H1053" s="206">
        <v>45551</v>
      </c>
    </row>
    <row r="1054" spans="3:8" x14ac:dyDescent="0.25">
      <c r="C1054" s="225">
        <v>5</v>
      </c>
      <c r="D1054" s="225">
        <v>115</v>
      </c>
      <c r="E1054" s="226">
        <v>26.8</v>
      </c>
      <c r="F1054" s="4">
        <f t="shared" si="19"/>
        <v>8.9430894308943049E-2</v>
      </c>
      <c r="G1054" s="37">
        <v>26.2</v>
      </c>
      <c r="H1054" s="206">
        <v>45551</v>
      </c>
    </row>
    <row r="1055" spans="3:8" x14ac:dyDescent="0.25">
      <c r="C1055" s="225">
        <v>6</v>
      </c>
      <c r="D1055" s="225">
        <v>113</v>
      </c>
      <c r="E1055" s="226">
        <v>23.6</v>
      </c>
      <c r="F1055" s="4">
        <f t="shared" si="19"/>
        <v>2.6086956521739191E-2</v>
      </c>
      <c r="G1055" s="37">
        <v>26.2</v>
      </c>
      <c r="H1055" s="206">
        <v>45551</v>
      </c>
    </row>
    <row r="1056" spans="3:8" x14ac:dyDescent="0.25">
      <c r="C1056" s="225">
        <v>7</v>
      </c>
      <c r="D1056" s="225">
        <v>114</v>
      </c>
      <c r="E1056" s="226">
        <v>26.3</v>
      </c>
      <c r="F1056" s="4">
        <f t="shared" si="19"/>
        <v>7.6628352490421183E-3</v>
      </c>
      <c r="G1056" s="37">
        <v>26.2</v>
      </c>
      <c r="H1056" s="206">
        <v>45551</v>
      </c>
    </row>
    <row r="1057" spans="3:8" x14ac:dyDescent="0.25">
      <c r="C1057" s="225">
        <v>8</v>
      </c>
      <c r="D1057" s="225">
        <v>79</v>
      </c>
      <c r="E1057" s="226">
        <v>23.5</v>
      </c>
      <c r="F1057" s="4">
        <f t="shared" si="19"/>
        <v>-4.2372881355932802E-3</v>
      </c>
      <c r="G1057" s="37">
        <v>26.2</v>
      </c>
      <c r="H1057" s="206">
        <v>45551</v>
      </c>
    </row>
    <row r="1058" spans="3:8" x14ac:dyDescent="0.25">
      <c r="C1058" s="225">
        <v>9</v>
      </c>
      <c r="D1058" s="225">
        <v>0</v>
      </c>
      <c r="E1058" s="226"/>
      <c r="F1058" s="4" t="str">
        <f t="shared" si="19"/>
        <v/>
      </c>
      <c r="G1058" s="37">
        <v>26.2</v>
      </c>
      <c r="H1058" s="206">
        <v>45551</v>
      </c>
    </row>
    <row r="1059" spans="3:8" x14ac:dyDescent="0.25">
      <c r="C1059" s="225">
        <v>10</v>
      </c>
      <c r="D1059" s="225">
        <v>0</v>
      </c>
      <c r="E1059" s="226"/>
      <c r="F1059" s="4" t="str">
        <f t="shared" si="19"/>
        <v/>
      </c>
      <c r="G1059" s="37">
        <v>26.2</v>
      </c>
      <c r="H1059" s="206">
        <v>45551</v>
      </c>
    </row>
    <row r="1060" spans="3:8" x14ac:dyDescent="0.25">
      <c r="C1060" s="225">
        <v>18</v>
      </c>
      <c r="D1060" s="225">
        <v>9</v>
      </c>
      <c r="E1060" s="226">
        <v>18.7</v>
      </c>
      <c r="F1060" s="4">
        <f t="shared" si="19"/>
        <v>0.92783505154639179</v>
      </c>
      <c r="G1060" s="37">
        <v>26.2</v>
      </c>
      <c r="H1060" s="206">
        <v>45551</v>
      </c>
    </row>
    <row r="1061" spans="3:8" x14ac:dyDescent="0.25">
      <c r="C1061" s="225">
        <v>19</v>
      </c>
      <c r="D1061" s="225">
        <v>9</v>
      </c>
      <c r="E1061" s="226">
        <v>19.899999999999999</v>
      </c>
      <c r="F1061" s="4">
        <f t="shared" si="19"/>
        <v>-4.784688995215311E-2</v>
      </c>
      <c r="G1061" s="37">
        <v>26.2</v>
      </c>
      <c r="H1061" s="206">
        <v>45551</v>
      </c>
    </row>
    <row r="1062" spans="3:8" x14ac:dyDescent="0.25">
      <c r="C1062" s="227" t="s">
        <v>0</v>
      </c>
      <c r="D1062" s="227" t="s">
        <v>7</v>
      </c>
      <c r="E1062" s="228" t="s">
        <v>4</v>
      </c>
      <c r="F1062" s="4" t="str">
        <f t="shared" si="19"/>
        <v/>
      </c>
      <c r="G1062" s="37">
        <v>25.8</v>
      </c>
      <c r="H1062" s="206">
        <v>45552</v>
      </c>
    </row>
    <row r="1063" spans="3:8" x14ac:dyDescent="0.25">
      <c r="C1063" s="227">
        <v>1</v>
      </c>
      <c r="D1063" s="227">
        <v>63</v>
      </c>
      <c r="E1063" s="228">
        <v>28.5</v>
      </c>
      <c r="F1063" s="4">
        <f t="shared" si="19"/>
        <v>1.4234875444839807E-2</v>
      </c>
      <c r="G1063" s="37">
        <v>25.8</v>
      </c>
      <c r="H1063" s="206">
        <v>45552</v>
      </c>
    </row>
    <row r="1064" spans="3:8" x14ac:dyDescent="0.25">
      <c r="C1064" s="227">
        <v>2</v>
      </c>
      <c r="D1064" s="227">
        <v>41</v>
      </c>
      <c r="E1064" s="228">
        <v>28.2</v>
      </c>
      <c r="F1064" s="4">
        <f t="shared" si="19"/>
        <v>4.8327137546468432E-2</v>
      </c>
      <c r="G1064" s="37">
        <v>25.8</v>
      </c>
      <c r="H1064" s="206">
        <v>45552</v>
      </c>
    </row>
    <row r="1065" spans="3:8" x14ac:dyDescent="0.25">
      <c r="C1065" s="227">
        <v>3</v>
      </c>
      <c r="D1065" s="227">
        <v>121</v>
      </c>
      <c r="E1065" s="228">
        <v>23.6</v>
      </c>
      <c r="F1065" s="4">
        <f t="shared" si="19"/>
        <v>-6.3492063492063405E-2</v>
      </c>
      <c r="G1065" s="37">
        <v>25.8</v>
      </c>
      <c r="H1065" s="206">
        <v>45552</v>
      </c>
    </row>
    <row r="1066" spans="3:8" x14ac:dyDescent="0.25">
      <c r="C1066" s="227">
        <v>4</v>
      </c>
      <c r="D1066" s="227">
        <v>0</v>
      </c>
      <c r="E1066" s="228"/>
      <c r="F1066" s="4" t="str">
        <f t="shared" si="19"/>
        <v/>
      </c>
      <c r="G1066" s="37">
        <v>25.8</v>
      </c>
      <c r="H1066" s="206">
        <v>45552</v>
      </c>
    </row>
    <row r="1067" spans="3:8" x14ac:dyDescent="0.25">
      <c r="C1067" s="227">
        <v>5</v>
      </c>
      <c r="D1067" s="227">
        <v>116</v>
      </c>
      <c r="E1067" s="228">
        <v>24.8</v>
      </c>
      <c r="F1067" s="4">
        <f t="shared" si="19"/>
        <v>-7.4626865671641784E-2</v>
      </c>
      <c r="G1067" s="37">
        <v>25.8</v>
      </c>
      <c r="H1067" s="206">
        <v>45552</v>
      </c>
    </row>
    <row r="1068" spans="3:8" x14ac:dyDescent="0.25">
      <c r="C1068" s="227">
        <v>6</v>
      </c>
      <c r="D1068" s="227">
        <v>114</v>
      </c>
      <c r="E1068" s="228">
        <v>23.9</v>
      </c>
      <c r="F1068" s="4">
        <f t="shared" si="19"/>
        <v>1.271186440677954E-2</v>
      </c>
      <c r="G1068" s="37">
        <v>25.8</v>
      </c>
      <c r="H1068" s="206">
        <v>45552</v>
      </c>
    </row>
    <row r="1069" spans="3:8" x14ac:dyDescent="0.25">
      <c r="C1069" s="227">
        <v>7</v>
      </c>
      <c r="D1069" s="227">
        <v>114</v>
      </c>
      <c r="E1069" s="228">
        <v>26.2</v>
      </c>
      <c r="F1069" s="4">
        <f t="shared" si="19"/>
        <v>-3.8022813688213465E-3</v>
      </c>
      <c r="G1069" s="37">
        <v>25.8</v>
      </c>
      <c r="H1069" s="206">
        <v>45552</v>
      </c>
    </row>
    <row r="1070" spans="3:8" x14ac:dyDescent="0.25">
      <c r="C1070" s="227">
        <v>8</v>
      </c>
      <c r="D1070" s="227">
        <v>79</v>
      </c>
      <c r="E1070" s="228">
        <v>23.4</v>
      </c>
      <c r="F1070" s="4">
        <f t="shared" si="19"/>
        <v>-4.255319148936231E-3</v>
      </c>
      <c r="G1070" s="37">
        <v>25.8</v>
      </c>
      <c r="H1070" s="206">
        <v>45552</v>
      </c>
    </row>
    <row r="1071" spans="3:8" x14ac:dyDescent="0.25">
      <c r="C1071" s="227">
        <v>9</v>
      </c>
      <c r="D1071" s="227">
        <v>0</v>
      </c>
      <c r="E1071" s="228"/>
      <c r="F1071" s="4" t="str">
        <f t="shared" si="19"/>
        <v/>
      </c>
      <c r="G1071" s="37">
        <v>25.8</v>
      </c>
      <c r="H1071" s="206">
        <v>45552</v>
      </c>
    </row>
    <row r="1072" spans="3:8" x14ac:dyDescent="0.25">
      <c r="C1072" s="227">
        <v>10</v>
      </c>
      <c r="D1072" s="227">
        <v>0</v>
      </c>
      <c r="E1072" s="228"/>
      <c r="F1072" s="4" t="str">
        <f t="shared" si="19"/>
        <v/>
      </c>
      <c r="G1072" s="37">
        <v>25.8</v>
      </c>
      <c r="H1072" s="206">
        <v>45552</v>
      </c>
    </row>
    <row r="1073" spans="3:8" x14ac:dyDescent="0.25">
      <c r="C1073" s="227">
        <v>18</v>
      </c>
      <c r="D1073" s="227">
        <v>9</v>
      </c>
      <c r="E1073" s="228">
        <v>11.7</v>
      </c>
      <c r="F1073" s="4">
        <f t="shared" si="19"/>
        <v>-0.37433155080213903</v>
      </c>
      <c r="G1073" s="37">
        <v>25.8</v>
      </c>
      <c r="H1073" s="206">
        <v>45552</v>
      </c>
    </row>
    <row r="1074" spans="3:8" x14ac:dyDescent="0.25">
      <c r="C1074" s="227">
        <v>19</v>
      </c>
      <c r="D1074" s="227">
        <v>7</v>
      </c>
      <c r="E1074" s="228">
        <v>22.9</v>
      </c>
      <c r="F1074" s="4">
        <f t="shared" si="19"/>
        <v>0.15075376884422112</v>
      </c>
      <c r="G1074" s="37">
        <v>25.8</v>
      </c>
      <c r="H1074" s="206">
        <v>45552</v>
      </c>
    </row>
    <row r="1075" spans="3:8" x14ac:dyDescent="0.25">
      <c r="C1075" s="227" t="s">
        <v>0</v>
      </c>
      <c r="D1075" s="227" t="s">
        <v>7</v>
      </c>
      <c r="E1075" s="228" t="s">
        <v>4</v>
      </c>
      <c r="F1075" s="4" t="str">
        <f t="shared" si="19"/>
        <v/>
      </c>
      <c r="G1075" s="37">
        <v>26.6</v>
      </c>
      <c r="H1075" s="206">
        <v>45553</v>
      </c>
    </row>
    <row r="1076" spans="3:8" x14ac:dyDescent="0.25">
      <c r="C1076" s="229">
        <v>1</v>
      </c>
      <c r="D1076" s="229">
        <v>67</v>
      </c>
      <c r="E1076" s="230">
        <v>26.5</v>
      </c>
      <c r="F1076" s="4">
        <f t="shared" ref="F1076:F1140" si="20">IFERROR((E1076-E1063)/E1063,"")</f>
        <v>-7.0175438596491224E-2</v>
      </c>
      <c r="G1076" s="37">
        <v>26.6</v>
      </c>
      <c r="H1076" s="206">
        <v>45553</v>
      </c>
    </row>
    <row r="1077" spans="3:8" x14ac:dyDescent="0.25">
      <c r="C1077" s="229">
        <v>2</v>
      </c>
      <c r="D1077" s="229">
        <v>41</v>
      </c>
      <c r="E1077" s="230">
        <v>27.8</v>
      </c>
      <c r="F1077" s="4">
        <f t="shared" si="20"/>
        <v>-1.4184397163120517E-2</v>
      </c>
      <c r="G1077" s="37">
        <v>26.6</v>
      </c>
      <c r="H1077" s="206">
        <v>45553</v>
      </c>
    </row>
    <row r="1078" spans="3:8" x14ac:dyDescent="0.25">
      <c r="C1078" s="229">
        <v>3</v>
      </c>
      <c r="D1078" s="229">
        <v>121</v>
      </c>
      <c r="E1078" s="230">
        <v>26.3</v>
      </c>
      <c r="F1078" s="4">
        <f t="shared" si="20"/>
        <v>0.11440677966101691</v>
      </c>
      <c r="G1078" s="37">
        <v>26.6</v>
      </c>
      <c r="H1078" s="206">
        <v>45553</v>
      </c>
    </row>
    <row r="1079" spans="3:8" x14ac:dyDescent="0.25">
      <c r="C1079" s="229">
        <v>4</v>
      </c>
      <c r="D1079" s="229">
        <v>0</v>
      </c>
      <c r="E1079" s="230"/>
      <c r="F1079" s="4" t="str">
        <f t="shared" si="20"/>
        <v/>
      </c>
      <c r="G1079" s="37">
        <v>26.6</v>
      </c>
      <c r="H1079" s="206">
        <v>45553</v>
      </c>
    </row>
    <row r="1080" spans="3:8" x14ac:dyDescent="0.25">
      <c r="C1080" s="229">
        <v>5</v>
      </c>
      <c r="D1080" s="229">
        <v>116</v>
      </c>
      <c r="E1080" s="230">
        <v>26.7</v>
      </c>
      <c r="F1080" s="4">
        <f t="shared" si="20"/>
        <v>7.6612903225806397E-2</v>
      </c>
      <c r="G1080" s="37">
        <v>26.6</v>
      </c>
      <c r="H1080" s="206">
        <v>45553</v>
      </c>
    </row>
    <row r="1081" spans="3:8" x14ac:dyDescent="0.25">
      <c r="C1081" s="229">
        <v>6</v>
      </c>
      <c r="D1081" s="229">
        <v>114</v>
      </c>
      <c r="E1081" s="230">
        <v>24.1</v>
      </c>
      <c r="F1081" s="4">
        <f t="shared" si="20"/>
        <v>8.3682008368202027E-3</v>
      </c>
      <c r="G1081" s="37">
        <v>26.6</v>
      </c>
      <c r="H1081" s="206">
        <v>45553</v>
      </c>
    </row>
    <row r="1082" spans="3:8" x14ac:dyDescent="0.25">
      <c r="C1082" s="229">
        <v>7</v>
      </c>
      <c r="D1082" s="229">
        <v>114</v>
      </c>
      <c r="E1082" s="230">
        <v>26.7</v>
      </c>
      <c r="F1082" s="4">
        <f t="shared" si="20"/>
        <v>1.9083969465648856E-2</v>
      </c>
      <c r="G1082" s="37">
        <v>26.6</v>
      </c>
      <c r="H1082" s="206">
        <v>45553</v>
      </c>
    </row>
    <row r="1083" spans="3:8" x14ac:dyDescent="0.25">
      <c r="C1083" s="229">
        <v>8</v>
      </c>
      <c r="D1083" s="229">
        <v>79</v>
      </c>
      <c r="E1083" s="230">
        <v>27.9</v>
      </c>
      <c r="F1083" s="4">
        <f t="shared" si="20"/>
        <v>0.19230769230769232</v>
      </c>
      <c r="G1083" s="37">
        <v>26.6</v>
      </c>
      <c r="H1083" s="206">
        <v>45553</v>
      </c>
    </row>
    <row r="1084" spans="3:8" x14ac:dyDescent="0.25">
      <c r="C1084" s="229">
        <v>9</v>
      </c>
      <c r="D1084" s="229">
        <v>0</v>
      </c>
      <c r="E1084" s="230"/>
      <c r="F1084" s="4" t="str">
        <f t="shared" si="20"/>
        <v/>
      </c>
      <c r="G1084" s="37">
        <v>26.6</v>
      </c>
      <c r="H1084" s="206">
        <v>45553</v>
      </c>
    </row>
    <row r="1085" spans="3:8" x14ac:dyDescent="0.25">
      <c r="C1085" s="229">
        <v>10</v>
      </c>
      <c r="D1085" s="229">
        <v>0</v>
      </c>
      <c r="E1085" s="230"/>
      <c r="F1085" s="4" t="str">
        <f t="shared" si="20"/>
        <v/>
      </c>
      <c r="G1085" s="37">
        <v>26.6</v>
      </c>
      <c r="H1085" s="206">
        <v>45553</v>
      </c>
    </row>
    <row r="1086" spans="3:8" x14ac:dyDescent="0.25">
      <c r="C1086" s="229">
        <v>18</v>
      </c>
      <c r="D1086" s="229">
        <v>6</v>
      </c>
      <c r="E1086" s="230">
        <v>11.4</v>
      </c>
      <c r="F1086" s="4">
        <f t="shared" si="20"/>
        <v>-2.564102564102555E-2</v>
      </c>
      <c r="G1086" s="37">
        <v>26.6</v>
      </c>
      <c r="H1086" s="206">
        <v>45553</v>
      </c>
    </row>
    <row r="1087" spans="3:8" x14ac:dyDescent="0.25">
      <c r="C1087" s="229">
        <v>19</v>
      </c>
      <c r="D1087" s="229">
        <v>10</v>
      </c>
      <c r="E1087" s="230">
        <v>29.2</v>
      </c>
      <c r="F1087" s="4">
        <f t="shared" si="20"/>
        <v>0.27510917030567689</v>
      </c>
      <c r="G1087" s="37">
        <v>26.6</v>
      </c>
      <c r="H1087" s="206">
        <v>45553</v>
      </c>
    </row>
    <row r="1088" spans="3:8" x14ac:dyDescent="0.25">
      <c r="C1088" s="227" t="s">
        <v>0</v>
      </c>
      <c r="D1088" s="227" t="s">
        <v>7</v>
      </c>
      <c r="E1088" s="228" t="s">
        <v>4</v>
      </c>
      <c r="F1088" s="4" t="str">
        <f t="shared" si="20"/>
        <v/>
      </c>
      <c r="G1088" s="37">
        <v>26.4</v>
      </c>
      <c r="H1088" s="206">
        <v>45554</v>
      </c>
    </row>
    <row r="1089" spans="3:8" x14ac:dyDescent="0.25">
      <c r="C1089" s="231">
        <v>1</v>
      </c>
      <c r="D1089" s="231">
        <v>67</v>
      </c>
      <c r="E1089" s="232">
        <v>30.4</v>
      </c>
      <c r="F1089" s="4">
        <f t="shared" si="20"/>
        <v>0.14716981132075466</v>
      </c>
      <c r="G1089" s="37">
        <v>26.4</v>
      </c>
      <c r="H1089" s="206">
        <v>45554</v>
      </c>
    </row>
    <row r="1090" spans="3:8" x14ac:dyDescent="0.25">
      <c r="C1090" s="231">
        <v>2</v>
      </c>
      <c r="D1090" s="231">
        <v>41</v>
      </c>
      <c r="E1090" s="232">
        <v>30.1</v>
      </c>
      <c r="F1090" s="4">
        <f t="shared" si="20"/>
        <v>8.2733812949640315E-2</v>
      </c>
      <c r="G1090" s="37">
        <v>26.4</v>
      </c>
      <c r="H1090" s="206">
        <v>45554</v>
      </c>
    </row>
    <row r="1091" spans="3:8" x14ac:dyDescent="0.25">
      <c r="C1091" s="231">
        <v>3</v>
      </c>
      <c r="D1091" s="231">
        <v>121</v>
      </c>
      <c r="E1091" s="232">
        <v>26</v>
      </c>
      <c r="F1091" s="4">
        <f t="shared" si="20"/>
        <v>-1.1406844106463905E-2</v>
      </c>
      <c r="G1091" s="37">
        <v>26.4</v>
      </c>
      <c r="H1091" s="206">
        <v>45554</v>
      </c>
    </row>
    <row r="1092" spans="3:8" x14ac:dyDescent="0.25">
      <c r="C1092" s="231">
        <v>4</v>
      </c>
      <c r="D1092" s="231">
        <v>0</v>
      </c>
      <c r="E1092" s="232"/>
      <c r="F1092" s="4" t="str">
        <f t="shared" si="20"/>
        <v/>
      </c>
      <c r="G1092" s="37">
        <v>26.4</v>
      </c>
      <c r="H1092" s="206">
        <v>45554</v>
      </c>
    </row>
    <row r="1093" spans="3:8" x14ac:dyDescent="0.25">
      <c r="C1093" s="231">
        <v>5</v>
      </c>
      <c r="D1093" s="231">
        <v>116</v>
      </c>
      <c r="E1093" s="232">
        <v>26.9</v>
      </c>
      <c r="F1093" s="4">
        <f t="shared" si="20"/>
        <v>7.4906367041198234E-3</v>
      </c>
      <c r="G1093" s="37">
        <v>26.4</v>
      </c>
      <c r="H1093" s="206">
        <v>45554</v>
      </c>
    </row>
    <row r="1094" spans="3:8" x14ac:dyDescent="0.25">
      <c r="C1094" s="231">
        <v>6</v>
      </c>
      <c r="D1094" s="231">
        <v>114</v>
      </c>
      <c r="E1094" s="232">
        <v>23.8</v>
      </c>
      <c r="F1094" s="4">
        <f t="shared" si="20"/>
        <v>-1.2448132780083016E-2</v>
      </c>
      <c r="G1094" s="37">
        <v>26.4</v>
      </c>
      <c r="H1094" s="206">
        <v>45554</v>
      </c>
    </row>
    <row r="1095" spans="3:8" x14ac:dyDescent="0.25">
      <c r="C1095" s="231">
        <v>7</v>
      </c>
      <c r="D1095" s="231">
        <v>113</v>
      </c>
      <c r="E1095" s="232">
        <v>25.2</v>
      </c>
      <c r="F1095" s="4">
        <f t="shared" si="20"/>
        <v>-5.6179775280898875E-2</v>
      </c>
      <c r="G1095" s="37">
        <v>26.4</v>
      </c>
      <c r="H1095" s="206">
        <v>45554</v>
      </c>
    </row>
    <row r="1096" spans="3:8" x14ac:dyDescent="0.25">
      <c r="C1096" s="231">
        <v>8</v>
      </c>
      <c r="D1096" s="231">
        <v>76</v>
      </c>
      <c r="E1096" s="232">
        <v>22.3</v>
      </c>
      <c r="F1096" s="4">
        <f t="shared" si="20"/>
        <v>-0.20071684587813612</v>
      </c>
      <c r="G1096" s="37">
        <v>26.4</v>
      </c>
      <c r="H1096" s="206">
        <v>45554</v>
      </c>
    </row>
    <row r="1097" spans="3:8" x14ac:dyDescent="0.25">
      <c r="C1097" s="231">
        <v>9</v>
      </c>
      <c r="D1097" s="231">
        <v>0</v>
      </c>
      <c r="E1097" s="232"/>
      <c r="F1097" s="4" t="str">
        <f t="shared" si="20"/>
        <v/>
      </c>
      <c r="G1097" s="37">
        <v>26.4</v>
      </c>
      <c r="H1097" s="206">
        <v>45554</v>
      </c>
    </row>
    <row r="1098" spans="3:8" x14ac:dyDescent="0.25">
      <c r="C1098" s="231">
        <v>10</v>
      </c>
      <c r="D1098" s="231">
        <v>0</v>
      </c>
      <c r="E1098" s="232"/>
      <c r="F1098" s="4" t="str">
        <f t="shared" si="20"/>
        <v/>
      </c>
      <c r="G1098" s="37">
        <v>26.4</v>
      </c>
      <c r="H1098" s="206">
        <v>45554</v>
      </c>
    </row>
    <row r="1099" spans="3:8" x14ac:dyDescent="0.25">
      <c r="C1099" s="231">
        <v>18</v>
      </c>
      <c r="D1099" s="231">
        <v>4</v>
      </c>
      <c r="E1099" s="232">
        <v>11.8</v>
      </c>
      <c r="F1099" s="4">
        <f t="shared" si="20"/>
        <v>3.5087719298245647E-2</v>
      </c>
      <c r="G1099" s="37">
        <v>26.4</v>
      </c>
      <c r="H1099" s="206">
        <v>45554</v>
      </c>
    </row>
    <row r="1100" spans="3:8" x14ac:dyDescent="0.25">
      <c r="C1100" s="231">
        <v>19</v>
      </c>
      <c r="D1100" s="231">
        <v>17</v>
      </c>
      <c r="E1100" s="232">
        <v>20.3</v>
      </c>
      <c r="F1100" s="4">
        <f t="shared" si="20"/>
        <v>-0.30479452054794515</v>
      </c>
      <c r="G1100" s="37">
        <v>26.4</v>
      </c>
      <c r="H1100" s="206">
        <v>45554</v>
      </c>
    </row>
    <row r="1101" spans="3:8" x14ac:dyDescent="0.25">
      <c r="C1101" s="227" t="s">
        <v>0</v>
      </c>
      <c r="D1101" s="227" t="s">
        <v>7</v>
      </c>
      <c r="E1101" s="228" t="s">
        <v>4</v>
      </c>
      <c r="F1101" s="4" t="str">
        <f t="shared" si="20"/>
        <v/>
      </c>
      <c r="G1101" s="37">
        <v>25.8</v>
      </c>
      <c r="H1101" s="206">
        <v>45555</v>
      </c>
    </row>
    <row r="1102" spans="3:8" x14ac:dyDescent="0.25">
      <c r="C1102" s="233">
        <v>1</v>
      </c>
      <c r="D1102" s="233">
        <v>69</v>
      </c>
      <c r="E1102" s="234">
        <v>27.9</v>
      </c>
      <c r="F1102" s="4">
        <f t="shared" si="20"/>
        <v>-8.2236842105263164E-2</v>
      </c>
      <c r="G1102" s="37">
        <v>25.8</v>
      </c>
      <c r="H1102" s="206">
        <v>45555</v>
      </c>
    </row>
    <row r="1103" spans="3:8" x14ac:dyDescent="0.25">
      <c r="C1103" s="233">
        <v>2</v>
      </c>
      <c r="D1103" s="233">
        <v>41</v>
      </c>
      <c r="E1103" s="234">
        <v>27.7</v>
      </c>
      <c r="F1103" s="4">
        <f t="shared" si="20"/>
        <v>-7.9734219269103054E-2</v>
      </c>
      <c r="G1103" s="37">
        <v>25.8</v>
      </c>
      <c r="H1103" s="206">
        <v>45555</v>
      </c>
    </row>
    <row r="1104" spans="3:8" x14ac:dyDescent="0.25">
      <c r="C1104" s="233">
        <v>3</v>
      </c>
      <c r="D1104" s="233">
        <v>121</v>
      </c>
      <c r="E1104" s="234">
        <v>25.6</v>
      </c>
      <c r="F1104" s="4">
        <f t="shared" si="20"/>
        <v>-1.538461538461533E-2</v>
      </c>
      <c r="G1104" s="37">
        <v>25.8</v>
      </c>
      <c r="H1104" s="206">
        <v>45555</v>
      </c>
    </row>
    <row r="1105" spans="3:8" x14ac:dyDescent="0.25">
      <c r="C1105" s="233">
        <v>4</v>
      </c>
      <c r="D1105" s="233">
        <v>0</v>
      </c>
      <c r="E1105" s="234"/>
      <c r="F1105" s="4" t="str">
        <f t="shared" si="20"/>
        <v/>
      </c>
      <c r="G1105" s="37">
        <v>25.8</v>
      </c>
      <c r="H1105" s="206">
        <v>45555</v>
      </c>
    </row>
    <row r="1106" spans="3:8" x14ac:dyDescent="0.25">
      <c r="C1106" s="233">
        <v>5</v>
      </c>
      <c r="D1106" s="233">
        <v>116</v>
      </c>
      <c r="E1106" s="234">
        <v>26.4</v>
      </c>
      <c r="F1106" s="4">
        <f t="shared" si="20"/>
        <v>-1.858736059479554E-2</v>
      </c>
      <c r="G1106" s="37">
        <v>25.8</v>
      </c>
      <c r="H1106" s="206">
        <v>45555</v>
      </c>
    </row>
    <row r="1107" spans="3:8" x14ac:dyDescent="0.25">
      <c r="C1107" s="233">
        <v>6</v>
      </c>
      <c r="D1107" s="233">
        <v>114</v>
      </c>
      <c r="E1107" s="234">
        <v>24.6</v>
      </c>
      <c r="F1107" s="4">
        <f t="shared" si="20"/>
        <v>3.3613445378151287E-2</v>
      </c>
      <c r="G1107" s="37">
        <v>25.8</v>
      </c>
      <c r="H1107" s="206">
        <v>45555</v>
      </c>
    </row>
    <row r="1108" spans="3:8" x14ac:dyDescent="0.25">
      <c r="C1108" s="233">
        <v>7</v>
      </c>
      <c r="D1108" s="233">
        <v>114</v>
      </c>
      <c r="E1108" s="234">
        <v>24.2</v>
      </c>
      <c r="F1108" s="4">
        <f t="shared" si="20"/>
        <v>-3.968253968253968E-2</v>
      </c>
      <c r="G1108" s="37">
        <v>25.8</v>
      </c>
      <c r="H1108" s="206">
        <v>45555</v>
      </c>
    </row>
    <row r="1109" spans="3:8" x14ac:dyDescent="0.25">
      <c r="C1109" s="233">
        <v>8</v>
      </c>
      <c r="D1109" s="233">
        <v>76</v>
      </c>
      <c r="E1109" s="234">
        <v>23.7</v>
      </c>
      <c r="F1109" s="4">
        <f t="shared" si="20"/>
        <v>6.2780269058295896E-2</v>
      </c>
      <c r="G1109" s="37">
        <v>25.8</v>
      </c>
      <c r="H1109" s="206">
        <v>45555</v>
      </c>
    </row>
    <row r="1110" spans="3:8" x14ac:dyDescent="0.25">
      <c r="C1110" s="233">
        <v>9</v>
      </c>
      <c r="D1110" s="233">
        <v>0</v>
      </c>
      <c r="E1110" s="234"/>
      <c r="F1110" s="4" t="str">
        <f t="shared" si="20"/>
        <v/>
      </c>
      <c r="G1110" s="37">
        <v>25.8</v>
      </c>
      <c r="H1110" s="206">
        <v>45555</v>
      </c>
    </row>
    <row r="1111" spans="3:8" x14ac:dyDescent="0.25">
      <c r="C1111" s="233">
        <v>10</v>
      </c>
      <c r="D1111" s="233">
        <v>0</v>
      </c>
      <c r="E1111" s="234"/>
      <c r="F1111" s="4" t="str">
        <f t="shared" si="20"/>
        <v/>
      </c>
      <c r="G1111" s="37">
        <v>25.8</v>
      </c>
      <c r="H1111" s="206">
        <v>45555</v>
      </c>
    </row>
    <row r="1112" spans="3:8" x14ac:dyDescent="0.25">
      <c r="C1112" s="233">
        <v>18</v>
      </c>
      <c r="D1112" s="233">
        <v>4</v>
      </c>
      <c r="E1112" s="234">
        <v>10.7</v>
      </c>
      <c r="F1112" s="4">
        <f t="shared" si="20"/>
        <v>-9.322033898305096E-2</v>
      </c>
      <c r="G1112" s="37">
        <v>25.8</v>
      </c>
      <c r="H1112" s="206">
        <v>45555</v>
      </c>
    </row>
    <row r="1113" spans="3:8" x14ac:dyDescent="0.25">
      <c r="C1113" s="233">
        <v>19</v>
      </c>
      <c r="D1113" s="233">
        <v>17</v>
      </c>
      <c r="E1113" s="234">
        <v>18.7</v>
      </c>
      <c r="F1113" s="4">
        <f t="shared" si="20"/>
        <v>-7.8817733990147854E-2</v>
      </c>
      <c r="G1113" s="37">
        <v>25.8</v>
      </c>
      <c r="H1113" s="206">
        <v>45555</v>
      </c>
    </row>
    <row r="1114" spans="3:8" x14ac:dyDescent="0.25">
      <c r="C1114" s="227" t="s">
        <v>0</v>
      </c>
      <c r="D1114" s="227" t="s">
        <v>7</v>
      </c>
      <c r="E1114" s="228" t="s">
        <v>4</v>
      </c>
      <c r="F1114" s="4" t="str">
        <f t="shared" si="20"/>
        <v/>
      </c>
      <c r="G1114" s="37">
        <v>26.1</v>
      </c>
      <c r="H1114" s="206">
        <v>45556</v>
      </c>
    </row>
    <row r="1115" spans="3:8" x14ac:dyDescent="0.25">
      <c r="C1115" s="235">
        <v>1</v>
      </c>
      <c r="D1115" s="235">
        <v>67</v>
      </c>
      <c r="E1115" s="236">
        <v>28.1</v>
      </c>
      <c r="F1115" s="4">
        <f t="shared" si="20"/>
        <v>7.1684587813621095E-3</v>
      </c>
      <c r="G1115" s="37">
        <v>26.1</v>
      </c>
      <c r="H1115" s="206">
        <v>45556</v>
      </c>
    </row>
    <row r="1116" spans="3:8" x14ac:dyDescent="0.25">
      <c r="C1116" s="235">
        <v>2</v>
      </c>
      <c r="D1116" s="235">
        <v>42</v>
      </c>
      <c r="E1116" s="236">
        <v>27.7</v>
      </c>
      <c r="F1116" s="4">
        <f t="shared" si="20"/>
        <v>0</v>
      </c>
      <c r="G1116" s="37">
        <v>26.1</v>
      </c>
      <c r="H1116" s="206">
        <v>45556</v>
      </c>
    </row>
    <row r="1117" spans="3:8" x14ac:dyDescent="0.25">
      <c r="C1117" s="235">
        <v>3</v>
      </c>
      <c r="D1117" s="235">
        <v>121</v>
      </c>
      <c r="E1117" s="236">
        <v>25.2</v>
      </c>
      <c r="F1117" s="4">
        <f t="shared" si="20"/>
        <v>-1.5625000000000083E-2</v>
      </c>
      <c r="G1117" s="37">
        <v>26.1</v>
      </c>
      <c r="H1117" s="206">
        <v>45556</v>
      </c>
    </row>
    <row r="1118" spans="3:8" x14ac:dyDescent="0.25">
      <c r="C1118" s="235">
        <v>4</v>
      </c>
      <c r="D1118" s="235">
        <v>0</v>
      </c>
      <c r="E1118" s="236"/>
      <c r="F1118" s="4" t="str">
        <f t="shared" si="20"/>
        <v/>
      </c>
      <c r="G1118" s="37">
        <v>26.1</v>
      </c>
      <c r="H1118" s="206">
        <v>45556</v>
      </c>
    </row>
    <row r="1119" spans="3:8" x14ac:dyDescent="0.25">
      <c r="C1119" s="235">
        <v>5</v>
      </c>
      <c r="D1119" s="235">
        <v>113</v>
      </c>
      <c r="E1119" s="236">
        <v>26.2</v>
      </c>
      <c r="F1119" s="4">
        <f t="shared" si="20"/>
        <v>-7.5757575757575491E-3</v>
      </c>
      <c r="G1119" s="37">
        <v>26.1</v>
      </c>
      <c r="H1119" s="206">
        <v>45556</v>
      </c>
    </row>
    <row r="1120" spans="3:8" x14ac:dyDescent="0.25">
      <c r="C1120" s="235">
        <v>6</v>
      </c>
      <c r="D1120" s="235">
        <v>115</v>
      </c>
      <c r="E1120" s="236">
        <v>23.9</v>
      </c>
      <c r="F1120" s="4">
        <f t="shared" si="20"/>
        <v>-2.8455284552845642E-2</v>
      </c>
      <c r="G1120" s="37">
        <v>26.1</v>
      </c>
      <c r="H1120" s="206">
        <v>45556</v>
      </c>
    </row>
    <row r="1121" spans="3:8" x14ac:dyDescent="0.25">
      <c r="C1121" s="235">
        <v>7</v>
      </c>
      <c r="D1121" s="235">
        <v>113</v>
      </c>
      <c r="E1121" s="236">
        <v>26.2</v>
      </c>
      <c r="F1121" s="4">
        <f t="shared" si="20"/>
        <v>8.2644628099173556E-2</v>
      </c>
      <c r="G1121" s="37">
        <v>26.1</v>
      </c>
      <c r="H1121" s="206">
        <v>45556</v>
      </c>
    </row>
    <row r="1122" spans="3:8" x14ac:dyDescent="0.25">
      <c r="C1122" s="235">
        <v>8</v>
      </c>
      <c r="D1122" s="235">
        <v>76</v>
      </c>
      <c r="E1122" s="236">
        <v>23.5</v>
      </c>
      <c r="F1122" s="4">
        <f t="shared" si="20"/>
        <v>-8.4388185654008137E-3</v>
      </c>
      <c r="G1122" s="37">
        <v>26.1</v>
      </c>
      <c r="H1122" s="206">
        <v>45556</v>
      </c>
    </row>
    <row r="1123" spans="3:8" x14ac:dyDescent="0.25">
      <c r="C1123" s="235">
        <v>9</v>
      </c>
      <c r="D1123" s="235">
        <v>0</v>
      </c>
      <c r="E1123" s="236"/>
      <c r="F1123" s="4" t="str">
        <f t="shared" si="20"/>
        <v/>
      </c>
      <c r="G1123" s="37">
        <v>26.1</v>
      </c>
      <c r="H1123" s="206">
        <v>45556</v>
      </c>
    </row>
    <row r="1124" spans="3:8" x14ac:dyDescent="0.25">
      <c r="C1124" s="235">
        <v>10</v>
      </c>
      <c r="D1124" s="235">
        <v>0</v>
      </c>
      <c r="E1124" s="236"/>
      <c r="F1124" s="4" t="str">
        <f t="shared" si="20"/>
        <v/>
      </c>
      <c r="G1124" s="37">
        <v>26.1</v>
      </c>
      <c r="H1124" s="206">
        <v>45556</v>
      </c>
    </row>
    <row r="1125" spans="3:8" x14ac:dyDescent="0.25">
      <c r="C1125" s="235">
        <v>18</v>
      </c>
      <c r="D1125" s="235">
        <v>6</v>
      </c>
      <c r="E1125" s="236">
        <v>26.3</v>
      </c>
      <c r="F1125" s="4">
        <f t="shared" si="20"/>
        <v>1.457943925233645</v>
      </c>
      <c r="G1125" s="37">
        <v>26.1</v>
      </c>
      <c r="H1125" s="206">
        <v>45556</v>
      </c>
    </row>
    <row r="1126" spans="3:8" x14ac:dyDescent="0.25">
      <c r="C1126" s="235">
        <v>19</v>
      </c>
      <c r="D1126" s="235">
        <v>16</v>
      </c>
      <c r="E1126" s="236">
        <v>23.3</v>
      </c>
      <c r="F1126" s="4">
        <f t="shared" si="20"/>
        <v>0.24598930481283432</v>
      </c>
      <c r="G1126" s="37">
        <v>26.1</v>
      </c>
      <c r="H1126" s="206">
        <v>45556</v>
      </c>
    </row>
    <row r="1127" spans="3:8" x14ac:dyDescent="0.25">
      <c r="C1127" s="227" t="s">
        <v>0</v>
      </c>
      <c r="D1127" s="227" t="s">
        <v>7</v>
      </c>
      <c r="E1127" s="228" t="s">
        <v>4</v>
      </c>
      <c r="F1127" s="4" t="str">
        <f t="shared" si="20"/>
        <v/>
      </c>
      <c r="G1127" s="37">
        <v>26.6</v>
      </c>
      <c r="H1127" s="206">
        <v>45557</v>
      </c>
    </row>
    <row r="1128" spans="3:8" x14ac:dyDescent="0.25">
      <c r="C1128" s="237">
        <v>1</v>
      </c>
      <c r="D1128" s="237">
        <v>66</v>
      </c>
      <c r="E1128" s="238">
        <v>26.7</v>
      </c>
      <c r="F1128" s="4">
        <f t="shared" si="20"/>
        <v>-4.9822064056939577E-2</v>
      </c>
      <c r="G1128" s="37">
        <v>26.6</v>
      </c>
      <c r="H1128" s="206">
        <v>45557</v>
      </c>
    </row>
    <row r="1129" spans="3:8" x14ac:dyDescent="0.25">
      <c r="C1129" s="237">
        <v>2</v>
      </c>
      <c r="D1129" s="237">
        <v>42</v>
      </c>
      <c r="E1129" s="238">
        <v>26.9</v>
      </c>
      <c r="F1129" s="4">
        <f t="shared" si="20"/>
        <v>-2.8880866425992805E-2</v>
      </c>
      <c r="G1129" s="37">
        <v>26.6</v>
      </c>
      <c r="H1129" s="206">
        <v>45557</v>
      </c>
    </row>
    <row r="1130" spans="3:8" x14ac:dyDescent="0.25">
      <c r="C1130" s="237">
        <v>3</v>
      </c>
      <c r="D1130" s="237">
        <v>121</v>
      </c>
      <c r="E1130" s="238">
        <v>25</v>
      </c>
      <c r="F1130" s="4">
        <f t="shared" si="20"/>
        <v>-7.9365079365079083E-3</v>
      </c>
      <c r="G1130" s="37">
        <v>26.6</v>
      </c>
      <c r="H1130" s="206">
        <v>45557</v>
      </c>
    </row>
    <row r="1131" spans="3:8" x14ac:dyDescent="0.25">
      <c r="C1131" s="237">
        <v>4</v>
      </c>
      <c r="D1131" s="237">
        <v>0</v>
      </c>
      <c r="E1131" s="238"/>
      <c r="F1131" s="4" t="str">
        <f t="shared" si="20"/>
        <v/>
      </c>
      <c r="G1131" s="37">
        <v>26.6</v>
      </c>
      <c r="H1131" s="206">
        <v>45557</v>
      </c>
    </row>
    <row r="1132" spans="3:8" x14ac:dyDescent="0.25">
      <c r="C1132" s="237">
        <v>5</v>
      </c>
      <c r="D1132" s="237">
        <v>113</v>
      </c>
      <c r="E1132" s="238">
        <v>26.7</v>
      </c>
      <c r="F1132" s="4">
        <f t="shared" si="20"/>
        <v>1.9083969465648856E-2</v>
      </c>
      <c r="G1132" s="37">
        <v>26.6</v>
      </c>
      <c r="H1132" s="206">
        <v>45557</v>
      </c>
    </row>
    <row r="1133" spans="3:8" x14ac:dyDescent="0.25">
      <c r="C1133" s="237">
        <v>6</v>
      </c>
      <c r="D1133" s="237">
        <v>115</v>
      </c>
      <c r="E1133" s="238">
        <v>24.5</v>
      </c>
      <c r="F1133" s="4">
        <f t="shared" si="20"/>
        <v>2.5104602510460313E-2</v>
      </c>
      <c r="G1133" s="37">
        <v>26.6</v>
      </c>
      <c r="H1133" s="206">
        <v>45557</v>
      </c>
    </row>
    <row r="1134" spans="3:8" x14ac:dyDescent="0.25">
      <c r="C1134" s="237">
        <v>7</v>
      </c>
      <c r="D1134" s="237">
        <v>113</v>
      </c>
      <c r="E1134" s="238">
        <v>27.3</v>
      </c>
      <c r="F1134" s="4">
        <f t="shared" si="20"/>
        <v>4.1984732824427537E-2</v>
      </c>
      <c r="G1134" s="37">
        <v>26.6</v>
      </c>
      <c r="H1134" s="206">
        <v>45557</v>
      </c>
    </row>
    <row r="1135" spans="3:8" x14ac:dyDescent="0.25">
      <c r="C1135" s="237">
        <v>8</v>
      </c>
      <c r="D1135" s="237">
        <v>76</v>
      </c>
      <c r="E1135" s="238">
        <v>24.4</v>
      </c>
      <c r="F1135" s="4">
        <f t="shared" si="20"/>
        <v>3.8297872340425469E-2</v>
      </c>
      <c r="G1135" s="37">
        <v>26.6</v>
      </c>
      <c r="H1135" s="206">
        <v>45557</v>
      </c>
    </row>
    <row r="1136" spans="3:8" x14ac:dyDescent="0.25">
      <c r="C1136" s="237">
        <v>9</v>
      </c>
      <c r="D1136" s="237">
        <v>0</v>
      </c>
      <c r="E1136" s="238"/>
      <c r="F1136" s="4" t="str">
        <f t="shared" si="20"/>
        <v/>
      </c>
      <c r="G1136" s="37">
        <v>26.6</v>
      </c>
      <c r="H1136" s="206">
        <v>45557</v>
      </c>
    </row>
    <row r="1137" spans="3:8" x14ac:dyDescent="0.25">
      <c r="C1137" s="237">
        <v>10</v>
      </c>
      <c r="D1137" s="237">
        <v>0</v>
      </c>
      <c r="E1137" s="238"/>
      <c r="F1137" s="4" t="str">
        <f t="shared" si="20"/>
        <v/>
      </c>
      <c r="G1137" s="37">
        <v>26.6</v>
      </c>
      <c r="H1137" s="206">
        <v>45557</v>
      </c>
    </row>
    <row r="1138" spans="3:8" x14ac:dyDescent="0.25">
      <c r="C1138" s="237">
        <v>18</v>
      </c>
      <c r="D1138" s="237">
        <v>6</v>
      </c>
      <c r="E1138" s="238">
        <v>30</v>
      </c>
      <c r="F1138" s="4">
        <f t="shared" si="20"/>
        <v>0.14068441064638781</v>
      </c>
      <c r="G1138" s="37">
        <v>26.6</v>
      </c>
      <c r="H1138" s="206">
        <v>45557</v>
      </c>
    </row>
    <row r="1139" spans="3:8" x14ac:dyDescent="0.25">
      <c r="C1139" s="237">
        <v>19</v>
      </c>
      <c r="D1139" s="237">
        <v>16</v>
      </c>
      <c r="E1139" s="238">
        <v>26.6</v>
      </c>
      <c r="F1139" s="4">
        <f t="shared" si="20"/>
        <v>0.14163090128755368</v>
      </c>
      <c r="G1139" s="37">
        <v>26.6</v>
      </c>
      <c r="H1139" s="206">
        <v>45557</v>
      </c>
    </row>
    <row r="1140" spans="3:8" x14ac:dyDescent="0.25">
      <c r="C1140" s="239" t="s">
        <v>8</v>
      </c>
      <c r="D1140" s="239" t="s">
        <v>9</v>
      </c>
      <c r="E1140" s="240" t="s">
        <v>10</v>
      </c>
      <c r="F1140" s="4" t="str">
        <f t="shared" si="20"/>
        <v/>
      </c>
      <c r="G1140" s="37">
        <v>26</v>
      </c>
      <c r="H1140" s="241">
        <v>45558</v>
      </c>
    </row>
    <row r="1141" spans="3:8" x14ac:dyDescent="0.25">
      <c r="C1141" s="239">
        <v>1</v>
      </c>
      <c r="D1141" s="239">
        <v>72</v>
      </c>
      <c r="E1141" s="240">
        <v>27.7</v>
      </c>
      <c r="F1141" s="4">
        <f t="shared" ref="F1141:F1205" si="21">IFERROR((E1141-E1128)/E1128,"")</f>
        <v>3.7453183520599252E-2</v>
      </c>
      <c r="G1141" s="37">
        <v>26</v>
      </c>
      <c r="H1141" s="241">
        <v>45558</v>
      </c>
    </row>
    <row r="1142" spans="3:8" x14ac:dyDescent="0.25">
      <c r="C1142" s="239">
        <v>2</v>
      </c>
      <c r="D1142" s="239">
        <v>41</v>
      </c>
      <c r="E1142" s="240">
        <v>27.5</v>
      </c>
      <c r="F1142" s="4">
        <f t="shared" si="21"/>
        <v>2.2304832713754701E-2</v>
      </c>
      <c r="G1142" s="37">
        <v>26</v>
      </c>
      <c r="H1142" s="241">
        <v>45558</v>
      </c>
    </row>
    <row r="1143" spans="3:8" x14ac:dyDescent="0.25">
      <c r="C1143" s="239">
        <v>3</v>
      </c>
      <c r="D1143" s="239">
        <v>121</v>
      </c>
      <c r="E1143" s="240">
        <v>25.5</v>
      </c>
      <c r="F1143" s="4">
        <f t="shared" si="21"/>
        <v>0.02</v>
      </c>
      <c r="G1143" s="37">
        <v>26</v>
      </c>
      <c r="H1143" s="241">
        <v>45558</v>
      </c>
    </row>
    <row r="1144" spans="3:8" x14ac:dyDescent="0.25">
      <c r="C1144" s="239">
        <v>4</v>
      </c>
      <c r="D1144" s="239">
        <v>0</v>
      </c>
      <c r="E1144" s="240"/>
      <c r="F1144" s="4" t="str">
        <f t="shared" si="21"/>
        <v/>
      </c>
      <c r="G1144" s="37">
        <v>26</v>
      </c>
      <c r="H1144" s="241">
        <v>45558</v>
      </c>
    </row>
    <row r="1145" spans="3:8" x14ac:dyDescent="0.25">
      <c r="C1145" s="239">
        <v>5</v>
      </c>
      <c r="D1145" s="239">
        <v>111</v>
      </c>
      <c r="E1145" s="240">
        <v>26.9</v>
      </c>
      <c r="F1145" s="4">
        <f t="shared" si="21"/>
        <v>7.4906367041198234E-3</v>
      </c>
      <c r="G1145" s="37">
        <v>26</v>
      </c>
      <c r="H1145" s="241">
        <v>45558</v>
      </c>
    </row>
    <row r="1146" spans="3:8" x14ac:dyDescent="0.25">
      <c r="C1146" s="239">
        <v>6</v>
      </c>
      <c r="D1146" s="239">
        <v>116</v>
      </c>
      <c r="E1146" s="240">
        <v>23.4</v>
      </c>
      <c r="F1146" s="4">
        <f t="shared" si="21"/>
        <v>-4.4897959183673529E-2</v>
      </c>
      <c r="G1146" s="37">
        <v>26</v>
      </c>
      <c r="H1146" s="241">
        <v>45558</v>
      </c>
    </row>
    <row r="1147" spans="3:8" x14ac:dyDescent="0.25">
      <c r="C1147" s="239">
        <v>7</v>
      </c>
      <c r="D1147" s="239">
        <v>114</v>
      </c>
      <c r="E1147" s="240">
        <v>27.7</v>
      </c>
      <c r="F1147" s="4">
        <f t="shared" si="21"/>
        <v>1.46520146520146E-2</v>
      </c>
      <c r="G1147" s="37">
        <v>26</v>
      </c>
      <c r="H1147" s="241">
        <v>45558</v>
      </c>
    </row>
    <row r="1148" spans="3:8" x14ac:dyDescent="0.25">
      <c r="C1148" s="239">
        <v>8</v>
      </c>
      <c r="D1148" s="239">
        <v>76</v>
      </c>
      <c r="E1148" s="240">
        <v>25.2</v>
      </c>
      <c r="F1148" s="4">
        <f t="shared" si="21"/>
        <v>3.2786885245901669E-2</v>
      </c>
      <c r="G1148" s="37">
        <v>26</v>
      </c>
      <c r="H1148" s="241">
        <v>45558</v>
      </c>
    </row>
    <row r="1149" spans="3:8" x14ac:dyDescent="0.25">
      <c r="C1149" s="239">
        <v>9</v>
      </c>
      <c r="D1149" s="239">
        <v>0</v>
      </c>
      <c r="E1149" s="240"/>
      <c r="F1149" s="4" t="str">
        <f t="shared" si="21"/>
        <v/>
      </c>
      <c r="G1149" s="37">
        <v>26</v>
      </c>
      <c r="H1149" s="241">
        <v>45558</v>
      </c>
    </row>
    <row r="1150" spans="3:8" x14ac:dyDescent="0.25">
      <c r="C1150" s="239">
        <v>10</v>
      </c>
      <c r="D1150" s="239">
        <v>0</v>
      </c>
      <c r="E1150" s="240"/>
      <c r="F1150" s="4" t="str">
        <f t="shared" si="21"/>
        <v/>
      </c>
      <c r="G1150" s="37">
        <v>26</v>
      </c>
      <c r="H1150" s="241">
        <v>45558</v>
      </c>
    </row>
    <row r="1151" spans="3:8" x14ac:dyDescent="0.25">
      <c r="C1151" s="239">
        <v>18</v>
      </c>
      <c r="D1151" s="239">
        <v>9</v>
      </c>
      <c r="E1151" s="240">
        <v>29.8</v>
      </c>
      <c r="F1151" s="4">
        <f t="shared" si="21"/>
        <v>-6.6666666666666428E-3</v>
      </c>
      <c r="G1151" s="37">
        <v>26</v>
      </c>
      <c r="H1151" s="241">
        <v>45558</v>
      </c>
    </row>
    <row r="1152" spans="3:8" x14ac:dyDescent="0.25">
      <c r="C1152" s="239">
        <v>19</v>
      </c>
      <c r="D1152" s="239">
        <v>12</v>
      </c>
      <c r="E1152" s="240">
        <v>23.7</v>
      </c>
      <c r="F1152" s="4">
        <f t="shared" si="21"/>
        <v>-0.10902255639097752</v>
      </c>
      <c r="G1152" s="37">
        <v>26</v>
      </c>
      <c r="H1152" s="241">
        <v>45558</v>
      </c>
    </row>
    <row r="1153" spans="3:8" x14ac:dyDescent="0.25">
      <c r="C1153" s="242" t="s">
        <v>0</v>
      </c>
      <c r="D1153" s="242" t="s">
        <v>7</v>
      </c>
      <c r="E1153" s="243" t="s">
        <v>4</v>
      </c>
      <c r="F1153" s="4" t="str">
        <f t="shared" si="21"/>
        <v/>
      </c>
      <c r="G1153" s="37">
        <v>25.8</v>
      </c>
      <c r="H1153" s="241">
        <v>45559</v>
      </c>
    </row>
    <row r="1154" spans="3:8" x14ac:dyDescent="0.25">
      <c r="C1154" s="242">
        <v>1</v>
      </c>
      <c r="D1154" s="242">
        <v>76</v>
      </c>
      <c r="E1154" s="243">
        <v>29.7</v>
      </c>
      <c r="F1154" s="4">
        <f t="shared" si="21"/>
        <v>7.2202166064981949E-2</v>
      </c>
      <c r="G1154" s="37">
        <v>25.8</v>
      </c>
      <c r="H1154" s="241">
        <v>45559</v>
      </c>
    </row>
    <row r="1155" spans="3:8" x14ac:dyDescent="0.25">
      <c r="C1155" s="242">
        <v>2</v>
      </c>
      <c r="D1155" s="242">
        <v>41</v>
      </c>
      <c r="E1155" s="243">
        <v>27.8</v>
      </c>
      <c r="F1155" s="4">
        <f t="shared" si="21"/>
        <v>1.0909090909090934E-2</v>
      </c>
      <c r="G1155" s="37">
        <v>25.8</v>
      </c>
      <c r="H1155" s="241">
        <v>45559</v>
      </c>
    </row>
    <row r="1156" spans="3:8" x14ac:dyDescent="0.25">
      <c r="C1156" s="242">
        <v>3</v>
      </c>
      <c r="D1156" s="242">
        <v>122</v>
      </c>
      <c r="E1156" s="243">
        <v>25</v>
      </c>
      <c r="F1156" s="4">
        <f t="shared" si="21"/>
        <v>-1.9607843137254902E-2</v>
      </c>
      <c r="G1156" s="37">
        <v>25.8</v>
      </c>
      <c r="H1156" s="241">
        <v>45559</v>
      </c>
    </row>
    <row r="1157" spans="3:8" x14ac:dyDescent="0.25">
      <c r="C1157" s="242">
        <v>4</v>
      </c>
      <c r="D1157" s="242">
        <v>0</v>
      </c>
      <c r="E1157" s="243"/>
      <c r="F1157" s="4" t="str">
        <f t="shared" si="21"/>
        <v/>
      </c>
      <c r="G1157" s="37">
        <v>25.8</v>
      </c>
      <c r="H1157" s="241">
        <v>45559</v>
      </c>
    </row>
    <row r="1158" spans="3:8" x14ac:dyDescent="0.25">
      <c r="C1158" s="242">
        <v>5</v>
      </c>
      <c r="D1158" s="242">
        <v>111</v>
      </c>
      <c r="E1158" s="243">
        <v>25.7</v>
      </c>
      <c r="F1158" s="4">
        <f t="shared" si="21"/>
        <v>-4.4609665427509271E-2</v>
      </c>
      <c r="G1158" s="37">
        <v>25.8</v>
      </c>
      <c r="H1158" s="241">
        <v>45559</v>
      </c>
    </row>
    <row r="1159" spans="3:8" x14ac:dyDescent="0.25">
      <c r="C1159" s="242">
        <v>6</v>
      </c>
      <c r="D1159" s="242">
        <v>116</v>
      </c>
      <c r="E1159" s="243">
        <v>24.2</v>
      </c>
      <c r="F1159" s="4">
        <f t="shared" si="21"/>
        <v>3.4188034188034219E-2</v>
      </c>
      <c r="G1159" s="37">
        <v>25.8</v>
      </c>
      <c r="H1159" s="241">
        <v>45559</v>
      </c>
    </row>
    <row r="1160" spans="3:8" x14ac:dyDescent="0.25">
      <c r="C1160" s="242">
        <v>7</v>
      </c>
      <c r="D1160" s="242">
        <v>114</v>
      </c>
      <c r="E1160" s="243">
        <v>25.9</v>
      </c>
      <c r="F1160" s="4">
        <f t="shared" si="21"/>
        <v>-6.4981949458483776E-2</v>
      </c>
      <c r="G1160" s="37">
        <v>25.8</v>
      </c>
      <c r="H1160" s="241">
        <v>45559</v>
      </c>
    </row>
    <row r="1161" spans="3:8" x14ac:dyDescent="0.25">
      <c r="C1161" s="242">
        <v>8</v>
      </c>
      <c r="D1161" s="242">
        <v>76</v>
      </c>
      <c r="E1161" s="243">
        <v>23.5</v>
      </c>
      <c r="F1161" s="4">
        <f t="shared" si="21"/>
        <v>-6.7460317460317429E-2</v>
      </c>
      <c r="G1161" s="37">
        <v>25.8</v>
      </c>
      <c r="H1161" s="241">
        <v>45559</v>
      </c>
    </row>
    <row r="1162" spans="3:8" x14ac:dyDescent="0.25">
      <c r="C1162" s="242">
        <v>9</v>
      </c>
      <c r="D1162" s="242">
        <v>0</v>
      </c>
      <c r="E1162" s="243"/>
      <c r="F1162" s="4" t="str">
        <f t="shared" si="21"/>
        <v/>
      </c>
      <c r="G1162" s="37">
        <v>25.8</v>
      </c>
      <c r="H1162" s="241">
        <v>45559</v>
      </c>
    </row>
    <row r="1163" spans="3:8" x14ac:dyDescent="0.25">
      <c r="C1163" s="242">
        <v>10</v>
      </c>
      <c r="D1163" s="242">
        <v>0</v>
      </c>
      <c r="E1163" s="243"/>
      <c r="F1163" s="4" t="str">
        <f t="shared" si="21"/>
        <v/>
      </c>
      <c r="G1163" s="37">
        <v>25.8</v>
      </c>
      <c r="H1163" s="241">
        <v>45559</v>
      </c>
    </row>
    <row r="1164" spans="3:8" x14ac:dyDescent="0.25">
      <c r="C1164" s="242">
        <v>18</v>
      </c>
      <c r="D1164" s="242">
        <v>7</v>
      </c>
      <c r="E1164" s="243">
        <v>18.100000000000001</v>
      </c>
      <c r="F1164" s="4">
        <f t="shared" si="21"/>
        <v>-0.39261744966442952</v>
      </c>
      <c r="G1164" s="37">
        <v>25.8</v>
      </c>
      <c r="H1164" s="241">
        <v>45559</v>
      </c>
    </row>
    <row r="1165" spans="3:8" x14ac:dyDescent="0.25">
      <c r="C1165" s="242">
        <v>19</v>
      </c>
      <c r="D1165" s="242">
        <v>12</v>
      </c>
      <c r="E1165" s="243">
        <v>20.3</v>
      </c>
      <c r="F1165" s="4">
        <f t="shared" si="21"/>
        <v>-0.14345991561181429</v>
      </c>
      <c r="G1165" s="37">
        <v>25.8</v>
      </c>
      <c r="H1165" s="241">
        <v>45559</v>
      </c>
    </row>
    <row r="1166" spans="3:8" x14ac:dyDescent="0.25">
      <c r="C1166" s="244" t="s">
        <v>0</v>
      </c>
      <c r="D1166" s="244" t="s">
        <v>7</v>
      </c>
      <c r="E1166" s="245" t="s">
        <v>4</v>
      </c>
      <c r="F1166" s="4" t="str">
        <f t="shared" si="21"/>
        <v/>
      </c>
      <c r="G1166" s="37">
        <v>26.2</v>
      </c>
      <c r="H1166" s="241">
        <v>45560</v>
      </c>
    </row>
    <row r="1167" spans="3:8" x14ac:dyDescent="0.25">
      <c r="C1167" s="244">
        <v>1</v>
      </c>
      <c r="D1167" s="244">
        <v>76</v>
      </c>
      <c r="E1167" s="245">
        <v>30</v>
      </c>
      <c r="F1167" s="4">
        <f t="shared" si="21"/>
        <v>1.0101010101010124E-2</v>
      </c>
      <c r="G1167" s="37">
        <v>26.2</v>
      </c>
      <c r="H1167" s="241">
        <v>45560</v>
      </c>
    </row>
    <row r="1168" spans="3:8" x14ac:dyDescent="0.25">
      <c r="C1168" s="244">
        <v>2</v>
      </c>
      <c r="D1168" s="244">
        <v>41</v>
      </c>
      <c r="E1168" s="245">
        <v>26.7</v>
      </c>
      <c r="F1168" s="4">
        <f t="shared" si="21"/>
        <v>-3.956834532374106E-2</v>
      </c>
      <c r="G1168" s="37">
        <v>26.2</v>
      </c>
      <c r="H1168" s="241">
        <v>45560</v>
      </c>
    </row>
    <row r="1169" spans="3:8" x14ac:dyDescent="0.25">
      <c r="C1169" s="244">
        <v>3</v>
      </c>
      <c r="D1169" s="244">
        <v>122</v>
      </c>
      <c r="E1169" s="245">
        <v>23.2</v>
      </c>
      <c r="F1169" s="4">
        <f t="shared" si="21"/>
        <v>-7.2000000000000022E-2</v>
      </c>
      <c r="G1169" s="37">
        <v>26.2</v>
      </c>
      <c r="H1169" s="241">
        <v>45560</v>
      </c>
    </row>
    <row r="1170" spans="3:8" x14ac:dyDescent="0.25">
      <c r="C1170" s="244">
        <v>4</v>
      </c>
      <c r="D1170" s="244">
        <v>0</v>
      </c>
      <c r="E1170" s="245"/>
      <c r="F1170" s="4" t="str">
        <f t="shared" si="21"/>
        <v/>
      </c>
      <c r="G1170" s="37">
        <v>26.2</v>
      </c>
      <c r="H1170" s="241">
        <v>45560</v>
      </c>
    </row>
    <row r="1171" spans="3:8" x14ac:dyDescent="0.25">
      <c r="C1171" s="244">
        <v>5</v>
      </c>
      <c r="D1171" s="244">
        <v>110</v>
      </c>
      <c r="E1171" s="245">
        <v>25.5</v>
      </c>
      <c r="F1171" s="4">
        <f t="shared" si="21"/>
        <v>-7.7821011673151474E-3</v>
      </c>
      <c r="G1171" s="37">
        <v>26.2</v>
      </c>
      <c r="H1171" s="241">
        <v>45560</v>
      </c>
    </row>
    <row r="1172" spans="3:8" x14ac:dyDescent="0.25">
      <c r="C1172" s="244">
        <v>6</v>
      </c>
      <c r="D1172" s="244">
        <v>114</v>
      </c>
      <c r="E1172" s="245">
        <v>20.8</v>
      </c>
      <c r="F1172" s="4">
        <f t="shared" si="21"/>
        <v>-0.14049586776859499</v>
      </c>
      <c r="G1172" s="37">
        <v>26.2</v>
      </c>
      <c r="H1172" s="241">
        <v>45560</v>
      </c>
    </row>
    <row r="1173" spans="3:8" x14ac:dyDescent="0.25">
      <c r="C1173" s="244">
        <v>7</v>
      </c>
      <c r="D1173" s="244">
        <v>112</v>
      </c>
      <c r="E1173" s="245">
        <v>27.1</v>
      </c>
      <c r="F1173" s="4">
        <f t="shared" si="21"/>
        <v>4.6332046332046448E-2</v>
      </c>
      <c r="G1173" s="37">
        <v>26.2</v>
      </c>
      <c r="H1173" s="241">
        <v>45560</v>
      </c>
    </row>
    <row r="1174" spans="3:8" x14ac:dyDescent="0.25">
      <c r="C1174" s="244">
        <v>8</v>
      </c>
      <c r="D1174" s="244">
        <v>76</v>
      </c>
      <c r="E1174" s="245">
        <v>22.9</v>
      </c>
      <c r="F1174" s="4">
        <f t="shared" si="21"/>
        <v>-2.5531914893617082E-2</v>
      </c>
      <c r="G1174" s="37">
        <v>26.2</v>
      </c>
      <c r="H1174" s="241">
        <v>45560</v>
      </c>
    </row>
    <row r="1175" spans="3:8" x14ac:dyDescent="0.25">
      <c r="C1175" s="244">
        <v>9</v>
      </c>
      <c r="D1175" s="244">
        <v>0</v>
      </c>
      <c r="E1175" s="245"/>
      <c r="F1175" s="4" t="str">
        <f t="shared" si="21"/>
        <v/>
      </c>
      <c r="G1175" s="37">
        <v>26.2</v>
      </c>
      <c r="H1175" s="241">
        <v>45560</v>
      </c>
    </row>
    <row r="1176" spans="3:8" x14ac:dyDescent="0.25">
      <c r="C1176" s="244">
        <v>10</v>
      </c>
      <c r="D1176" s="244">
        <v>0</v>
      </c>
      <c r="E1176" s="245"/>
      <c r="F1176" s="4" t="str">
        <f t="shared" si="21"/>
        <v/>
      </c>
      <c r="G1176" s="37">
        <v>26.2</v>
      </c>
      <c r="H1176" s="241">
        <v>45560</v>
      </c>
    </row>
    <row r="1177" spans="3:8" x14ac:dyDescent="0.25">
      <c r="C1177" s="244">
        <v>18</v>
      </c>
      <c r="D1177" s="244">
        <v>6</v>
      </c>
      <c r="E1177" s="245">
        <v>13.5</v>
      </c>
      <c r="F1177" s="4">
        <f t="shared" si="21"/>
        <v>-0.25414364640883985</v>
      </c>
      <c r="G1177" s="37">
        <v>26.2</v>
      </c>
      <c r="H1177" s="241">
        <v>45560</v>
      </c>
    </row>
    <row r="1178" spans="3:8" x14ac:dyDescent="0.25">
      <c r="C1178" s="244">
        <v>19</v>
      </c>
      <c r="D1178" s="244">
        <v>18</v>
      </c>
      <c r="E1178" s="245">
        <v>22.7</v>
      </c>
      <c r="F1178" s="4">
        <f t="shared" si="21"/>
        <v>0.1182266009852216</v>
      </c>
      <c r="G1178" s="37">
        <v>26.2</v>
      </c>
      <c r="H1178" s="241">
        <v>45560</v>
      </c>
    </row>
    <row r="1179" spans="3:8" x14ac:dyDescent="0.25">
      <c r="C1179" s="246" t="s">
        <v>0</v>
      </c>
      <c r="D1179" s="246" t="s">
        <v>7</v>
      </c>
      <c r="E1179" s="247" t="s">
        <v>4</v>
      </c>
      <c r="F1179" s="4" t="str">
        <f t="shared" si="21"/>
        <v/>
      </c>
      <c r="G1179" s="37">
        <v>24.2</v>
      </c>
      <c r="H1179" s="248">
        <v>45561</v>
      </c>
    </row>
    <row r="1180" spans="3:8" x14ac:dyDescent="0.25">
      <c r="C1180" s="246">
        <v>1</v>
      </c>
      <c r="D1180" s="246">
        <v>79</v>
      </c>
      <c r="E1180" s="247">
        <v>29.7</v>
      </c>
      <c r="F1180" s="4">
        <f t="shared" si="21"/>
        <v>-1.0000000000000024E-2</v>
      </c>
      <c r="G1180" s="37">
        <v>24.2</v>
      </c>
      <c r="H1180" s="248">
        <v>45561</v>
      </c>
    </row>
    <row r="1181" spans="3:8" x14ac:dyDescent="0.25">
      <c r="C1181" s="246">
        <v>2</v>
      </c>
      <c r="D1181" s="246">
        <v>42</v>
      </c>
      <c r="E1181" s="247">
        <v>26</v>
      </c>
      <c r="F1181" s="4">
        <f t="shared" si="21"/>
        <v>-2.6217228464419449E-2</v>
      </c>
      <c r="G1181" s="37">
        <v>24.2</v>
      </c>
      <c r="H1181" s="248">
        <v>45561</v>
      </c>
    </row>
    <row r="1182" spans="3:8" x14ac:dyDescent="0.25">
      <c r="C1182" s="246">
        <v>3</v>
      </c>
      <c r="D1182" s="246">
        <v>122</v>
      </c>
      <c r="E1182" s="247">
        <v>22.5</v>
      </c>
      <c r="F1182" s="4">
        <f t="shared" si="21"/>
        <v>-3.0172413793103418E-2</v>
      </c>
      <c r="G1182" s="37">
        <v>24.2</v>
      </c>
      <c r="H1182" s="248">
        <v>45561</v>
      </c>
    </row>
    <row r="1183" spans="3:8" x14ac:dyDescent="0.25">
      <c r="C1183" s="246">
        <v>4</v>
      </c>
      <c r="D1183" s="246">
        <v>0</v>
      </c>
      <c r="E1183" s="247"/>
      <c r="F1183" s="4" t="str">
        <f t="shared" si="21"/>
        <v/>
      </c>
      <c r="G1183" s="37">
        <v>24.2</v>
      </c>
      <c r="H1183" s="248">
        <v>45561</v>
      </c>
    </row>
    <row r="1184" spans="3:8" x14ac:dyDescent="0.25">
      <c r="C1184" s="246">
        <v>5</v>
      </c>
      <c r="D1184" s="246">
        <v>111</v>
      </c>
      <c r="E1184" s="247">
        <v>24.7</v>
      </c>
      <c r="F1184" s="4">
        <f t="shared" si="21"/>
        <v>-3.137254901960787E-2</v>
      </c>
      <c r="G1184" s="37">
        <v>24.2</v>
      </c>
      <c r="H1184" s="248">
        <v>45561</v>
      </c>
    </row>
    <row r="1185" spans="3:8" x14ac:dyDescent="0.25">
      <c r="C1185" s="246">
        <v>6</v>
      </c>
      <c r="D1185" s="246">
        <v>114</v>
      </c>
      <c r="E1185" s="247">
        <v>22</v>
      </c>
      <c r="F1185" s="4">
        <f t="shared" si="21"/>
        <v>5.7692307692307654E-2</v>
      </c>
      <c r="G1185" s="37">
        <v>24.2</v>
      </c>
      <c r="H1185" s="248">
        <v>45561</v>
      </c>
    </row>
    <row r="1186" spans="3:8" x14ac:dyDescent="0.25">
      <c r="C1186" s="246">
        <v>7</v>
      </c>
      <c r="D1186" s="246">
        <v>112</v>
      </c>
      <c r="E1186" s="247">
        <v>23.8</v>
      </c>
      <c r="F1186" s="4">
        <f t="shared" si="21"/>
        <v>-0.12177121771217714</v>
      </c>
      <c r="G1186" s="37">
        <v>24.2</v>
      </c>
      <c r="H1186" s="248">
        <v>45561</v>
      </c>
    </row>
    <row r="1187" spans="3:8" x14ac:dyDescent="0.25">
      <c r="C1187" s="246">
        <v>8</v>
      </c>
      <c r="D1187" s="246">
        <v>76</v>
      </c>
      <c r="E1187" s="247">
        <v>25.8</v>
      </c>
      <c r="F1187" s="4">
        <f t="shared" si="21"/>
        <v>0.12663755458515294</v>
      </c>
      <c r="G1187" s="37">
        <v>24.2</v>
      </c>
      <c r="H1187" s="248">
        <v>45561</v>
      </c>
    </row>
    <row r="1188" spans="3:8" x14ac:dyDescent="0.25">
      <c r="C1188" s="246">
        <v>9</v>
      </c>
      <c r="D1188" s="246">
        <v>0</v>
      </c>
      <c r="E1188" s="247"/>
      <c r="F1188" s="4" t="str">
        <f t="shared" si="21"/>
        <v/>
      </c>
      <c r="G1188" s="37">
        <v>24.2</v>
      </c>
      <c r="H1188" s="248">
        <v>45561</v>
      </c>
    </row>
    <row r="1189" spans="3:8" x14ac:dyDescent="0.25">
      <c r="C1189" s="246">
        <v>10</v>
      </c>
      <c r="D1189" s="246">
        <v>0</v>
      </c>
      <c r="E1189" s="247"/>
      <c r="F1189" s="4" t="str">
        <f t="shared" si="21"/>
        <v/>
      </c>
      <c r="G1189" s="37">
        <v>24.2</v>
      </c>
      <c r="H1189" s="248">
        <v>45561</v>
      </c>
    </row>
    <row r="1190" spans="3:8" x14ac:dyDescent="0.25">
      <c r="C1190" s="246">
        <v>18</v>
      </c>
      <c r="D1190" s="246">
        <v>6</v>
      </c>
      <c r="E1190" s="247">
        <v>8.1999999999999993</v>
      </c>
      <c r="F1190" s="4">
        <f t="shared" si="21"/>
        <v>-0.39259259259259266</v>
      </c>
      <c r="G1190" s="37">
        <v>24.2</v>
      </c>
      <c r="H1190" s="248">
        <v>45561</v>
      </c>
    </row>
    <row r="1191" spans="3:8" x14ac:dyDescent="0.25">
      <c r="C1191" s="246">
        <v>19</v>
      </c>
      <c r="D1191" s="246">
        <v>18</v>
      </c>
      <c r="E1191" s="247">
        <v>24.9</v>
      </c>
      <c r="F1191" s="4">
        <f t="shared" si="21"/>
        <v>9.6916299559471342E-2</v>
      </c>
      <c r="G1191" s="37">
        <v>24.2</v>
      </c>
      <c r="H1191" s="248">
        <v>45561</v>
      </c>
    </row>
    <row r="1192" spans="3:8" x14ac:dyDescent="0.25">
      <c r="C1192" s="249" t="s">
        <v>0</v>
      </c>
      <c r="D1192" s="249" t="s">
        <v>7</v>
      </c>
      <c r="E1192" s="250" t="s">
        <v>4</v>
      </c>
      <c r="F1192" s="4" t="str">
        <f t="shared" si="21"/>
        <v/>
      </c>
      <c r="G1192" s="37">
        <v>26.5</v>
      </c>
      <c r="H1192" s="248">
        <v>45562</v>
      </c>
    </row>
    <row r="1193" spans="3:8" x14ac:dyDescent="0.25">
      <c r="C1193" s="249">
        <v>1</v>
      </c>
      <c r="D1193" s="249">
        <v>84</v>
      </c>
      <c r="E1193" s="250">
        <v>31.9</v>
      </c>
      <c r="F1193" s="4">
        <f t="shared" si="21"/>
        <v>7.4074074074074056E-2</v>
      </c>
      <c r="G1193" s="37">
        <v>26.5</v>
      </c>
      <c r="H1193" s="248">
        <v>45562</v>
      </c>
    </row>
    <row r="1194" spans="3:8" x14ac:dyDescent="0.25">
      <c r="C1194" s="249">
        <v>2</v>
      </c>
      <c r="D1194" s="249">
        <v>42</v>
      </c>
      <c r="E1194" s="250">
        <v>27.3</v>
      </c>
      <c r="F1194" s="4">
        <f t="shared" si="21"/>
        <v>5.0000000000000031E-2</v>
      </c>
      <c r="G1194" s="37">
        <v>26.5</v>
      </c>
      <c r="H1194" s="248">
        <v>45562</v>
      </c>
    </row>
    <row r="1195" spans="3:8" x14ac:dyDescent="0.25">
      <c r="C1195" s="249">
        <v>3</v>
      </c>
      <c r="D1195" s="249">
        <v>121</v>
      </c>
      <c r="E1195" s="250">
        <v>22.4</v>
      </c>
      <c r="F1195" s="4">
        <f t="shared" si="21"/>
        <v>-4.4444444444445078E-3</v>
      </c>
      <c r="G1195" s="37">
        <v>26.5</v>
      </c>
      <c r="H1195" s="248">
        <v>45562</v>
      </c>
    </row>
    <row r="1196" spans="3:8" x14ac:dyDescent="0.25">
      <c r="C1196" s="249">
        <v>4</v>
      </c>
      <c r="D1196" s="249">
        <v>0</v>
      </c>
      <c r="E1196" s="250"/>
      <c r="F1196" s="4" t="str">
        <f t="shared" si="21"/>
        <v/>
      </c>
      <c r="G1196" s="37">
        <v>26.5</v>
      </c>
      <c r="H1196" s="248">
        <v>45562</v>
      </c>
    </row>
    <row r="1197" spans="3:8" x14ac:dyDescent="0.25">
      <c r="C1197" s="249">
        <v>5</v>
      </c>
      <c r="D1197" s="249">
        <v>111</v>
      </c>
      <c r="E1197" s="250">
        <v>24.9</v>
      </c>
      <c r="F1197" s="4">
        <f t="shared" si="21"/>
        <v>8.0971659919028063E-3</v>
      </c>
      <c r="G1197" s="37">
        <v>26.5</v>
      </c>
      <c r="H1197" s="248">
        <v>45562</v>
      </c>
    </row>
    <row r="1198" spans="3:8" x14ac:dyDescent="0.25">
      <c r="C1198" s="249">
        <v>6</v>
      </c>
      <c r="D1198" s="249">
        <v>116</v>
      </c>
      <c r="E1198" s="250">
        <v>24.1</v>
      </c>
      <c r="F1198" s="4">
        <f t="shared" si="21"/>
        <v>9.5454545454545514E-2</v>
      </c>
      <c r="G1198" s="37">
        <v>26.5</v>
      </c>
      <c r="H1198" s="248">
        <v>45562</v>
      </c>
    </row>
    <row r="1199" spans="3:8" x14ac:dyDescent="0.25">
      <c r="C1199" s="249">
        <v>7</v>
      </c>
      <c r="D1199" s="249">
        <v>113</v>
      </c>
      <c r="E1199" s="250">
        <v>24.7</v>
      </c>
      <c r="F1199" s="4">
        <f t="shared" si="21"/>
        <v>3.781512605042011E-2</v>
      </c>
      <c r="G1199" s="37">
        <v>26.5</v>
      </c>
      <c r="H1199" s="248">
        <v>45562</v>
      </c>
    </row>
    <row r="1200" spans="3:8" x14ac:dyDescent="0.25">
      <c r="C1200" s="249">
        <v>8</v>
      </c>
      <c r="D1200" s="249">
        <v>75</v>
      </c>
      <c r="E1200" s="250">
        <v>20.100000000000001</v>
      </c>
      <c r="F1200" s="4">
        <f t="shared" si="21"/>
        <v>-0.22093023255813951</v>
      </c>
      <c r="G1200" s="37">
        <v>26.5</v>
      </c>
      <c r="H1200" s="248">
        <v>45562</v>
      </c>
    </row>
    <row r="1201" spans="3:8" x14ac:dyDescent="0.25">
      <c r="C1201" s="249">
        <v>9</v>
      </c>
      <c r="D1201" s="249">
        <v>0</v>
      </c>
      <c r="E1201" s="250"/>
      <c r="F1201" s="4" t="str">
        <f t="shared" si="21"/>
        <v/>
      </c>
      <c r="G1201" s="37">
        <v>26.5</v>
      </c>
      <c r="H1201" s="248">
        <v>45562</v>
      </c>
    </row>
    <row r="1202" spans="3:8" x14ac:dyDescent="0.25">
      <c r="C1202" s="249">
        <v>10</v>
      </c>
      <c r="D1202" s="249">
        <v>0</v>
      </c>
      <c r="E1202" s="250"/>
      <c r="F1202" s="4" t="str">
        <f t="shared" si="21"/>
        <v/>
      </c>
      <c r="G1202" s="37">
        <v>26.5</v>
      </c>
      <c r="H1202" s="248">
        <v>45562</v>
      </c>
    </row>
    <row r="1203" spans="3:8" x14ac:dyDescent="0.25">
      <c r="C1203" s="249">
        <v>18</v>
      </c>
      <c r="D1203" s="249">
        <v>4</v>
      </c>
      <c r="E1203" s="250">
        <v>22.7</v>
      </c>
      <c r="F1203" s="4">
        <f t="shared" si="21"/>
        <v>1.7682926829268295</v>
      </c>
      <c r="G1203" s="37">
        <v>26.5</v>
      </c>
      <c r="H1203" s="248">
        <v>45562</v>
      </c>
    </row>
    <row r="1204" spans="3:8" x14ac:dyDescent="0.25">
      <c r="C1204" s="249">
        <v>19</v>
      </c>
      <c r="D1204" s="249">
        <v>15</v>
      </c>
      <c r="E1204" s="250">
        <v>16.399999999999999</v>
      </c>
      <c r="F1204" s="4">
        <f t="shared" si="21"/>
        <v>-0.34136546184738958</v>
      </c>
      <c r="G1204" s="37">
        <v>26.5</v>
      </c>
      <c r="H1204" s="248">
        <v>45562</v>
      </c>
    </row>
    <row r="1205" spans="3:8" x14ac:dyDescent="0.25">
      <c r="C1205" s="251" t="s">
        <v>0</v>
      </c>
      <c r="D1205" s="251" t="s">
        <v>7</v>
      </c>
      <c r="E1205" s="252" t="s">
        <v>4</v>
      </c>
      <c r="F1205" s="4" t="str">
        <f t="shared" si="21"/>
        <v/>
      </c>
      <c r="G1205" s="37">
        <v>28.5</v>
      </c>
      <c r="H1205" s="248">
        <v>45563</v>
      </c>
    </row>
    <row r="1206" spans="3:8" x14ac:dyDescent="0.25">
      <c r="C1206" s="251">
        <v>1</v>
      </c>
      <c r="D1206" s="251">
        <v>55</v>
      </c>
      <c r="E1206" s="252">
        <v>28</v>
      </c>
      <c r="F1206" s="4">
        <f t="shared" ref="F1206:F1270" si="22">IFERROR((E1206-E1193)/E1193,"")</f>
        <v>-0.12225705329153601</v>
      </c>
      <c r="G1206" s="37">
        <v>28.5</v>
      </c>
      <c r="H1206" s="248">
        <v>45563</v>
      </c>
    </row>
    <row r="1207" spans="3:8" x14ac:dyDescent="0.25">
      <c r="C1207" s="251">
        <v>2</v>
      </c>
      <c r="D1207" s="251">
        <v>42</v>
      </c>
      <c r="E1207" s="252">
        <v>25.9</v>
      </c>
      <c r="F1207" s="4">
        <f t="shared" si="22"/>
        <v>-5.1282051282051357E-2</v>
      </c>
      <c r="G1207" s="37">
        <v>28.5</v>
      </c>
      <c r="H1207" s="248">
        <v>45563</v>
      </c>
    </row>
    <row r="1208" spans="3:8" x14ac:dyDescent="0.25">
      <c r="C1208" s="251">
        <v>3</v>
      </c>
      <c r="D1208" s="251">
        <v>121</v>
      </c>
      <c r="E1208" s="252">
        <v>27.4</v>
      </c>
      <c r="F1208" s="4">
        <f t="shared" si="22"/>
        <v>0.22321428571428573</v>
      </c>
      <c r="G1208" s="37">
        <v>28.5</v>
      </c>
      <c r="H1208" s="248">
        <v>45563</v>
      </c>
    </row>
    <row r="1209" spans="3:8" x14ac:dyDescent="0.25">
      <c r="C1209" s="251">
        <v>4</v>
      </c>
      <c r="D1209" s="251">
        <v>0</v>
      </c>
      <c r="E1209" s="252"/>
      <c r="F1209" s="4" t="str">
        <f t="shared" si="22"/>
        <v/>
      </c>
      <c r="G1209" s="37">
        <v>28.5</v>
      </c>
      <c r="H1209" s="248">
        <v>45563</v>
      </c>
    </row>
    <row r="1210" spans="3:8" x14ac:dyDescent="0.25">
      <c r="C1210" s="251">
        <v>5</v>
      </c>
      <c r="D1210" s="251">
        <v>110</v>
      </c>
      <c r="E1210" s="252">
        <v>26.2</v>
      </c>
      <c r="F1210" s="4">
        <f t="shared" si="22"/>
        <v>5.2208835341365493E-2</v>
      </c>
      <c r="G1210" s="37">
        <v>28.5</v>
      </c>
      <c r="H1210" s="248">
        <v>45563</v>
      </c>
    </row>
    <row r="1211" spans="3:8" x14ac:dyDescent="0.25">
      <c r="C1211" s="251">
        <v>6</v>
      </c>
      <c r="D1211" s="251">
        <v>113</v>
      </c>
      <c r="E1211" s="252">
        <v>22.8</v>
      </c>
      <c r="F1211" s="4">
        <f t="shared" si="22"/>
        <v>-5.394190871369297E-2</v>
      </c>
      <c r="G1211" s="37">
        <v>28.5</v>
      </c>
      <c r="H1211" s="248">
        <v>45563</v>
      </c>
    </row>
    <row r="1212" spans="3:8" x14ac:dyDescent="0.25">
      <c r="C1212" s="251">
        <v>7</v>
      </c>
      <c r="D1212" s="251">
        <v>110</v>
      </c>
      <c r="E1212" s="252">
        <v>29.3</v>
      </c>
      <c r="F1212" s="4">
        <f t="shared" si="22"/>
        <v>0.18623481781376525</v>
      </c>
      <c r="G1212" s="37">
        <v>28.5</v>
      </c>
      <c r="H1212" s="248">
        <v>45563</v>
      </c>
    </row>
    <row r="1213" spans="3:8" x14ac:dyDescent="0.25">
      <c r="C1213" s="251">
        <v>8</v>
      </c>
      <c r="D1213" s="251">
        <v>114</v>
      </c>
      <c r="E1213" s="252">
        <v>24</v>
      </c>
      <c r="F1213" s="4">
        <f t="shared" si="22"/>
        <v>0.19402985074626858</v>
      </c>
      <c r="G1213" s="37">
        <v>28.5</v>
      </c>
      <c r="H1213" s="248">
        <v>45563</v>
      </c>
    </row>
    <row r="1214" spans="3:8" x14ac:dyDescent="0.25">
      <c r="C1214" s="251">
        <v>9</v>
      </c>
      <c r="D1214" s="251">
        <v>0</v>
      </c>
      <c r="E1214" s="252"/>
      <c r="F1214" s="4" t="str">
        <f t="shared" si="22"/>
        <v/>
      </c>
      <c r="G1214" s="37">
        <v>28.5</v>
      </c>
      <c r="H1214" s="248">
        <v>45563</v>
      </c>
    </row>
    <row r="1215" spans="3:8" x14ac:dyDescent="0.25">
      <c r="C1215" s="251">
        <v>10</v>
      </c>
      <c r="D1215" s="251">
        <v>0</v>
      </c>
      <c r="E1215" s="252"/>
      <c r="F1215" s="4" t="str">
        <f t="shared" si="22"/>
        <v/>
      </c>
      <c r="G1215" s="37">
        <v>28.5</v>
      </c>
      <c r="H1215" s="248">
        <v>45563</v>
      </c>
    </row>
    <row r="1216" spans="3:8" x14ac:dyDescent="0.25">
      <c r="C1216" s="251">
        <v>18</v>
      </c>
      <c r="D1216" s="251">
        <v>4</v>
      </c>
      <c r="E1216" s="252">
        <v>15.4</v>
      </c>
      <c r="F1216" s="4">
        <f t="shared" si="22"/>
        <v>-0.32158590308370039</v>
      </c>
      <c r="G1216" s="37">
        <v>28.5</v>
      </c>
      <c r="H1216" s="248">
        <v>45563</v>
      </c>
    </row>
    <row r="1217" spans="3:8" x14ac:dyDescent="0.25">
      <c r="C1217" s="251">
        <v>19</v>
      </c>
      <c r="D1217" s="251">
        <v>12</v>
      </c>
      <c r="E1217" s="252">
        <v>23</v>
      </c>
      <c r="F1217" s="4">
        <f t="shared" si="22"/>
        <v>0.40243902439024404</v>
      </c>
      <c r="G1217" s="37">
        <v>28.5</v>
      </c>
      <c r="H1217" s="248">
        <v>45563</v>
      </c>
    </row>
    <row r="1218" spans="3:8" x14ac:dyDescent="0.25">
      <c r="C1218" s="253" t="s">
        <v>0</v>
      </c>
      <c r="D1218" s="253" t="s">
        <v>7</v>
      </c>
      <c r="E1218" s="254" t="s">
        <v>4</v>
      </c>
      <c r="F1218" s="4" t="str">
        <f t="shared" si="22"/>
        <v/>
      </c>
      <c r="G1218" s="37">
        <v>26.2</v>
      </c>
      <c r="H1218" s="255">
        <v>45564</v>
      </c>
    </row>
    <row r="1219" spans="3:8" x14ac:dyDescent="0.25">
      <c r="C1219" s="253">
        <v>1</v>
      </c>
      <c r="D1219" s="253">
        <v>52</v>
      </c>
      <c r="E1219" s="254">
        <v>26.7</v>
      </c>
      <c r="F1219" s="4">
        <f t="shared" si="22"/>
        <v>-4.6428571428571451E-2</v>
      </c>
      <c r="G1219" s="37">
        <v>26.2</v>
      </c>
      <c r="H1219" s="255">
        <v>45564</v>
      </c>
    </row>
    <row r="1220" spans="3:8" x14ac:dyDescent="0.25">
      <c r="C1220" s="253">
        <v>2</v>
      </c>
      <c r="D1220" s="253">
        <v>42</v>
      </c>
      <c r="E1220" s="254">
        <v>29.4</v>
      </c>
      <c r="F1220" s="4">
        <f t="shared" si="22"/>
        <v>0.13513513513513514</v>
      </c>
      <c r="G1220" s="37">
        <v>26.2</v>
      </c>
      <c r="H1220" s="255">
        <v>45564</v>
      </c>
    </row>
    <row r="1221" spans="3:8" x14ac:dyDescent="0.25">
      <c r="C1221" s="253">
        <v>3</v>
      </c>
      <c r="D1221" s="253">
        <v>120</v>
      </c>
      <c r="E1221" s="254">
        <v>22.3</v>
      </c>
      <c r="F1221" s="4">
        <f t="shared" si="22"/>
        <v>-0.18613138686131381</v>
      </c>
      <c r="G1221" s="37">
        <v>26.2</v>
      </c>
      <c r="H1221" s="255">
        <v>45564</v>
      </c>
    </row>
    <row r="1222" spans="3:8" x14ac:dyDescent="0.25">
      <c r="C1222" s="253">
        <v>4</v>
      </c>
      <c r="D1222" s="253">
        <v>0</v>
      </c>
      <c r="E1222" s="254"/>
      <c r="F1222" s="4" t="str">
        <f t="shared" si="22"/>
        <v/>
      </c>
      <c r="G1222" s="37">
        <v>26.2</v>
      </c>
      <c r="H1222" s="255">
        <v>45564</v>
      </c>
    </row>
    <row r="1223" spans="3:8" x14ac:dyDescent="0.25">
      <c r="C1223" s="253">
        <v>5</v>
      </c>
      <c r="D1223" s="253">
        <v>110</v>
      </c>
      <c r="E1223" s="254">
        <v>25.6</v>
      </c>
      <c r="F1223" s="4">
        <f t="shared" si="22"/>
        <v>-2.2900763358778546E-2</v>
      </c>
      <c r="G1223" s="37">
        <v>26.2</v>
      </c>
      <c r="H1223" s="255">
        <v>45564</v>
      </c>
    </row>
    <row r="1224" spans="3:8" x14ac:dyDescent="0.25">
      <c r="C1224" s="253">
        <v>6</v>
      </c>
      <c r="D1224" s="253">
        <v>112</v>
      </c>
      <c r="E1224" s="254">
        <v>25.9</v>
      </c>
      <c r="F1224" s="4">
        <f t="shared" si="22"/>
        <v>0.13596491228070165</v>
      </c>
      <c r="G1224" s="37">
        <v>26.2</v>
      </c>
      <c r="H1224" s="255">
        <v>45564</v>
      </c>
    </row>
    <row r="1225" spans="3:8" x14ac:dyDescent="0.25">
      <c r="C1225" s="253">
        <v>7</v>
      </c>
      <c r="D1225" s="253">
        <v>110</v>
      </c>
      <c r="E1225" s="254">
        <v>25</v>
      </c>
      <c r="F1225" s="4">
        <f t="shared" si="22"/>
        <v>-0.14675767918088739</v>
      </c>
      <c r="G1225" s="37">
        <v>26.2</v>
      </c>
      <c r="H1225" s="255">
        <v>45564</v>
      </c>
    </row>
    <row r="1226" spans="3:8" x14ac:dyDescent="0.25">
      <c r="C1226" s="253">
        <v>8</v>
      </c>
      <c r="D1226" s="253">
        <v>114</v>
      </c>
      <c r="E1226" s="254">
        <v>22.6</v>
      </c>
      <c r="F1226" s="4">
        <f t="shared" si="22"/>
        <v>-5.8333333333333272E-2</v>
      </c>
      <c r="G1226" s="37">
        <v>26.2</v>
      </c>
      <c r="H1226" s="255">
        <v>45564</v>
      </c>
    </row>
    <row r="1227" spans="3:8" x14ac:dyDescent="0.25">
      <c r="C1227" s="253">
        <v>9</v>
      </c>
      <c r="D1227" s="253">
        <v>0</v>
      </c>
      <c r="E1227" s="254"/>
      <c r="F1227" s="4" t="str">
        <f t="shared" si="22"/>
        <v/>
      </c>
      <c r="G1227" s="37">
        <v>26.2</v>
      </c>
      <c r="H1227" s="255">
        <v>45564</v>
      </c>
    </row>
    <row r="1228" spans="3:8" x14ac:dyDescent="0.25">
      <c r="C1228" s="253">
        <v>10</v>
      </c>
      <c r="D1228" s="253">
        <v>0</v>
      </c>
      <c r="E1228" s="254"/>
      <c r="F1228" s="4" t="str">
        <f t="shared" si="22"/>
        <v/>
      </c>
      <c r="G1228" s="37">
        <v>26.2</v>
      </c>
      <c r="H1228" s="255">
        <v>45564</v>
      </c>
    </row>
    <row r="1229" spans="3:8" x14ac:dyDescent="0.25">
      <c r="C1229" s="253">
        <v>18</v>
      </c>
      <c r="D1229" s="253">
        <v>3</v>
      </c>
      <c r="E1229" s="254">
        <v>11</v>
      </c>
      <c r="F1229" s="4">
        <f t="shared" si="22"/>
        <v>-0.28571428571428575</v>
      </c>
      <c r="G1229" s="37">
        <v>26.2</v>
      </c>
      <c r="H1229" s="255">
        <v>45564</v>
      </c>
    </row>
    <row r="1230" spans="3:8" x14ac:dyDescent="0.25">
      <c r="C1230" s="253">
        <v>19</v>
      </c>
      <c r="D1230" s="253">
        <v>13</v>
      </c>
      <c r="E1230" s="254">
        <v>17.5</v>
      </c>
      <c r="F1230" s="4">
        <f t="shared" si="22"/>
        <v>-0.2391304347826087</v>
      </c>
      <c r="G1230" s="37">
        <v>26.2</v>
      </c>
      <c r="H1230" s="255">
        <v>45564</v>
      </c>
    </row>
    <row r="1231" spans="3:8" x14ac:dyDescent="0.25">
      <c r="C1231" s="256" t="s">
        <v>0</v>
      </c>
      <c r="D1231" s="256" t="s">
        <v>7</v>
      </c>
      <c r="E1231" s="257" t="s">
        <v>4</v>
      </c>
      <c r="F1231" s="4" t="str">
        <f t="shared" si="22"/>
        <v/>
      </c>
      <c r="G1231" s="37">
        <v>25.9</v>
      </c>
      <c r="H1231" s="258">
        <v>45565</v>
      </c>
    </row>
    <row r="1232" spans="3:8" x14ac:dyDescent="0.25">
      <c r="C1232" s="256">
        <v>1</v>
      </c>
      <c r="D1232" s="256">
        <v>47</v>
      </c>
      <c r="E1232" s="257">
        <v>29.8</v>
      </c>
      <c r="F1232" s="4">
        <f t="shared" si="22"/>
        <v>0.11610486891385774</v>
      </c>
      <c r="G1232" s="37">
        <v>25.9</v>
      </c>
      <c r="H1232" s="258">
        <v>45565</v>
      </c>
    </row>
    <row r="1233" spans="3:8" x14ac:dyDescent="0.25">
      <c r="C1233" s="256">
        <v>2</v>
      </c>
      <c r="D1233" s="256">
        <v>41</v>
      </c>
      <c r="E1233" s="257">
        <v>27.1</v>
      </c>
      <c r="F1233" s="4">
        <f t="shared" si="22"/>
        <v>-7.8231292517006709E-2</v>
      </c>
      <c r="G1233" s="37">
        <v>25.9</v>
      </c>
      <c r="H1233" s="258">
        <v>45565</v>
      </c>
    </row>
    <row r="1234" spans="3:8" x14ac:dyDescent="0.25">
      <c r="C1234" s="256">
        <v>3</v>
      </c>
      <c r="D1234" s="256">
        <v>120</v>
      </c>
      <c r="E1234" s="257">
        <v>21.7</v>
      </c>
      <c r="F1234" s="4">
        <f t="shared" si="22"/>
        <v>-2.690582959641262E-2</v>
      </c>
      <c r="G1234" s="37">
        <v>25.9</v>
      </c>
      <c r="H1234" s="258">
        <v>45565</v>
      </c>
    </row>
    <row r="1235" spans="3:8" x14ac:dyDescent="0.25">
      <c r="C1235" s="256">
        <v>4</v>
      </c>
      <c r="D1235" s="256">
        <v>0</v>
      </c>
      <c r="E1235" s="257"/>
      <c r="F1235" s="4" t="str">
        <f t="shared" si="22"/>
        <v/>
      </c>
      <c r="G1235" s="37">
        <v>25.9</v>
      </c>
      <c r="H1235" s="258">
        <v>45565</v>
      </c>
    </row>
    <row r="1236" spans="3:8" x14ac:dyDescent="0.25">
      <c r="C1236" s="256">
        <v>5</v>
      </c>
      <c r="D1236" s="256">
        <v>111</v>
      </c>
      <c r="E1236" s="257">
        <v>24.6</v>
      </c>
      <c r="F1236" s="4">
        <f t="shared" si="22"/>
        <v>-3.90625E-2</v>
      </c>
      <c r="G1236" s="37">
        <v>25.9</v>
      </c>
      <c r="H1236" s="258">
        <v>45565</v>
      </c>
    </row>
    <row r="1237" spans="3:8" x14ac:dyDescent="0.25">
      <c r="C1237" s="256">
        <v>6</v>
      </c>
      <c r="D1237" s="256">
        <v>112</v>
      </c>
      <c r="E1237" s="257">
        <v>24.6</v>
      </c>
      <c r="F1237" s="4">
        <f t="shared" si="22"/>
        <v>-5.0193050193050086E-2</v>
      </c>
      <c r="G1237" s="37">
        <v>25.9</v>
      </c>
      <c r="H1237" s="258">
        <v>45565</v>
      </c>
    </row>
    <row r="1238" spans="3:8" x14ac:dyDescent="0.25">
      <c r="C1238" s="256">
        <v>7</v>
      </c>
      <c r="D1238" s="256">
        <v>113</v>
      </c>
      <c r="E1238" s="257">
        <v>25</v>
      </c>
      <c r="F1238" s="4">
        <f t="shared" si="22"/>
        <v>0</v>
      </c>
      <c r="G1238" s="37">
        <v>25.9</v>
      </c>
      <c r="H1238" s="258">
        <v>45565</v>
      </c>
    </row>
    <row r="1239" spans="3:8" x14ac:dyDescent="0.25">
      <c r="C1239" s="256">
        <v>8</v>
      </c>
      <c r="D1239" s="256">
        <v>115</v>
      </c>
      <c r="E1239" s="257">
        <v>19.899999999999999</v>
      </c>
      <c r="F1239" s="4">
        <f t="shared" si="22"/>
        <v>-0.11946902654867268</v>
      </c>
      <c r="G1239" s="37">
        <v>25.9</v>
      </c>
      <c r="H1239" s="258">
        <v>45565</v>
      </c>
    </row>
    <row r="1240" spans="3:8" x14ac:dyDescent="0.25">
      <c r="C1240" s="256">
        <v>9</v>
      </c>
      <c r="D1240" s="256">
        <v>0</v>
      </c>
      <c r="E1240" s="257"/>
      <c r="F1240" s="4" t="str">
        <f t="shared" si="22"/>
        <v/>
      </c>
      <c r="G1240" s="37">
        <v>25.9</v>
      </c>
      <c r="H1240" s="258">
        <v>45565</v>
      </c>
    </row>
    <row r="1241" spans="3:8" x14ac:dyDescent="0.25">
      <c r="C1241" s="256">
        <v>10</v>
      </c>
      <c r="D1241" s="256">
        <v>0</v>
      </c>
      <c r="E1241" s="257"/>
      <c r="F1241" s="4" t="str">
        <f t="shared" si="22"/>
        <v/>
      </c>
      <c r="G1241" s="37">
        <v>25.9</v>
      </c>
      <c r="H1241" s="258">
        <v>45565</v>
      </c>
    </row>
    <row r="1242" spans="3:8" x14ac:dyDescent="0.25">
      <c r="C1242" s="256">
        <v>18</v>
      </c>
      <c r="D1242" s="256">
        <v>5</v>
      </c>
      <c r="E1242" s="257">
        <v>15.2</v>
      </c>
      <c r="F1242" s="4">
        <f t="shared" si="22"/>
        <v>0.38181818181818178</v>
      </c>
      <c r="G1242" s="37">
        <v>25.9</v>
      </c>
      <c r="H1242" s="258">
        <v>45565</v>
      </c>
    </row>
    <row r="1243" spans="3:8" x14ac:dyDescent="0.25">
      <c r="C1243" s="256">
        <v>19</v>
      </c>
      <c r="D1243" s="256">
        <v>11</v>
      </c>
      <c r="E1243" s="257">
        <v>13.6</v>
      </c>
      <c r="F1243" s="4">
        <f t="shared" si="22"/>
        <v>-0.22285714285714286</v>
      </c>
      <c r="G1243" s="37">
        <v>25.9</v>
      </c>
      <c r="H1243" s="258">
        <v>45565</v>
      </c>
    </row>
    <row r="1244" spans="3:8" x14ac:dyDescent="0.25">
      <c r="C1244" s="259" t="s">
        <v>0</v>
      </c>
      <c r="D1244" s="259" t="s">
        <v>7</v>
      </c>
      <c r="E1244" s="260" t="s">
        <v>4</v>
      </c>
      <c r="F1244" s="4" t="str">
        <f t="shared" si="22"/>
        <v/>
      </c>
      <c r="G1244" s="37">
        <v>25.9</v>
      </c>
      <c r="H1244" s="261">
        <v>45566</v>
      </c>
    </row>
    <row r="1245" spans="3:8" x14ac:dyDescent="0.25">
      <c r="C1245" s="259">
        <v>1</v>
      </c>
      <c r="D1245" s="259">
        <v>50</v>
      </c>
      <c r="E1245" s="260">
        <v>28.4</v>
      </c>
      <c r="F1245" s="4">
        <f t="shared" si="22"/>
        <v>-4.6979865771812152E-2</v>
      </c>
      <c r="G1245" s="37">
        <v>25.9</v>
      </c>
      <c r="H1245" s="261">
        <v>45566</v>
      </c>
    </row>
    <row r="1246" spans="3:8" x14ac:dyDescent="0.25">
      <c r="C1246" s="259">
        <v>2</v>
      </c>
      <c r="D1246" s="259">
        <v>40</v>
      </c>
      <c r="E1246" s="260">
        <v>29</v>
      </c>
      <c r="F1246" s="4">
        <f t="shared" si="22"/>
        <v>7.0110701107011009E-2</v>
      </c>
      <c r="G1246" s="37">
        <v>25.9</v>
      </c>
      <c r="H1246" s="261">
        <v>45566</v>
      </c>
    </row>
    <row r="1247" spans="3:8" x14ac:dyDescent="0.25">
      <c r="C1247" s="259">
        <v>3</v>
      </c>
      <c r="D1247" s="259">
        <v>120</v>
      </c>
      <c r="E1247" s="260">
        <v>25.7</v>
      </c>
      <c r="F1247" s="4">
        <f t="shared" si="22"/>
        <v>0.18433179723502305</v>
      </c>
      <c r="G1247" s="37">
        <v>25.9</v>
      </c>
      <c r="H1247" s="261">
        <v>45566</v>
      </c>
    </row>
    <row r="1248" spans="3:8" x14ac:dyDescent="0.25">
      <c r="C1248" s="259">
        <v>4</v>
      </c>
      <c r="D1248" s="259">
        <v>0</v>
      </c>
      <c r="E1248" s="260"/>
      <c r="F1248" s="4" t="str">
        <f t="shared" si="22"/>
        <v/>
      </c>
      <c r="G1248" s="37">
        <v>25.9</v>
      </c>
      <c r="H1248" s="261">
        <v>45566</v>
      </c>
    </row>
    <row r="1249" spans="3:8" x14ac:dyDescent="0.25">
      <c r="C1249" s="259">
        <v>5</v>
      </c>
      <c r="D1249" s="259">
        <v>115</v>
      </c>
      <c r="E1249" s="260">
        <v>26.1</v>
      </c>
      <c r="F1249" s="4">
        <f t="shared" si="22"/>
        <v>6.097560975609756E-2</v>
      </c>
      <c r="G1249" s="37">
        <v>25.9</v>
      </c>
      <c r="H1249" s="261">
        <v>45566</v>
      </c>
    </row>
    <row r="1250" spans="3:8" x14ac:dyDescent="0.25">
      <c r="C1250" s="259">
        <v>6</v>
      </c>
      <c r="D1250" s="259">
        <v>112</v>
      </c>
      <c r="E1250" s="260">
        <v>27.1</v>
      </c>
      <c r="F1250" s="4">
        <f t="shared" si="22"/>
        <v>0.1016260162601626</v>
      </c>
      <c r="G1250" s="37">
        <v>25.9</v>
      </c>
      <c r="H1250" s="261">
        <v>45566</v>
      </c>
    </row>
    <row r="1251" spans="3:8" x14ac:dyDescent="0.25">
      <c r="C1251" s="259">
        <v>7</v>
      </c>
      <c r="D1251" s="259">
        <v>113</v>
      </c>
      <c r="E1251" s="260">
        <v>25</v>
      </c>
      <c r="F1251" s="4">
        <f t="shared" si="22"/>
        <v>0</v>
      </c>
      <c r="G1251" s="37">
        <v>25.9</v>
      </c>
      <c r="H1251" s="261">
        <v>45566</v>
      </c>
    </row>
    <row r="1252" spans="3:8" x14ac:dyDescent="0.25">
      <c r="C1252" s="259">
        <v>8</v>
      </c>
      <c r="D1252" s="259">
        <v>115</v>
      </c>
      <c r="E1252" s="260">
        <v>21.7</v>
      </c>
      <c r="F1252" s="4">
        <f t="shared" si="22"/>
        <v>9.0452261306532708E-2</v>
      </c>
      <c r="G1252" s="37">
        <v>25.9</v>
      </c>
      <c r="H1252" s="261">
        <v>45566</v>
      </c>
    </row>
    <row r="1253" spans="3:8" x14ac:dyDescent="0.25">
      <c r="C1253" s="259">
        <v>9</v>
      </c>
      <c r="D1253" s="259">
        <v>0</v>
      </c>
      <c r="E1253" s="260"/>
      <c r="F1253" s="4" t="str">
        <f t="shared" si="22"/>
        <v/>
      </c>
      <c r="G1253" s="37">
        <v>25.9</v>
      </c>
      <c r="H1253" s="261">
        <v>45566</v>
      </c>
    </row>
    <row r="1254" spans="3:8" x14ac:dyDescent="0.25">
      <c r="C1254" s="259">
        <v>10</v>
      </c>
      <c r="D1254" s="259">
        <v>0</v>
      </c>
      <c r="E1254" s="260"/>
      <c r="F1254" s="4" t="str">
        <f t="shared" si="22"/>
        <v/>
      </c>
      <c r="G1254" s="37">
        <v>25.9</v>
      </c>
      <c r="H1254" s="261">
        <v>45566</v>
      </c>
    </row>
    <row r="1255" spans="3:8" x14ac:dyDescent="0.25">
      <c r="C1255" s="259">
        <v>18</v>
      </c>
      <c r="D1255" s="259">
        <v>6</v>
      </c>
      <c r="E1255" s="260">
        <v>15.6</v>
      </c>
      <c r="F1255" s="4">
        <f t="shared" si="22"/>
        <v>2.6315789473684237E-2</v>
      </c>
      <c r="G1255" s="37">
        <v>25.9</v>
      </c>
      <c r="H1255" s="261">
        <v>45566</v>
      </c>
    </row>
    <row r="1256" spans="3:8" x14ac:dyDescent="0.25">
      <c r="C1256" s="259">
        <v>19</v>
      </c>
      <c r="D1256" s="259">
        <v>6</v>
      </c>
      <c r="E1256" s="260">
        <v>16.2</v>
      </c>
      <c r="F1256" s="4">
        <f t="shared" si="22"/>
        <v>0.19117647058823528</v>
      </c>
      <c r="G1256" s="37">
        <v>25.9</v>
      </c>
      <c r="H1256" s="261">
        <v>45566</v>
      </c>
    </row>
    <row r="1257" spans="3:8" x14ac:dyDescent="0.25">
      <c r="C1257" s="262" t="s">
        <v>0</v>
      </c>
      <c r="D1257" s="262" t="s">
        <v>7</v>
      </c>
      <c r="E1257" s="263" t="s">
        <v>4</v>
      </c>
      <c r="F1257" s="4" t="str">
        <f t="shared" si="22"/>
        <v/>
      </c>
      <c r="G1257" s="37">
        <v>25.8</v>
      </c>
      <c r="H1257" s="264">
        <v>45567</v>
      </c>
    </row>
    <row r="1258" spans="3:8" x14ac:dyDescent="0.25">
      <c r="C1258" s="262">
        <v>1</v>
      </c>
      <c r="D1258" s="262">
        <v>54</v>
      </c>
      <c r="E1258" s="263">
        <v>27.4</v>
      </c>
      <c r="F1258" s="4">
        <f t="shared" si="22"/>
        <v>-3.5211267605633804E-2</v>
      </c>
      <c r="G1258" s="37">
        <v>25.8</v>
      </c>
      <c r="H1258" s="264">
        <v>45567</v>
      </c>
    </row>
    <row r="1259" spans="3:8" x14ac:dyDescent="0.25">
      <c r="C1259" s="262">
        <v>2</v>
      </c>
      <c r="D1259" s="262">
        <v>39</v>
      </c>
      <c r="E1259" s="263">
        <v>29.2</v>
      </c>
      <c r="F1259" s="4">
        <f t="shared" si="22"/>
        <v>6.8965517241379067E-3</v>
      </c>
      <c r="G1259" s="37">
        <v>25.8</v>
      </c>
      <c r="H1259" s="264">
        <v>45567</v>
      </c>
    </row>
    <row r="1260" spans="3:8" x14ac:dyDescent="0.25">
      <c r="C1260" s="262">
        <v>3</v>
      </c>
      <c r="D1260" s="262">
        <v>120</v>
      </c>
      <c r="E1260" s="263">
        <v>26.1</v>
      </c>
      <c r="F1260" s="4">
        <f t="shared" si="22"/>
        <v>1.5564202334630434E-2</v>
      </c>
      <c r="G1260" s="37">
        <v>25.8</v>
      </c>
      <c r="H1260" s="264">
        <v>45567</v>
      </c>
    </row>
    <row r="1261" spans="3:8" x14ac:dyDescent="0.25">
      <c r="C1261" s="262">
        <v>4</v>
      </c>
      <c r="D1261" s="262">
        <v>0</v>
      </c>
      <c r="E1261" s="263"/>
      <c r="F1261" s="4" t="str">
        <f t="shared" si="22"/>
        <v/>
      </c>
      <c r="G1261" s="37">
        <v>25.8</v>
      </c>
      <c r="H1261" s="264">
        <v>45567</v>
      </c>
    </row>
    <row r="1262" spans="3:8" x14ac:dyDescent="0.25">
      <c r="C1262" s="262">
        <v>5</v>
      </c>
      <c r="D1262" s="262">
        <v>115</v>
      </c>
      <c r="E1262" s="263">
        <v>25.6</v>
      </c>
      <c r="F1262" s="4">
        <f t="shared" si="22"/>
        <v>-1.9157088122605363E-2</v>
      </c>
      <c r="G1262" s="37">
        <v>25.8</v>
      </c>
      <c r="H1262" s="264">
        <v>45567</v>
      </c>
    </row>
    <row r="1263" spans="3:8" x14ac:dyDescent="0.25">
      <c r="C1263" s="262">
        <v>6</v>
      </c>
      <c r="D1263" s="262">
        <v>110</v>
      </c>
      <c r="E1263" s="263">
        <v>25.6</v>
      </c>
      <c r="F1263" s="4">
        <f t="shared" si="22"/>
        <v>-5.5350553505535055E-2</v>
      </c>
      <c r="G1263" s="37">
        <v>25.8</v>
      </c>
      <c r="H1263" s="264">
        <v>45567</v>
      </c>
    </row>
    <row r="1264" spans="3:8" x14ac:dyDescent="0.25">
      <c r="C1264" s="262">
        <v>7</v>
      </c>
      <c r="D1264" s="262">
        <v>113</v>
      </c>
      <c r="E1264" s="263">
        <v>25.2</v>
      </c>
      <c r="F1264" s="4">
        <f t="shared" si="22"/>
        <v>7.9999999999999724E-3</v>
      </c>
      <c r="G1264" s="37">
        <v>25.8</v>
      </c>
      <c r="H1264" s="264">
        <v>45567</v>
      </c>
    </row>
    <row r="1265" spans="3:8" x14ac:dyDescent="0.25">
      <c r="C1265" s="262">
        <v>8</v>
      </c>
      <c r="D1265" s="262">
        <v>113</v>
      </c>
      <c r="E1265" s="263">
        <v>21.7</v>
      </c>
      <c r="F1265" s="4">
        <f t="shared" si="22"/>
        <v>0</v>
      </c>
      <c r="G1265" s="37">
        <v>25.8</v>
      </c>
      <c r="H1265" s="264">
        <v>45567</v>
      </c>
    </row>
    <row r="1266" spans="3:8" x14ac:dyDescent="0.25">
      <c r="C1266" s="262">
        <v>9</v>
      </c>
      <c r="D1266" s="262">
        <v>0</v>
      </c>
      <c r="E1266" s="263"/>
      <c r="F1266" s="4" t="str">
        <f t="shared" si="22"/>
        <v/>
      </c>
      <c r="G1266" s="37">
        <v>25.8</v>
      </c>
      <c r="H1266" s="264">
        <v>45567</v>
      </c>
    </row>
    <row r="1267" spans="3:8" x14ac:dyDescent="0.25">
      <c r="C1267" s="262">
        <v>10</v>
      </c>
      <c r="D1267" s="262">
        <v>0</v>
      </c>
      <c r="E1267" s="263"/>
      <c r="F1267" s="4" t="str">
        <f t="shared" si="22"/>
        <v/>
      </c>
      <c r="G1267" s="37">
        <v>25.8</v>
      </c>
      <c r="H1267" s="264">
        <v>45567</v>
      </c>
    </row>
    <row r="1268" spans="3:8" x14ac:dyDescent="0.25">
      <c r="C1268" s="262">
        <v>18</v>
      </c>
      <c r="D1268" s="262">
        <v>9</v>
      </c>
      <c r="E1268" s="263">
        <v>36.200000000000003</v>
      </c>
      <c r="F1268" s="4">
        <f t="shared" si="22"/>
        <v>1.3205128205128207</v>
      </c>
      <c r="G1268" s="37">
        <v>25.8</v>
      </c>
      <c r="H1268" s="264">
        <v>45567</v>
      </c>
    </row>
    <row r="1269" spans="3:8" x14ac:dyDescent="0.25">
      <c r="C1269" s="262">
        <v>19</v>
      </c>
      <c r="D1269" s="262">
        <v>12</v>
      </c>
      <c r="E1269" s="263">
        <v>25.1</v>
      </c>
      <c r="F1269" s="4">
        <f t="shared" si="22"/>
        <v>0.54938271604938282</v>
      </c>
      <c r="G1269" s="37">
        <v>25.8</v>
      </c>
      <c r="H1269" s="264">
        <v>45567</v>
      </c>
    </row>
    <row r="1270" spans="3:8" x14ac:dyDescent="0.25">
      <c r="C1270" s="265" t="s">
        <v>0</v>
      </c>
      <c r="D1270" s="265" t="s">
        <v>7</v>
      </c>
      <c r="E1270" s="266" t="s">
        <v>4</v>
      </c>
      <c r="F1270" s="4" t="str">
        <f t="shared" si="22"/>
        <v/>
      </c>
      <c r="G1270" s="37">
        <v>25.2</v>
      </c>
      <c r="H1270" s="267">
        <v>45568</v>
      </c>
    </row>
    <row r="1271" spans="3:8" x14ac:dyDescent="0.25">
      <c r="C1271" s="265">
        <v>1</v>
      </c>
      <c r="D1271" s="265">
        <v>59</v>
      </c>
      <c r="E1271" s="266">
        <v>26.3</v>
      </c>
      <c r="F1271" s="4">
        <f t="shared" ref="F1271:F1335" si="23">IFERROR((E1271-E1258)/E1258,"")</f>
        <v>-4.0145985401459777E-2</v>
      </c>
      <c r="G1271" s="37">
        <v>25.2</v>
      </c>
      <c r="H1271" s="267">
        <v>45568</v>
      </c>
    </row>
    <row r="1272" spans="3:8" x14ac:dyDescent="0.25">
      <c r="C1272" s="265">
        <v>2</v>
      </c>
      <c r="D1272" s="265">
        <v>39</v>
      </c>
      <c r="E1272" s="266">
        <v>28</v>
      </c>
      <c r="F1272" s="4">
        <f t="shared" si="23"/>
        <v>-4.1095890410958881E-2</v>
      </c>
      <c r="G1272" s="37">
        <v>25.2</v>
      </c>
      <c r="H1272" s="267">
        <v>45568</v>
      </c>
    </row>
    <row r="1273" spans="3:8" x14ac:dyDescent="0.25">
      <c r="C1273" s="265">
        <v>3</v>
      </c>
      <c r="D1273" s="265">
        <v>108</v>
      </c>
      <c r="E1273" s="266">
        <v>24.1</v>
      </c>
      <c r="F1273" s="4">
        <f t="shared" si="23"/>
        <v>-7.662835249042145E-2</v>
      </c>
      <c r="G1273" s="37">
        <v>25.2</v>
      </c>
      <c r="H1273" s="267">
        <v>45568</v>
      </c>
    </row>
    <row r="1274" spans="3:8" x14ac:dyDescent="0.25">
      <c r="C1274" s="265">
        <v>4</v>
      </c>
      <c r="D1274" s="265">
        <v>0</v>
      </c>
      <c r="E1274" s="266"/>
      <c r="F1274" s="4" t="str">
        <f t="shared" si="23"/>
        <v/>
      </c>
      <c r="G1274" s="37">
        <v>25.2</v>
      </c>
      <c r="H1274" s="267">
        <v>45568</v>
      </c>
    </row>
    <row r="1275" spans="3:8" x14ac:dyDescent="0.25">
      <c r="C1275" s="265">
        <v>5</v>
      </c>
      <c r="D1275" s="265">
        <v>115</v>
      </c>
      <c r="E1275" s="266">
        <v>25.3</v>
      </c>
      <c r="F1275" s="4">
        <f t="shared" si="23"/>
        <v>-1.1718750000000028E-2</v>
      </c>
      <c r="G1275" s="37">
        <v>25.2</v>
      </c>
      <c r="H1275" s="267">
        <v>45568</v>
      </c>
    </row>
    <row r="1276" spans="3:8" x14ac:dyDescent="0.25">
      <c r="C1276" s="265">
        <v>6</v>
      </c>
      <c r="D1276" s="265">
        <v>110</v>
      </c>
      <c r="E1276" s="266">
        <v>26.3</v>
      </c>
      <c r="F1276" s="4">
        <f t="shared" si="23"/>
        <v>2.7343749999999972E-2</v>
      </c>
      <c r="G1276" s="37">
        <v>25.2</v>
      </c>
      <c r="H1276" s="267">
        <v>45568</v>
      </c>
    </row>
    <row r="1277" spans="3:8" x14ac:dyDescent="0.25">
      <c r="C1277" s="265">
        <v>7</v>
      </c>
      <c r="D1277" s="265">
        <v>113</v>
      </c>
      <c r="E1277" s="266">
        <v>24.9</v>
      </c>
      <c r="F1277" s="4">
        <f t="shared" si="23"/>
        <v>-1.1904761904761934E-2</v>
      </c>
      <c r="G1277" s="37">
        <v>25.2</v>
      </c>
      <c r="H1277" s="267">
        <v>45568</v>
      </c>
    </row>
    <row r="1278" spans="3:8" x14ac:dyDescent="0.25">
      <c r="C1278" s="265">
        <v>8</v>
      </c>
      <c r="D1278" s="265">
        <v>105</v>
      </c>
      <c r="E1278" s="266">
        <v>21.3</v>
      </c>
      <c r="F1278" s="4">
        <f t="shared" si="23"/>
        <v>-1.8433179723502238E-2</v>
      </c>
      <c r="G1278" s="37">
        <v>25.2</v>
      </c>
      <c r="H1278" s="267">
        <v>45568</v>
      </c>
    </row>
    <row r="1279" spans="3:8" x14ac:dyDescent="0.25">
      <c r="C1279" s="265">
        <v>9</v>
      </c>
      <c r="D1279" s="265">
        <v>0</v>
      </c>
      <c r="E1279" s="266"/>
      <c r="F1279" s="4" t="str">
        <f t="shared" si="23"/>
        <v/>
      </c>
      <c r="G1279" s="37">
        <v>25.2</v>
      </c>
      <c r="H1279" s="267">
        <v>45568</v>
      </c>
    </row>
    <row r="1280" spans="3:8" x14ac:dyDescent="0.25">
      <c r="C1280" s="265">
        <v>10</v>
      </c>
      <c r="D1280" s="265">
        <v>0</v>
      </c>
      <c r="E1280" s="266"/>
      <c r="F1280" s="4" t="str">
        <f t="shared" si="23"/>
        <v/>
      </c>
      <c r="G1280" s="37">
        <v>25.2</v>
      </c>
      <c r="H1280" s="267">
        <v>45568</v>
      </c>
    </row>
    <row r="1281" spans="3:8" x14ac:dyDescent="0.25">
      <c r="C1281" s="265">
        <v>18</v>
      </c>
      <c r="D1281" s="265">
        <v>9</v>
      </c>
      <c r="E1281" s="266">
        <v>11.4</v>
      </c>
      <c r="F1281" s="4">
        <f t="shared" si="23"/>
        <v>-0.68508287292817682</v>
      </c>
      <c r="G1281" s="37">
        <v>25.2</v>
      </c>
      <c r="H1281" s="267">
        <v>45568</v>
      </c>
    </row>
    <row r="1282" spans="3:8" x14ac:dyDescent="0.25">
      <c r="C1282" s="265">
        <v>19</v>
      </c>
      <c r="D1282" s="265">
        <v>18</v>
      </c>
      <c r="E1282" s="266">
        <v>19.2</v>
      </c>
      <c r="F1282" s="4">
        <f t="shared" si="23"/>
        <v>-0.23505976095617537</v>
      </c>
      <c r="G1282" s="37">
        <v>25.2</v>
      </c>
      <c r="H1282" s="267">
        <v>45568</v>
      </c>
    </row>
    <row r="1283" spans="3:8" x14ac:dyDescent="0.25">
      <c r="C1283" s="268" t="s">
        <v>0</v>
      </c>
      <c r="D1283" s="268" t="s">
        <v>7</v>
      </c>
      <c r="E1283" s="269" t="s">
        <v>4</v>
      </c>
      <c r="F1283" s="4" t="str">
        <f t="shared" si="23"/>
        <v/>
      </c>
      <c r="G1283" s="37">
        <v>24.9</v>
      </c>
      <c r="H1283" s="267">
        <v>45569</v>
      </c>
    </row>
    <row r="1284" spans="3:8" x14ac:dyDescent="0.25">
      <c r="C1284" s="268">
        <v>1</v>
      </c>
      <c r="D1284" s="268">
        <v>60</v>
      </c>
      <c r="E1284" s="269">
        <v>27.6</v>
      </c>
      <c r="F1284" s="4">
        <f t="shared" si="23"/>
        <v>4.9429657794676833E-2</v>
      </c>
      <c r="G1284" s="37">
        <v>24.9</v>
      </c>
      <c r="H1284" s="267">
        <v>45569</v>
      </c>
    </row>
    <row r="1285" spans="3:8" x14ac:dyDescent="0.25">
      <c r="C1285" s="268">
        <v>2</v>
      </c>
      <c r="D1285" s="268">
        <v>41</v>
      </c>
      <c r="E1285" s="269">
        <v>28</v>
      </c>
      <c r="F1285" s="4">
        <f t="shared" si="23"/>
        <v>0</v>
      </c>
      <c r="G1285" s="37">
        <v>24.9</v>
      </c>
      <c r="H1285" s="267">
        <v>45569</v>
      </c>
    </row>
    <row r="1286" spans="3:8" x14ac:dyDescent="0.25">
      <c r="C1286" s="268">
        <v>3</v>
      </c>
      <c r="D1286" s="268">
        <v>107</v>
      </c>
      <c r="E1286" s="269">
        <v>25.4</v>
      </c>
      <c r="F1286" s="4">
        <f t="shared" si="23"/>
        <v>5.3941908713692824E-2</v>
      </c>
      <c r="G1286" s="37">
        <v>24.9</v>
      </c>
      <c r="H1286" s="267">
        <v>45569</v>
      </c>
    </row>
    <row r="1287" spans="3:8" x14ac:dyDescent="0.25">
      <c r="C1287" s="268">
        <v>4</v>
      </c>
      <c r="D1287" s="268">
        <v>0</v>
      </c>
      <c r="E1287" s="269"/>
      <c r="F1287" s="4" t="str">
        <f t="shared" si="23"/>
        <v/>
      </c>
      <c r="G1287" s="37">
        <v>24.9</v>
      </c>
      <c r="H1287" s="267">
        <v>45569</v>
      </c>
    </row>
    <row r="1288" spans="3:8" x14ac:dyDescent="0.25">
      <c r="C1288" s="268">
        <v>5</v>
      </c>
      <c r="D1288" s="268">
        <v>116</v>
      </c>
      <c r="E1288" s="269">
        <v>24.8</v>
      </c>
      <c r="F1288" s="4">
        <f t="shared" si="23"/>
        <v>-1.9762845849802372E-2</v>
      </c>
      <c r="G1288" s="37">
        <v>24.9</v>
      </c>
      <c r="H1288" s="267">
        <v>45569</v>
      </c>
    </row>
    <row r="1289" spans="3:8" x14ac:dyDescent="0.25">
      <c r="C1289" s="268">
        <v>6</v>
      </c>
      <c r="D1289" s="268">
        <v>110</v>
      </c>
      <c r="E1289" s="269">
        <v>25.8</v>
      </c>
      <c r="F1289" s="4">
        <f t="shared" si="23"/>
        <v>-1.9011406844106463E-2</v>
      </c>
      <c r="G1289" s="37">
        <v>24.9</v>
      </c>
      <c r="H1289" s="267">
        <v>45569</v>
      </c>
    </row>
    <row r="1290" spans="3:8" x14ac:dyDescent="0.25">
      <c r="C1290" s="268">
        <v>7</v>
      </c>
      <c r="D1290" s="268">
        <v>113</v>
      </c>
      <c r="E1290" s="269">
        <v>23.8</v>
      </c>
      <c r="F1290" s="4">
        <f t="shared" si="23"/>
        <v>-4.4176706827309155E-2</v>
      </c>
      <c r="G1290" s="37">
        <v>24.9</v>
      </c>
      <c r="H1290" s="267">
        <v>45569</v>
      </c>
    </row>
    <row r="1291" spans="3:8" x14ac:dyDescent="0.25">
      <c r="C1291" s="268">
        <v>8</v>
      </c>
      <c r="D1291" s="268">
        <v>105</v>
      </c>
      <c r="E1291" s="269">
        <v>20.9</v>
      </c>
      <c r="F1291" s="4">
        <f t="shared" si="23"/>
        <v>-1.8779342723004796E-2</v>
      </c>
      <c r="G1291" s="37">
        <v>24.9</v>
      </c>
      <c r="H1291" s="267">
        <v>45569</v>
      </c>
    </row>
    <row r="1292" spans="3:8" x14ac:dyDescent="0.25">
      <c r="C1292" s="268">
        <v>9</v>
      </c>
      <c r="D1292" s="268">
        <v>0</v>
      </c>
      <c r="E1292" s="269"/>
      <c r="F1292" s="4" t="str">
        <f t="shared" si="23"/>
        <v/>
      </c>
      <c r="G1292" s="37">
        <v>24.9</v>
      </c>
      <c r="H1292" s="267">
        <v>45569</v>
      </c>
    </row>
    <row r="1293" spans="3:8" x14ac:dyDescent="0.25">
      <c r="C1293" s="268">
        <v>10</v>
      </c>
      <c r="D1293" s="268">
        <v>0</v>
      </c>
      <c r="E1293" s="269"/>
      <c r="F1293" s="4" t="str">
        <f t="shared" si="23"/>
        <v/>
      </c>
      <c r="G1293" s="37">
        <v>24.9</v>
      </c>
      <c r="H1293" s="267">
        <v>45569</v>
      </c>
    </row>
    <row r="1294" spans="3:8" x14ac:dyDescent="0.25">
      <c r="C1294" s="268">
        <v>18</v>
      </c>
      <c r="D1294" s="268">
        <v>9</v>
      </c>
      <c r="E1294" s="269">
        <v>19.7</v>
      </c>
      <c r="F1294" s="4">
        <f t="shared" si="23"/>
        <v>0.72807017543859642</v>
      </c>
      <c r="G1294" s="37">
        <v>24.9</v>
      </c>
      <c r="H1294" s="267">
        <v>45569</v>
      </c>
    </row>
    <row r="1295" spans="3:8" x14ac:dyDescent="0.25">
      <c r="C1295" s="268">
        <v>19</v>
      </c>
      <c r="D1295" s="268">
        <v>14</v>
      </c>
      <c r="E1295" s="269">
        <v>17.2</v>
      </c>
      <c r="F1295" s="4">
        <f t="shared" si="23"/>
        <v>-0.10416666666666667</v>
      </c>
      <c r="G1295" s="37">
        <v>24.9</v>
      </c>
      <c r="H1295" s="267">
        <v>45569</v>
      </c>
    </row>
    <row r="1296" spans="3:8" x14ac:dyDescent="0.25">
      <c r="C1296" s="270" t="s">
        <v>0</v>
      </c>
      <c r="D1296" s="270" t="s">
        <v>7</v>
      </c>
      <c r="E1296" s="271" t="s">
        <v>4</v>
      </c>
      <c r="F1296" s="4" t="str">
        <f t="shared" si="23"/>
        <v/>
      </c>
      <c r="G1296" s="37">
        <v>25.4</v>
      </c>
      <c r="H1296" s="272">
        <v>45570</v>
      </c>
    </row>
    <row r="1297" spans="3:8" x14ac:dyDescent="0.25">
      <c r="C1297" s="270">
        <v>1</v>
      </c>
      <c r="D1297" s="270">
        <v>63</v>
      </c>
      <c r="E1297" s="271">
        <v>26.6</v>
      </c>
      <c r="F1297" s="4">
        <f t="shared" si="23"/>
        <v>-3.6231884057971016E-2</v>
      </c>
      <c r="G1297" s="37">
        <v>25.4</v>
      </c>
      <c r="H1297" s="272">
        <v>45570</v>
      </c>
    </row>
    <row r="1298" spans="3:8" x14ac:dyDescent="0.25">
      <c r="C1298" s="270">
        <v>2</v>
      </c>
      <c r="D1298" s="270">
        <v>40</v>
      </c>
      <c r="E1298" s="271">
        <v>21.8</v>
      </c>
      <c r="F1298" s="4">
        <f t="shared" si="23"/>
        <v>-0.22142857142857139</v>
      </c>
      <c r="G1298" s="37">
        <v>25.4</v>
      </c>
      <c r="H1298" s="272">
        <v>45570</v>
      </c>
    </row>
    <row r="1299" spans="3:8" x14ac:dyDescent="0.25">
      <c r="C1299" s="270">
        <v>3</v>
      </c>
      <c r="D1299" s="270">
        <v>107</v>
      </c>
      <c r="E1299" s="271">
        <v>24.3</v>
      </c>
      <c r="F1299" s="4">
        <f t="shared" si="23"/>
        <v>-4.3307086614173144E-2</v>
      </c>
      <c r="G1299" s="37">
        <v>25.4</v>
      </c>
      <c r="H1299" s="272">
        <v>45570</v>
      </c>
    </row>
    <row r="1300" spans="3:8" x14ac:dyDescent="0.25">
      <c r="C1300" s="270">
        <v>4</v>
      </c>
      <c r="D1300" s="270">
        <v>0</v>
      </c>
      <c r="E1300" s="271"/>
      <c r="F1300" s="4" t="str">
        <f t="shared" si="23"/>
        <v/>
      </c>
      <c r="G1300" s="37">
        <v>25.4</v>
      </c>
      <c r="H1300" s="272">
        <v>45570</v>
      </c>
    </row>
    <row r="1301" spans="3:8" x14ac:dyDescent="0.25">
      <c r="C1301" s="270">
        <v>5</v>
      </c>
      <c r="D1301" s="270">
        <v>116</v>
      </c>
      <c r="E1301" s="271">
        <v>24.1</v>
      </c>
      <c r="F1301" s="4">
        <f t="shared" si="23"/>
        <v>-2.8225806451612875E-2</v>
      </c>
      <c r="G1301" s="37">
        <v>25.4</v>
      </c>
      <c r="H1301" s="272">
        <v>45570</v>
      </c>
    </row>
    <row r="1302" spans="3:8" x14ac:dyDescent="0.25">
      <c r="C1302" s="270">
        <v>6</v>
      </c>
      <c r="D1302" s="270">
        <v>109</v>
      </c>
      <c r="E1302" s="271">
        <v>27.4</v>
      </c>
      <c r="F1302" s="4">
        <f t="shared" si="23"/>
        <v>6.2015503875968908E-2</v>
      </c>
      <c r="G1302" s="37">
        <v>25.4</v>
      </c>
      <c r="H1302" s="272">
        <v>45570</v>
      </c>
    </row>
    <row r="1303" spans="3:8" x14ac:dyDescent="0.25">
      <c r="C1303" s="270">
        <v>7</v>
      </c>
      <c r="D1303" s="270">
        <v>114</v>
      </c>
      <c r="E1303" s="271">
        <v>26.6</v>
      </c>
      <c r="F1303" s="4">
        <f t="shared" si="23"/>
        <v>0.11764705882352944</v>
      </c>
      <c r="G1303" s="37">
        <v>25.4</v>
      </c>
      <c r="H1303" s="272">
        <v>45570</v>
      </c>
    </row>
    <row r="1304" spans="3:8" x14ac:dyDescent="0.25">
      <c r="C1304" s="270">
        <v>8</v>
      </c>
      <c r="D1304" s="270">
        <v>105</v>
      </c>
      <c r="E1304" s="271">
        <v>22.2</v>
      </c>
      <c r="F1304" s="4">
        <f t="shared" si="23"/>
        <v>6.2200956937799083E-2</v>
      </c>
      <c r="G1304" s="37">
        <v>25.4</v>
      </c>
      <c r="H1304" s="272">
        <v>45570</v>
      </c>
    </row>
    <row r="1305" spans="3:8" x14ac:dyDescent="0.25">
      <c r="C1305" s="270">
        <v>9</v>
      </c>
      <c r="D1305" s="270">
        <v>0</v>
      </c>
      <c r="E1305" s="271"/>
      <c r="F1305" s="4" t="str">
        <f t="shared" si="23"/>
        <v/>
      </c>
      <c r="G1305" s="37">
        <v>25.4</v>
      </c>
      <c r="H1305" s="272">
        <v>45570</v>
      </c>
    </row>
    <row r="1306" spans="3:8" x14ac:dyDescent="0.25">
      <c r="C1306" s="270">
        <v>10</v>
      </c>
      <c r="D1306" s="270">
        <v>0</v>
      </c>
      <c r="E1306" s="271"/>
      <c r="F1306" s="4" t="str">
        <f t="shared" si="23"/>
        <v/>
      </c>
      <c r="G1306" s="37">
        <v>25.4</v>
      </c>
      <c r="H1306" s="272">
        <v>45570</v>
      </c>
    </row>
    <row r="1307" spans="3:8" x14ac:dyDescent="0.25">
      <c r="C1307" s="270">
        <v>18</v>
      </c>
      <c r="D1307" s="270">
        <v>11</v>
      </c>
      <c r="E1307" s="271">
        <v>14.8</v>
      </c>
      <c r="F1307" s="4">
        <f t="shared" si="23"/>
        <v>-0.24873096446700502</v>
      </c>
      <c r="G1307" s="37">
        <v>25.4</v>
      </c>
      <c r="H1307" s="272">
        <v>45570</v>
      </c>
    </row>
    <row r="1308" spans="3:8" x14ac:dyDescent="0.25">
      <c r="C1308" s="270">
        <v>19</v>
      </c>
      <c r="D1308" s="270">
        <v>11</v>
      </c>
      <c r="E1308" s="271">
        <v>15.9</v>
      </c>
      <c r="F1308" s="4">
        <f t="shared" si="23"/>
        <v>-7.5581395348837149E-2</v>
      </c>
      <c r="G1308" s="37">
        <v>25.4</v>
      </c>
      <c r="H1308" s="272">
        <v>45570</v>
      </c>
    </row>
    <row r="1309" spans="3:8" x14ac:dyDescent="0.25">
      <c r="C1309" s="273" t="s">
        <v>0</v>
      </c>
      <c r="D1309" s="273" t="s">
        <v>7</v>
      </c>
      <c r="E1309" s="274" t="s">
        <v>4</v>
      </c>
      <c r="F1309" s="4" t="str">
        <f t="shared" si="23"/>
        <v/>
      </c>
      <c r="G1309" s="37">
        <v>25.6</v>
      </c>
      <c r="H1309" s="275">
        <v>45571</v>
      </c>
    </row>
    <row r="1310" spans="3:8" x14ac:dyDescent="0.25">
      <c r="C1310" s="273">
        <v>1</v>
      </c>
      <c r="D1310" s="273">
        <v>63</v>
      </c>
      <c r="E1310" s="274">
        <v>20.2</v>
      </c>
      <c r="F1310" s="4">
        <f t="shared" si="23"/>
        <v>-0.24060150375939857</v>
      </c>
      <c r="G1310" s="37">
        <v>25.6</v>
      </c>
      <c r="H1310" s="275">
        <v>45571</v>
      </c>
    </row>
    <row r="1311" spans="3:8" x14ac:dyDescent="0.25">
      <c r="C1311" s="273">
        <v>2</v>
      </c>
      <c r="D1311" s="273">
        <v>40</v>
      </c>
      <c r="E1311" s="274">
        <v>27.4</v>
      </c>
      <c r="F1311" s="4">
        <f t="shared" si="23"/>
        <v>0.25688073394495403</v>
      </c>
      <c r="G1311" s="37">
        <v>25.6</v>
      </c>
      <c r="H1311" s="275">
        <v>45571</v>
      </c>
    </row>
    <row r="1312" spans="3:8" x14ac:dyDescent="0.25">
      <c r="C1312" s="273">
        <v>3</v>
      </c>
      <c r="D1312" s="273">
        <v>106</v>
      </c>
      <c r="E1312" s="274">
        <v>25.1</v>
      </c>
      <c r="F1312" s="4">
        <f t="shared" si="23"/>
        <v>3.2921810699588508E-2</v>
      </c>
      <c r="G1312" s="37">
        <v>25.6</v>
      </c>
      <c r="H1312" s="275">
        <v>45571</v>
      </c>
    </row>
    <row r="1313" spans="3:8" x14ac:dyDescent="0.25">
      <c r="C1313" s="273">
        <v>4</v>
      </c>
      <c r="D1313" s="273">
        <v>0</v>
      </c>
      <c r="E1313" s="274"/>
      <c r="F1313" s="4" t="str">
        <f t="shared" si="23"/>
        <v/>
      </c>
      <c r="G1313" s="37">
        <v>25.6</v>
      </c>
      <c r="H1313" s="275">
        <v>45571</v>
      </c>
    </row>
    <row r="1314" spans="3:8" x14ac:dyDescent="0.25">
      <c r="C1314" s="273">
        <v>5</v>
      </c>
      <c r="D1314" s="273">
        <v>116</v>
      </c>
      <c r="E1314" s="274">
        <v>26.2</v>
      </c>
      <c r="F1314" s="4">
        <f t="shared" si="23"/>
        <v>8.7136929460580825E-2</v>
      </c>
      <c r="G1314" s="37">
        <v>25.6</v>
      </c>
      <c r="H1314" s="275">
        <v>45571</v>
      </c>
    </row>
    <row r="1315" spans="3:8" x14ac:dyDescent="0.25">
      <c r="C1315" s="273">
        <v>6</v>
      </c>
      <c r="D1315" s="273">
        <v>109</v>
      </c>
      <c r="E1315" s="274">
        <v>27.2</v>
      </c>
      <c r="F1315" s="4">
        <f t="shared" si="23"/>
        <v>-7.2992700729926753E-3</v>
      </c>
      <c r="G1315" s="37">
        <v>25.6</v>
      </c>
      <c r="H1315" s="275">
        <v>45571</v>
      </c>
    </row>
    <row r="1316" spans="3:8" x14ac:dyDescent="0.25">
      <c r="C1316" s="273">
        <v>7</v>
      </c>
      <c r="D1316" s="273">
        <v>113</v>
      </c>
      <c r="E1316" s="274">
        <v>24.5</v>
      </c>
      <c r="F1316" s="4">
        <f t="shared" si="23"/>
        <v>-7.8947368421052683E-2</v>
      </c>
      <c r="G1316" s="37">
        <v>25.6</v>
      </c>
      <c r="H1316" s="275">
        <v>45571</v>
      </c>
    </row>
    <row r="1317" spans="3:8" x14ac:dyDescent="0.25">
      <c r="C1317" s="273">
        <v>8</v>
      </c>
      <c r="D1317" s="273">
        <v>105</v>
      </c>
      <c r="E1317" s="274">
        <v>22.3</v>
      </c>
      <c r="F1317" s="4">
        <f t="shared" si="23"/>
        <v>4.5045045045045687E-3</v>
      </c>
      <c r="G1317" s="37">
        <v>25.6</v>
      </c>
      <c r="H1317" s="275">
        <v>45571</v>
      </c>
    </row>
    <row r="1318" spans="3:8" x14ac:dyDescent="0.25">
      <c r="C1318" s="273">
        <v>9</v>
      </c>
      <c r="D1318" s="273">
        <v>0</v>
      </c>
      <c r="E1318" s="274"/>
      <c r="F1318" s="4" t="str">
        <f t="shared" si="23"/>
        <v/>
      </c>
      <c r="G1318" s="37">
        <v>25.6</v>
      </c>
      <c r="H1318" s="275">
        <v>45571</v>
      </c>
    </row>
    <row r="1319" spans="3:8" x14ac:dyDescent="0.25">
      <c r="C1319" s="273">
        <v>10</v>
      </c>
      <c r="D1319" s="273">
        <v>0</v>
      </c>
      <c r="E1319" s="274"/>
      <c r="F1319" s="4" t="str">
        <f t="shared" si="23"/>
        <v/>
      </c>
      <c r="G1319" s="37">
        <v>25.6</v>
      </c>
      <c r="H1319" s="275">
        <v>45571</v>
      </c>
    </row>
    <row r="1320" spans="3:8" x14ac:dyDescent="0.25">
      <c r="C1320" s="273">
        <v>18</v>
      </c>
      <c r="D1320" s="273">
        <v>11</v>
      </c>
      <c r="E1320" s="274">
        <v>15.2</v>
      </c>
      <c r="F1320" s="4">
        <f t="shared" si="23"/>
        <v>2.7027027027026931E-2</v>
      </c>
      <c r="G1320" s="37">
        <v>25.6</v>
      </c>
      <c r="H1320" s="275">
        <v>45571</v>
      </c>
    </row>
    <row r="1321" spans="3:8" x14ac:dyDescent="0.25">
      <c r="C1321" s="273">
        <v>19</v>
      </c>
      <c r="D1321" s="273">
        <v>13</v>
      </c>
      <c r="E1321" s="274">
        <v>23.2</v>
      </c>
      <c r="F1321" s="4">
        <f t="shared" si="23"/>
        <v>0.45911949685534581</v>
      </c>
      <c r="G1321" s="37">
        <v>25.6</v>
      </c>
      <c r="H1321" s="275">
        <v>45571</v>
      </c>
    </row>
    <row r="1322" spans="3:8" x14ac:dyDescent="0.25">
      <c r="C1322" s="276" t="s">
        <v>0</v>
      </c>
      <c r="D1322" s="276" t="s">
        <v>7</v>
      </c>
      <c r="E1322" s="277" t="s">
        <v>4</v>
      </c>
      <c r="F1322" s="4" t="str">
        <f t="shared" si="23"/>
        <v/>
      </c>
      <c r="G1322" s="37">
        <v>25.3</v>
      </c>
      <c r="H1322" s="278">
        <v>45572</v>
      </c>
    </row>
    <row r="1323" spans="3:8" x14ac:dyDescent="0.25">
      <c r="C1323" s="276">
        <v>1</v>
      </c>
      <c r="D1323" s="276">
        <v>59</v>
      </c>
      <c r="E1323" s="277">
        <v>28.3</v>
      </c>
      <c r="F1323" s="4">
        <f t="shared" si="23"/>
        <v>0.40099009900990107</v>
      </c>
      <c r="G1323" s="37">
        <v>25.3</v>
      </c>
      <c r="H1323" s="278">
        <v>45572</v>
      </c>
    </row>
    <row r="1324" spans="3:8" x14ac:dyDescent="0.25">
      <c r="C1324" s="276">
        <v>2</v>
      </c>
      <c r="D1324" s="276">
        <v>40</v>
      </c>
      <c r="E1324" s="277">
        <v>28</v>
      </c>
      <c r="F1324" s="4">
        <f t="shared" si="23"/>
        <v>2.1897810218978155E-2</v>
      </c>
      <c r="G1324" s="37">
        <v>25.3</v>
      </c>
      <c r="H1324" s="278">
        <v>45572</v>
      </c>
    </row>
    <row r="1325" spans="3:8" x14ac:dyDescent="0.25">
      <c r="C1325" s="276">
        <v>3</v>
      </c>
      <c r="D1325" s="276">
        <v>106</v>
      </c>
      <c r="E1325" s="277">
        <v>22.7</v>
      </c>
      <c r="F1325" s="4">
        <f t="shared" si="23"/>
        <v>-9.5617529880478169E-2</v>
      </c>
      <c r="G1325" s="37">
        <v>25.3</v>
      </c>
      <c r="H1325" s="278">
        <v>45572</v>
      </c>
    </row>
    <row r="1326" spans="3:8" x14ac:dyDescent="0.25">
      <c r="C1326" s="276">
        <v>4</v>
      </c>
      <c r="D1326" s="276">
        <v>0</v>
      </c>
      <c r="E1326" s="277"/>
      <c r="F1326" s="4" t="str">
        <f t="shared" si="23"/>
        <v/>
      </c>
      <c r="G1326" s="37">
        <v>25.3</v>
      </c>
      <c r="H1326" s="278">
        <v>45572</v>
      </c>
    </row>
    <row r="1327" spans="3:8" x14ac:dyDescent="0.25">
      <c r="C1327" s="276">
        <v>5</v>
      </c>
      <c r="D1327" s="276">
        <v>115</v>
      </c>
      <c r="E1327" s="277">
        <v>25.4</v>
      </c>
      <c r="F1327" s="4">
        <f t="shared" si="23"/>
        <v>-3.0534351145038195E-2</v>
      </c>
      <c r="G1327" s="37">
        <v>25.3</v>
      </c>
      <c r="H1327" s="278">
        <v>45572</v>
      </c>
    </row>
    <row r="1328" spans="3:8" x14ac:dyDescent="0.25">
      <c r="C1328" s="276">
        <v>6</v>
      </c>
      <c r="D1328" s="276">
        <v>109</v>
      </c>
      <c r="E1328" s="277">
        <v>24.9</v>
      </c>
      <c r="F1328" s="4">
        <f t="shared" si="23"/>
        <v>-8.4558823529411797E-2</v>
      </c>
      <c r="G1328" s="37">
        <v>25.3</v>
      </c>
      <c r="H1328" s="278">
        <v>45572</v>
      </c>
    </row>
    <row r="1329" spans="3:8" x14ac:dyDescent="0.25">
      <c r="C1329" s="276">
        <v>7</v>
      </c>
      <c r="D1329" s="276">
        <v>112</v>
      </c>
      <c r="E1329" s="277">
        <v>24</v>
      </c>
      <c r="F1329" s="4">
        <f t="shared" si="23"/>
        <v>-2.0408163265306121E-2</v>
      </c>
      <c r="G1329" s="37">
        <v>25.3</v>
      </c>
      <c r="H1329" s="278">
        <v>45572</v>
      </c>
    </row>
    <row r="1330" spans="3:8" x14ac:dyDescent="0.25">
      <c r="C1330" s="276">
        <v>8</v>
      </c>
      <c r="D1330" s="276">
        <v>105</v>
      </c>
      <c r="E1330" s="277">
        <v>20.6</v>
      </c>
      <c r="F1330" s="4">
        <f t="shared" si="23"/>
        <v>-7.6233183856502212E-2</v>
      </c>
      <c r="G1330" s="37">
        <v>25.3</v>
      </c>
      <c r="H1330" s="278">
        <v>45572</v>
      </c>
    </row>
    <row r="1331" spans="3:8" x14ac:dyDescent="0.25">
      <c r="C1331" s="276">
        <v>9</v>
      </c>
      <c r="D1331" s="276">
        <v>0</v>
      </c>
      <c r="E1331" s="277"/>
      <c r="F1331" s="4" t="str">
        <f t="shared" si="23"/>
        <v/>
      </c>
      <c r="G1331" s="37">
        <v>25.3</v>
      </c>
      <c r="H1331" s="278">
        <v>45572</v>
      </c>
    </row>
    <row r="1332" spans="3:8" x14ac:dyDescent="0.25">
      <c r="C1332" s="276">
        <v>10</v>
      </c>
      <c r="D1332" s="276">
        <v>0</v>
      </c>
      <c r="E1332" s="277"/>
      <c r="F1332" s="4" t="str">
        <f t="shared" si="23"/>
        <v/>
      </c>
      <c r="G1332" s="37">
        <v>25.3</v>
      </c>
      <c r="H1332" s="278">
        <v>45572</v>
      </c>
    </row>
    <row r="1333" spans="3:8" x14ac:dyDescent="0.25">
      <c r="C1333" s="276">
        <v>18</v>
      </c>
      <c r="D1333" s="276">
        <v>10</v>
      </c>
      <c r="E1333" s="277">
        <v>22.9</v>
      </c>
      <c r="F1333" s="4">
        <f t="shared" si="23"/>
        <v>0.50657894736842102</v>
      </c>
      <c r="G1333" s="37">
        <v>25.3</v>
      </c>
      <c r="H1333" s="278">
        <v>45572</v>
      </c>
    </row>
    <row r="1334" spans="3:8" x14ac:dyDescent="0.25">
      <c r="C1334" s="276">
        <v>19</v>
      </c>
      <c r="D1334" s="276">
        <v>18</v>
      </c>
      <c r="E1334" s="277">
        <v>12.8</v>
      </c>
      <c r="F1334" s="4">
        <f t="shared" si="23"/>
        <v>-0.44827586206896547</v>
      </c>
      <c r="G1334" s="37">
        <v>25.3</v>
      </c>
      <c r="H1334" s="278">
        <v>45572</v>
      </c>
    </row>
    <row r="1335" spans="3:8" x14ac:dyDescent="0.25">
      <c r="C1335" s="279" t="s">
        <v>0</v>
      </c>
      <c r="D1335" s="279" t="s">
        <v>7</v>
      </c>
      <c r="E1335" s="280" t="s">
        <v>4</v>
      </c>
      <c r="F1335" s="4" t="str">
        <f t="shared" si="23"/>
        <v/>
      </c>
      <c r="G1335" s="37">
        <v>25.6</v>
      </c>
      <c r="H1335" s="281">
        <v>45573</v>
      </c>
    </row>
    <row r="1336" spans="3:8" x14ac:dyDescent="0.25">
      <c r="C1336" s="279">
        <v>1</v>
      </c>
      <c r="D1336" s="279">
        <v>64</v>
      </c>
      <c r="E1336" s="280">
        <v>26.4</v>
      </c>
      <c r="F1336" s="4">
        <f t="shared" ref="F1336:F1400" si="24">IFERROR((E1336-E1323)/E1323,"")</f>
        <v>-6.7137809187279227E-2</v>
      </c>
      <c r="G1336" s="37">
        <v>25.6</v>
      </c>
      <c r="H1336" s="281">
        <v>45573</v>
      </c>
    </row>
    <row r="1337" spans="3:8" x14ac:dyDescent="0.25">
      <c r="C1337" s="279">
        <v>2</v>
      </c>
      <c r="D1337" s="279">
        <v>40</v>
      </c>
      <c r="E1337" s="280">
        <v>21.9</v>
      </c>
      <c r="F1337" s="4">
        <f t="shared" si="24"/>
        <v>-0.21785714285714292</v>
      </c>
      <c r="G1337" s="37">
        <v>25.6</v>
      </c>
      <c r="H1337" s="281">
        <v>45573</v>
      </c>
    </row>
    <row r="1338" spans="3:8" x14ac:dyDescent="0.25">
      <c r="C1338" s="279">
        <v>3</v>
      </c>
      <c r="D1338" s="279">
        <v>104</v>
      </c>
      <c r="E1338" s="280">
        <v>20.6</v>
      </c>
      <c r="F1338" s="4">
        <f t="shared" si="24"/>
        <v>-9.2511013215858945E-2</v>
      </c>
      <c r="G1338" s="37">
        <v>25.6</v>
      </c>
      <c r="H1338" s="281">
        <v>45573</v>
      </c>
    </row>
    <row r="1339" spans="3:8" x14ac:dyDescent="0.25">
      <c r="C1339" s="279">
        <v>4</v>
      </c>
      <c r="D1339" s="279">
        <v>0</v>
      </c>
      <c r="E1339" s="280"/>
      <c r="F1339" s="4" t="str">
        <f t="shared" si="24"/>
        <v/>
      </c>
      <c r="G1339" s="37">
        <v>25.6</v>
      </c>
      <c r="H1339" s="281">
        <v>45573</v>
      </c>
    </row>
    <row r="1340" spans="3:8" x14ac:dyDescent="0.25">
      <c r="C1340" s="279">
        <v>5</v>
      </c>
      <c r="D1340" s="279">
        <v>114</v>
      </c>
      <c r="E1340" s="280">
        <v>22.6</v>
      </c>
      <c r="F1340" s="4">
        <f t="shared" si="24"/>
        <v>-0.11023622047244083</v>
      </c>
      <c r="G1340" s="37">
        <v>25.6</v>
      </c>
      <c r="H1340" s="281">
        <v>45573</v>
      </c>
    </row>
    <row r="1341" spans="3:8" x14ac:dyDescent="0.25">
      <c r="C1341" s="279">
        <v>6</v>
      </c>
      <c r="D1341" s="279">
        <v>108</v>
      </c>
      <c r="E1341" s="280">
        <v>25.5</v>
      </c>
      <c r="F1341" s="4">
        <f t="shared" si="24"/>
        <v>2.4096385542168731E-2</v>
      </c>
      <c r="G1341" s="37">
        <v>25.6</v>
      </c>
      <c r="H1341" s="281">
        <v>45573</v>
      </c>
    </row>
    <row r="1342" spans="3:8" x14ac:dyDescent="0.25">
      <c r="C1342" s="279">
        <v>7</v>
      </c>
      <c r="D1342" s="279">
        <v>112</v>
      </c>
      <c r="E1342" s="280">
        <v>28.4</v>
      </c>
      <c r="F1342" s="4">
        <f t="shared" si="24"/>
        <v>0.18333333333333326</v>
      </c>
      <c r="G1342" s="37">
        <v>25.6</v>
      </c>
      <c r="H1342" s="281">
        <v>45573</v>
      </c>
    </row>
    <row r="1343" spans="3:8" x14ac:dyDescent="0.25">
      <c r="C1343" s="279">
        <v>8</v>
      </c>
      <c r="D1343" s="279">
        <v>0</v>
      </c>
      <c r="E1343" s="280">
        <v>14.8</v>
      </c>
      <c r="F1343" s="4">
        <f t="shared" si="24"/>
        <v>-0.28155339805825247</v>
      </c>
      <c r="G1343" s="37">
        <v>25.6</v>
      </c>
      <c r="H1343" s="281">
        <v>45573</v>
      </c>
    </row>
    <row r="1344" spans="3:8" x14ac:dyDescent="0.25">
      <c r="C1344" s="279">
        <v>9</v>
      </c>
      <c r="D1344" s="279">
        <v>0</v>
      </c>
      <c r="E1344" s="280"/>
      <c r="F1344" s="4" t="str">
        <f t="shared" si="24"/>
        <v/>
      </c>
      <c r="G1344" s="37">
        <v>25.6</v>
      </c>
      <c r="H1344" s="281">
        <v>45573</v>
      </c>
    </row>
    <row r="1345" spans="3:8" x14ac:dyDescent="0.25">
      <c r="C1345" s="279">
        <v>10</v>
      </c>
      <c r="D1345" s="279">
        <v>105</v>
      </c>
      <c r="E1345" s="280"/>
      <c r="F1345" s="4" t="str">
        <f t="shared" si="24"/>
        <v/>
      </c>
      <c r="G1345" s="37">
        <v>25.6</v>
      </c>
      <c r="H1345" s="281">
        <v>45573</v>
      </c>
    </row>
    <row r="1346" spans="3:8" x14ac:dyDescent="0.25">
      <c r="C1346" s="279">
        <v>18</v>
      </c>
      <c r="D1346" s="279">
        <v>10</v>
      </c>
      <c r="E1346" s="280">
        <v>8.1</v>
      </c>
      <c r="F1346" s="4">
        <f t="shared" si="24"/>
        <v>-0.64628820960698685</v>
      </c>
      <c r="G1346" s="37">
        <v>25.6</v>
      </c>
      <c r="H1346" s="281">
        <v>45573</v>
      </c>
    </row>
    <row r="1347" spans="3:8" x14ac:dyDescent="0.25">
      <c r="C1347" s="279">
        <v>19</v>
      </c>
      <c r="D1347" s="279">
        <v>19</v>
      </c>
      <c r="E1347" s="280">
        <v>14</v>
      </c>
      <c r="F1347" s="4">
        <f t="shared" si="24"/>
        <v>9.3749999999999944E-2</v>
      </c>
      <c r="G1347" s="37">
        <v>25.6</v>
      </c>
      <c r="H1347" s="281">
        <v>45573</v>
      </c>
    </row>
    <row r="1348" spans="3:8" x14ac:dyDescent="0.25">
      <c r="C1348" s="282" t="s">
        <v>0</v>
      </c>
      <c r="D1348" s="282" t="s">
        <v>7</v>
      </c>
      <c r="E1348" s="283" t="s">
        <v>4</v>
      </c>
      <c r="F1348" s="4" t="str">
        <f t="shared" si="24"/>
        <v/>
      </c>
      <c r="G1348" s="37">
        <v>25.9</v>
      </c>
      <c r="H1348" s="284">
        <v>45574</v>
      </c>
    </row>
    <row r="1349" spans="3:8" x14ac:dyDescent="0.25">
      <c r="C1349" s="282">
        <v>1</v>
      </c>
      <c r="D1349" s="282">
        <v>64</v>
      </c>
      <c r="E1349" s="283">
        <v>24.2</v>
      </c>
      <c r="F1349" s="4">
        <f t="shared" si="24"/>
        <v>-8.3333333333333315E-2</v>
      </c>
      <c r="G1349" s="37">
        <v>25.9</v>
      </c>
      <c r="H1349" s="284">
        <v>45574</v>
      </c>
    </row>
    <row r="1350" spans="3:8" x14ac:dyDescent="0.25">
      <c r="C1350" s="282">
        <v>2</v>
      </c>
      <c r="D1350" s="282">
        <v>39</v>
      </c>
      <c r="E1350" s="283">
        <v>21.5</v>
      </c>
      <c r="F1350" s="4">
        <f t="shared" si="24"/>
        <v>-1.8264840182648338E-2</v>
      </c>
      <c r="G1350" s="37">
        <v>25.9</v>
      </c>
      <c r="H1350" s="284">
        <v>45574</v>
      </c>
    </row>
    <row r="1351" spans="3:8" x14ac:dyDescent="0.25">
      <c r="C1351" s="282">
        <v>3</v>
      </c>
      <c r="D1351" s="282">
        <v>103</v>
      </c>
      <c r="E1351" s="283">
        <v>20.399999999999999</v>
      </c>
      <c r="F1351" s="4">
        <f t="shared" si="24"/>
        <v>-9.7087378640778078E-3</v>
      </c>
      <c r="G1351" s="37">
        <v>25.9</v>
      </c>
      <c r="H1351" s="284">
        <v>45574</v>
      </c>
    </row>
    <row r="1352" spans="3:8" x14ac:dyDescent="0.25">
      <c r="C1352" s="282">
        <v>4</v>
      </c>
      <c r="D1352" s="282">
        <v>0</v>
      </c>
      <c r="E1352" s="283"/>
      <c r="F1352" s="4" t="str">
        <f t="shared" si="24"/>
        <v/>
      </c>
      <c r="G1352" s="37">
        <v>25.9</v>
      </c>
      <c r="H1352" s="284">
        <v>45574</v>
      </c>
    </row>
    <row r="1353" spans="3:8" x14ac:dyDescent="0.25">
      <c r="C1353" s="282">
        <v>5</v>
      </c>
      <c r="D1353" s="282">
        <v>114</v>
      </c>
      <c r="E1353" s="283">
        <v>22</v>
      </c>
      <c r="F1353" s="4">
        <f t="shared" si="24"/>
        <v>-2.6548672566371743E-2</v>
      </c>
      <c r="G1353" s="37">
        <v>25.9</v>
      </c>
      <c r="H1353" s="284">
        <v>45574</v>
      </c>
    </row>
    <row r="1354" spans="3:8" x14ac:dyDescent="0.25">
      <c r="C1354" s="282">
        <v>6</v>
      </c>
      <c r="D1354" s="282">
        <v>108</v>
      </c>
      <c r="E1354" s="283">
        <v>21.6</v>
      </c>
      <c r="F1354" s="4">
        <f t="shared" si="24"/>
        <v>-0.15294117647058819</v>
      </c>
      <c r="G1354" s="37">
        <v>25.9</v>
      </c>
      <c r="H1354" s="284">
        <v>45574</v>
      </c>
    </row>
    <row r="1355" spans="3:8" x14ac:dyDescent="0.25">
      <c r="C1355" s="282">
        <v>7</v>
      </c>
      <c r="D1355" s="282">
        <v>112</v>
      </c>
      <c r="E1355" s="283">
        <v>21.9</v>
      </c>
      <c r="F1355" s="4">
        <f t="shared" si="24"/>
        <v>-0.22887323943661972</v>
      </c>
      <c r="G1355" s="37">
        <v>25.9</v>
      </c>
      <c r="H1355" s="284">
        <v>45574</v>
      </c>
    </row>
    <row r="1356" spans="3:8" x14ac:dyDescent="0.25">
      <c r="C1356" s="282">
        <v>8</v>
      </c>
      <c r="D1356" s="282">
        <v>0</v>
      </c>
      <c r="E1356" s="283"/>
      <c r="F1356" s="4">
        <f t="shared" si="24"/>
        <v>-1</v>
      </c>
      <c r="G1356" s="37">
        <v>25.9</v>
      </c>
      <c r="H1356" s="284">
        <v>45574</v>
      </c>
    </row>
    <row r="1357" spans="3:8" x14ac:dyDescent="0.25">
      <c r="C1357" s="282">
        <v>9</v>
      </c>
      <c r="D1357" s="282">
        <v>0</v>
      </c>
      <c r="E1357" s="283"/>
      <c r="F1357" s="4" t="str">
        <f t="shared" si="24"/>
        <v/>
      </c>
      <c r="G1357" s="37">
        <v>25.9</v>
      </c>
      <c r="H1357" s="284">
        <v>45574</v>
      </c>
    </row>
    <row r="1358" spans="3:8" x14ac:dyDescent="0.25">
      <c r="C1358" s="282">
        <v>10</v>
      </c>
      <c r="D1358" s="282">
        <v>105</v>
      </c>
      <c r="E1358" s="283">
        <v>21.3</v>
      </c>
      <c r="F1358" s="4" t="str">
        <f t="shared" si="24"/>
        <v/>
      </c>
      <c r="G1358" s="37">
        <v>25.9</v>
      </c>
      <c r="H1358" s="284">
        <v>45574</v>
      </c>
    </row>
    <row r="1359" spans="3:8" x14ac:dyDescent="0.25">
      <c r="C1359" s="282">
        <v>18</v>
      </c>
      <c r="D1359" s="282">
        <v>12</v>
      </c>
      <c r="E1359" s="283">
        <v>13.4</v>
      </c>
      <c r="F1359" s="4">
        <f t="shared" si="24"/>
        <v>0.65432098765432112</v>
      </c>
      <c r="G1359" s="37">
        <v>25.9</v>
      </c>
      <c r="H1359" s="284">
        <v>45574</v>
      </c>
    </row>
    <row r="1360" spans="3:8" x14ac:dyDescent="0.25">
      <c r="C1360" s="282">
        <v>19</v>
      </c>
      <c r="D1360" s="282">
        <v>20</v>
      </c>
      <c r="E1360" s="283">
        <v>25</v>
      </c>
      <c r="F1360" s="4">
        <f t="shared" si="24"/>
        <v>0.7857142857142857</v>
      </c>
      <c r="G1360" s="37">
        <v>25.9</v>
      </c>
      <c r="H1360" s="284">
        <v>45574</v>
      </c>
    </row>
    <row r="1361" spans="3:8" x14ac:dyDescent="0.25">
      <c r="C1361" s="285" t="s">
        <v>0</v>
      </c>
      <c r="D1361" s="285" t="s">
        <v>7</v>
      </c>
      <c r="E1361" s="286" t="s">
        <v>4</v>
      </c>
      <c r="F1361" s="4" t="str">
        <f t="shared" si="24"/>
        <v/>
      </c>
      <c r="G1361" s="37">
        <v>26</v>
      </c>
      <c r="H1361" s="287">
        <v>45575</v>
      </c>
    </row>
    <row r="1362" spans="3:8" x14ac:dyDescent="0.25">
      <c r="C1362" s="285">
        <v>1</v>
      </c>
      <c r="D1362" s="285">
        <v>69</v>
      </c>
      <c r="E1362" s="286">
        <v>28.9</v>
      </c>
      <c r="F1362" s="4">
        <f t="shared" si="24"/>
        <v>0.19421487603305781</v>
      </c>
      <c r="G1362" s="37">
        <v>26</v>
      </c>
      <c r="H1362" s="287">
        <v>45575</v>
      </c>
    </row>
    <row r="1363" spans="3:8" x14ac:dyDescent="0.25">
      <c r="C1363" s="285">
        <v>2</v>
      </c>
      <c r="D1363" s="285">
        <v>39</v>
      </c>
      <c r="E1363" s="286">
        <v>26.6</v>
      </c>
      <c r="F1363" s="4">
        <f t="shared" si="24"/>
        <v>0.23720930232558146</v>
      </c>
      <c r="G1363" s="37">
        <v>26</v>
      </c>
      <c r="H1363" s="287">
        <v>45575</v>
      </c>
    </row>
    <row r="1364" spans="3:8" x14ac:dyDescent="0.25">
      <c r="C1364" s="285">
        <v>3</v>
      </c>
      <c r="D1364" s="285">
        <v>103</v>
      </c>
      <c r="E1364" s="286">
        <v>26.9</v>
      </c>
      <c r="F1364" s="4">
        <f t="shared" si="24"/>
        <v>0.31862745098039219</v>
      </c>
      <c r="G1364" s="37">
        <v>26</v>
      </c>
      <c r="H1364" s="287">
        <v>45575</v>
      </c>
    </row>
    <row r="1365" spans="3:8" x14ac:dyDescent="0.25">
      <c r="C1365" s="285">
        <v>4</v>
      </c>
      <c r="D1365" s="285">
        <v>0</v>
      </c>
      <c r="E1365" s="286"/>
      <c r="F1365" s="4" t="str">
        <f t="shared" si="24"/>
        <v/>
      </c>
      <c r="G1365" s="37">
        <v>26</v>
      </c>
      <c r="H1365" s="287">
        <v>45575</v>
      </c>
    </row>
    <row r="1366" spans="3:8" x14ac:dyDescent="0.25">
      <c r="C1366" s="285">
        <v>5</v>
      </c>
      <c r="D1366" s="285">
        <v>114</v>
      </c>
      <c r="E1366" s="286">
        <v>25</v>
      </c>
      <c r="F1366" s="4">
        <f t="shared" si="24"/>
        <v>0.13636363636363635</v>
      </c>
      <c r="G1366" s="37">
        <v>26</v>
      </c>
      <c r="H1366" s="287">
        <v>45575</v>
      </c>
    </row>
    <row r="1367" spans="3:8" x14ac:dyDescent="0.25">
      <c r="C1367" s="285">
        <v>6</v>
      </c>
      <c r="D1367" s="285">
        <v>110</v>
      </c>
      <c r="E1367" s="286">
        <v>25.6</v>
      </c>
      <c r="F1367" s="4">
        <f t="shared" si="24"/>
        <v>0.18518518518518517</v>
      </c>
      <c r="G1367" s="37">
        <v>26</v>
      </c>
      <c r="H1367" s="287">
        <v>45575</v>
      </c>
    </row>
    <row r="1368" spans="3:8" x14ac:dyDescent="0.25">
      <c r="C1368" s="285">
        <v>7</v>
      </c>
      <c r="D1368" s="285">
        <v>111</v>
      </c>
      <c r="E1368" s="286">
        <v>25.1</v>
      </c>
      <c r="F1368" s="4">
        <f t="shared" si="24"/>
        <v>0.14611872146118735</v>
      </c>
      <c r="G1368" s="37">
        <v>26</v>
      </c>
      <c r="H1368" s="287">
        <v>45575</v>
      </c>
    </row>
    <row r="1369" spans="3:8" x14ac:dyDescent="0.25">
      <c r="C1369" s="285">
        <v>8</v>
      </c>
      <c r="D1369" s="285">
        <v>0</v>
      </c>
      <c r="E1369" s="286"/>
      <c r="F1369" s="4" t="str">
        <f t="shared" si="24"/>
        <v/>
      </c>
      <c r="G1369" s="37">
        <v>26</v>
      </c>
      <c r="H1369" s="287">
        <v>45575</v>
      </c>
    </row>
    <row r="1370" spans="3:8" x14ac:dyDescent="0.25">
      <c r="C1370" s="285">
        <v>9</v>
      </c>
      <c r="D1370" s="285">
        <v>0</v>
      </c>
      <c r="E1370" s="286"/>
      <c r="F1370" s="4" t="str">
        <f t="shared" si="24"/>
        <v/>
      </c>
      <c r="G1370" s="37">
        <v>26</v>
      </c>
      <c r="H1370" s="287">
        <v>45575</v>
      </c>
    </row>
    <row r="1371" spans="3:8" x14ac:dyDescent="0.25">
      <c r="C1371" s="285">
        <v>10</v>
      </c>
      <c r="D1371" s="285">
        <v>105</v>
      </c>
      <c r="E1371" s="286">
        <v>21.1</v>
      </c>
      <c r="F1371" s="4">
        <f t="shared" si="24"/>
        <v>-9.3896713615023129E-3</v>
      </c>
      <c r="G1371" s="37">
        <v>26</v>
      </c>
      <c r="H1371" s="287">
        <v>45575</v>
      </c>
    </row>
    <row r="1372" spans="3:8" x14ac:dyDescent="0.25">
      <c r="C1372" s="285">
        <v>18</v>
      </c>
      <c r="D1372" s="285">
        <v>12</v>
      </c>
      <c r="E1372" s="286">
        <v>14.9</v>
      </c>
      <c r="F1372" s="4">
        <f t="shared" si="24"/>
        <v>0.11194029850746269</v>
      </c>
      <c r="G1372" s="37">
        <v>26</v>
      </c>
      <c r="H1372" s="287">
        <v>45575</v>
      </c>
    </row>
    <row r="1373" spans="3:8" x14ac:dyDescent="0.25">
      <c r="C1373" s="285">
        <v>19</v>
      </c>
      <c r="D1373" s="285">
        <v>17</v>
      </c>
      <c r="E1373" s="286">
        <v>23.3</v>
      </c>
      <c r="F1373" s="4">
        <f t="shared" si="24"/>
        <v>-6.7999999999999977E-2</v>
      </c>
      <c r="G1373" s="37">
        <v>26</v>
      </c>
      <c r="H1373" s="287">
        <v>45575</v>
      </c>
    </row>
    <row r="1374" spans="3:8" x14ac:dyDescent="0.25">
      <c r="C1374" s="288" t="s">
        <v>0</v>
      </c>
      <c r="D1374" s="288" t="s">
        <v>7</v>
      </c>
      <c r="E1374" s="289" t="s">
        <v>4</v>
      </c>
      <c r="F1374" s="4" t="str">
        <f t="shared" si="24"/>
        <v/>
      </c>
      <c r="G1374" s="37">
        <v>25.6</v>
      </c>
      <c r="H1374" s="290">
        <v>45576</v>
      </c>
    </row>
    <row r="1375" spans="3:8" x14ac:dyDescent="0.25">
      <c r="C1375" s="288">
        <v>1</v>
      </c>
      <c r="D1375" s="288">
        <v>69</v>
      </c>
      <c r="E1375" s="289">
        <v>27.5</v>
      </c>
      <c r="F1375" s="4">
        <f t="shared" si="24"/>
        <v>-4.8442906574394415E-2</v>
      </c>
      <c r="G1375" s="37">
        <v>25.6</v>
      </c>
      <c r="H1375" s="290">
        <v>45576</v>
      </c>
    </row>
    <row r="1376" spans="3:8" x14ac:dyDescent="0.25">
      <c r="C1376" s="288">
        <v>2</v>
      </c>
      <c r="D1376" s="288">
        <v>38</v>
      </c>
      <c r="E1376" s="289">
        <v>22.2</v>
      </c>
      <c r="F1376" s="4">
        <f t="shared" si="24"/>
        <v>-0.16541353383458654</v>
      </c>
      <c r="G1376" s="37">
        <v>25.6</v>
      </c>
      <c r="H1376" s="290">
        <v>45576</v>
      </c>
    </row>
    <row r="1377" spans="3:8" x14ac:dyDescent="0.25">
      <c r="C1377" s="288">
        <v>3</v>
      </c>
      <c r="D1377" s="288">
        <v>101</v>
      </c>
      <c r="E1377" s="289">
        <v>24.3</v>
      </c>
      <c r="F1377" s="4">
        <f t="shared" si="24"/>
        <v>-9.6654275092936726E-2</v>
      </c>
      <c r="G1377" s="37">
        <v>25.6</v>
      </c>
      <c r="H1377" s="290">
        <v>45576</v>
      </c>
    </row>
    <row r="1378" spans="3:8" x14ac:dyDescent="0.25">
      <c r="C1378" s="288">
        <v>4</v>
      </c>
      <c r="D1378" s="288">
        <v>0</v>
      </c>
      <c r="E1378" s="289"/>
      <c r="F1378" s="4" t="str">
        <f t="shared" si="24"/>
        <v/>
      </c>
      <c r="G1378" s="37">
        <v>25.6</v>
      </c>
      <c r="H1378" s="290">
        <v>45576</v>
      </c>
    </row>
    <row r="1379" spans="3:8" x14ac:dyDescent="0.25">
      <c r="C1379" s="288">
        <v>5</v>
      </c>
      <c r="D1379" s="288">
        <v>114</v>
      </c>
      <c r="E1379" s="289">
        <v>23.7</v>
      </c>
      <c r="F1379" s="4">
        <f t="shared" si="24"/>
        <v>-5.2000000000000025E-2</v>
      </c>
      <c r="G1379" s="37">
        <v>25.6</v>
      </c>
      <c r="H1379" s="290">
        <v>45576</v>
      </c>
    </row>
    <row r="1380" spans="3:8" x14ac:dyDescent="0.25">
      <c r="C1380" s="288">
        <v>6</v>
      </c>
      <c r="D1380" s="288">
        <v>109</v>
      </c>
      <c r="E1380" s="289">
        <v>25.3</v>
      </c>
      <c r="F1380" s="4">
        <f t="shared" si="24"/>
        <v>-1.1718750000000028E-2</v>
      </c>
      <c r="G1380" s="37">
        <v>25.6</v>
      </c>
      <c r="H1380" s="290">
        <v>45576</v>
      </c>
    </row>
    <row r="1381" spans="3:8" x14ac:dyDescent="0.25">
      <c r="C1381" s="288">
        <v>7</v>
      </c>
      <c r="D1381" s="288">
        <v>111</v>
      </c>
      <c r="E1381" s="289">
        <v>24.5</v>
      </c>
      <c r="F1381" s="4">
        <f t="shared" si="24"/>
        <v>-2.3904382470119577E-2</v>
      </c>
      <c r="G1381" s="37">
        <v>25.6</v>
      </c>
      <c r="H1381" s="290">
        <v>45576</v>
      </c>
    </row>
    <row r="1382" spans="3:8" x14ac:dyDescent="0.25">
      <c r="C1382" s="288">
        <v>8</v>
      </c>
      <c r="D1382" s="288">
        <v>0</v>
      </c>
      <c r="E1382" s="289"/>
      <c r="F1382" s="4" t="str">
        <f t="shared" si="24"/>
        <v/>
      </c>
      <c r="G1382" s="37">
        <v>25.6</v>
      </c>
      <c r="H1382" s="290">
        <v>45576</v>
      </c>
    </row>
    <row r="1383" spans="3:8" x14ac:dyDescent="0.25">
      <c r="C1383" s="288">
        <v>9</v>
      </c>
      <c r="D1383" s="288">
        <v>0</v>
      </c>
      <c r="E1383" s="289"/>
      <c r="F1383" s="4" t="str">
        <f t="shared" si="24"/>
        <v/>
      </c>
      <c r="G1383" s="37">
        <v>25.6</v>
      </c>
      <c r="H1383" s="290">
        <v>45576</v>
      </c>
    </row>
    <row r="1384" spans="3:8" x14ac:dyDescent="0.25">
      <c r="C1384" s="288">
        <v>10</v>
      </c>
      <c r="D1384" s="288">
        <v>99</v>
      </c>
      <c r="E1384" s="289">
        <v>20.7</v>
      </c>
      <c r="F1384" s="4">
        <f t="shared" si="24"/>
        <v>-1.895734597156408E-2</v>
      </c>
      <c r="G1384" s="37">
        <v>25.6</v>
      </c>
      <c r="H1384" s="290">
        <v>45576</v>
      </c>
    </row>
    <row r="1385" spans="3:8" x14ac:dyDescent="0.25">
      <c r="C1385" s="288">
        <v>18</v>
      </c>
      <c r="D1385" s="288">
        <v>16</v>
      </c>
      <c r="E1385" s="289">
        <v>20.3</v>
      </c>
      <c r="F1385" s="4">
        <f t="shared" si="24"/>
        <v>0.36241610738255037</v>
      </c>
      <c r="G1385" s="37">
        <v>25.6</v>
      </c>
      <c r="H1385" s="290">
        <v>45576</v>
      </c>
    </row>
    <row r="1386" spans="3:8" x14ac:dyDescent="0.25">
      <c r="C1386" s="288">
        <v>19</v>
      </c>
      <c r="D1386" s="288">
        <v>17</v>
      </c>
      <c r="E1386" s="289">
        <v>8.1</v>
      </c>
      <c r="F1386" s="4">
        <f t="shared" si="24"/>
        <v>-0.65236051502145931</v>
      </c>
      <c r="G1386" s="37">
        <v>25.6</v>
      </c>
      <c r="H1386" s="290">
        <v>45576</v>
      </c>
    </row>
    <row r="1387" spans="3:8" x14ac:dyDescent="0.25">
      <c r="C1387" s="291" t="s">
        <v>0</v>
      </c>
      <c r="D1387" s="291" t="s">
        <v>7</v>
      </c>
      <c r="E1387" s="292" t="s">
        <v>4</v>
      </c>
      <c r="F1387" s="4" t="str">
        <f t="shared" si="24"/>
        <v/>
      </c>
      <c r="G1387" s="37">
        <v>26.8</v>
      </c>
      <c r="H1387" s="290">
        <v>45577</v>
      </c>
    </row>
    <row r="1388" spans="3:8" x14ac:dyDescent="0.25">
      <c r="C1388" s="291">
        <v>1</v>
      </c>
      <c r="D1388" s="291">
        <v>72</v>
      </c>
      <c r="E1388" s="292">
        <v>28.4</v>
      </c>
      <c r="F1388" s="4">
        <f t="shared" si="24"/>
        <v>3.2727272727272674E-2</v>
      </c>
      <c r="G1388" s="37">
        <v>26.8</v>
      </c>
      <c r="H1388" s="290">
        <v>45577</v>
      </c>
    </row>
    <row r="1389" spans="3:8" x14ac:dyDescent="0.25">
      <c r="C1389" s="291">
        <v>2</v>
      </c>
      <c r="D1389" s="291">
        <v>38</v>
      </c>
      <c r="E1389" s="292">
        <v>22</v>
      </c>
      <c r="F1389" s="4">
        <f t="shared" si="24"/>
        <v>-9.0090090090089777E-3</v>
      </c>
      <c r="G1389" s="37">
        <v>26.8</v>
      </c>
      <c r="H1389" s="290">
        <v>45577</v>
      </c>
    </row>
    <row r="1390" spans="3:8" x14ac:dyDescent="0.25">
      <c r="C1390" s="291">
        <v>3</v>
      </c>
      <c r="D1390" s="291">
        <v>101</v>
      </c>
      <c r="E1390" s="292">
        <v>30.7</v>
      </c>
      <c r="F1390" s="4">
        <f t="shared" si="24"/>
        <v>0.26337448559670773</v>
      </c>
      <c r="G1390" s="37">
        <v>26.8</v>
      </c>
      <c r="H1390" s="290">
        <v>45577</v>
      </c>
    </row>
    <row r="1391" spans="3:8" x14ac:dyDescent="0.25">
      <c r="C1391" s="291">
        <v>4</v>
      </c>
      <c r="D1391" s="291">
        <v>0</v>
      </c>
      <c r="E1391" s="292"/>
      <c r="F1391" s="4" t="str">
        <f t="shared" si="24"/>
        <v/>
      </c>
      <c r="G1391" s="37">
        <v>26.8</v>
      </c>
      <c r="H1391" s="290">
        <v>45577</v>
      </c>
    </row>
    <row r="1392" spans="3:8" x14ac:dyDescent="0.25">
      <c r="C1392" s="291">
        <v>5</v>
      </c>
      <c r="D1392" s="291">
        <v>113</v>
      </c>
      <c r="E1392" s="292">
        <v>22.8</v>
      </c>
      <c r="F1392" s="4">
        <f t="shared" si="24"/>
        <v>-3.7974683544303736E-2</v>
      </c>
      <c r="G1392" s="37">
        <v>26.8</v>
      </c>
      <c r="H1392" s="290">
        <v>45577</v>
      </c>
    </row>
    <row r="1393" spans="3:8" x14ac:dyDescent="0.25">
      <c r="C1393" s="291">
        <v>6</v>
      </c>
      <c r="D1393" s="291">
        <v>109</v>
      </c>
      <c r="E1393" s="292">
        <v>21.5</v>
      </c>
      <c r="F1393" s="4">
        <f t="shared" si="24"/>
        <v>-0.15019762845849804</v>
      </c>
      <c r="G1393" s="37">
        <v>26.8</v>
      </c>
      <c r="H1393" s="290">
        <v>45577</v>
      </c>
    </row>
    <row r="1394" spans="3:8" x14ac:dyDescent="0.25">
      <c r="C1394" s="291">
        <v>7</v>
      </c>
      <c r="D1394" s="291">
        <v>112</v>
      </c>
      <c r="E1394" s="292">
        <v>20.2</v>
      </c>
      <c r="F1394" s="4">
        <f t="shared" si="24"/>
        <v>-0.17551020408163268</v>
      </c>
      <c r="G1394" s="37">
        <v>26.8</v>
      </c>
      <c r="H1394" s="290">
        <v>45577</v>
      </c>
    </row>
    <row r="1395" spans="3:8" x14ac:dyDescent="0.25">
      <c r="C1395" s="291">
        <v>8</v>
      </c>
      <c r="D1395" s="291">
        <v>0</v>
      </c>
      <c r="E1395" s="292"/>
      <c r="F1395" s="4" t="str">
        <f t="shared" si="24"/>
        <v/>
      </c>
      <c r="G1395" s="37">
        <v>26.8</v>
      </c>
      <c r="H1395" s="290">
        <v>45577</v>
      </c>
    </row>
    <row r="1396" spans="3:8" x14ac:dyDescent="0.25">
      <c r="C1396" s="291">
        <v>9</v>
      </c>
      <c r="D1396" s="291">
        <v>0</v>
      </c>
      <c r="E1396" s="292"/>
      <c r="F1396" s="4" t="str">
        <f t="shared" si="24"/>
        <v/>
      </c>
      <c r="G1396" s="37">
        <v>26.8</v>
      </c>
      <c r="H1396" s="290">
        <v>45577</v>
      </c>
    </row>
    <row r="1397" spans="3:8" x14ac:dyDescent="0.25">
      <c r="C1397" s="291">
        <v>10</v>
      </c>
      <c r="D1397" s="291">
        <v>99</v>
      </c>
      <c r="E1397" s="292">
        <v>27.6</v>
      </c>
      <c r="F1397" s="4">
        <f t="shared" si="24"/>
        <v>0.33333333333333343</v>
      </c>
      <c r="G1397" s="37">
        <v>26.8</v>
      </c>
      <c r="H1397" s="290">
        <v>45577</v>
      </c>
    </row>
    <row r="1398" spans="3:8" x14ac:dyDescent="0.25">
      <c r="C1398" s="291">
        <v>18</v>
      </c>
      <c r="D1398" s="291">
        <v>14</v>
      </c>
      <c r="E1398" s="292">
        <v>20</v>
      </c>
      <c r="F1398" s="4">
        <f t="shared" si="24"/>
        <v>-1.4778325123152743E-2</v>
      </c>
      <c r="G1398" s="37">
        <v>26.8</v>
      </c>
      <c r="H1398" s="290">
        <v>45577</v>
      </c>
    </row>
    <row r="1399" spans="3:8" x14ac:dyDescent="0.25">
      <c r="C1399" s="291">
        <v>19</v>
      </c>
      <c r="D1399" s="291">
        <v>17</v>
      </c>
      <c r="E1399" s="292">
        <v>9.6999999999999993</v>
      </c>
      <c r="F1399" s="4">
        <f t="shared" si="24"/>
        <v>0.19753086419753083</v>
      </c>
      <c r="G1399" s="37">
        <v>26.8</v>
      </c>
      <c r="H1399" s="290">
        <v>45577</v>
      </c>
    </row>
    <row r="1400" spans="3:8" x14ac:dyDescent="0.25">
      <c r="C1400" s="293" t="s">
        <v>0</v>
      </c>
      <c r="D1400" s="293" t="s">
        <v>7</v>
      </c>
      <c r="E1400" s="294" t="s">
        <v>4</v>
      </c>
      <c r="F1400" s="4" t="str">
        <f t="shared" si="24"/>
        <v/>
      </c>
      <c r="G1400" s="37">
        <v>25.5</v>
      </c>
      <c r="H1400" s="295">
        <v>45578</v>
      </c>
    </row>
    <row r="1401" spans="3:8" x14ac:dyDescent="0.25">
      <c r="C1401" s="293">
        <v>1</v>
      </c>
      <c r="D1401" s="293">
        <v>69</v>
      </c>
      <c r="E1401" s="294">
        <v>27.2</v>
      </c>
      <c r="F1401" s="4">
        <f t="shared" ref="F1401:F1465" si="25">IFERROR((E1401-E1388)/E1388,"")</f>
        <v>-4.2253521126760542E-2</v>
      </c>
      <c r="G1401" s="37">
        <v>25.5</v>
      </c>
      <c r="H1401" s="295">
        <v>45578</v>
      </c>
    </row>
    <row r="1402" spans="3:8" x14ac:dyDescent="0.25">
      <c r="C1402" s="293">
        <v>2</v>
      </c>
      <c r="D1402" s="293">
        <v>38</v>
      </c>
      <c r="E1402" s="294">
        <v>28.3</v>
      </c>
      <c r="F1402" s="4">
        <f t="shared" si="25"/>
        <v>0.28636363636363638</v>
      </c>
      <c r="G1402" s="37">
        <v>25.5</v>
      </c>
      <c r="H1402" s="295">
        <v>45578</v>
      </c>
    </row>
    <row r="1403" spans="3:8" x14ac:dyDescent="0.25">
      <c r="C1403" s="293">
        <v>3</v>
      </c>
      <c r="D1403" s="293">
        <v>101</v>
      </c>
      <c r="E1403" s="294">
        <v>30.2</v>
      </c>
      <c r="F1403" s="4">
        <f t="shared" si="25"/>
        <v>-1.6286644951140065E-2</v>
      </c>
      <c r="G1403" s="37">
        <v>25.5</v>
      </c>
      <c r="H1403" s="295">
        <v>45578</v>
      </c>
    </row>
    <row r="1404" spans="3:8" x14ac:dyDescent="0.25">
      <c r="C1404" s="293">
        <v>4</v>
      </c>
      <c r="D1404" s="293">
        <v>0</v>
      </c>
      <c r="E1404" s="294"/>
      <c r="F1404" s="4" t="str">
        <f t="shared" si="25"/>
        <v/>
      </c>
      <c r="G1404" s="37">
        <v>25.5</v>
      </c>
      <c r="H1404" s="295">
        <v>45578</v>
      </c>
    </row>
    <row r="1405" spans="3:8" x14ac:dyDescent="0.25">
      <c r="C1405" s="293">
        <v>5</v>
      </c>
      <c r="D1405" s="293">
        <v>113</v>
      </c>
      <c r="E1405" s="294">
        <v>24.6</v>
      </c>
      <c r="F1405" s="4">
        <f t="shared" si="25"/>
        <v>7.8947368421052655E-2</v>
      </c>
      <c r="G1405" s="37">
        <v>25.5</v>
      </c>
      <c r="H1405" s="295">
        <v>45578</v>
      </c>
    </row>
    <row r="1406" spans="3:8" x14ac:dyDescent="0.25">
      <c r="C1406" s="293">
        <v>6</v>
      </c>
      <c r="D1406" s="293">
        <v>109</v>
      </c>
      <c r="E1406" s="294">
        <v>24.5</v>
      </c>
      <c r="F1406" s="4">
        <f t="shared" si="25"/>
        <v>0.13953488372093023</v>
      </c>
      <c r="G1406" s="37">
        <v>25.5</v>
      </c>
      <c r="H1406" s="295">
        <v>45578</v>
      </c>
    </row>
    <row r="1407" spans="3:8" x14ac:dyDescent="0.25">
      <c r="C1407" s="293">
        <v>7</v>
      </c>
      <c r="D1407" s="293">
        <v>111</v>
      </c>
      <c r="E1407" s="294">
        <v>21.3</v>
      </c>
      <c r="F1407" s="4">
        <f t="shared" si="25"/>
        <v>5.4455445544554525E-2</v>
      </c>
      <c r="G1407" s="37">
        <v>25.5</v>
      </c>
      <c r="H1407" s="295">
        <v>45578</v>
      </c>
    </row>
    <row r="1408" spans="3:8" x14ac:dyDescent="0.25">
      <c r="C1408" s="293">
        <v>8</v>
      </c>
      <c r="D1408" s="293">
        <v>0</v>
      </c>
      <c r="E1408" s="294"/>
      <c r="F1408" s="4" t="str">
        <f t="shared" si="25"/>
        <v/>
      </c>
      <c r="G1408" s="37">
        <v>25.5</v>
      </c>
      <c r="H1408" s="295">
        <v>45578</v>
      </c>
    </row>
    <row r="1409" spans="3:8" x14ac:dyDescent="0.25">
      <c r="C1409" s="293">
        <v>9</v>
      </c>
      <c r="D1409" s="293">
        <v>0</v>
      </c>
      <c r="E1409" s="294"/>
      <c r="F1409" s="4" t="str">
        <f t="shared" si="25"/>
        <v/>
      </c>
      <c r="G1409" s="37">
        <v>25.5</v>
      </c>
      <c r="H1409" s="295">
        <v>45578</v>
      </c>
    </row>
    <row r="1410" spans="3:8" x14ac:dyDescent="0.25">
      <c r="C1410" s="293">
        <v>10</v>
      </c>
      <c r="D1410" s="293">
        <v>99</v>
      </c>
      <c r="E1410" s="294">
        <v>18.600000000000001</v>
      </c>
      <c r="F1410" s="4">
        <f t="shared" si="25"/>
        <v>-0.32608695652173914</v>
      </c>
      <c r="G1410" s="37">
        <v>25.5</v>
      </c>
      <c r="H1410" s="295">
        <v>45578</v>
      </c>
    </row>
    <row r="1411" spans="3:8" x14ac:dyDescent="0.25">
      <c r="C1411" s="293">
        <v>18</v>
      </c>
      <c r="D1411" s="293">
        <v>15</v>
      </c>
      <c r="E1411" s="294">
        <v>7.5</v>
      </c>
      <c r="F1411" s="4">
        <f t="shared" si="25"/>
        <v>-0.625</v>
      </c>
      <c r="G1411" s="37">
        <v>25.5</v>
      </c>
      <c r="H1411" s="295">
        <v>45578</v>
      </c>
    </row>
    <row r="1412" spans="3:8" x14ac:dyDescent="0.25">
      <c r="C1412" s="293">
        <v>19</v>
      </c>
      <c r="D1412" s="293">
        <v>19</v>
      </c>
      <c r="E1412" s="294">
        <v>20.100000000000001</v>
      </c>
      <c r="F1412" s="4">
        <f t="shared" si="25"/>
        <v>1.0721649484536084</v>
      </c>
      <c r="G1412" s="37">
        <v>25.5</v>
      </c>
      <c r="H1412" s="295">
        <v>45578</v>
      </c>
    </row>
    <row r="1413" spans="3:8" x14ac:dyDescent="0.25">
      <c r="C1413" s="296" t="s">
        <v>0</v>
      </c>
      <c r="D1413" s="296" t="s">
        <v>7</v>
      </c>
      <c r="E1413" s="297" t="s">
        <v>4</v>
      </c>
      <c r="F1413" s="4" t="str">
        <f t="shared" si="25"/>
        <v/>
      </c>
      <c r="G1413" s="37">
        <v>25.7</v>
      </c>
      <c r="H1413" s="298">
        <v>45579</v>
      </c>
    </row>
    <row r="1414" spans="3:8" x14ac:dyDescent="0.25">
      <c r="C1414" s="296">
        <v>1</v>
      </c>
      <c r="D1414" s="296">
        <v>72</v>
      </c>
      <c r="E1414" s="297">
        <v>28.9</v>
      </c>
      <c r="F1414" s="4">
        <f t="shared" si="25"/>
        <v>6.2499999999999972E-2</v>
      </c>
      <c r="G1414" s="37">
        <v>25.7</v>
      </c>
      <c r="H1414" s="298">
        <v>45579</v>
      </c>
    </row>
    <row r="1415" spans="3:8" x14ac:dyDescent="0.25">
      <c r="C1415" s="296">
        <v>2</v>
      </c>
      <c r="D1415" s="296">
        <v>37</v>
      </c>
      <c r="E1415" s="297">
        <v>27.9</v>
      </c>
      <c r="F1415" s="4">
        <f t="shared" si="25"/>
        <v>-1.4134275618374633E-2</v>
      </c>
      <c r="G1415" s="37">
        <v>25.7</v>
      </c>
      <c r="H1415" s="298">
        <v>45579</v>
      </c>
    </row>
    <row r="1416" spans="3:8" x14ac:dyDescent="0.25">
      <c r="C1416" s="296">
        <v>3</v>
      </c>
      <c r="D1416" s="296">
        <v>104</v>
      </c>
      <c r="E1416" s="297">
        <v>25</v>
      </c>
      <c r="F1416" s="4">
        <f t="shared" si="25"/>
        <v>-0.17218543046357615</v>
      </c>
      <c r="G1416" s="37">
        <v>25.7</v>
      </c>
      <c r="H1416" s="298">
        <v>45579</v>
      </c>
    </row>
    <row r="1417" spans="3:8" x14ac:dyDescent="0.25">
      <c r="C1417" s="296">
        <v>4</v>
      </c>
      <c r="D1417" s="296">
        <v>0</v>
      </c>
      <c r="E1417" s="297"/>
      <c r="F1417" s="4" t="str">
        <f t="shared" si="25"/>
        <v/>
      </c>
      <c r="G1417" s="37">
        <v>25.7</v>
      </c>
      <c r="H1417" s="298">
        <v>45579</v>
      </c>
    </row>
    <row r="1418" spans="3:8" x14ac:dyDescent="0.25">
      <c r="C1418" s="296">
        <v>5</v>
      </c>
      <c r="D1418" s="296">
        <v>114</v>
      </c>
      <c r="E1418" s="297">
        <v>24.9</v>
      </c>
      <c r="F1418" s="4">
        <f t="shared" si="25"/>
        <v>1.2195121951219396E-2</v>
      </c>
      <c r="G1418" s="37">
        <v>25.7</v>
      </c>
      <c r="H1418" s="298">
        <v>45579</v>
      </c>
    </row>
    <row r="1419" spans="3:8" x14ac:dyDescent="0.25">
      <c r="C1419" s="296">
        <v>6</v>
      </c>
      <c r="D1419" s="296">
        <v>108</v>
      </c>
      <c r="E1419" s="297">
        <v>23.7</v>
      </c>
      <c r="F1419" s="4">
        <f t="shared" si="25"/>
        <v>-3.2653061224489827E-2</v>
      </c>
      <c r="G1419" s="37">
        <v>25.7</v>
      </c>
      <c r="H1419" s="298">
        <v>45579</v>
      </c>
    </row>
    <row r="1420" spans="3:8" x14ac:dyDescent="0.25">
      <c r="C1420" s="296">
        <v>7</v>
      </c>
      <c r="D1420" s="296">
        <v>111</v>
      </c>
      <c r="E1420" s="297">
        <v>25.2</v>
      </c>
      <c r="F1420" s="4">
        <f t="shared" si="25"/>
        <v>0.1830985915492957</v>
      </c>
      <c r="G1420" s="37">
        <v>25.7</v>
      </c>
      <c r="H1420" s="298">
        <v>45579</v>
      </c>
    </row>
    <row r="1421" spans="3:8" x14ac:dyDescent="0.25">
      <c r="C1421" s="296">
        <v>8</v>
      </c>
      <c r="D1421" s="296">
        <v>0</v>
      </c>
      <c r="E1421" s="297"/>
      <c r="F1421" s="4" t="str">
        <f t="shared" si="25"/>
        <v/>
      </c>
      <c r="G1421" s="37">
        <v>25.7</v>
      </c>
      <c r="H1421" s="298">
        <v>45579</v>
      </c>
    </row>
    <row r="1422" spans="3:8" x14ac:dyDescent="0.25">
      <c r="C1422" s="296">
        <v>9</v>
      </c>
      <c r="D1422" s="296">
        <v>0</v>
      </c>
      <c r="E1422" s="297"/>
      <c r="F1422" s="4" t="str">
        <f t="shared" si="25"/>
        <v/>
      </c>
      <c r="G1422" s="37">
        <v>25.7</v>
      </c>
      <c r="H1422" s="298">
        <v>45579</v>
      </c>
    </row>
    <row r="1423" spans="3:8" x14ac:dyDescent="0.25">
      <c r="C1423" s="296">
        <v>10</v>
      </c>
      <c r="D1423" s="296">
        <v>99</v>
      </c>
      <c r="E1423" s="297">
        <v>22.3</v>
      </c>
      <c r="F1423" s="4">
        <f t="shared" si="25"/>
        <v>0.19892473118279563</v>
      </c>
      <c r="G1423" s="37">
        <v>25.7</v>
      </c>
      <c r="H1423" s="298">
        <v>45579</v>
      </c>
    </row>
    <row r="1424" spans="3:8" x14ac:dyDescent="0.25">
      <c r="C1424" s="296">
        <v>18</v>
      </c>
      <c r="D1424" s="296">
        <v>17</v>
      </c>
      <c r="E1424" s="297">
        <v>17.3</v>
      </c>
      <c r="F1424" s="4">
        <f t="shared" si="25"/>
        <v>1.3066666666666669</v>
      </c>
      <c r="G1424" s="37">
        <v>25.7</v>
      </c>
      <c r="H1424" s="298">
        <v>45579</v>
      </c>
    </row>
    <row r="1425" spans="3:8" x14ac:dyDescent="0.25">
      <c r="C1425" s="296">
        <v>19</v>
      </c>
      <c r="D1425" s="296">
        <v>12</v>
      </c>
      <c r="E1425" s="297">
        <v>26.4</v>
      </c>
      <c r="F1425" s="4">
        <f t="shared" si="25"/>
        <v>0.31343283582089537</v>
      </c>
      <c r="G1425" s="37">
        <v>25.7</v>
      </c>
      <c r="H1425" s="298">
        <v>45579</v>
      </c>
    </row>
    <row r="1426" spans="3:8" x14ac:dyDescent="0.25">
      <c r="C1426" s="299" t="s">
        <v>0</v>
      </c>
      <c r="D1426" s="299" t="s">
        <v>7</v>
      </c>
      <c r="E1426" s="300" t="s">
        <v>4</v>
      </c>
      <c r="F1426" s="4" t="str">
        <f t="shared" si="25"/>
        <v/>
      </c>
      <c r="G1426" s="37">
        <v>25</v>
      </c>
      <c r="H1426" s="301">
        <v>45580</v>
      </c>
    </row>
    <row r="1427" spans="3:8" x14ac:dyDescent="0.25">
      <c r="C1427" s="299">
        <v>1</v>
      </c>
      <c r="D1427" s="299">
        <v>73</v>
      </c>
      <c r="E1427" s="300">
        <v>31.2</v>
      </c>
      <c r="F1427" s="4">
        <f t="shared" si="25"/>
        <v>7.9584775086505216E-2</v>
      </c>
      <c r="G1427" s="37">
        <v>25</v>
      </c>
      <c r="H1427" s="301">
        <v>45580</v>
      </c>
    </row>
    <row r="1428" spans="3:8" x14ac:dyDescent="0.25">
      <c r="C1428" s="299">
        <v>2</v>
      </c>
      <c r="D1428" s="299">
        <v>37</v>
      </c>
      <c r="E1428" s="300">
        <v>26.5</v>
      </c>
      <c r="F1428" s="4">
        <f t="shared" si="25"/>
        <v>-5.0179211469534003E-2</v>
      </c>
      <c r="G1428" s="37">
        <v>25</v>
      </c>
      <c r="H1428" s="301">
        <v>45580</v>
      </c>
    </row>
    <row r="1429" spans="3:8" x14ac:dyDescent="0.25">
      <c r="C1429" s="299">
        <v>3</v>
      </c>
      <c r="D1429" s="299">
        <v>104</v>
      </c>
      <c r="E1429" s="300">
        <v>23.5</v>
      </c>
      <c r="F1429" s="4">
        <f t="shared" si="25"/>
        <v>-0.06</v>
      </c>
      <c r="G1429" s="37">
        <v>25</v>
      </c>
      <c r="H1429" s="301">
        <v>45580</v>
      </c>
    </row>
    <row r="1430" spans="3:8" x14ac:dyDescent="0.25">
      <c r="C1430" s="299">
        <v>4</v>
      </c>
      <c r="D1430" s="299">
        <v>0</v>
      </c>
      <c r="E1430" s="300"/>
      <c r="F1430" s="4" t="str">
        <f t="shared" si="25"/>
        <v/>
      </c>
      <c r="G1430" s="37">
        <v>25</v>
      </c>
      <c r="H1430" s="301">
        <v>45580</v>
      </c>
    </row>
    <row r="1431" spans="3:8" x14ac:dyDescent="0.25">
      <c r="C1431" s="299">
        <v>5</v>
      </c>
      <c r="D1431" s="299">
        <v>114</v>
      </c>
      <c r="E1431" s="300">
        <v>24.7</v>
      </c>
      <c r="F1431" s="4">
        <f t="shared" si="25"/>
        <v>-8.0321285140561964E-3</v>
      </c>
      <c r="G1431" s="37">
        <v>25</v>
      </c>
      <c r="H1431" s="301">
        <v>45580</v>
      </c>
    </row>
    <row r="1432" spans="3:8" x14ac:dyDescent="0.25">
      <c r="C1432" s="299">
        <v>6</v>
      </c>
      <c r="D1432" s="299">
        <v>109</v>
      </c>
      <c r="E1432" s="300">
        <v>24.6</v>
      </c>
      <c r="F1432" s="4">
        <f t="shared" si="25"/>
        <v>3.7974683544303889E-2</v>
      </c>
      <c r="G1432" s="37">
        <v>25</v>
      </c>
      <c r="H1432" s="301">
        <v>45580</v>
      </c>
    </row>
    <row r="1433" spans="3:8" x14ac:dyDescent="0.25">
      <c r="C1433" s="299">
        <v>7</v>
      </c>
      <c r="D1433" s="299">
        <v>110</v>
      </c>
      <c r="E1433" s="300">
        <v>24.4</v>
      </c>
      <c r="F1433" s="4">
        <f t="shared" si="25"/>
        <v>-3.1746031746031772E-2</v>
      </c>
      <c r="G1433" s="37">
        <v>25</v>
      </c>
      <c r="H1433" s="301">
        <v>45580</v>
      </c>
    </row>
    <row r="1434" spans="3:8" x14ac:dyDescent="0.25">
      <c r="C1434" s="299">
        <v>8</v>
      </c>
      <c r="D1434" s="299">
        <v>0</v>
      </c>
      <c r="E1434" s="300"/>
      <c r="F1434" s="4" t="str">
        <f t="shared" si="25"/>
        <v/>
      </c>
      <c r="G1434" s="37">
        <v>25</v>
      </c>
      <c r="H1434" s="301">
        <v>45580</v>
      </c>
    </row>
    <row r="1435" spans="3:8" x14ac:dyDescent="0.25">
      <c r="C1435" s="299">
        <v>9</v>
      </c>
      <c r="D1435" s="299">
        <v>0</v>
      </c>
      <c r="E1435" s="300"/>
      <c r="F1435" s="4" t="str">
        <f t="shared" si="25"/>
        <v/>
      </c>
      <c r="G1435" s="37">
        <v>25</v>
      </c>
      <c r="H1435" s="301">
        <v>45580</v>
      </c>
    </row>
    <row r="1436" spans="3:8" x14ac:dyDescent="0.25">
      <c r="C1436" s="299">
        <v>10</v>
      </c>
      <c r="D1436" s="299">
        <v>99</v>
      </c>
      <c r="E1436" s="300">
        <v>19.7</v>
      </c>
      <c r="F1436" s="4">
        <f t="shared" si="25"/>
        <v>-0.11659192825112114</v>
      </c>
      <c r="G1436" s="37">
        <v>25</v>
      </c>
      <c r="H1436" s="301">
        <v>45580</v>
      </c>
    </row>
    <row r="1437" spans="3:8" x14ac:dyDescent="0.25">
      <c r="C1437" s="299">
        <v>18</v>
      </c>
      <c r="D1437" s="299">
        <v>14</v>
      </c>
      <c r="E1437" s="300">
        <v>21.5</v>
      </c>
      <c r="F1437" s="4">
        <f t="shared" si="25"/>
        <v>0.2427745664739884</v>
      </c>
      <c r="G1437" s="37">
        <v>25</v>
      </c>
      <c r="H1437" s="301">
        <v>45580</v>
      </c>
    </row>
    <row r="1438" spans="3:8" x14ac:dyDescent="0.25">
      <c r="C1438" s="299">
        <v>19</v>
      </c>
      <c r="D1438" s="299">
        <v>16</v>
      </c>
      <c r="E1438" s="300">
        <v>16.399999999999999</v>
      </c>
      <c r="F1438" s="4">
        <f t="shared" si="25"/>
        <v>-0.37878787878787878</v>
      </c>
      <c r="G1438" s="37">
        <v>25</v>
      </c>
      <c r="H1438" s="301">
        <v>45580</v>
      </c>
    </row>
    <row r="1439" spans="3:8" x14ac:dyDescent="0.25">
      <c r="C1439" s="302" t="s">
        <v>8</v>
      </c>
      <c r="D1439" s="302" t="s">
        <v>9</v>
      </c>
      <c r="E1439" s="303" t="s">
        <v>10</v>
      </c>
      <c r="F1439" s="4" t="str">
        <f t="shared" si="25"/>
        <v/>
      </c>
      <c r="G1439" s="37">
        <v>24.5</v>
      </c>
      <c r="H1439" s="301">
        <v>45581</v>
      </c>
    </row>
    <row r="1440" spans="3:8" x14ac:dyDescent="0.25">
      <c r="C1440" s="302">
        <v>1</v>
      </c>
      <c r="D1440" s="302">
        <v>76</v>
      </c>
      <c r="E1440" s="303">
        <v>29.6</v>
      </c>
      <c r="F1440" s="4">
        <f t="shared" si="25"/>
        <v>-5.1282051282051218E-2</v>
      </c>
      <c r="G1440" s="37">
        <v>24.5</v>
      </c>
      <c r="H1440" s="301">
        <v>45581</v>
      </c>
    </row>
    <row r="1441" spans="3:8" x14ac:dyDescent="0.25">
      <c r="C1441" s="302">
        <v>2</v>
      </c>
      <c r="D1441" s="302">
        <v>37</v>
      </c>
      <c r="E1441" s="303">
        <v>24.9</v>
      </c>
      <c r="F1441" s="4">
        <f t="shared" si="25"/>
        <v>-6.0377358490566094E-2</v>
      </c>
      <c r="G1441" s="37">
        <v>24.5</v>
      </c>
      <c r="H1441" s="301">
        <v>45581</v>
      </c>
    </row>
    <row r="1442" spans="3:8" x14ac:dyDescent="0.25">
      <c r="C1442" s="302">
        <v>3</v>
      </c>
      <c r="D1442" s="302">
        <v>104</v>
      </c>
      <c r="E1442" s="303">
        <v>25.2</v>
      </c>
      <c r="F1442" s="4">
        <f t="shared" si="25"/>
        <v>7.2340425531914859E-2</v>
      </c>
      <c r="G1442" s="37">
        <v>24.5</v>
      </c>
      <c r="H1442" s="301">
        <v>45581</v>
      </c>
    </row>
    <row r="1443" spans="3:8" x14ac:dyDescent="0.25">
      <c r="C1443" s="302">
        <v>4</v>
      </c>
      <c r="D1443" s="302">
        <v>0</v>
      </c>
      <c r="E1443" s="303"/>
      <c r="F1443" s="4" t="str">
        <f t="shared" si="25"/>
        <v/>
      </c>
      <c r="G1443" s="37">
        <v>24.5</v>
      </c>
      <c r="H1443" s="301">
        <v>45581</v>
      </c>
    </row>
    <row r="1444" spans="3:8" x14ac:dyDescent="0.25">
      <c r="C1444" s="302">
        <v>5</v>
      </c>
      <c r="D1444" s="302">
        <v>114</v>
      </c>
      <c r="E1444" s="303">
        <v>23.9</v>
      </c>
      <c r="F1444" s="4">
        <f t="shared" si="25"/>
        <v>-3.2388663967611364E-2</v>
      </c>
      <c r="G1444" s="37">
        <v>24.5</v>
      </c>
      <c r="H1444" s="301">
        <v>45581</v>
      </c>
    </row>
    <row r="1445" spans="3:8" x14ac:dyDescent="0.25">
      <c r="C1445" s="302">
        <v>6</v>
      </c>
      <c r="D1445" s="302">
        <v>109</v>
      </c>
      <c r="E1445" s="303">
        <v>23.7</v>
      </c>
      <c r="F1445" s="4">
        <f t="shared" si="25"/>
        <v>-3.6585365853658625E-2</v>
      </c>
      <c r="G1445" s="37">
        <v>24.5</v>
      </c>
      <c r="H1445" s="301">
        <v>45581</v>
      </c>
    </row>
    <row r="1446" spans="3:8" x14ac:dyDescent="0.25">
      <c r="C1446" s="302">
        <v>7</v>
      </c>
      <c r="D1446" s="302">
        <v>110</v>
      </c>
      <c r="E1446" s="303">
        <v>24.6</v>
      </c>
      <c r="F1446" s="4">
        <f t="shared" si="25"/>
        <v>8.1967213114755265E-3</v>
      </c>
      <c r="G1446" s="37">
        <v>24.5</v>
      </c>
      <c r="H1446" s="301">
        <v>45581</v>
      </c>
    </row>
    <row r="1447" spans="3:8" x14ac:dyDescent="0.25">
      <c r="C1447" s="302">
        <v>8</v>
      </c>
      <c r="D1447" s="302">
        <v>0</v>
      </c>
      <c r="E1447" s="303"/>
      <c r="F1447" s="4" t="str">
        <f t="shared" si="25"/>
        <v/>
      </c>
      <c r="G1447" s="37">
        <v>24.5</v>
      </c>
      <c r="H1447" s="301">
        <v>45581</v>
      </c>
    </row>
    <row r="1448" spans="3:8" x14ac:dyDescent="0.25">
      <c r="C1448" s="302">
        <v>9</v>
      </c>
      <c r="D1448" s="302">
        <v>0</v>
      </c>
      <c r="E1448" s="303"/>
      <c r="F1448" s="4" t="str">
        <f t="shared" si="25"/>
        <v/>
      </c>
      <c r="G1448" s="37">
        <v>24.5</v>
      </c>
      <c r="H1448" s="301">
        <v>45581</v>
      </c>
    </row>
    <row r="1449" spans="3:8" x14ac:dyDescent="0.25">
      <c r="C1449" s="302">
        <v>10</v>
      </c>
      <c r="D1449" s="302">
        <v>98</v>
      </c>
      <c r="E1449" s="303">
        <v>20.100000000000001</v>
      </c>
      <c r="F1449" s="4">
        <f t="shared" si="25"/>
        <v>2.0304568527918891E-2</v>
      </c>
      <c r="G1449" s="37">
        <v>24.5</v>
      </c>
      <c r="H1449" s="301">
        <v>45581</v>
      </c>
    </row>
    <row r="1450" spans="3:8" x14ac:dyDescent="0.25">
      <c r="C1450" s="302">
        <v>18</v>
      </c>
      <c r="D1450" s="302">
        <v>13</v>
      </c>
      <c r="E1450" s="303">
        <v>29.3</v>
      </c>
      <c r="F1450" s="4">
        <f t="shared" si="25"/>
        <v>0.36279069767441863</v>
      </c>
      <c r="G1450" s="37">
        <v>24.5</v>
      </c>
      <c r="H1450" s="301">
        <v>45581</v>
      </c>
    </row>
    <row r="1451" spans="3:8" x14ac:dyDescent="0.25">
      <c r="C1451" s="302">
        <v>19</v>
      </c>
      <c r="D1451" s="302">
        <v>17</v>
      </c>
      <c r="E1451" s="303">
        <v>21.8</v>
      </c>
      <c r="F1451" s="4">
        <f t="shared" si="25"/>
        <v>0.32926829268292701</v>
      </c>
      <c r="G1451" s="37">
        <v>24.5</v>
      </c>
      <c r="H1451" s="301">
        <v>45581</v>
      </c>
    </row>
    <row r="1452" spans="3:8" x14ac:dyDescent="0.25">
      <c r="C1452" s="304" t="s">
        <v>0</v>
      </c>
      <c r="D1452" s="304" t="s">
        <v>7</v>
      </c>
      <c r="E1452" s="305" t="s">
        <v>4</v>
      </c>
      <c r="F1452" s="4" t="str">
        <f t="shared" si="25"/>
        <v/>
      </c>
      <c r="G1452" s="37">
        <v>25.3</v>
      </c>
      <c r="H1452" s="306">
        <v>45582</v>
      </c>
    </row>
    <row r="1453" spans="3:8" x14ac:dyDescent="0.25">
      <c r="C1453" s="304">
        <v>1</v>
      </c>
      <c r="D1453" s="304">
        <v>65</v>
      </c>
      <c r="E1453" s="305">
        <v>31</v>
      </c>
      <c r="F1453" s="4">
        <f t="shared" si="25"/>
        <v>4.7297297297297244E-2</v>
      </c>
      <c r="G1453" s="37">
        <v>25.3</v>
      </c>
      <c r="H1453" s="306">
        <v>45582</v>
      </c>
    </row>
    <row r="1454" spans="3:8" x14ac:dyDescent="0.25">
      <c r="C1454" s="304">
        <v>2</v>
      </c>
      <c r="D1454" s="304">
        <v>39</v>
      </c>
      <c r="E1454" s="305">
        <v>30.2</v>
      </c>
      <c r="F1454" s="4">
        <f t="shared" si="25"/>
        <v>0.21285140562249</v>
      </c>
      <c r="G1454" s="37">
        <v>25.3</v>
      </c>
      <c r="H1454" s="306">
        <v>45582</v>
      </c>
    </row>
    <row r="1455" spans="3:8" x14ac:dyDescent="0.25">
      <c r="C1455" s="304">
        <v>3</v>
      </c>
      <c r="D1455" s="304">
        <v>112</v>
      </c>
      <c r="E1455" s="305">
        <v>25.4</v>
      </c>
      <c r="F1455" s="4">
        <f t="shared" si="25"/>
        <v>7.9365079365079083E-3</v>
      </c>
      <c r="G1455" s="37">
        <v>25.3</v>
      </c>
      <c r="H1455" s="306">
        <v>45582</v>
      </c>
    </row>
    <row r="1456" spans="3:8" x14ac:dyDescent="0.25">
      <c r="C1456" s="304">
        <v>4</v>
      </c>
      <c r="D1456" s="304">
        <v>0</v>
      </c>
      <c r="E1456" s="305"/>
      <c r="F1456" s="4" t="str">
        <f t="shared" si="25"/>
        <v/>
      </c>
      <c r="G1456" s="37">
        <v>25.3</v>
      </c>
      <c r="H1456" s="306">
        <v>45582</v>
      </c>
    </row>
    <row r="1457" spans="3:8" x14ac:dyDescent="0.25">
      <c r="C1457" s="304">
        <v>5</v>
      </c>
      <c r="D1457" s="304">
        <v>113</v>
      </c>
      <c r="E1457" s="305">
        <v>25.3</v>
      </c>
      <c r="F1457" s="4">
        <f t="shared" si="25"/>
        <v>5.8577405857740676E-2</v>
      </c>
      <c r="G1457" s="37">
        <v>25.3</v>
      </c>
      <c r="H1457" s="306">
        <v>45582</v>
      </c>
    </row>
    <row r="1458" spans="3:8" x14ac:dyDescent="0.25">
      <c r="C1458" s="304">
        <v>6</v>
      </c>
      <c r="D1458" s="304">
        <v>109</v>
      </c>
      <c r="E1458" s="305">
        <v>23.8</v>
      </c>
      <c r="F1458" s="4">
        <f t="shared" si="25"/>
        <v>4.2194092827004823E-3</v>
      </c>
      <c r="G1458" s="37">
        <v>25.3</v>
      </c>
      <c r="H1458" s="306">
        <v>45582</v>
      </c>
    </row>
    <row r="1459" spans="3:8" x14ac:dyDescent="0.25">
      <c r="C1459" s="304">
        <v>7</v>
      </c>
      <c r="D1459" s="304">
        <v>109</v>
      </c>
      <c r="E1459" s="305">
        <v>24.7</v>
      </c>
      <c r="F1459" s="4">
        <f t="shared" si="25"/>
        <v>4.0650406504064169E-3</v>
      </c>
      <c r="G1459" s="37">
        <v>25.3</v>
      </c>
      <c r="H1459" s="306">
        <v>45582</v>
      </c>
    </row>
    <row r="1460" spans="3:8" x14ac:dyDescent="0.25">
      <c r="C1460" s="304">
        <v>8</v>
      </c>
      <c r="D1460" s="304">
        <v>0</v>
      </c>
      <c r="E1460" s="305"/>
      <c r="F1460" s="4" t="str">
        <f t="shared" si="25"/>
        <v/>
      </c>
      <c r="G1460" s="37">
        <v>25.3</v>
      </c>
      <c r="H1460" s="306">
        <v>45582</v>
      </c>
    </row>
    <row r="1461" spans="3:8" x14ac:dyDescent="0.25">
      <c r="C1461" s="304">
        <v>9</v>
      </c>
      <c r="D1461" s="304">
        <v>0</v>
      </c>
      <c r="E1461" s="305"/>
      <c r="F1461" s="4" t="str">
        <f t="shared" si="25"/>
        <v/>
      </c>
      <c r="G1461" s="37">
        <v>25.3</v>
      </c>
      <c r="H1461" s="306">
        <v>45582</v>
      </c>
    </row>
    <row r="1462" spans="3:8" x14ac:dyDescent="0.25">
      <c r="C1462" s="304">
        <v>10</v>
      </c>
      <c r="D1462" s="304">
        <v>93</v>
      </c>
      <c r="E1462" s="305">
        <v>19.899999999999999</v>
      </c>
      <c r="F1462" s="4">
        <f t="shared" si="25"/>
        <v>-9.9502487562190458E-3</v>
      </c>
      <c r="G1462" s="37">
        <v>25.3</v>
      </c>
      <c r="H1462" s="306">
        <v>45582</v>
      </c>
    </row>
    <row r="1463" spans="3:8" x14ac:dyDescent="0.25">
      <c r="C1463" s="304">
        <v>18</v>
      </c>
      <c r="D1463" s="304">
        <v>15</v>
      </c>
      <c r="E1463" s="305">
        <v>12.7</v>
      </c>
      <c r="F1463" s="4">
        <f t="shared" si="25"/>
        <v>-0.56655290102389078</v>
      </c>
      <c r="G1463" s="37">
        <v>25.3</v>
      </c>
      <c r="H1463" s="306">
        <v>45582</v>
      </c>
    </row>
    <row r="1464" spans="3:8" x14ac:dyDescent="0.25">
      <c r="C1464" s="304">
        <v>19</v>
      </c>
      <c r="D1464" s="304">
        <v>18</v>
      </c>
      <c r="E1464" s="305">
        <v>15.1</v>
      </c>
      <c r="F1464" s="4">
        <f t="shared" si="25"/>
        <v>-0.30733944954128445</v>
      </c>
      <c r="G1464" s="37">
        <v>25.3</v>
      </c>
      <c r="H1464" s="306">
        <v>45582</v>
      </c>
    </row>
    <row r="1465" spans="3:8" x14ac:dyDescent="0.25">
      <c r="C1465" s="307" t="s">
        <v>0</v>
      </c>
      <c r="D1465" s="307" t="s">
        <v>7</v>
      </c>
      <c r="E1465" s="308" t="s">
        <v>4</v>
      </c>
      <c r="F1465" s="4" t="str">
        <f t="shared" si="25"/>
        <v/>
      </c>
      <c r="G1465" s="37">
        <v>25.3</v>
      </c>
      <c r="H1465" s="309">
        <v>45583</v>
      </c>
    </row>
    <row r="1466" spans="3:8" x14ac:dyDescent="0.25">
      <c r="C1466" s="307">
        <v>1</v>
      </c>
      <c r="D1466" s="307">
        <v>65</v>
      </c>
      <c r="E1466" s="308">
        <v>30.5</v>
      </c>
      <c r="F1466" s="4">
        <f t="shared" ref="F1466:F1530" si="26">IFERROR((E1466-E1453)/E1453,"")</f>
        <v>-1.6129032258064516E-2</v>
      </c>
      <c r="G1466" s="37">
        <v>25.3</v>
      </c>
      <c r="H1466" s="309">
        <v>45583</v>
      </c>
    </row>
    <row r="1467" spans="3:8" x14ac:dyDescent="0.25">
      <c r="C1467" s="307">
        <v>2</v>
      </c>
      <c r="D1467" s="307">
        <v>39</v>
      </c>
      <c r="E1467" s="308">
        <v>27.1</v>
      </c>
      <c r="F1467" s="4">
        <f t="shared" si="26"/>
        <v>-0.10264900662251648</v>
      </c>
      <c r="G1467" s="37">
        <v>25.3</v>
      </c>
      <c r="H1467" s="309">
        <v>45583</v>
      </c>
    </row>
    <row r="1468" spans="3:8" x14ac:dyDescent="0.25">
      <c r="C1468" s="307">
        <v>3</v>
      </c>
      <c r="D1468" s="307">
        <v>112</v>
      </c>
      <c r="E1468" s="308">
        <v>25.3</v>
      </c>
      <c r="F1468" s="4">
        <f t="shared" si="26"/>
        <v>-3.9370078740156647E-3</v>
      </c>
      <c r="G1468" s="37">
        <v>25.3</v>
      </c>
      <c r="H1468" s="309">
        <v>45583</v>
      </c>
    </row>
    <row r="1469" spans="3:8" x14ac:dyDescent="0.25">
      <c r="C1469" s="307">
        <v>4</v>
      </c>
      <c r="D1469" s="307">
        <v>0</v>
      </c>
      <c r="E1469" s="308"/>
      <c r="F1469" s="4" t="str">
        <f t="shared" si="26"/>
        <v/>
      </c>
      <c r="G1469" s="37">
        <v>25.3</v>
      </c>
      <c r="H1469" s="309">
        <v>45583</v>
      </c>
    </row>
    <row r="1470" spans="3:8" x14ac:dyDescent="0.25">
      <c r="C1470" s="307">
        <v>5</v>
      </c>
      <c r="D1470" s="307">
        <v>113</v>
      </c>
      <c r="E1470" s="308">
        <v>25.3</v>
      </c>
      <c r="F1470" s="4">
        <f t="shared" si="26"/>
        <v>0</v>
      </c>
      <c r="G1470" s="37">
        <v>25.3</v>
      </c>
      <c r="H1470" s="309">
        <v>45583</v>
      </c>
    </row>
    <row r="1471" spans="3:8" x14ac:dyDescent="0.25">
      <c r="C1471" s="307">
        <v>6</v>
      </c>
      <c r="D1471" s="307">
        <v>109</v>
      </c>
      <c r="E1471" s="308">
        <v>23.8</v>
      </c>
      <c r="F1471" s="4">
        <f t="shared" si="26"/>
        <v>0</v>
      </c>
      <c r="G1471" s="37">
        <v>25.3</v>
      </c>
      <c r="H1471" s="309">
        <v>45583</v>
      </c>
    </row>
    <row r="1472" spans="3:8" x14ac:dyDescent="0.25">
      <c r="C1472" s="307">
        <v>7</v>
      </c>
      <c r="D1472" s="307">
        <v>109</v>
      </c>
      <c r="E1472" s="308">
        <v>24.5</v>
      </c>
      <c r="F1472" s="4">
        <f t="shared" si="26"/>
        <v>-8.0971659919028063E-3</v>
      </c>
      <c r="G1472" s="37">
        <v>25.3</v>
      </c>
      <c r="H1472" s="309">
        <v>45583</v>
      </c>
    </row>
    <row r="1473" spans="3:8" x14ac:dyDescent="0.25">
      <c r="C1473" s="307">
        <v>8</v>
      </c>
      <c r="D1473" s="307">
        <v>0</v>
      </c>
      <c r="E1473" s="308"/>
      <c r="F1473" s="4" t="str">
        <f t="shared" si="26"/>
        <v/>
      </c>
      <c r="G1473" s="37">
        <v>25.3</v>
      </c>
      <c r="H1473" s="309">
        <v>45583</v>
      </c>
    </row>
    <row r="1474" spans="3:8" x14ac:dyDescent="0.25">
      <c r="C1474" s="307">
        <v>9</v>
      </c>
      <c r="D1474" s="307">
        <v>0</v>
      </c>
      <c r="E1474" s="308"/>
      <c r="F1474" s="4" t="str">
        <f t="shared" si="26"/>
        <v/>
      </c>
      <c r="G1474" s="37">
        <v>25.3</v>
      </c>
      <c r="H1474" s="309">
        <v>45583</v>
      </c>
    </row>
    <row r="1475" spans="3:8" x14ac:dyDescent="0.25">
      <c r="C1475" s="307">
        <v>10</v>
      </c>
      <c r="D1475" s="307">
        <v>93</v>
      </c>
      <c r="E1475" s="308">
        <v>20.100000000000001</v>
      </c>
      <c r="F1475" s="4">
        <f t="shared" si="26"/>
        <v>1.0050251256281551E-2</v>
      </c>
      <c r="G1475" s="37">
        <v>25.3</v>
      </c>
      <c r="H1475" s="309">
        <v>45583</v>
      </c>
    </row>
    <row r="1476" spans="3:8" x14ac:dyDescent="0.25">
      <c r="C1476" s="307">
        <v>18</v>
      </c>
      <c r="D1476" s="307">
        <v>14</v>
      </c>
      <c r="E1476" s="308">
        <v>14.7</v>
      </c>
      <c r="F1476" s="4">
        <f t="shared" si="26"/>
        <v>0.15748031496062992</v>
      </c>
      <c r="G1476" s="37">
        <v>25.3</v>
      </c>
      <c r="H1476" s="309">
        <v>45583</v>
      </c>
    </row>
    <row r="1477" spans="3:8" x14ac:dyDescent="0.25">
      <c r="C1477" s="307">
        <v>19</v>
      </c>
      <c r="D1477" s="307">
        <v>19</v>
      </c>
      <c r="E1477" s="308">
        <v>15.5</v>
      </c>
      <c r="F1477" s="4">
        <f t="shared" si="26"/>
        <v>2.6490066225165587E-2</v>
      </c>
      <c r="G1477" s="37">
        <v>25.3</v>
      </c>
      <c r="H1477" s="309">
        <v>45583</v>
      </c>
    </row>
    <row r="1478" spans="3:8" x14ac:dyDescent="0.25">
      <c r="C1478" s="310" t="s">
        <v>8</v>
      </c>
      <c r="D1478" s="310" t="s">
        <v>9</v>
      </c>
      <c r="E1478" s="311" t="s">
        <v>10</v>
      </c>
      <c r="F1478" s="4" t="str">
        <f t="shared" si="26"/>
        <v/>
      </c>
      <c r="G1478" s="37">
        <v>25.3</v>
      </c>
      <c r="H1478" s="312">
        <v>45584</v>
      </c>
    </row>
    <row r="1479" spans="3:8" x14ac:dyDescent="0.25">
      <c r="C1479" s="310">
        <v>1</v>
      </c>
      <c r="D1479" s="310">
        <v>69</v>
      </c>
      <c r="E1479" s="311">
        <v>32.299999999999997</v>
      </c>
      <c r="F1479" s="4">
        <f t="shared" si="26"/>
        <v>5.9016393442622855E-2</v>
      </c>
      <c r="G1479" s="37">
        <v>25.3</v>
      </c>
      <c r="H1479" s="312">
        <v>45584</v>
      </c>
    </row>
    <row r="1480" spans="3:8" x14ac:dyDescent="0.25">
      <c r="C1480" s="310">
        <v>2</v>
      </c>
      <c r="D1480" s="310">
        <v>40</v>
      </c>
      <c r="E1480" s="311">
        <v>31.2</v>
      </c>
      <c r="F1480" s="4">
        <f t="shared" si="26"/>
        <v>0.15129151291512907</v>
      </c>
      <c r="G1480" s="37">
        <v>25.3</v>
      </c>
      <c r="H1480" s="312">
        <v>45584</v>
      </c>
    </row>
    <row r="1481" spans="3:8" x14ac:dyDescent="0.25">
      <c r="C1481" s="310">
        <v>3</v>
      </c>
      <c r="D1481" s="310">
        <v>111</v>
      </c>
      <c r="E1481" s="311">
        <v>25.1</v>
      </c>
      <c r="F1481" s="4">
        <f t="shared" si="26"/>
        <v>-7.9051383399209203E-3</v>
      </c>
      <c r="G1481" s="37">
        <v>25.3</v>
      </c>
      <c r="H1481" s="312">
        <v>45584</v>
      </c>
    </row>
    <row r="1482" spans="3:8" x14ac:dyDescent="0.25">
      <c r="C1482" s="310">
        <v>4</v>
      </c>
      <c r="D1482" s="310">
        <v>0</v>
      </c>
      <c r="E1482" s="311"/>
      <c r="F1482" s="4" t="str">
        <f t="shared" si="26"/>
        <v/>
      </c>
      <c r="G1482" s="37">
        <v>25.3</v>
      </c>
      <c r="H1482" s="312">
        <v>45584</v>
      </c>
    </row>
    <row r="1483" spans="3:8" x14ac:dyDescent="0.25">
      <c r="C1483" s="310">
        <v>5</v>
      </c>
      <c r="D1483" s="310">
        <v>113</v>
      </c>
      <c r="E1483" s="311">
        <v>25.5</v>
      </c>
      <c r="F1483" s="4">
        <f t="shared" si="26"/>
        <v>7.9051383399209203E-3</v>
      </c>
      <c r="G1483" s="37">
        <v>25.3</v>
      </c>
      <c r="H1483" s="312">
        <v>45584</v>
      </c>
    </row>
    <row r="1484" spans="3:8" x14ac:dyDescent="0.25">
      <c r="C1484" s="310">
        <v>6</v>
      </c>
      <c r="D1484" s="310">
        <v>108</v>
      </c>
      <c r="E1484" s="311">
        <v>23.6</v>
      </c>
      <c r="F1484" s="4">
        <f t="shared" si="26"/>
        <v>-8.4033613445377853E-3</v>
      </c>
      <c r="G1484" s="37">
        <v>25.3</v>
      </c>
      <c r="H1484" s="312">
        <v>45584</v>
      </c>
    </row>
    <row r="1485" spans="3:8" x14ac:dyDescent="0.25">
      <c r="C1485" s="310">
        <v>7</v>
      </c>
      <c r="D1485" s="310">
        <v>107</v>
      </c>
      <c r="E1485" s="311">
        <v>24.7</v>
      </c>
      <c r="F1485" s="4">
        <f t="shared" si="26"/>
        <v>8.1632653061224202E-3</v>
      </c>
      <c r="G1485" s="37">
        <v>25.3</v>
      </c>
      <c r="H1485" s="312">
        <v>45584</v>
      </c>
    </row>
    <row r="1486" spans="3:8" x14ac:dyDescent="0.25">
      <c r="C1486" s="310">
        <v>8</v>
      </c>
      <c r="D1486" s="310">
        <v>0</v>
      </c>
      <c r="E1486" s="311"/>
      <c r="F1486" s="4" t="str">
        <f t="shared" si="26"/>
        <v/>
      </c>
      <c r="G1486" s="37">
        <v>25.3</v>
      </c>
      <c r="H1486" s="312">
        <v>45584</v>
      </c>
    </row>
    <row r="1487" spans="3:8" x14ac:dyDescent="0.25">
      <c r="C1487" s="310">
        <v>9</v>
      </c>
      <c r="D1487" s="310">
        <v>0</v>
      </c>
      <c r="E1487" s="311"/>
      <c r="F1487" s="4" t="str">
        <f t="shared" si="26"/>
        <v/>
      </c>
      <c r="G1487" s="37">
        <v>25.3</v>
      </c>
      <c r="H1487" s="312">
        <v>45584</v>
      </c>
    </row>
    <row r="1488" spans="3:8" x14ac:dyDescent="0.25">
      <c r="C1488" s="310">
        <v>10</v>
      </c>
      <c r="D1488" s="310">
        <v>93</v>
      </c>
      <c r="E1488" s="311">
        <v>20</v>
      </c>
      <c r="F1488" s="4">
        <f t="shared" si="26"/>
        <v>-4.9751243781095229E-3</v>
      </c>
      <c r="G1488" s="37">
        <v>25.3</v>
      </c>
      <c r="H1488" s="312">
        <v>45584</v>
      </c>
    </row>
    <row r="1489" spans="3:8" x14ac:dyDescent="0.25">
      <c r="C1489" s="310">
        <v>18</v>
      </c>
      <c r="D1489" s="310">
        <v>21</v>
      </c>
      <c r="E1489" s="311">
        <v>14.3</v>
      </c>
      <c r="F1489" s="4">
        <f t="shared" si="26"/>
        <v>-2.7210884353741402E-2</v>
      </c>
      <c r="G1489" s="37">
        <v>25.3</v>
      </c>
      <c r="H1489" s="312">
        <v>45584</v>
      </c>
    </row>
    <row r="1490" spans="3:8" x14ac:dyDescent="0.25">
      <c r="C1490" s="310">
        <v>19</v>
      </c>
      <c r="D1490" s="310">
        <v>13</v>
      </c>
      <c r="E1490" s="311">
        <v>14.8</v>
      </c>
      <c r="F1490" s="4">
        <f t="shared" si="26"/>
        <v>-4.5161290322580601E-2</v>
      </c>
      <c r="G1490" s="37">
        <v>25.3</v>
      </c>
      <c r="H1490" s="312">
        <v>45584</v>
      </c>
    </row>
    <row r="1491" spans="3:8" x14ac:dyDescent="0.25">
      <c r="C1491" s="313" t="s">
        <v>0</v>
      </c>
      <c r="D1491" s="313" t="s">
        <v>7</v>
      </c>
      <c r="E1491" s="314" t="s">
        <v>4</v>
      </c>
      <c r="F1491" s="4" t="str">
        <f t="shared" si="26"/>
        <v/>
      </c>
      <c r="G1491" s="37">
        <v>26.3</v>
      </c>
      <c r="H1491" s="315">
        <v>45585</v>
      </c>
    </row>
    <row r="1492" spans="3:8" x14ac:dyDescent="0.25">
      <c r="C1492" s="313">
        <v>1</v>
      </c>
      <c r="D1492" s="313">
        <v>69</v>
      </c>
      <c r="E1492" s="314">
        <v>29.8</v>
      </c>
      <c r="F1492" s="4">
        <f t="shared" si="26"/>
        <v>-7.7399380804953455E-2</v>
      </c>
      <c r="G1492" s="37">
        <v>26.3</v>
      </c>
      <c r="H1492" s="315">
        <v>45585</v>
      </c>
    </row>
    <row r="1493" spans="3:8" x14ac:dyDescent="0.25">
      <c r="C1493" s="313">
        <v>2</v>
      </c>
      <c r="D1493" s="313">
        <v>40</v>
      </c>
      <c r="E1493" s="314">
        <v>30.9</v>
      </c>
      <c r="F1493" s="4">
        <f t="shared" si="26"/>
        <v>-9.6153846153846385E-3</v>
      </c>
      <c r="G1493" s="37">
        <v>26.3</v>
      </c>
      <c r="H1493" s="315">
        <v>45585</v>
      </c>
    </row>
    <row r="1494" spans="3:8" x14ac:dyDescent="0.25">
      <c r="C1494" s="313">
        <v>3</v>
      </c>
      <c r="D1494" s="313">
        <v>111</v>
      </c>
      <c r="E1494" s="314">
        <v>26.9</v>
      </c>
      <c r="F1494" s="4">
        <f t="shared" si="26"/>
        <v>7.1713147410358447E-2</v>
      </c>
      <c r="G1494" s="37">
        <v>26.3</v>
      </c>
      <c r="H1494" s="315">
        <v>45585</v>
      </c>
    </row>
    <row r="1495" spans="3:8" x14ac:dyDescent="0.25">
      <c r="C1495" s="313">
        <v>4</v>
      </c>
      <c r="D1495" s="313">
        <v>0</v>
      </c>
      <c r="E1495" s="314"/>
      <c r="F1495" s="4" t="str">
        <f t="shared" si="26"/>
        <v/>
      </c>
      <c r="G1495" s="37">
        <v>26.3</v>
      </c>
      <c r="H1495" s="315">
        <v>45585</v>
      </c>
    </row>
    <row r="1496" spans="3:8" x14ac:dyDescent="0.25">
      <c r="C1496" s="313">
        <v>5</v>
      </c>
      <c r="D1496" s="313">
        <v>113</v>
      </c>
      <c r="E1496" s="314">
        <v>25.6</v>
      </c>
      <c r="F1496" s="4">
        <f t="shared" si="26"/>
        <v>3.9215686274510358E-3</v>
      </c>
      <c r="G1496" s="37">
        <v>26.3</v>
      </c>
      <c r="H1496" s="315">
        <v>45585</v>
      </c>
    </row>
    <row r="1497" spans="3:8" x14ac:dyDescent="0.25">
      <c r="C1497" s="313">
        <v>6</v>
      </c>
      <c r="D1497" s="313">
        <v>109</v>
      </c>
      <c r="E1497" s="314">
        <v>24.9</v>
      </c>
      <c r="F1497" s="4">
        <f t="shared" si="26"/>
        <v>5.5084745762711738E-2</v>
      </c>
      <c r="G1497" s="37">
        <v>26.3</v>
      </c>
      <c r="H1497" s="315">
        <v>45585</v>
      </c>
    </row>
    <row r="1498" spans="3:8" x14ac:dyDescent="0.25">
      <c r="C1498" s="313">
        <v>7</v>
      </c>
      <c r="D1498" s="313">
        <v>108</v>
      </c>
      <c r="E1498" s="314">
        <v>25.3</v>
      </c>
      <c r="F1498" s="4">
        <f t="shared" si="26"/>
        <v>2.4291497975708561E-2</v>
      </c>
      <c r="G1498" s="37">
        <v>26.3</v>
      </c>
      <c r="H1498" s="315">
        <v>45585</v>
      </c>
    </row>
    <row r="1499" spans="3:8" x14ac:dyDescent="0.25">
      <c r="C1499" s="313">
        <v>8</v>
      </c>
      <c r="D1499" s="313">
        <v>0</v>
      </c>
      <c r="E1499" s="314"/>
      <c r="F1499" s="4" t="str">
        <f t="shared" si="26"/>
        <v/>
      </c>
      <c r="G1499" s="37">
        <v>26.3</v>
      </c>
      <c r="H1499" s="315">
        <v>45585</v>
      </c>
    </row>
    <row r="1500" spans="3:8" x14ac:dyDescent="0.25">
      <c r="C1500" s="313">
        <v>9</v>
      </c>
      <c r="D1500" s="313">
        <v>0</v>
      </c>
      <c r="E1500" s="314"/>
      <c r="F1500" s="4" t="str">
        <f t="shared" si="26"/>
        <v/>
      </c>
      <c r="G1500" s="37">
        <v>26.3</v>
      </c>
      <c r="H1500" s="315">
        <v>45585</v>
      </c>
    </row>
    <row r="1501" spans="3:8" x14ac:dyDescent="0.25">
      <c r="C1501" s="313">
        <v>10</v>
      </c>
      <c r="D1501" s="313">
        <v>92</v>
      </c>
      <c r="E1501" s="314">
        <v>20.3</v>
      </c>
      <c r="F1501" s="4">
        <f t="shared" si="26"/>
        <v>1.5000000000000036E-2</v>
      </c>
      <c r="G1501" s="37">
        <v>26.3</v>
      </c>
      <c r="H1501" s="315">
        <v>45585</v>
      </c>
    </row>
    <row r="1502" spans="3:8" x14ac:dyDescent="0.25">
      <c r="C1502" s="313">
        <v>18</v>
      </c>
      <c r="D1502" s="313">
        <v>12</v>
      </c>
      <c r="E1502" s="314">
        <v>14.3</v>
      </c>
      <c r="F1502" s="4">
        <f t="shared" si="26"/>
        <v>0</v>
      </c>
      <c r="G1502" s="37">
        <v>26.3</v>
      </c>
      <c r="H1502" s="315">
        <v>45585</v>
      </c>
    </row>
    <row r="1503" spans="3:8" x14ac:dyDescent="0.25">
      <c r="C1503" s="313">
        <v>19</v>
      </c>
      <c r="D1503" s="313">
        <v>21</v>
      </c>
      <c r="E1503" s="314">
        <v>26.5</v>
      </c>
      <c r="F1503" s="4">
        <f t="shared" si="26"/>
        <v>0.79054054054054046</v>
      </c>
      <c r="G1503" s="37">
        <v>26.3</v>
      </c>
      <c r="H1503" s="315">
        <v>45585</v>
      </c>
    </row>
    <row r="1504" spans="3:8" x14ac:dyDescent="0.25">
      <c r="C1504" s="316" t="s">
        <v>0</v>
      </c>
      <c r="D1504" s="316" t="s">
        <v>7</v>
      </c>
      <c r="E1504" s="317" t="s">
        <v>4</v>
      </c>
      <c r="F1504" s="4" t="str">
        <f t="shared" si="26"/>
        <v/>
      </c>
      <c r="G1504" s="37">
        <v>24.9</v>
      </c>
      <c r="H1504" s="318">
        <v>45586</v>
      </c>
    </row>
    <row r="1505" spans="3:8" x14ac:dyDescent="0.25">
      <c r="C1505" s="316">
        <v>1</v>
      </c>
      <c r="D1505" s="316">
        <v>68</v>
      </c>
      <c r="E1505" s="317">
        <v>32.700000000000003</v>
      </c>
      <c r="F1505" s="4">
        <f t="shared" si="26"/>
        <v>9.7315436241610806E-2</v>
      </c>
      <c r="G1505" s="37">
        <v>24.9</v>
      </c>
      <c r="H1505" s="318">
        <v>45586</v>
      </c>
    </row>
    <row r="1506" spans="3:8" x14ac:dyDescent="0.25">
      <c r="C1506" s="316">
        <v>2</v>
      </c>
      <c r="D1506" s="316">
        <v>40</v>
      </c>
      <c r="E1506" s="317">
        <v>30.4</v>
      </c>
      <c r="F1506" s="4">
        <f t="shared" si="26"/>
        <v>-1.6181229773462785E-2</v>
      </c>
      <c r="G1506" s="37">
        <v>24.9</v>
      </c>
      <c r="H1506" s="318">
        <v>45586</v>
      </c>
    </row>
    <row r="1507" spans="3:8" x14ac:dyDescent="0.25">
      <c r="C1507" s="316">
        <v>3</v>
      </c>
      <c r="D1507" s="316">
        <v>110</v>
      </c>
      <c r="E1507" s="317">
        <v>24.7</v>
      </c>
      <c r="F1507" s="4">
        <f t="shared" si="26"/>
        <v>-8.1784386617100344E-2</v>
      </c>
      <c r="G1507" s="37">
        <v>24.9</v>
      </c>
      <c r="H1507" s="318">
        <v>45586</v>
      </c>
    </row>
    <row r="1508" spans="3:8" x14ac:dyDescent="0.25">
      <c r="C1508" s="316">
        <v>4</v>
      </c>
      <c r="D1508" s="316">
        <v>0</v>
      </c>
      <c r="E1508" s="317"/>
      <c r="F1508" s="4" t="str">
        <f t="shared" si="26"/>
        <v/>
      </c>
      <c r="G1508" s="37">
        <v>24.9</v>
      </c>
      <c r="H1508" s="318">
        <v>45586</v>
      </c>
    </row>
    <row r="1509" spans="3:8" x14ac:dyDescent="0.25">
      <c r="C1509" s="316">
        <v>5</v>
      </c>
      <c r="D1509" s="316">
        <v>113</v>
      </c>
      <c r="E1509" s="317">
        <v>24.8</v>
      </c>
      <c r="F1509" s="4">
        <f t="shared" si="26"/>
        <v>-3.1250000000000028E-2</v>
      </c>
      <c r="G1509" s="37">
        <v>24.9</v>
      </c>
      <c r="H1509" s="318">
        <v>45586</v>
      </c>
    </row>
    <row r="1510" spans="3:8" x14ac:dyDescent="0.25">
      <c r="C1510" s="316">
        <v>6</v>
      </c>
      <c r="D1510" s="316">
        <v>109</v>
      </c>
      <c r="E1510" s="317">
        <v>23.8</v>
      </c>
      <c r="F1510" s="4">
        <f t="shared" si="26"/>
        <v>-4.4176706827309155E-2</v>
      </c>
      <c r="G1510" s="37">
        <v>24.9</v>
      </c>
      <c r="H1510" s="318">
        <v>45586</v>
      </c>
    </row>
    <row r="1511" spans="3:8" x14ac:dyDescent="0.25">
      <c r="C1511" s="316">
        <v>7</v>
      </c>
      <c r="D1511" s="316">
        <v>107</v>
      </c>
      <c r="E1511" s="317">
        <v>23.5</v>
      </c>
      <c r="F1511" s="4">
        <f t="shared" si="26"/>
        <v>-7.1146245059288557E-2</v>
      </c>
      <c r="G1511" s="37">
        <v>24.9</v>
      </c>
      <c r="H1511" s="318">
        <v>45586</v>
      </c>
    </row>
    <row r="1512" spans="3:8" x14ac:dyDescent="0.25">
      <c r="C1512" s="316">
        <v>8</v>
      </c>
      <c r="D1512" s="316">
        <v>0</v>
      </c>
      <c r="E1512" s="317"/>
      <c r="F1512" s="4" t="str">
        <f t="shared" si="26"/>
        <v/>
      </c>
      <c r="G1512" s="37">
        <v>24.9</v>
      </c>
      <c r="H1512" s="318">
        <v>45586</v>
      </c>
    </row>
    <row r="1513" spans="3:8" x14ac:dyDescent="0.25">
      <c r="C1513" s="316">
        <v>9</v>
      </c>
      <c r="D1513" s="316">
        <v>0</v>
      </c>
      <c r="E1513" s="317"/>
      <c r="F1513" s="4" t="str">
        <f t="shared" si="26"/>
        <v/>
      </c>
      <c r="G1513" s="37">
        <v>24.9</v>
      </c>
      <c r="H1513" s="318">
        <v>45586</v>
      </c>
    </row>
    <row r="1514" spans="3:8" x14ac:dyDescent="0.25">
      <c r="C1514" s="316">
        <v>10</v>
      </c>
      <c r="D1514" s="316">
        <v>92</v>
      </c>
      <c r="E1514" s="317">
        <v>19.399999999999999</v>
      </c>
      <c r="F1514" s="4">
        <f t="shared" si="26"/>
        <v>-4.4334975369458234E-2</v>
      </c>
      <c r="G1514" s="37">
        <v>24.9</v>
      </c>
      <c r="H1514" s="318">
        <v>45586</v>
      </c>
    </row>
    <row r="1515" spans="3:8" x14ac:dyDescent="0.25">
      <c r="C1515" s="316">
        <v>18</v>
      </c>
      <c r="D1515" s="316">
        <v>12</v>
      </c>
      <c r="E1515" s="317">
        <v>7.9</v>
      </c>
      <c r="F1515" s="4">
        <f t="shared" si="26"/>
        <v>-0.44755244755244755</v>
      </c>
      <c r="G1515" s="37">
        <v>24.9</v>
      </c>
      <c r="H1515" s="318">
        <v>45586</v>
      </c>
    </row>
    <row r="1516" spans="3:8" x14ac:dyDescent="0.25">
      <c r="C1516" s="316">
        <v>19</v>
      </c>
      <c r="D1516" s="316">
        <v>22</v>
      </c>
      <c r="E1516" s="317">
        <v>11.4</v>
      </c>
      <c r="F1516" s="4">
        <f t="shared" si="26"/>
        <v>-0.56981132075471697</v>
      </c>
      <c r="G1516" s="37">
        <v>24.9</v>
      </c>
      <c r="H1516" s="318">
        <v>45586</v>
      </c>
    </row>
    <row r="1517" spans="3:8" x14ac:dyDescent="0.25">
      <c r="C1517" s="319" t="s">
        <v>0</v>
      </c>
      <c r="D1517" s="319" t="s">
        <v>7</v>
      </c>
      <c r="E1517" s="320" t="s">
        <v>4</v>
      </c>
      <c r="F1517" s="4" t="str">
        <f t="shared" si="26"/>
        <v/>
      </c>
      <c r="G1517" s="37">
        <v>26.2</v>
      </c>
      <c r="H1517" s="321">
        <v>45587</v>
      </c>
    </row>
    <row r="1518" spans="3:8" x14ac:dyDescent="0.25">
      <c r="C1518" s="319">
        <v>1</v>
      </c>
      <c r="D1518" s="319">
        <v>68</v>
      </c>
      <c r="E1518" s="320">
        <v>29.8</v>
      </c>
      <c r="F1518" s="4">
        <f t="shared" si="26"/>
        <v>-8.8685015290519933E-2</v>
      </c>
      <c r="G1518" s="37">
        <v>26.2</v>
      </c>
      <c r="H1518" s="321">
        <v>45587</v>
      </c>
    </row>
    <row r="1519" spans="3:8" x14ac:dyDescent="0.25">
      <c r="C1519" s="319">
        <v>2</v>
      </c>
      <c r="D1519" s="319">
        <v>40</v>
      </c>
      <c r="E1519" s="320">
        <v>30.8</v>
      </c>
      <c r="F1519" s="4">
        <f t="shared" si="26"/>
        <v>1.3157894736842176E-2</v>
      </c>
      <c r="G1519" s="37">
        <v>26.2</v>
      </c>
      <c r="H1519" s="321">
        <v>45587</v>
      </c>
    </row>
    <row r="1520" spans="3:8" x14ac:dyDescent="0.25">
      <c r="C1520" s="319">
        <v>3</v>
      </c>
      <c r="D1520" s="319">
        <v>109</v>
      </c>
      <c r="E1520" s="320">
        <v>26.3</v>
      </c>
      <c r="F1520" s="4">
        <f t="shared" si="26"/>
        <v>6.4777327935222728E-2</v>
      </c>
      <c r="G1520" s="37">
        <v>26.2</v>
      </c>
      <c r="H1520" s="321">
        <v>45587</v>
      </c>
    </row>
    <row r="1521" spans="3:8" x14ac:dyDescent="0.25">
      <c r="C1521" s="319">
        <v>4</v>
      </c>
      <c r="D1521" s="319">
        <v>0</v>
      </c>
      <c r="E1521" s="320"/>
      <c r="F1521" s="4" t="str">
        <f t="shared" si="26"/>
        <v/>
      </c>
      <c r="G1521" s="37">
        <v>26.2</v>
      </c>
      <c r="H1521" s="321">
        <v>45587</v>
      </c>
    </row>
    <row r="1522" spans="3:8" x14ac:dyDescent="0.25">
      <c r="C1522" s="319">
        <v>5</v>
      </c>
      <c r="D1522" s="319">
        <v>113</v>
      </c>
      <c r="E1522" s="320">
        <v>25.6</v>
      </c>
      <c r="F1522" s="4">
        <f t="shared" si="26"/>
        <v>3.2258064516129059E-2</v>
      </c>
      <c r="G1522" s="37">
        <v>26.2</v>
      </c>
      <c r="H1522" s="321">
        <v>45587</v>
      </c>
    </row>
    <row r="1523" spans="3:8" x14ac:dyDescent="0.25">
      <c r="C1523" s="319">
        <v>6</v>
      </c>
      <c r="D1523" s="319">
        <v>108</v>
      </c>
      <c r="E1523" s="320">
        <v>23.9</v>
      </c>
      <c r="F1523" s="4">
        <f t="shared" si="26"/>
        <v>4.201680672268818E-3</v>
      </c>
      <c r="G1523" s="37">
        <v>26.2</v>
      </c>
      <c r="H1523" s="321">
        <v>45587</v>
      </c>
    </row>
    <row r="1524" spans="3:8" x14ac:dyDescent="0.25">
      <c r="C1524" s="319">
        <v>7</v>
      </c>
      <c r="D1524" s="319">
        <v>107</v>
      </c>
      <c r="E1524" s="320">
        <v>26.1</v>
      </c>
      <c r="F1524" s="4">
        <f t="shared" si="26"/>
        <v>0.11063829787234049</v>
      </c>
      <c r="G1524" s="37">
        <v>26.2</v>
      </c>
      <c r="H1524" s="321">
        <v>45587</v>
      </c>
    </row>
    <row r="1525" spans="3:8" x14ac:dyDescent="0.25">
      <c r="C1525" s="319">
        <v>8</v>
      </c>
      <c r="D1525" s="319">
        <v>0</v>
      </c>
      <c r="E1525" s="320"/>
      <c r="F1525" s="4" t="str">
        <f t="shared" si="26"/>
        <v/>
      </c>
      <c r="G1525" s="37">
        <v>26.2</v>
      </c>
      <c r="H1525" s="321">
        <v>45587</v>
      </c>
    </row>
    <row r="1526" spans="3:8" x14ac:dyDescent="0.25">
      <c r="C1526" s="319">
        <v>9</v>
      </c>
      <c r="D1526" s="319">
        <v>0</v>
      </c>
      <c r="E1526" s="320"/>
      <c r="F1526" s="4" t="str">
        <f t="shared" si="26"/>
        <v/>
      </c>
      <c r="G1526" s="37">
        <v>26.2</v>
      </c>
      <c r="H1526" s="321">
        <v>45587</v>
      </c>
    </row>
    <row r="1527" spans="3:8" x14ac:dyDescent="0.25">
      <c r="C1527" s="319">
        <v>10</v>
      </c>
      <c r="D1527" s="319">
        <v>92</v>
      </c>
      <c r="E1527" s="320">
        <v>20.2</v>
      </c>
      <c r="F1527" s="4">
        <f t="shared" si="26"/>
        <v>4.1237113402061897E-2</v>
      </c>
      <c r="G1527" s="37">
        <v>26.2</v>
      </c>
      <c r="H1527" s="321">
        <v>45587</v>
      </c>
    </row>
    <row r="1528" spans="3:8" x14ac:dyDescent="0.25">
      <c r="C1528" s="319">
        <v>18</v>
      </c>
      <c r="D1528" s="319">
        <v>13</v>
      </c>
      <c r="E1528" s="320">
        <v>16.2</v>
      </c>
      <c r="F1528" s="4">
        <f t="shared" si="26"/>
        <v>1.0506329113924049</v>
      </c>
      <c r="G1528" s="37">
        <v>26.2</v>
      </c>
      <c r="H1528" s="321">
        <v>45587</v>
      </c>
    </row>
    <row r="1529" spans="3:8" x14ac:dyDescent="0.25">
      <c r="C1529" s="319">
        <v>19</v>
      </c>
      <c r="D1529" s="319">
        <v>22</v>
      </c>
      <c r="E1529" s="320">
        <v>24.4</v>
      </c>
      <c r="F1529" s="4">
        <f t="shared" si="26"/>
        <v>1.1403508771929822</v>
      </c>
      <c r="G1529" s="37">
        <v>26.2</v>
      </c>
      <c r="H1529" s="321">
        <v>45587</v>
      </c>
    </row>
    <row r="1530" spans="3:8" x14ac:dyDescent="0.25">
      <c r="C1530" s="322" t="s">
        <v>0</v>
      </c>
      <c r="D1530" s="322" t="s">
        <v>7</v>
      </c>
      <c r="E1530" s="323" t="s">
        <v>4</v>
      </c>
      <c r="F1530" s="4" t="str">
        <f t="shared" si="26"/>
        <v/>
      </c>
      <c r="G1530" s="37">
        <v>25.4</v>
      </c>
      <c r="H1530" s="324">
        <v>45588</v>
      </c>
    </row>
    <row r="1531" spans="3:8" x14ac:dyDescent="0.25">
      <c r="C1531" s="322">
        <v>1</v>
      </c>
      <c r="D1531" s="322">
        <v>79</v>
      </c>
      <c r="E1531" s="323">
        <v>33.9</v>
      </c>
      <c r="F1531" s="4">
        <f t="shared" ref="F1531:F1595" si="27">IFERROR((E1531-E1518)/E1518,"")</f>
        <v>0.13758389261744958</v>
      </c>
      <c r="G1531" s="37">
        <v>25.4</v>
      </c>
      <c r="H1531" s="324">
        <v>45588</v>
      </c>
    </row>
    <row r="1532" spans="3:8" x14ac:dyDescent="0.25">
      <c r="C1532" s="322">
        <v>2</v>
      </c>
      <c r="D1532" s="322">
        <v>40</v>
      </c>
      <c r="E1532" s="323">
        <v>31</v>
      </c>
      <c r="F1532" s="4">
        <f t="shared" si="27"/>
        <v>6.4935064935064705E-3</v>
      </c>
      <c r="G1532" s="37">
        <v>25.4</v>
      </c>
      <c r="H1532" s="324">
        <v>45588</v>
      </c>
    </row>
    <row r="1533" spans="3:8" x14ac:dyDescent="0.25">
      <c r="C1533" s="322">
        <v>3</v>
      </c>
      <c r="D1533" s="322">
        <v>110</v>
      </c>
      <c r="E1533" s="323">
        <v>24.2</v>
      </c>
      <c r="F1533" s="4">
        <f t="shared" si="27"/>
        <v>-7.9847908745247206E-2</v>
      </c>
      <c r="G1533" s="37">
        <v>25.4</v>
      </c>
      <c r="H1533" s="324">
        <v>45588</v>
      </c>
    </row>
    <row r="1534" spans="3:8" x14ac:dyDescent="0.25">
      <c r="C1534" s="322">
        <v>4</v>
      </c>
      <c r="D1534" s="322">
        <v>0</v>
      </c>
      <c r="E1534" s="323"/>
      <c r="F1534" s="4" t="str">
        <f t="shared" si="27"/>
        <v/>
      </c>
      <c r="G1534" s="37">
        <v>25.4</v>
      </c>
      <c r="H1534" s="324">
        <v>45588</v>
      </c>
    </row>
    <row r="1535" spans="3:8" x14ac:dyDescent="0.25">
      <c r="C1535" s="322">
        <v>5</v>
      </c>
      <c r="D1535" s="322">
        <v>113</v>
      </c>
      <c r="E1535" s="323">
        <v>25.7</v>
      </c>
      <c r="F1535" s="4">
        <f t="shared" si="27"/>
        <v>3.9062499999999167E-3</v>
      </c>
      <c r="G1535" s="37">
        <v>25.4</v>
      </c>
      <c r="H1535" s="324">
        <v>45588</v>
      </c>
    </row>
    <row r="1536" spans="3:8" x14ac:dyDescent="0.25">
      <c r="C1536" s="322">
        <v>6</v>
      </c>
      <c r="D1536" s="322">
        <v>106</v>
      </c>
      <c r="E1536" s="323">
        <v>23.9</v>
      </c>
      <c r="F1536" s="4">
        <f t="shared" si="27"/>
        <v>0</v>
      </c>
      <c r="G1536" s="37">
        <v>25.4</v>
      </c>
      <c r="H1536" s="324">
        <v>45588</v>
      </c>
    </row>
    <row r="1537" spans="3:8" x14ac:dyDescent="0.25">
      <c r="C1537" s="322">
        <v>7</v>
      </c>
      <c r="D1537" s="322">
        <v>107</v>
      </c>
      <c r="E1537" s="323">
        <v>24.7</v>
      </c>
      <c r="F1537" s="4">
        <f t="shared" si="27"/>
        <v>-5.3639846743295097E-2</v>
      </c>
      <c r="G1537" s="37">
        <v>25.4</v>
      </c>
      <c r="H1537" s="324">
        <v>45588</v>
      </c>
    </row>
    <row r="1538" spans="3:8" x14ac:dyDescent="0.25">
      <c r="C1538" s="322">
        <v>8</v>
      </c>
      <c r="D1538" s="322">
        <v>0</v>
      </c>
      <c r="E1538" s="323"/>
      <c r="F1538" s="4" t="str">
        <f t="shared" si="27"/>
        <v/>
      </c>
      <c r="G1538" s="37">
        <v>25.4</v>
      </c>
      <c r="H1538" s="324">
        <v>45588</v>
      </c>
    </row>
    <row r="1539" spans="3:8" x14ac:dyDescent="0.25">
      <c r="C1539" s="322">
        <v>9</v>
      </c>
      <c r="D1539" s="322">
        <v>0</v>
      </c>
      <c r="E1539" s="323"/>
      <c r="F1539" s="4" t="str">
        <f t="shared" si="27"/>
        <v/>
      </c>
      <c r="G1539" s="37">
        <v>25.4</v>
      </c>
      <c r="H1539" s="324">
        <v>45588</v>
      </c>
    </row>
    <row r="1540" spans="3:8" x14ac:dyDescent="0.25">
      <c r="C1540" s="322">
        <v>10</v>
      </c>
      <c r="D1540" s="322">
        <v>92</v>
      </c>
      <c r="E1540" s="323">
        <v>20</v>
      </c>
      <c r="F1540" s="4">
        <f t="shared" si="27"/>
        <v>-9.9009900990098664E-3</v>
      </c>
      <c r="G1540" s="37">
        <v>25.4</v>
      </c>
      <c r="H1540" s="324">
        <v>45588</v>
      </c>
    </row>
    <row r="1541" spans="3:8" x14ac:dyDescent="0.25">
      <c r="C1541" s="322">
        <v>18</v>
      </c>
      <c r="D1541" s="322">
        <v>13</v>
      </c>
      <c r="E1541" s="323">
        <v>10.6</v>
      </c>
      <c r="F1541" s="4">
        <f t="shared" si="27"/>
        <v>-0.34567901234567899</v>
      </c>
      <c r="G1541" s="37">
        <v>25.4</v>
      </c>
      <c r="H1541" s="324">
        <v>45588</v>
      </c>
    </row>
    <row r="1542" spans="3:8" x14ac:dyDescent="0.25">
      <c r="C1542" s="322">
        <v>19</v>
      </c>
      <c r="D1542" s="322">
        <v>19</v>
      </c>
      <c r="E1542" s="323">
        <v>13.6</v>
      </c>
      <c r="F1542" s="4">
        <f t="shared" si="27"/>
        <v>-0.44262295081967212</v>
      </c>
      <c r="G1542" s="37">
        <v>25.4</v>
      </c>
      <c r="H1542" s="324">
        <v>45588</v>
      </c>
    </row>
    <row r="1543" spans="3:8" x14ac:dyDescent="0.25">
      <c r="C1543" s="325" t="s">
        <v>0</v>
      </c>
      <c r="D1543" s="325" t="s">
        <v>7</v>
      </c>
      <c r="E1543" s="326" t="s">
        <v>4</v>
      </c>
      <c r="F1543" s="4" t="str">
        <f t="shared" si="27"/>
        <v/>
      </c>
      <c r="G1543" s="37">
        <v>25</v>
      </c>
      <c r="H1543" s="327">
        <v>45589</v>
      </c>
    </row>
    <row r="1544" spans="3:8" x14ac:dyDescent="0.25">
      <c r="C1544" s="325">
        <v>1</v>
      </c>
      <c r="D1544" s="325">
        <v>80</v>
      </c>
      <c r="E1544" s="326">
        <v>29.9</v>
      </c>
      <c r="F1544" s="4">
        <f t="shared" si="27"/>
        <v>-0.11799410029498525</v>
      </c>
      <c r="G1544" s="37">
        <v>25</v>
      </c>
      <c r="H1544" s="327">
        <v>45589</v>
      </c>
    </row>
    <row r="1545" spans="3:8" x14ac:dyDescent="0.25">
      <c r="C1545" s="325">
        <v>2</v>
      </c>
      <c r="D1545" s="325">
        <v>40</v>
      </c>
      <c r="E1545" s="326">
        <v>28.5</v>
      </c>
      <c r="F1545" s="4">
        <f t="shared" si="27"/>
        <v>-8.0645161290322578E-2</v>
      </c>
      <c r="G1545" s="37">
        <v>25</v>
      </c>
      <c r="H1545" s="327">
        <v>45589</v>
      </c>
    </row>
    <row r="1546" spans="3:8" x14ac:dyDescent="0.25">
      <c r="C1546" s="325">
        <v>3</v>
      </c>
      <c r="D1546" s="325">
        <v>110</v>
      </c>
      <c r="E1546" s="326">
        <v>24.9</v>
      </c>
      <c r="F1546" s="4">
        <f t="shared" si="27"/>
        <v>2.8925619834710717E-2</v>
      </c>
      <c r="G1546" s="37">
        <v>25</v>
      </c>
      <c r="H1546" s="327">
        <v>45589</v>
      </c>
    </row>
    <row r="1547" spans="3:8" x14ac:dyDescent="0.25">
      <c r="C1547" s="325">
        <v>4</v>
      </c>
      <c r="D1547" s="325">
        <v>0</v>
      </c>
      <c r="E1547" s="326"/>
      <c r="F1547" s="4" t="str">
        <f t="shared" si="27"/>
        <v/>
      </c>
      <c r="G1547" s="37">
        <v>25</v>
      </c>
      <c r="H1547" s="327">
        <v>45589</v>
      </c>
    </row>
    <row r="1548" spans="3:8" x14ac:dyDescent="0.25">
      <c r="C1548" s="325">
        <v>5</v>
      </c>
      <c r="D1548" s="325">
        <v>113</v>
      </c>
      <c r="E1548" s="326">
        <v>25</v>
      </c>
      <c r="F1548" s="4">
        <f t="shared" si="27"/>
        <v>-2.7237354085603085E-2</v>
      </c>
      <c r="G1548" s="37">
        <v>25</v>
      </c>
      <c r="H1548" s="327">
        <v>45589</v>
      </c>
    </row>
    <row r="1549" spans="3:8" x14ac:dyDescent="0.25">
      <c r="C1549" s="325">
        <v>6</v>
      </c>
      <c r="D1549" s="325">
        <v>106</v>
      </c>
      <c r="E1549" s="326">
        <v>23.7</v>
      </c>
      <c r="F1549" s="4">
        <f t="shared" si="27"/>
        <v>-8.3682008368200552E-3</v>
      </c>
      <c r="G1549" s="37">
        <v>25</v>
      </c>
      <c r="H1549" s="327">
        <v>45589</v>
      </c>
    </row>
    <row r="1550" spans="3:8" x14ac:dyDescent="0.25">
      <c r="C1550" s="325">
        <v>7</v>
      </c>
      <c r="D1550" s="325">
        <v>106</v>
      </c>
      <c r="E1550" s="326">
        <v>24</v>
      </c>
      <c r="F1550" s="4">
        <f t="shared" si="27"/>
        <v>-2.8340080971659892E-2</v>
      </c>
      <c r="G1550" s="37">
        <v>25</v>
      </c>
      <c r="H1550" s="327">
        <v>45589</v>
      </c>
    </row>
    <row r="1551" spans="3:8" x14ac:dyDescent="0.25">
      <c r="C1551" s="325">
        <v>8</v>
      </c>
      <c r="D1551" s="325">
        <v>0</v>
      </c>
      <c r="E1551" s="326"/>
      <c r="F1551" s="4" t="str">
        <f t="shared" si="27"/>
        <v/>
      </c>
      <c r="G1551" s="37">
        <v>25</v>
      </c>
      <c r="H1551" s="327">
        <v>45589</v>
      </c>
    </row>
    <row r="1552" spans="3:8" x14ac:dyDescent="0.25">
      <c r="C1552" s="325">
        <v>9</v>
      </c>
      <c r="D1552" s="325">
        <v>0</v>
      </c>
      <c r="E1552" s="326"/>
      <c r="F1552" s="4" t="str">
        <f t="shared" si="27"/>
        <v/>
      </c>
      <c r="G1552" s="37">
        <v>25</v>
      </c>
      <c r="H1552" s="327">
        <v>45589</v>
      </c>
    </row>
    <row r="1553" spans="3:8" x14ac:dyDescent="0.25">
      <c r="C1553" s="325">
        <v>10</v>
      </c>
      <c r="D1553" s="325">
        <v>92</v>
      </c>
      <c r="E1553" s="326">
        <v>19.5</v>
      </c>
      <c r="F1553" s="4">
        <f t="shared" si="27"/>
        <v>-2.5000000000000001E-2</v>
      </c>
      <c r="G1553" s="37">
        <v>25</v>
      </c>
      <c r="H1553" s="327">
        <v>45589</v>
      </c>
    </row>
    <row r="1554" spans="3:8" x14ac:dyDescent="0.25">
      <c r="C1554" s="325">
        <v>18</v>
      </c>
      <c r="D1554" s="325">
        <v>15</v>
      </c>
      <c r="E1554" s="326">
        <v>20.5</v>
      </c>
      <c r="F1554" s="4">
        <f t="shared" si="27"/>
        <v>0.93396226415094341</v>
      </c>
      <c r="G1554" s="37">
        <v>25</v>
      </c>
      <c r="H1554" s="327">
        <v>45589</v>
      </c>
    </row>
    <row r="1555" spans="3:8" x14ac:dyDescent="0.25">
      <c r="C1555" s="325">
        <v>19</v>
      </c>
      <c r="D1555" s="325">
        <v>16</v>
      </c>
      <c r="E1555" s="326">
        <v>19.8</v>
      </c>
      <c r="F1555" s="4">
        <f t="shared" si="27"/>
        <v>0.45588235294117657</v>
      </c>
      <c r="G1555" s="37">
        <v>25</v>
      </c>
      <c r="H1555" s="327">
        <v>45589</v>
      </c>
    </row>
    <row r="1556" spans="3:8" x14ac:dyDescent="0.25">
      <c r="C1556" s="328" t="s">
        <v>0</v>
      </c>
      <c r="D1556" s="328" t="s">
        <v>7</v>
      </c>
      <c r="E1556" s="329" t="s">
        <v>4</v>
      </c>
      <c r="F1556" s="4" t="str">
        <f t="shared" si="27"/>
        <v/>
      </c>
      <c r="G1556" s="37">
        <v>26</v>
      </c>
      <c r="H1556" s="330">
        <v>45590</v>
      </c>
    </row>
    <row r="1557" spans="3:8" x14ac:dyDescent="0.25">
      <c r="C1557" s="328">
        <v>1</v>
      </c>
      <c r="D1557" s="328">
        <v>81</v>
      </c>
      <c r="E1557" s="329">
        <v>30.5</v>
      </c>
      <c r="F1557" s="4">
        <f t="shared" si="27"/>
        <v>2.0066889632107072E-2</v>
      </c>
      <c r="G1557" s="37">
        <v>26</v>
      </c>
      <c r="H1557" s="330">
        <v>45590</v>
      </c>
    </row>
    <row r="1558" spans="3:8" x14ac:dyDescent="0.25">
      <c r="C1558" s="328">
        <v>2</v>
      </c>
      <c r="D1558" s="328">
        <v>40</v>
      </c>
      <c r="E1558" s="329">
        <v>30.6</v>
      </c>
      <c r="F1558" s="4">
        <f t="shared" si="27"/>
        <v>7.3684210526315838E-2</v>
      </c>
      <c r="G1558" s="37">
        <v>26</v>
      </c>
      <c r="H1558" s="330">
        <v>45590</v>
      </c>
    </row>
    <row r="1559" spans="3:8" x14ac:dyDescent="0.25">
      <c r="C1559" s="328">
        <v>3</v>
      </c>
      <c r="D1559" s="328">
        <v>104</v>
      </c>
      <c r="E1559" s="329">
        <v>25.1</v>
      </c>
      <c r="F1559" s="4">
        <f t="shared" si="27"/>
        <v>8.0321285140563387E-3</v>
      </c>
      <c r="G1559" s="37">
        <v>26</v>
      </c>
      <c r="H1559" s="330">
        <v>45590</v>
      </c>
    </row>
    <row r="1560" spans="3:8" x14ac:dyDescent="0.25">
      <c r="C1560" s="328">
        <v>4</v>
      </c>
      <c r="D1560" s="328">
        <v>0</v>
      </c>
      <c r="E1560" s="329"/>
      <c r="F1560" s="4" t="str">
        <f t="shared" si="27"/>
        <v/>
      </c>
      <c r="G1560" s="37">
        <v>26</v>
      </c>
      <c r="H1560" s="330">
        <v>45590</v>
      </c>
    </row>
    <row r="1561" spans="3:8" x14ac:dyDescent="0.25">
      <c r="C1561" s="328">
        <v>5</v>
      </c>
      <c r="D1561" s="328">
        <v>113</v>
      </c>
      <c r="E1561" s="329">
        <v>25.6</v>
      </c>
      <c r="F1561" s="4">
        <f t="shared" si="27"/>
        <v>2.4000000000000056E-2</v>
      </c>
      <c r="G1561" s="37">
        <v>26</v>
      </c>
      <c r="H1561" s="330">
        <v>45590</v>
      </c>
    </row>
    <row r="1562" spans="3:8" x14ac:dyDescent="0.25">
      <c r="C1562" s="328">
        <v>6</v>
      </c>
      <c r="D1562" s="328">
        <v>106</v>
      </c>
      <c r="E1562" s="329">
        <v>25.1</v>
      </c>
      <c r="F1562" s="4">
        <f t="shared" si="27"/>
        <v>5.9071729957805998E-2</v>
      </c>
      <c r="G1562" s="37">
        <v>26</v>
      </c>
      <c r="H1562" s="330">
        <v>45590</v>
      </c>
    </row>
    <row r="1563" spans="3:8" x14ac:dyDescent="0.25">
      <c r="C1563" s="328">
        <v>7</v>
      </c>
      <c r="D1563" s="328">
        <v>106</v>
      </c>
      <c r="E1563" s="329">
        <v>25.8</v>
      </c>
      <c r="F1563" s="4">
        <f t="shared" si="27"/>
        <v>7.5000000000000025E-2</v>
      </c>
      <c r="G1563" s="37">
        <v>26</v>
      </c>
      <c r="H1563" s="330">
        <v>45590</v>
      </c>
    </row>
    <row r="1564" spans="3:8" x14ac:dyDescent="0.25">
      <c r="C1564" s="328">
        <v>8</v>
      </c>
      <c r="D1564" s="328">
        <v>0</v>
      </c>
      <c r="E1564" s="329"/>
      <c r="F1564" s="4" t="str">
        <f t="shared" si="27"/>
        <v/>
      </c>
      <c r="G1564" s="37">
        <v>26</v>
      </c>
      <c r="H1564" s="330">
        <v>45590</v>
      </c>
    </row>
    <row r="1565" spans="3:8" x14ac:dyDescent="0.25">
      <c r="C1565" s="328">
        <v>9</v>
      </c>
      <c r="D1565" s="328">
        <v>0</v>
      </c>
      <c r="E1565" s="329"/>
      <c r="F1565" s="4" t="str">
        <f t="shared" si="27"/>
        <v/>
      </c>
      <c r="G1565" s="37">
        <v>26</v>
      </c>
      <c r="H1565" s="330">
        <v>45590</v>
      </c>
    </row>
    <row r="1566" spans="3:8" x14ac:dyDescent="0.25">
      <c r="C1566" s="328">
        <v>10</v>
      </c>
      <c r="D1566" s="328">
        <v>89</v>
      </c>
      <c r="E1566" s="329">
        <v>19.899999999999999</v>
      </c>
      <c r="F1566" s="4">
        <f t="shared" si="27"/>
        <v>2.051282051282044E-2</v>
      </c>
      <c r="G1566" s="37">
        <v>26</v>
      </c>
      <c r="H1566" s="330">
        <v>45590</v>
      </c>
    </row>
    <row r="1567" spans="3:8" x14ac:dyDescent="0.25">
      <c r="C1567" s="328">
        <v>18</v>
      </c>
      <c r="D1567" s="328">
        <v>13</v>
      </c>
      <c r="E1567" s="329">
        <v>18.7</v>
      </c>
      <c r="F1567" s="4">
        <f t="shared" si="27"/>
        <v>-8.7804878048780524E-2</v>
      </c>
      <c r="G1567" s="37">
        <v>26</v>
      </c>
      <c r="H1567" s="330">
        <v>45590</v>
      </c>
    </row>
    <row r="1568" spans="3:8" x14ac:dyDescent="0.25">
      <c r="C1568" s="328">
        <v>19</v>
      </c>
      <c r="D1568" s="328">
        <v>24</v>
      </c>
      <c r="E1568" s="329">
        <v>28.7</v>
      </c>
      <c r="F1568" s="4">
        <f t="shared" si="27"/>
        <v>0.44949494949494939</v>
      </c>
      <c r="G1568" s="37">
        <v>26</v>
      </c>
      <c r="H1568" s="330">
        <v>45590</v>
      </c>
    </row>
    <row r="1569" spans="3:8" x14ac:dyDescent="0.25">
      <c r="C1569" s="331" t="s">
        <v>0</v>
      </c>
      <c r="D1569" s="331" t="s">
        <v>7</v>
      </c>
      <c r="E1569" s="332" t="s">
        <v>4</v>
      </c>
      <c r="F1569" s="4" t="str">
        <f t="shared" si="27"/>
        <v/>
      </c>
      <c r="G1569" s="37">
        <v>25</v>
      </c>
      <c r="H1569" s="330">
        <v>45591</v>
      </c>
    </row>
    <row r="1570" spans="3:8" x14ac:dyDescent="0.25">
      <c r="C1570" s="331">
        <v>1</v>
      </c>
      <c r="D1570" s="331">
        <v>82</v>
      </c>
      <c r="E1570" s="332">
        <v>31.6</v>
      </c>
      <c r="F1570" s="4">
        <f t="shared" si="27"/>
        <v>3.6065573770491847E-2</v>
      </c>
      <c r="G1570" s="37">
        <v>25</v>
      </c>
      <c r="H1570" s="330">
        <v>45591</v>
      </c>
    </row>
    <row r="1571" spans="3:8" x14ac:dyDescent="0.25">
      <c r="C1571" s="331">
        <v>2</v>
      </c>
      <c r="D1571" s="331">
        <v>42</v>
      </c>
      <c r="E1571" s="332">
        <v>30.6</v>
      </c>
      <c r="F1571" s="4">
        <f t="shared" si="27"/>
        <v>0</v>
      </c>
      <c r="G1571" s="37">
        <v>25</v>
      </c>
      <c r="H1571" s="330">
        <v>45591</v>
      </c>
    </row>
    <row r="1572" spans="3:8" x14ac:dyDescent="0.25">
      <c r="C1572" s="331">
        <v>3</v>
      </c>
      <c r="D1572" s="331">
        <v>104</v>
      </c>
      <c r="E1572" s="332">
        <v>24</v>
      </c>
      <c r="F1572" s="4">
        <f t="shared" si="27"/>
        <v>-4.3824701195219175E-2</v>
      </c>
      <c r="G1572" s="37">
        <v>25</v>
      </c>
      <c r="H1572" s="330">
        <v>45591</v>
      </c>
    </row>
    <row r="1573" spans="3:8" x14ac:dyDescent="0.25">
      <c r="C1573" s="331">
        <v>4</v>
      </c>
      <c r="D1573" s="331">
        <v>0</v>
      </c>
      <c r="E1573" s="332"/>
      <c r="F1573" s="4" t="str">
        <f t="shared" si="27"/>
        <v/>
      </c>
      <c r="G1573" s="37">
        <v>25</v>
      </c>
      <c r="H1573" s="330">
        <v>45591</v>
      </c>
    </row>
    <row r="1574" spans="3:8" x14ac:dyDescent="0.25">
      <c r="C1574" s="331">
        <v>5</v>
      </c>
      <c r="D1574" s="331">
        <v>113</v>
      </c>
      <c r="E1574" s="332">
        <v>24.4</v>
      </c>
      <c r="F1574" s="4">
        <f t="shared" si="27"/>
        <v>-4.6875000000000111E-2</v>
      </c>
      <c r="G1574" s="37">
        <v>25</v>
      </c>
      <c r="H1574" s="330">
        <v>45591</v>
      </c>
    </row>
    <row r="1575" spans="3:8" x14ac:dyDescent="0.25">
      <c r="C1575" s="331">
        <v>6</v>
      </c>
      <c r="D1575" s="331">
        <v>107</v>
      </c>
      <c r="E1575" s="332">
        <v>23.7</v>
      </c>
      <c r="F1575" s="4">
        <f t="shared" si="27"/>
        <v>-5.5776892430278967E-2</v>
      </c>
      <c r="G1575" s="37">
        <v>25</v>
      </c>
      <c r="H1575" s="330">
        <v>45591</v>
      </c>
    </row>
    <row r="1576" spans="3:8" x14ac:dyDescent="0.25">
      <c r="C1576" s="331">
        <v>7</v>
      </c>
      <c r="D1576" s="331">
        <v>106</v>
      </c>
      <c r="E1576" s="332">
        <v>23.9</v>
      </c>
      <c r="F1576" s="4">
        <f t="shared" si="27"/>
        <v>-7.3643410852713254E-2</v>
      </c>
      <c r="G1576" s="37">
        <v>25</v>
      </c>
      <c r="H1576" s="330">
        <v>45591</v>
      </c>
    </row>
    <row r="1577" spans="3:8" x14ac:dyDescent="0.25">
      <c r="C1577" s="331">
        <v>8</v>
      </c>
      <c r="D1577" s="331">
        <v>0</v>
      </c>
      <c r="E1577" s="332"/>
      <c r="F1577" s="4" t="str">
        <f t="shared" si="27"/>
        <v/>
      </c>
      <c r="G1577" s="37">
        <v>25</v>
      </c>
      <c r="H1577" s="330">
        <v>45591</v>
      </c>
    </row>
    <row r="1578" spans="3:8" x14ac:dyDescent="0.25">
      <c r="C1578" s="331">
        <v>9</v>
      </c>
      <c r="D1578" s="331">
        <v>0</v>
      </c>
      <c r="E1578" s="332"/>
      <c r="F1578" s="4" t="str">
        <f t="shared" si="27"/>
        <v/>
      </c>
      <c r="G1578" s="37">
        <v>25</v>
      </c>
      <c r="H1578" s="330">
        <v>45591</v>
      </c>
    </row>
    <row r="1579" spans="3:8" x14ac:dyDescent="0.25">
      <c r="C1579" s="331">
        <v>10</v>
      </c>
      <c r="D1579" s="331">
        <v>88</v>
      </c>
      <c r="E1579" s="332">
        <v>19</v>
      </c>
      <c r="F1579" s="4">
        <f t="shared" si="27"/>
        <v>-4.5226130653266264E-2</v>
      </c>
      <c r="G1579" s="37">
        <v>25</v>
      </c>
      <c r="H1579" s="330">
        <v>45591</v>
      </c>
    </row>
    <row r="1580" spans="3:8" x14ac:dyDescent="0.25">
      <c r="C1580" s="331">
        <v>18</v>
      </c>
      <c r="D1580" s="331">
        <v>14</v>
      </c>
      <c r="E1580" s="332">
        <v>7.6</v>
      </c>
      <c r="F1580" s="4">
        <f t="shared" si="27"/>
        <v>-0.5935828877005348</v>
      </c>
      <c r="G1580" s="37">
        <v>25</v>
      </c>
      <c r="H1580" s="330">
        <v>45591</v>
      </c>
    </row>
    <row r="1581" spans="3:8" x14ac:dyDescent="0.25">
      <c r="C1581" s="331">
        <v>19</v>
      </c>
      <c r="D1581" s="331">
        <v>19</v>
      </c>
      <c r="E1581" s="332">
        <v>13.9</v>
      </c>
      <c r="F1581" s="4">
        <f t="shared" si="27"/>
        <v>-0.51567944250871078</v>
      </c>
      <c r="G1581" s="37">
        <v>25</v>
      </c>
      <c r="H1581" s="330">
        <v>45591</v>
      </c>
    </row>
    <row r="1582" spans="3:8" x14ac:dyDescent="0.25">
      <c r="C1582" s="333" t="s">
        <v>0</v>
      </c>
      <c r="D1582" s="333" t="s">
        <v>7</v>
      </c>
      <c r="E1582" s="334" t="s">
        <v>4</v>
      </c>
      <c r="F1582" s="4" t="str">
        <f t="shared" si="27"/>
        <v/>
      </c>
      <c r="G1582" s="37">
        <v>24.2</v>
      </c>
      <c r="H1582" s="335">
        <v>45592</v>
      </c>
    </row>
    <row r="1583" spans="3:8" x14ac:dyDescent="0.25">
      <c r="C1583" s="333">
        <v>1</v>
      </c>
      <c r="D1583" s="333">
        <v>82</v>
      </c>
      <c r="E1583" s="334">
        <v>26.4</v>
      </c>
      <c r="F1583" s="4">
        <f t="shared" si="27"/>
        <v>-0.16455696202531653</v>
      </c>
      <c r="G1583" s="37">
        <v>24.2</v>
      </c>
      <c r="H1583" s="335">
        <v>45592</v>
      </c>
    </row>
    <row r="1584" spans="3:8" x14ac:dyDescent="0.25">
      <c r="C1584" s="333">
        <v>2</v>
      </c>
      <c r="D1584" s="333">
        <v>42</v>
      </c>
      <c r="E1584" s="334">
        <v>29.6</v>
      </c>
      <c r="F1584" s="4">
        <f t="shared" si="27"/>
        <v>-3.2679738562091505E-2</v>
      </c>
      <c r="G1584" s="37">
        <v>24.2</v>
      </c>
      <c r="H1584" s="335">
        <v>45592</v>
      </c>
    </row>
    <row r="1585" spans="3:8" x14ac:dyDescent="0.25">
      <c r="C1585" s="333">
        <v>3</v>
      </c>
      <c r="D1585" s="333">
        <v>103</v>
      </c>
      <c r="E1585" s="334">
        <v>23.4</v>
      </c>
      <c r="F1585" s="4">
        <f t="shared" si="27"/>
        <v>-2.500000000000006E-2</v>
      </c>
      <c r="G1585" s="37">
        <v>24.2</v>
      </c>
      <c r="H1585" s="335">
        <v>45592</v>
      </c>
    </row>
    <row r="1586" spans="3:8" x14ac:dyDescent="0.25">
      <c r="C1586" s="333">
        <v>4</v>
      </c>
      <c r="D1586" s="333">
        <v>0</v>
      </c>
      <c r="E1586" s="334"/>
      <c r="F1586" s="4" t="str">
        <f t="shared" si="27"/>
        <v/>
      </c>
      <c r="G1586" s="37">
        <v>24.2</v>
      </c>
      <c r="H1586" s="335">
        <v>45592</v>
      </c>
    </row>
    <row r="1587" spans="3:8" x14ac:dyDescent="0.25">
      <c r="C1587" s="333">
        <v>5</v>
      </c>
      <c r="D1587" s="333">
        <v>113</v>
      </c>
      <c r="E1587" s="334">
        <v>24.5</v>
      </c>
      <c r="F1587" s="4">
        <f t="shared" si="27"/>
        <v>4.0983606557377632E-3</v>
      </c>
      <c r="G1587" s="37">
        <v>24.2</v>
      </c>
      <c r="H1587" s="335">
        <v>45592</v>
      </c>
    </row>
    <row r="1588" spans="3:8" x14ac:dyDescent="0.25">
      <c r="C1588" s="333">
        <v>6</v>
      </c>
      <c r="D1588" s="333">
        <v>106</v>
      </c>
      <c r="E1588" s="334">
        <v>23.4</v>
      </c>
      <c r="F1588" s="4">
        <f t="shared" si="27"/>
        <v>-1.2658227848101297E-2</v>
      </c>
      <c r="G1588" s="37">
        <v>24.2</v>
      </c>
      <c r="H1588" s="335">
        <v>45592</v>
      </c>
    </row>
    <row r="1589" spans="3:8" x14ac:dyDescent="0.25">
      <c r="C1589" s="333">
        <v>7</v>
      </c>
      <c r="D1589" s="333">
        <v>105</v>
      </c>
      <c r="E1589" s="334">
        <v>22.9</v>
      </c>
      <c r="F1589" s="4">
        <f t="shared" si="27"/>
        <v>-4.1841004184100423E-2</v>
      </c>
      <c r="G1589" s="37">
        <v>24.2</v>
      </c>
      <c r="H1589" s="335">
        <v>45592</v>
      </c>
    </row>
    <row r="1590" spans="3:8" x14ac:dyDescent="0.25">
      <c r="C1590" s="333">
        <v>8</v>
      </c>
      <c r="D1590" s="333">
        <v>0</v>
      </c>
      <c r="E1590" s="334"/>
      <c r="F1590" s="4" t="str">
        <f t="shared" si="27"/>
        <v/>
      </c>
      <c r="G1590" s="37">
        <v>24.2</v>
      </c>
      <c r="H1590" s="335">
        <v>45592</v>
      </c>
    </row>
    <row r="1591" spans="3:8" x14ac:dyDescent="0.25">
      <c r="C1591" s="333">
        <v>9</v>
      </c>
      <c r="D1591" s="333">
        <v>0</v>
      </c>
      <c r="E1591" s="334"/>
      <c r="F1591" s="4" t="str">
        <f t="shared" si="27"/>
        <v/>
      </c>
      <c r="G1591" s="37">
        <v>24.2</v>
      </c>
      <c r="H1591" s="335">
        <v>45592</v>
      </c>
    </row>
    <row r="1592" spans="3:8" x14ac:dyDescent="0.25">
      <c r="C1592" s="333">
        <v>10</v>
      </c>
      <c r="D1592" s="333">
        <v>88</v>
      </c>
      <c r="E1592" s="334">
        <v>19.100000000000001</v>
      </c>
      <c r="F1592" s="4">
        <f t="shared" si="27"/>
        <v>5.2631578947369166E-3</v>
      </c>
      <c r="G1592" s="37">
        <v>24.2</v>
      </c>
      <c r="H1592" s="335">
        <v>45592</v>
      </c>
    </row>
    <row r="1593" spans="3:8" x14ac:dyDescent="0.25">
      <c r="C1593" s="333">
        <v>18</v>
      </c>
      <c r="D1593" s="333">
        <v>17</v>
      </c>
      <c r="E1593" s="334">
        <v>15.4</v>
      </c>
      <c r="F1593" s="4">
        <f t="shared" si="27"/>
        <v>1.0263157894736843</v>
      </c>
      <c r="G1593" s="37">
        <v>24.2</v>
      </c>
      <c r="H1593" s="335">
        <v>45592</v>
      </c>
    </row>
    <row r="1594" spans="3:8" x14ac:dyDescent="0.25">
      <c r="C1594" s="333">
        <v>19</v>
      </c>
      <c r="D1594" s="333">
        <v>23</v>
      </c>
      <c r="E1594" s="334">
        <v>12.6</v>
      </c>
      <c r="F1594" s="4">
        <f t="shared" si="27"/>
        <v>-9.3525179856115151E-2</v>
      </c>
      <c r="G1594" s="37">
        <v>24.2</v>
      </c>
      <c r="H1594" s="335">
        <v>45592</v>
      </c>
    </row>
    <row r="1595" spans="3:8" x14ac:dyDescent="0.25">
      <c r="C1595" s="336" t="s">
        <v>0</v>
      </c>
      <c r="D1595" s="336" t="s">
        <v>7</v>
      </c>
      <c r="E1595" s="337" t="s">
        <v>4</v>
      </c>
      <c r="F1595" s="4" t="str">
        <f t="shared" si="27"/>
        <v/>
      </c>
      <c r="G1595" s="37">
        <v>26</v>
      </c>
      <c r="H1595" s="338">
        <v>45593</v>
      </c>
    </row>
    <row r="1596" spans="3:8" x14ac:dyDescent="0.25">
      <c r="C1596" s="336">
        <v>1</v>
      </c>
      <c r="D1596" s="336">
        <v>53</v>
      </c>
      <c r="E1596" s="337">
        <v>31.6</v>
      </c>
      <c r="F1596" s="4">
        <f t="shared" ref="F1596:F1660" si="28">IFERROR((E1596-E1583)/E1583,"")</f>
        <v>0.1969696969696971</v>
      </c>
      <c r="G1596" s="37">
        <v>26</v>
      </c>
      <c r="H1596" s="338">
        <v>45593</v>
      </c>
    </row>
    <row r="1597" spans="3:8" x14ac:dyDescent="0.25">
      <c r="C1597" s="336">
        <v>2</v>
      </c>
      <c r="D1597" s="336">
        <v>54</v>
      </c>
      <c r="E1597" s="337">
        <v>29.3</v>
      </c>
      <c r="F1597" s="4">
        <f t="shared" si="28"/>
        <v>-1.0135135135135158E-2</v>
      </c>
      <c r="G1597" s="37">
        <v>26</v>
      </c>
      <c r="H1597" s="338">
        <v>45593</v>
      </c>
    </row>
    <row r="1598" spans="3:8" x14ac:dyDescent="0.25">
      <c r="C1598" s="336">
        <v>3</v>
      </c>
      <c r="D1598" s="336">
        <v>106</v>
      </c>
      <c r="E1598" s="337">
        <v>24.7</v>
      </c>
      <c r="F1598" s="4">
        <f t="shared" si="28"/>
        <v>5.5555555555555587E-2</v>
      </c>
      <c r="G1598" s="37">
        <v>26</v>
      </c>
      <c r="H1598" s="338">
        <v>45593</v>
      </c>
    </row>
    <row r="1599" spans="3:8" x14ac:dyDescent="0.25">
      <c r="C1599" s="336">
        <v>4</v>
      </c>
      <c r="D1599" s="336">
        <v>101</v>
      </c>
      <c r="E1599" s="337"/>
      <c r="F1599" s="4" t="str">
        <f t="shared" si="28"/>
        <v/>
      </c>
      <c r="G1599" s="37">
        <v>26</v>
      </c>
      <c r="H1599" s="338">
        <v>45593</v>
      </c>
    </row>
    <row r="1600" spans="3:8" x14ac:dyDescent="0.25">
      <c r="C1600" s="336">
        <v>5</v>
      </c>
      <c r="D1600" s="336">
        <v>88</v>
      </c>
      <c r="E1600" s="337">
        <v>25.4</v>
      </c>
      <c r="F1600" s="4">
        <f t="shared" si="28"/>
        <v>3.6734693877550961E-2</v>
      </c>
      <c r="G1600" s="37">
        <v>26</v>
      </c>
      <c r="H1600" s="338">
        <v>45593</v>
      </c>
    </row>
    <row r="1601" spans="3:8" x14ac:dyDescent="0.25">
      <c r="C1601" s="336">
        <v>6</v>
      </c>
      <c r="D1601" s="336">
        <v>97</v>
      </c>
      <c r="E1601" s="337">
        <v>24.5</v>
      </c>
      <c r="F1601" s="4">
        <f t="shared" si="28"/>
        <v>4.7008547008547071E-2</v>
      </c>
      <c r="G1601" s="37">
        <v>26</v>
      </c>
      <c r="H1601" s="338">
        <v>45593</v>
      </c>
    </row>
    <row r="1602" spans="3:8" x14ac:dyDescent="0.25">
      <c r="C1602" s="336">
        <v>7</v>
      </c>
      <c r="D1602" s="336">
        <v>71</v>
      </c>
      <c r="E1602" s="337">
        <v>23.9</v>
      </c>
      <c r="F1602" s="4">
        <f t="shared" si="28"/>
        <v>4.3668122270742363E-2</v>
      </c>
      <c r="G1602" s="37">
        <v>26</v>
      </c>
      <c r="H1602" s="338">
        <v>45593</v>
      </c>
    </row>
    <row r="1603" spans="3:8" x14ac:dyDescent="0.25">
      <c r="C1603" s="336">
        <v>8</v>
      </c>
      <c r="D1603" s="336">
        <v>0</v>
      </c>
      <c r="E1603" s="337"/>
      <c r="F1603" s="4" t="str">
        <f t="shared" si="28"/>
        <v/>
      </c>
      <c r="G1603" s="37">
        <v>26</v>
      </c>
      <c r="H1603" s="338">
        <v>45593</v>
      </c>
    </row>
    <row r="1604" spans="3:8" x14ac:dyDescent="0.25">
      <c r="C1604" s="336">
        <v>9</v>
      </c>
      <c r="D1604" s="336">
        <v>0</v>
      </c>
      <c r="E1604" s="337"/>
      <c r="F1604" s="4" t="str">
        <f t="shared" si="28"/>
        <v/>
      </c>
      <c r="G1604" s="37">
        <v>26</v>
      </c>
      <c r="H1604" s="338">
        <v>45593</v>
      </c>
    </row>
    <row r="1605" spans="3:8" x14ac:dyDescent="0.25">
      <c r="C1605" s="336">
        <v>10</v>
      </c>
      <c r="D1605" s="336">
        <v>70</v>
      </c>
      <c r="E1605" s="337">
        <v>19.7</v>
      </c>
      <c r="F1605" s="4">
        <f t="shared" si="28"/>
        <v>3.1413612565444914E-2</v>
      </c>
      <c r="G1605" s="37">
        <v>26</v>
      </c>
      <c r="H1605" s="338">
        <v>45593</v>
      </c>
    </row>
    <row r="1606" spans="3:8" x14ac:dyDescent="0.25">
      <c r="C1606" s="336">
        <v>18</v>
      </c>
      <c r="D1606" s="336">
        <v>14</v>
      </c>
      <c r="E1606" s="337">
        <v>19.399999999999999</v>
      </c>
      <c r="F1606" s="4">
        <f t="shared" si="28"/>
        <v>0.2597402597402596</v>
      </c>
      <c r="G1606" s="37">
        <v>26</v>
      </c>
      <c r="H1606" s="338">
        <v>45593</v>
      </c>
    </row>
    <row r="1607" spans="3:8" x14ac:dyDescent="0.25">
      <c r="C1607" s="336">
        <v>19</v>
      </c>
      <c r="D1607" s="336">
        <v>25</v>
      </c>
      <c r="E1607" s="337">
        <v>14.8</v>
      </c>
      <c r="F1607" s="4">
        <f t="shared" si="28"/>
        <v>0.1746031746031747</v>
      </c>
      <c r="G1607" s="37">
        <v>26</v>
      </c>
      <c r="H1607" s="338">
        <v>45593</v>
      </c>
    </row>
    <row r="1608" spans="3:8" x14ac:dyDescent="0.25">
      <c r="C1608" s="339" t="s">
        <v>0</v>
      </c>
      <c r="D1608" s="339" t="s">
        <v>7</v>
      </c>
      <c r="E1608" s="340" t="s">
        <v>4</v>
      </c>
      <c r="F1608" s="4" t="str">
        <f t="shared" si="28"/>
        <v/>
      </c>
      <c r="G1608" s="37">
        <v>24.7</v>
      </c>
      <c r="H1608" s="338">
        <v>45594</v>
      </c>
    </row>
    <row r="1609" spans="3:8" x14ac:dyDescent="0.25">
      <c r="C1609" s="339">
        <v>1</v>
      </c>
      <c r="D1609" s="339">
        <v>56</v>
      </c>
      <c r="E1609" s="340">
        <v>26.6</v>
      </c>
      <c r="F1609" s="4">
        <f t="shared" si="28"/>
        <v>-0.15822784810126581</v>
      </c>
      <c r="G1609" s="37">
        <v>24.7</v>
      </c>
      <c r="H1609" s="338">
        <v>45594</v>
      </c>
    </row>
    <row r="1610" spans="3:8" x14ac:dyDescent="0.25">
      <c r="C1610" s="339">
        <v>2</v>
      </c>
      <c r="D1610" s="339">
        <v>54</v>
      </c>
      <c r="E1610" s="340">
        <v>29.6</v>
      </c>
      <c r="F1610" s="4">
        <f t="shared" si="28"/>
        <v>1.0238907849829375E-2</v>
      </c>
      <c r="G1610" s="37">
        <v>24.7</v>
      </c>
      <c r="H1610" s="338">
        <v>45594</v>
      </c>
    </row>
    <row r="1611" spans="3:8" x14ac:dyDescent="0.25">
      <c r="C1611" s="339">
        <v>3</v>
      </c>
      <c r="D1611" s="339">
        <v>108</v>
      </c>
      <c r="E1611" s="340">
        <v>24.5</v>
      </c>
      <c r="F1611" s="4">
        <f t="shared" si="28"/>
        <v>-8.0971659919028063E-3</v>
      </c>
      <c r="G1611" s="37">
        <v>24.7</v>
      </c>
      <c r="H1611" s="338">
        <v>45594</v>
      </c>
    </row>
    <row r="1612" spans="3:8" x14ac:dyDescent="0.25">
      <c r="C1612" s="339">
        <v>4</v>
      </c>
      <c r="D1612" s="339">
        <v>101</v>
      </c>
      <c r="E1612" s="340">
        <v>22.4</v>
      </c>
      <c r="F1612" s="4" t="str">
        <f t="shared" si="28"/>
        <v/>
      </c>
      <c r="G1612" s="37">
        <v>24.7</v>
      </c>
      <c r="H1612" s="338">
        <v>45594</v>
      </c>
    </row>
    <row r="1613" spans="3:8" x14ac:dyDescent="0.25">
      <c r="C1613" s="339">
        <v>5</v>
      </c>
      <c r="D1613" s="339">
        <v>100</v>
      </c>
      <c r="E1613" s="340">
        <v>21.7</v>
      </c>
      <c r="F1613" s="4">
        <f t="shared" si="28"/>
        <v>-0.14566929133858267</v>
      </c>
      <c r="G1613" s="37">
        <v>24.7</v>
      </c>
      <c r="H1613" s="338">
        <v>45594</v>
      </c>
    </row>
    <row r="1614" spans="3:8" x14ac:dyDescent="0.25">
      <c r="C1614" s="339">
        <v>6</v>
      </c>
      <c r="D1614" s="339">
        <v>87</v>
      </c>
      <c r="E1614" s="340">
        <v>30.3</v>
      </c>
      <c r="F1614" s="4">
        <f t="shared" si="28"/>
        <v>0.23673469387755106</v>
      </c>
      <c r="G1614" s="37">
        <v>24.7</v>
      </c>
      <c r="H1614" s="338">
        <v>45594</v>
      </c>
    </row>
    <row r="1615" spans="3:8" x14ac:dyDescent="0.25">
      <c r="C1615" s="339">
        <v>7</v>
      </c>
      <c r="D1615" s="339">
        <v>72</v>
      </c>
      <c r="E1615" s="340">
        <v>18.600000000000001</v>
      </c>
      <c r="F1615" s="4">
        <f t="shared" si="28"/>
        <v>-0.2217573221757321</v>
      </c>
      <c r="G1615" s="37">
        <v>24.7</v>
      </c>
      <c r="H1615" s="338">
        <v>45594</v>
      </c>
    </row>
    <row r="1616" spans="3:8" x14ac:dyDescent="0.25">
      <c r="C1616" s="339">
        <v>8</v>
      </c>
      <c r="D1616" s="339">
        <v>0</v>
      </c>
      <c r="E1616" s="340"/>
      <c r="F1616" s="4" t="str">
        <f t="shared" si="28"/>
        <v/>
      </c>
      <c r="G1616" s="37">
        <v>24.7</v>
      </c>
      <c r="H1616" s="338">
        <v>45594</v>
      </c>
    </row>
    <row r="1617" spans="3:8" x14ac:dyDescent="0.25">
      <c r="C1617" s="339">
        <v>9</v>
      </c>
      <c r="D1617" s="339">
        <v>0</v>
      </c>
      <c r="E1617" s="340"/>
      <c r="F1617" s="4" t="str">
        <f t="shared" si="28"/>
        <v/>
      </c>
      <c r="G1617" s="37">
        <v>24.7</v>
      </c>
      <c r="H1617" s="338">
        <v>45594</v>
      </c>
    </row>
    <row r="1618" spans="3:8" x14ac:dyDescent="0.25">
      <c r="C1618" s="339">
        <v>10</v>
      </c>
      <c r="D1618" s="339">
        <v>70</v>
      </c>
      <c r="E1618" s="340">
        <v>15.6</v>
      </c>
      <c r="F1618" s="4">
        <f t="shared" si="28"/>
        <v>-0.2081218274111675</v>
      </c>
      <c r="G1618" s="37">
        <v>24.7</v>
      </c>
      <c r="H1618" s="338">
        <v>45594</v>
      </c>
    </row>
    <row r="1619" spans="3:8" x14ac:dyDescent="0.25">
      <c r="C1619" s="339">
        <v>18</v>
      </c>
      <c r="D1619" s="339">
        <v>14</v>
      </c>
      <c r="E1619" s="340">
        <v>17</v>
      </c>
      <c r="F1619" s="4">
        <f t="shared" si="28"/>
        <v>-0.1237113402061855</v>
      </c>
      <c r="G1619" s="37">
        <v>24.7</v>
      </c>
      <c r="H1619" s="338">
        <v>45594</v>
      </c>
    </row>
    <row r="1620" spans="3:8" x14ac:dyDescent="0.25">
      <c r="C1620" s="339">
        <v>19</v>
      </c>
      <c r="D1620" s="339">
        <v>14</v>
      </c>
      <c r="E1620" s="340">
        <v>19.8</v>
      </c>
      <c r="F1620" s="4">
        <f t="shared" si="28"/>
        <v>0.33783783783783783</v>
      </c>
      <c r="G1620" s="37">
        <v>24.7</v>
      </c>
      <c r="H1620" s="338">
        <v>45594</v>
      </c>
    </row>
    <row r="1621" spans="3:8" x14ac:dyDescent="0.25">
      <c r="C1621" s="341" t="s">
        <v>0</v>
      </c>
      <c r="D1621" s="341" t="s">
        <v>7</v>
      </c>
      <c r="E1621" s="342" t="s">
        <v>4</v>
      </c>
      <c r="F1621" s="4" t="str">
        <f t="shared" si="28"/>
        <v/>
      </c>
      <c r="G1621" s="37">
        <v>25.6</v>
      </c>
      <c r="H1621" s="343">
        <v>45595</v>
      </c>
    </row>
    <row r="1622" spans="3:8" x14ac:dyDescent="0.25">
      <c r="C1622" s="341">
        <v>1</v>
      </c>
      <c r="D1622" s="341">
        <v>38</v>
      </c>
      <c r="E1622" s="342">
        <v>29.1</v>
      </c>
      <c r="F1622" s="4">
        <f t="shared" si="28"/>
        <v>9.3984962406015032E-2</v>
      </c>
      <c r="G1622" s="37">
        <v>25.6</v>
      </c>
      <c r="H1622" s="343">
        <v>45595</v>
      </c>
    </row>
    <row r="1623" spans="3:8" x14ac:dyDescent="0.25">
      <c r="C1623" s="341">
        <v>2</v>
      </c>
      <c r="D1623" s="341">
        <v>62</v>
      </c>
      <c r="E1623" s="342">
        <v>30.3</v>
      </c>
      <c r="F1623" s="4">
        <f t="shared" si="28"/>
        <v>2.3648648648648622E-2</v>
      </c>
      <c r="G1623" s="37">
        <v>25.6</v>
      </c>
      <c r="H1623" s="343">
        <v>45595</v>
      </c>
    </row>
    <row r="1624" spans="3:8" x14ac:dyDescent="0.25">
      <c r="C1624" s="341">
        <v>3</v>
      </c>
      <c r="D1624" s="341">
        <v>100</v>
      </c>
      <c r="E1624" s="342">
        <v>25.5</v>
      </c>
      <c r="F1624" s="4">
        <f t="shared" si="28"/>
        <v>4.0816326530612242E-2</v>
      </c>
      <c r="G1624" s="37">
        <v>25.6</v>
      </c>
      <c r="H1624" s="343">
        <v>45595</v>
      </c>
    </row>
    <row r="1625" spans="3:8" x14ac:dyDescent="0.25">
      <c r="C1625" s="341">
        <v>4</v>
      </c>
      <c r="D1625" s="341">
        <v>111</v>
      </c>
      <c r="E1625" s="342">
        <v>23</v>
      </c>
      <c r="F1625" s="4">
        <f t="shared" si="28"/>
        <v>2.678571428571435E-2</v>
      </c>
      <c r="G1625" s="37">
        <v>25.6</v>
      </c>
      <c r="H1625" s="343">
        <v>45595</v>
      </c>
    </row>
    <row r="1626" spans="3:8" x14ac:dyDescent="0.25">
      <c r="C1626" s="341">
        <v>5</v>
      </c>
      <c r="D1626" s="341">
        <v>98</v>
      </c>
      <c r="E1626" s="342">
        <v>30.4</v>
      </c>
      <c r="F1626" s="4">
        <f t="shared" si="28"/>
        <v>0.4009216589861751</v>
      </c>
      <c r="G1626" s="37">
        <v>25.6</v>
      </c>
      <c r="H1626" s="343">
        <v>45595</v>
      </c>
    </row>
    <row r="1627" spans="3:8" x14ac:dyDescent="0.25">
      <c r="C1627" s="341">
        <v>6</v>
      </c>
      <c r="D1627" s="341">
        <v>80</v>
      </c>
      <c r="E1627" s="342">
        <v>22.4</v>
      </c>
      <c r="F1627" s="4">
        <f t="shared" si="28"/>
        <v>-0.26072607260726077</v>
      </c>
      <c r="G1627" s="37">
        <v>25.6</v>
      </c>
      <c r="H1627" s="343">
        <v>45595</v>
      </c>
    </row>
    <row r="1628" spans="3:8" x14ac:dyDescent="0.25">
      <c r="C1628" s="341">
        <v>7</v>
      </c>
      <c r="D1628" s="341">
        <v>95</v>
      </c>
      <c r="E1628" s="342">
        <v>19.899999999999999</v>
      </c>
      <c r="F1628" s="4">
        <f t="shared" si="28"/>
        <v>6.9892473118279411E-2</v>
      </c>
      <c r="G1628" s="37">
        <v>25.6</v>
      </c>
      <c r="H1628" s="343">
        <v>45595</v>
      </c>
    </row>
    <row r="1629" spans="3:8" x14ac:dyDescent="0.25">
      <c r="C1629" s="341">
        <v>8</v>
      </c>
      <c r="D1629" s="341">
        <v>0</v>
      </c>
      <c r="E1629" s="342"/>
      <c r="F1629" s="4" t="str">
        <f t="shared" si="28"/>
        <v/>
      </c>
      <c r="G1629" s="37">
        <v>25.6</v>
      </c>
      <c r="H1629" s="343">
        <v>45595</v>
      </c>
    </row>
    <row r="1630" spans="3:8" x14ac:dyDescent="0.25">
      <c r="C1630" s="341">
        <v>9</v>
      </c>
      <c r="D1630" s="341">
        <v>0</v>
      </c>
      <c r="E1630" s="342"/>
      <c r="F1630" s="4" t="str">
        <f t="shared" si="28"/>
        <v/>
      </c>
      <c r="G1630" s="37">
        <v>25.6</v>
      </c>
      <c r="H1630" s="343">
        <v>45595</v>
      </c>
    </row>
    <row r="1631" spans="3:8" x14ac:dyDescent="0.25">
      <c r="C1631" s="341">
        <v>10</v>
      </c>
      <c r="D1631" s="341">
        <v>71</v>
      </c>
      <c r="E1631" s="342">
        <v>17.399999999999999</v>
      </c>
      <c r="F1631" s="4">
        <f t="shared" si="28"/>
        <v>0.11538461538461532</v>
      </c>
      <c r="G1631" s="37">
        <v>25.6</v>
      </c>
      <c r="H1631" s="343">
        <v>45595</v>
      </c>
    </row>
    <row r="1632" spans="3:8" x14ac:dyDescent="0.25">
      <c r="C1632" s="341">
        <v>18</v>
      </c>
      <c r="D1632" s="341">
        <v>13</v>
      </c>
      <c r="E1632" s="342">
        <v>13.5</v>
      </c>
      <c r="F1632" s="4">
        <f t="shared" si="28"/>
        <v>-0.20588235294117646</v>
      </c>
      <c r="G1632" s="37">
        <v>25.6</v>
      </c>
      <c r="H1632" s="343">
        <v>45595</v>
      </c>
    </row>
    <row r="1633" spans="3:8" x14ac:dyDescent="0.25">
      <c r="C1633" s="341">
        <v>19</v>
      </c>
      <c r="D1633" s="341">
        <v>14</v>
      </c>
      <c r="E1633" s="342">
        <v>12</v>
      </c>
      <c r="F1633" s="4">
        <f t="shared" si="28"/>
        <v>-0.39393939393939398</v>
      </c>
      <c r="G1633" s="37">
        <v>25.6</v>
      </c>
      <c r="H1633" s="343">
        <v>45595</v>
      </c>
    </row>
    <row r="1634" spans="3:8" x14ac:dyDescent="0.25">
      <c r="C1634" s="344" t="s">
        <v>0</v>
      </c>
      <c r="D1634" s="344" t="s">
        <v>7</v>
      </c>
      <c r="E1634" s="345" t="s">
        <v>4</v>
      </c>
      <c r="F1634" s="4" t="str">
        <f t="shared" si="28"/>
        <v/>
      </c>
      <c r="G1634" s="37">
        <v>25.9</v>
      </c>
      <c r="H1634" s="346">
        <v>45596</v>
      </c>
    </row>
    <row r="1635" spans="3:8" x14ac:dyDescent="0.25">
      <c r="C1635" s="344">
        <v>1</v>
      </c>
      <c r="D1635" s="344">
        <v>42</v>
      </c>
      <c r="E1635" s="345">
        <v>25.7</v>
      </c>
      <c r="F1635" s="4">
        <f t="shared" si="28"/>
        <v>-0.11683848797250866</v>
      </c>
      <c r="G1635" s="37">
        <v>25.9</v>
      </c>
      <c r="H1635" s="346">
        <v>45596</v>
      </c>
    </row>
    <row r="1636" spans="3:8" x14ac:dyDescent="0.25">
      <c r="C1636" s="344">
        <v>2</v>
      </c>
      <c r="D1636" s="344">
        <v>62</v>
      </c>
      <c r="E1636" s="345">
        <v>30.5</v>
      </c>
      <c r="F1636" s="4">
        <f t="shared" si="28"/>
        <v>6.6006600660065773E-3</v>
      </c>
      <c r="G1636" s="37">
        <v>25.9</v>
      </c>
      <c r="H1636" s="346">
        <v>45596</v>
      </c>
    </row>
    <row r="1637" spans="3:8" x14ac:dyDescent="0.25">
      <c r="C1637" s="344">
        <v>3</v>
      </c>
      <c r="D1637" s="344">
        <v>100</v>
      </c>
      <c r="E1637" s="345">
        <v>25.7</v>
      </c>
      <c r="F1637" s="4">
        <f t="shared" si="28"/>
        <v>7.8431372549019329E-3</v>
      </c>
      <c r="G1637" s="37">
        <v>25.9</v>
      </c>
      <c r="H1637" s="346">
        <v>45596</v>
      </c>
    </row>
    <row r="1638" spans="3:8" x14ac:dyDescent="0.25">
      <c r="C1638" s="344">
        <v>4</v>
      </c>
      <c r="D1638" s="344">
        <v>111</v>
      </c>
      <c r="E1638" s="345">
        <v>24</v>
      </c>
      <c r="F1638" s="4">
        <f t="shared" si="28"/>
        <v>4.3478260869565216E-2</v>
      </c>
      <c r="G1638" s="37">
        <v>25.9</v>
      </c>
      <c r="H1638" s="346">
        <v>45596</v>
      </c>
    </row>
    <row r="1639" spans="3:8" x14ac:dyDescent="0.25">
      <c r="C1639" s="344">
        <v>5</v>
      </c>
      <c r="D1639" s="344">
        <v>97</v>
      </c>
      <c r="E1639" s="345">
        <v>33.1</v>
      </c>
      <c r="F1639" s="4">
        <f t="shared" si="28"/>
        <v>8.8815789473684306E-2</v>
      </c>
      <c r="G1639" s="37">
        <v>25.9</v>
      </c>
      <c r="H1639" s="346">
        <v>45596</v>
      </c>
    </row>
    <row r="1640" spans="3:8" x14ac:dyDescent="0.25">
      <c r="C1640" s="344">
        <v>6</v>
      </c>
      <c r="D1640" s="344">
        <v>81</v>
      </c>
      <c r="E1640" s="345">
        <v>22.2</v>
      </c>
      <c r="F1640" s="4">
        <f t="shared" si="28"/>
        <v>-8.9285714285713969E-3</v>
      </c>
      <c r="G1640" s="37">
        <v>25.9</v>
      </c>
      <c r="H1640" s="346">
        <v>45596</v>
      </c>
    </row>
    <row r="1641" spans="3:8" x14ac:dyDescent="0.25">
      <c r="C1641" s="344">
        <v>7</v>
      </c>
      <c r="D1641" s="344">
        <v>94</v>
      </c>
      <c r="E1641" s="345">
        <v>21.4</v>
      </c>
      <c r="F1641" s="4">
        <f t="shared" si="28"/>
        <v>7.537688442211056E-2</v>
      </c>
      <c r="G1641" s="37">
        <v>25.9</v>
      </c>
      <c r="H1641" s="346">
        <v>45596</v>
      </c>
    </row>
    <row r="1642" spans="3:8" x14ac:dyDescent="0.25">
      <c r="C1642" s="344">
        <v>8</v>
      </c>
      <c r="D1642" s="344">
        <v>0</v>
      </c>
      <c r="E1642" s="345"/>
      <c r="F1642" s="4" t="str">
        <f t="shared" si="28"/>
        <v/>
      </c>
      <c r="G1642" s="37">
        <v>25.9</v>
      </c>
      <c r="H1642" s="346">
        <v>45596</v>
      </c>
    </row>
    <row r="1643" spans="3:8" x14ac:dyDescent="0.25">
      <c r="C1643" s="344">
        <v>9</v>
      </c>
      <c r="D1643" s="344">
        <v>0</v>
      </c>
      <c r="E1643" s="345"/>
      <c r="F1643" s="4" t="str">
        <f t="shared" si="28"/>
        <v/>
      </c>
      <c r="G1643" s="37">
        <v>25.9</v>
      </c>
      <c r="H1643" s="346">
        <v>45596</v>
      </c>
    </row>
    <row r="1644" spans="3:8" x14ac:dyDescent="0.25">
      <c r="C1644" s="344">
        <v>10</v>
      </c>
      <c r="D1644" s="344">
        <v>71</v>
      </c>
      <c r="E1644" s="345">
        <v>16.5</v>
      </c>
      <c r="F1644" s="4">
        <f t="shared" si="28"/>
        <v>-5.1724137931034406E-2</v>
      </c>
      <c r="G1644" s="37">
        <v>25.9</v>
      </c>
      <c r="H1644" s="346">
        <v>45596</v>
      </c>
    </row>
    <row r="1645" spans="3:8" x14ac:dyDescent="0.25">
      <c r="C1645" s="344">
        <v>18</v>
      </c>
      <c r="D1645" s="344">
        <v>13</v>
      </c>
      <c r="E1645" s="345">
        <v>3.2</v>
      </c>
      <c r="F1645" s="4">
        <f t="shared" si="28"/>
        <v>-0.76296296296296306</v>
      </c>
      <c r="G1645" s="37">
        <v>25.9</v>
      </c>
      <c r="H1645" s="346">
        <v>45596</v>
      </c>
    </row>
    <row r="1646" spans="3:8" x14ac:dyDescent="0.25">
      <c r="C1646" s="344">
        <v>19</v>
      </c>
      <c r="D1646" s="344">
        <v>13</v>
      </c>
      <c r="E1646" s="345">
        <v>20</v>
      </c>
      <c r="F1646" s="4">
        <f t="shared" si="28"/>
        <v>0.66666666666666663</v>
      </c>
      <c r="G1646" s="37">
        <v>25.9</v>
      </c>
      <c r="H1646" s="346">
        <v>45596</v>
      </c>
    </row>
    <row r="1647" spans="3:8" x14ac:dyDescent="0.25">
      <c r="C1647" s="347" t="s">
        <v>0</v>
      </c>
      <c r="D1647" s="347" t="s">
        <v>7</v>
      </c>
      <c r="E1647" s="348" t="s">
        <v>4</v>
      </c>
      <c r="F1647" s="4" t="str">
        <f t="shared" si="28"/>
        <v/>
      </c>
      <c r="G1647" s="37">
        <v>26.1</v>
      </c>
      <c r="H1647" s="349">
        <v>45597</v>
      </c>
    </row>
    <row r="1648" spans="3:8" x14ac:dyDescent="0.25">
      <c r="C1648" s="347">
        <v>1</v>
      </c>
      <c r="D1648" s="347">
        <v>42</v>
      </c>
      <c r="E1648" s="348">
        <v>23.5</v>
      </c>
      <c r="F1648" s="4">
        <f t="shared" si="28"/>
        <v>-8.56031128404669E-2</v>
      </c>
      <c r="G1648" s="37">
        <v>26.1</v>
      </c>
      <c r="H1648" s="349">
        <v>45597</v>
      </c>
    </row>
    <row r="1649" spans="3:8" x14ac:dyDescent="0.25">
      <c r="C1649" s="347">
        <v>2</v>
      </c>
      <c r="D1649" s="347">
        <v>62</v>
      </c>
      <c r="E1649" s="348">
        <v>30.6</v>
      </c>
      <c r="F1649" s="4">
        <f t="shared" si="28"/>
        <v>3.2786885245902103E-3</v>
      </c>
      <c r="G1649" s="37">
        <v>26.1</v>
      </c>
      <c r="H1649" s="349">
        <v>45597</v>
      </c>
    </row>
    <row r="1650" spans="3:8" x14ac:dyDescent="0.25">
      <c r="C1650" s="347">
        <v>3</v>
      </c>
      <c r="D1650" s="347">
        <v>100</v>
      </c>
      <c r="E1650" s="348">
        <v>26.4</v>
      </c>
      <c r="F1650" s="4">
        <f t="shared" si="28"/>
        <v>2.7237354085603085E-2</v>
      </c>
      <c r="G1650" s="37">
        <v>26.1</v>
      </c>
      <c r="H1650" s="349">
        <v>45597</v>
      </c>
    </row>
    <row r="1651" spans="3:8" x14ac:dyDescent="0.25">
      <c r="C1651" s="347">
        <v>4</v>
      </c>
      <c r="D1651" s="347">
        <v>110</v>
      </c>
      <c r="E1651" s="348">
        <v>24.5</v>
      </c>
      <c r="F1651" s="4">
        <f t="shared" si="28"/>
        <v>2.0833333333333332E-2</v>
      </c>
      <c r="G1651" s="37">
        <v>26.1</v>
      </c>
      <c r="H1651" s="349">
        <v>45597</v>
      </c>
    </row>
    <row r="1652" spans="3:8" x14ac:dyDescent="0.25">
      <c r="C1652" s="347">
        <v>5</v>
      </c>
      <c r="D1652" s="347">
        <v>97</v>
      </c>
      <c r="E1652" s="348">
        <v>32.5</v>
      </c>
      <c r="F1652" s="4">
        <f t="shared" si="28"/>
        <v>-1.8126888217522702E-2</v>
      </c>
      <c r="G1652" s="37">
        <v>26.1</v>
      </c>
      <c r="H1652" s="349">
        <v>45597</v>
      </c>
    </row>
    <row r="1653" spans="3:8" x14ac:dyDescent="0.25">
      <c r="C1653" s="347">
        <v>6</v>
      </c>
      <c r="D1653" s="347">
        <v>78</v>
      </c>
      <c r="E1653" s="348">
        <v>22</v>
      </c>
      <c r="F1653" s="4">
        <f t="shared" si="28"/>
        <v>-9.0090090090089777E-3</v>
      </c>
      <c r="G1653" s="37">
        <v>26.1</v>
      </c>
      <c r="H1653" s="349">
        <v>45597</v>
      </c>
    </row>
    <row r="1654" spans="3:8" x14ac:dyDescent="0.25">
      <c r="C1654" s="347">
        <v>7</v>
      </c>
      <c r="D1654" s="347">
        <v>94</v>
      </c>
      <c r="E1654" s="348">
        <v>21.1</v>
      </c>
      <c r="F1654" s="4">
        <f t="shared" si="28"/>
        <v>-1.4018691588784915E-2</v>
      </c>
      <c r="G1654" s="37">
        <v>26.1</v>
      </c>
      <c r="H1654" s="349">
        <v>45597</v>
      </c>
    </row>
    <row r="1655" spans="3:8" x14ac:dyDescent="0.25">
      <c r="C1655" s="347">
        <v>8</v>
      </c>
      <c r="D1655" s="347">
        <v>0</v>
      </c>
      <c r="E1655" s="348"/>
      <c r="F1655" s="4" t="str">
        <f t="shared" si="28"/>
        <v/>
      </c>
      <c r="G1655" s="37">
        <v>26.1</v>
      </c>
      <c r="H1655" s="349">
        <v>45597</v>
      </c>
    </row>
    <row r="1656" spans="3:8" x14ac:dyDescent="0.25">
      <c r="C1656" s="347">
        <v>9</v>
      </c>
      <c r="D1656" s="347">
        <v>0</v>
      </c>
      <c r="E1656" s="348"/>
      <c r="F1656" s="4" t="str">
        <f t="shared" si="28"/>
        <v/>
      </c>
      <c r="G1656" s="37">
        <v>26.1</v>
      </c>
      <c r="H1656" s="349">
        <v>45597</v>
      </c>
    </row>
    <row r="1657" spans="3:8" x14ac:dyDescent="0.25">
      <c r="C1657" s="347">
        <v>10</v>
      </c>
      <c r="D1657" s="347">
        <v>71</v>
      </c>
      <c r="E1657" s="348">
        <v>17.8</v>
      </c>
      <c r="F1657" s="4">
        <f t="shared" si="28"/>
        <v>7.8787878787878837E-2</v>
      </c>
      <c r="G1657" s="37">
        <v>26.1</v>
      </c>
      <c r="H1657" s="349">
        <v>45597</v>
      </c>
    </row>
    <row r="1658" spans="3:8" x14ac:dyDescent="0.25">
      <c r="C1658" s="347">
        <v>18</v>
      </c>
      <c r="D1658" s="347">
        <v>16</v>
      </c>
      <c r="E1658" s="348">
        <v>23.1</v>
      </c>
      <c r="F1658" s="4">
        <f t="shared" si="28"/>
        <v>6.21875</v>
      </c>
      <c r="G1658" s="37">
        <v>26.1</v>
      </c>
      <c r="H1658" s="349">
        <v>45597</v>
      </c>
    </row>
    <row r="1659" spans="3:8" x14ac:dyDescent="0.25">
      <c r="C1659" s="347">
        <v>19</v>
      </c>
      <c r="D1659" s="347">
        <v>14</v>
      </c>
      <c r="E1659" s="348">
        <v>18.399999999999999</v>
      </c>
      <c r="F1659" s="4">
        <f t="shared" si="28"/>
        <v>-8.0000000000000071E-2</v>
      </c>
      <c r="G1659" s="37">
        <v>26.1</v>
      </c>
      <c r="H1659" s="349">
        <v>45597</v>
      </c>
    </row>
    <row r="1660" spans="3:8" x14ac:dyDescent="0.25">
      <c r="C1660" s="350" t="s">
        <v>0</v>
      </c>
      <c r="D1660" s="350" t="s">
        <v>7</v>
      </c>
      <c r="E1660" s="351" t="s">
        <v>4</v>
      </c>
      <c r="F1660" s="4" t="str">
        <f t="shared" si="28"/>
        <v/>
      </c>
      <c r="G1660" s="37">
        <v>25.9</v>
      </c>
      <c r="H1660" s="349">
        <v>45598</v>
      </c>
    </row>
    <row r="1661" spans="3:8" x14ac:dyDescent="0.25">
      <c r="C1661" s="350">
        <v>1</v>
      </c>
      <c r="D1661" s="350">
        <v>42</v>
      </c>
      <c r="E1661" s="351">
        <v>20.8</v>
      </c>
      <c r="F1661" s="4">
        <f t="shared" ref="F1661:F1725" si="29">IFERROR((E1661-E1648)/E1648,"")</f>
        <v>-0.11489361702127657</v>
      </c>
      <c r="G1661" s="37">
        <v>25.9</v>
      </c>
      <c r="H1661" s="349">
        <v>45598</v>
      </c>
    </row>
    <row r="1662" spans="3:8" x14ac:dyDescent="0.25">
      <c r="C1662" s="350">
        <v>2</v>
      </c>
      <c r="D1662" s="350">
        <v>62</v>
      </c>
      <c r="E1662" s="351">
        <v>29.7</v>
      </c>
      <c r="F1662" s="4">
        <f t="shared" si="29"/>
        <v>-2.9411764705882422E-2</v>
      </c>
      <c r="G1662" s="37">
        <v>25.9</v>
      </c>
      <c r="H1662" s="349">
        <v>45598</v>
      </c>
    </row>
    <row r="1663" spans="3:8" x14ac:dyDescent="0.25">
      <c r="C1663" s="350">
        <v>3</v>
      </c>
      <c r="D1663" s="350">
        <v>100</v>
      </c>
      <c r="E1663" s="351">
        <v>26.1</v>
      </c>
      <c r="F1663" s="4">
        <f t="shared" si="29"/>
        <v>-1.1363636363636256E-2</v>
      </c>
      <c r="G1663" s="37">
        <v>25.9</v>
      </c>
      <c r="H1663" s="349">
        <v>45598</v>
      </c>
    </row>
    <row r="1664" spans="3:8" x14ac:dyDescent="0.25">
      <c r="C1664" s="350">
        <v>4</v>
      </c>
      <c r="D1664" s="350">
        <v>109</v>
      </c>
      <c r="E1664" s="351">
        <v>24.3</v>
      </c>
      <c r="F1664" s="4">
        <f t="shared" si="29"/>
        <v>-8.1632653061224202E-3</v>
      </c>
      <c r="G1664" s="37">
        <v>25.9</v>
      </c>
      <c r="H1664" s="349">
        <v>45598</v>
      </c>
    </row>
    <row r="1665" spans="3:8" x14ac:dyDescent="0.25">
      <c r="C1665" s="350">
        <v>5</v>
      </c>
      <c r="D1665" s="350">
        <v>96</v>
      </c>
      <c r="E1665" s="351">
        <v>31.5</v>
      </c>
      <c r="F1665" s="4">
        <f t="shared" si="29"/>
        <v>-3.0769230769230771E-2</v>
      </c>
      <c r="G1665" s="37">
        <v>25.9</v>
      </c>
      <c r="H1665" s="349">
        <v>45598</v>
      </c>
    </row>
    <row r="1666" spans="3:8" x14ac:dyDescent="0.25">
      <c r="C1666" s="350">
        <v>6</v>
      </c>
      <c r="D1666" s="350">
        <v>78</v>
      </c>
      <c r="E1666" s="351">
        <v>22.1</v>
      </c>
      <c r="F1666" s="4">
        <f t="shared" si="29"/>
        <v>4.5454545454546103E-3</v>
      </c>
      <c r="G1666" s="37">
        <v>25.9</v>
      </c>
      <c r="H1666" s="349">
        <v>45598</v>
      </c>
    </row>
    <row r="1667" spans="3:8" x14ac:dyDescent="0.25">
      <c r="C1667" s="350">
        <v>7</v>
      </c>
      <c r="D1667" s="350">
        <v>94</v>
      </c>
      <c r="E1667" s="351">
        <v>22.1</v>
      </c>
      <c r="F1667" s="4">
        <f t="shared" si="29"/>
        <v>4.7393364928909949E-2</v>
      </c>
      <c r="G1667" s="37">
        <v>25.9</v>
      </c>
      <c r="H1667" s="349">
        <v>45598</v>
      </c>
    </row>
    <row r="1668" spans="3:8" x14ac:dyDescent="0.25">
      <c r="C1668" s="350">
        <v>8</v>
      </c>
      <c r="D1668" s="350">
        <v>0</v>
      </c>
      <c r="E1668" s="351"/>
      <c r="F1668" s="4" t="str">
        <f t="shared" si="29"/>
        <v/>
      </c>
      <c r="G1668" s="37">
        <v>25.9</v>
      </c>
      <c r="H1668" s="349">
        <v>45598</v>
      </c>
    </row>
    <row r="1669" spans="3:8" x14ac:dyDescent="0.25">
      <c r="C1669" s="350">
        <v>9</v>
      </c>
      <c r="D1669" s="350">
        <v>0</v>
      </c>
      <c r="E1669" s="351"/>
      <c r="F1669" s="4" t="str">
        <f t="shared" si="29"/>
        <v/>
      </c>
      <c r="G1669" s="37">
        <v>25.9</v>
      </c>
      <c r="H1669" s="349">
        <v>45598</v>
      </c>
    </row>
    <row r="1670" spans="3:8" x14ac:dyDescent="0.25">
      <c r="C1670" s="350">
        <v>10</v>
      </c>
      <c r="D1670" s="350">
        <v>70</v>
      </c>
      <c r="E1670" s="351">
        <v>16.899999999999999</v>
      </c>
      <c r="F1670" s="4">
        <f t="shared" si="29"/>
        <v>-5.0561797752809105E-2</v>
      </c>
      <c r="G1670" s="37">
        <v>25.9</v>
      </c>
      <c r="H1670" s="349">
        <v>45598</v>
      </c>
    </row>
    <row r="1671" spans="3:8" x14ac:dyDescent="0.25">
      <c r="C1671" s="350">
        <v>18</v>
      </c>
      <c r="D1671" s="350">
        <v>16</v>
      </c>
      <c r="E1671" s="351">
        <v>20.7</v>
      </c>
      <c r="F1671" s="4">
        <f t="shared" si="29"/>
        <v>-0.10389610389610399</v>
      </c>
      <c r="G1671" s="37">
        <v>25.9</v>
      </c>
      <c r="H1671" s="349">
        <v>45598</v>
      </c>
    </row>
    <row r="1672" spans="3:8" x14ac:dyDescent="0.25">
      <c r="C1672" s="350">
        <v>19</v>
      </c>
      <c r="D1672" s="350">
        <v>17</v>
      </c>
      <c r="E1672" s="351">
        <v>15.6</v>
      </c>
      <c r="F1672" s="4">
        <f t="shared" si="29"/>
        <v>-0.15217391304347822</v>
      </c>
      <c r="G1672" s="37">
        <v>25.9</v>
      </c>
      <c r="H1672" s="349">
        <v>45598</v>
      </c>
    </row>
    <row r="1673" spans="3:8" x14ac:dyDescent="0.25">
      <c r="C1673" s="352" t="s">
        <v>0</v>
      </c>
      <c r="D1673" s="352" t="s">
        <v>7</v>
      </c>
      <c r="E1673" s="353" t="s">
        <v>4</v>
      </c>
      <c r="F1673" s="4" t="str">
        <f t="shared" si="29"/>
        <v/>
      </c>
      <c r="G1673" s="37">
        <v>26.6</v>
      </c>
      <c r="H1673" s="354">
        <v>45599</v>
      </c>
    </row>
    <row r="1674" spans="3:8" x14ac:dyDescent="0.25">
      <c r="C1674" s="352">
        <v>1</v>
      </c>
      <c r="D1674" s="352">
        <v>41</v>
      </c>
      <c r="E1674" s="353">
        <v>21.6</v>
      </c>
      <c r="F1674" s="4">
        <f t="shared" si="29"/>
        <v>3.8461538461538491E-2</v>
      </c>
      <c r="G1674" s="37">
        <v>26.6</v>
      </c>
      <c r="H1674" s="354">
        <v>45599</v>
      </c>
    </row>
    <row r="1675" spans="3:8" x14ac:dyDescent="0.25">
      <c r="C1675" s="352">
        <v>2</v>
      </c>
      <c r="D1675" s="352">
        <v>61</v>
      </c>
      <c r="E1675" s="353">
        <v>31.6</v>
      </c>
      <c r="F1675" s="4">
        <f t="shared" si="29"/>
        <v>6.3973063973064043E-2</v>
      </c>
      <c r="G1675" s="37">
        <v>26.6</v>
      </c>
      <c r="H1675" s="354">
        <v>45599</v>
      </c>
    </row>
    <row r="1676" spans="3:8" x14ac:dyDescent="0.25">
      <c r="C1676" s="352">
        <v>3</v>
      </c>
      <c r="D1676" s="352">
        <v>100</v>
      </c>
      <c r="E1676" s="353">
        <v>26</v>
      </c>
      <c r="F1676" s="4">
        <f t="shared" si="29"/>
        <v>-3.8314176245211272E-3</v>
      </c>
      <c r="G1676" s="37">
        <v>26.6</v>
      </c>
      <c r="H1676" s="354">
        <v>45599</v>
      </c>
    </row>
    <row r="1677" spans="3:8" x14ac:dyDescent="0.25">
      <c r="C1677" s="352">
        <v>4</v>
      </c>
      <c r="D1677" s="352">
        <v>109</v>
      </c>
      <c r="E1677" s="353">
        <v>24.8</v>
      </c>
      <c r="F1677" s="4">
        <f t="shared" si="29"/>
        <v>2.0576131687242798E-2</v>
      </c>
      <c r="G1677" s="37">
        <v>26.6</v>
      </c>
      <c r="H1677" s="354">
        <v>45599</v>
      </c>
    </row>
    <row r="1678" spans="3:8" x14ac:dyDescent="0.25">
      <c r="C1678" s="352">
        <v>5</v>
      </c>
      <c r="D1678" s="352">
        <v>96</v>
      </c>
      <c r="E1678" s="353">
        <v>32.1</v>
      </c>
      <c r="F1678" s="4">
        <f t="shared" si="29"/>
        <v>1.9047619047619094E-2</v>
      </c>
      <c r="G1678" s="37">
        <v>26.6</v>
      </c>
      <c r="H1678" s="354">
        <v>45599</v>
      </c>
    </row>
    <row r="1679" spans="3:8" x14ac:dyDescent="0.25">
      <c r="C1679" s="352">
        <v>6</v>
      </c>
      <c r="D1679" s="352">
        <v>78</v>
      </c>
      <c r="E1679" s="353">
        <v>22.5</v>
      </c>
      <c r="F1679" s="4">
        <f t="shared" si="29"/>
        <v>1.8099547511312153E-2</v>
      </c>
      <c r="G1679" s="37">
        <v>26.6</v>
      </c>
      <c r="H1679" s="354">
        <v>45599</v>
      </c>
    </row>
    <row r="1680" spans="3:8" x14ac:dyDescent="0.25">
      <c r="C1680" s="352">
        <v>7</v>
      </c>
      <c r="D1680" s="352">
        <v>94</v>
      </c>
      <c r="E1680" s="353">
        <v>21.7</v>
      </c>
      <c r="F1680" s="4">
        <f t="shared" si="29"/>
        <v>-1.8099547511312312E-2</v>
      </c>
      <c r="G1680" s="37">
        <v>26.6</v>
      </c>
      <c r="H1680" s="354">
        <v>45599</v>
      </c>
    </row>
    <row r="1681" spans="3:8" x14ac:dyDescent="0.25">
      <c r="C1681" s="352">
        <v>8</v>
      </c>
      <c r="D1681" s="352">
        <v>0</v>
      </c>
      <c r="E1681" s="353"/>
      <c r="F1681" s="4" t="str">
        <f t="shared" si="29"/>
        <v/>
      </c>
      <c r="G1681" s="37">
        <v>26.6</v>
      </c>
      <c r="H1681" s="354">
        <v>45599</v>
      </c>
    </row>
    <row r="1682" spans="3:8" x14ac:dyDescent="0.25">
      <c r="C1682" s="352">
        <v>9</v>
      </c>
      <c r="D1682" s="352">
        <v>0</v>
      </c>
      <c r="E1682" s="353"/>
      <c r="F1682" s="4" t="str">
        <f t="shared" si="29"/>
        <v/>
      </c>
      <c r="G1682" s="37">
        <v>26.6</v>
      </c>
      <c r="H1682" s="354">
        <v>45599</v>
      </c>
    </row>
    <row r="1683" spans="3:8" x14ac:dyDescent="0.25">
      <c r="C1683" s="352">
        <v>10</v>
      </c>
      <c r="D1683" s="352">
        <v>70</v>
      </c>
      <c r="E1683" s="353">
        <v>17.399999999999999</v>
      </c>
      <c r="F1683" s="4">
        <f t="shared" si="29"/>
        <v>2.9585798816568049E-2</v>
      </c>
      <c r="G1683" s="37">
        <v>26.6</v>
      </c>
      <c r="H1683" s="354">
        <v>45599</v>
      </c>
    </row>
    <row r="1684" spans="3:8" x14ac:dyDescent="0.25">
      <c r="C1684" s="352">
        <v>18</v>
      </c>
      <c r="D1684" s="352">
        <v>18</v>
      </c>
      <c r="E1684" s="353">
        <v>10.4</v>
      </c>
      <c r="F1684" s="4">
        <f t="shared" si="29"/>
        <v>-0.49758454106280192</v>
      </c>
      <c r="G1684" s="37">
        <v>26.6</v>
      </c>
      <c r="H1684" s="354">
        <v>45599</v>
      </c>
    </row>
    <row r="1685" spans="3:8" x14ac:dyDescent="0.25">
      <c r="C1685" s="352">
        <v>19</v>
      </c>
      <c r="D1685" s="352">
        <v>18</v>
      </c>
      <c r="E1685" s="353">
        <v>14.2</v>
      </c>
      <c r="F1685" s="4">
        <f t="shared" si="29"/>
        <v>-8.9743589743589772E-2</v>
      </c>
      <c r="G1685" s="37">
        <v>26.6</v>
      </c>
      <c r="H1685" s="354">
        <v>45599</v>
      </c>
    </row>
    <row r="1686" spans="3:8" x14ac:dyDescent="0.25">
      <c r="C1686" s="355" t="s">
        <v>0</v>
      </c>
      <c r="D1686" s="355" t="s">
        <v>7</v>
      </c>
      <c r="E1686" s="356" t="s">
        <v>4</v>
      </c>
      <c r="F1686" s="4" t="str">
        <f t="shared" si="29"/>
        <v/>
      </c>
      <c r="G1686" s="37">
        <v>24.9</v>
      </c>
      <c r="H1686" s="354">
        <v>45600</v>
      </c>
    </row>
    <row r="1687" spans="3:8" x14ac:dyDescent="0.25">
      <c r="C1687" s="355">
        <v>1</v>
      </c>
      <c r="D1687" s="355">
        <v>41</v>
      </c>
      <c r="E1687" s="356">
        <v>26.1</v>
      </c>
      <c r="F1687" s="4">
        <f t="shared" si="29"/>
        <v>0.20833333333333331</v>
      </c>
      <c r="G1687" s="37">
        <v>24.9</v>
      </c>
      <c r="H1687" s="354">
        <v>45600</v>
      </c>
    </row>
    <row r="1688" spans="3:8" x14ac:dyDescent="0.25">
      <c r="C1688" s="355">
        <v>2</v>
      </c>
      <c r="D1688" s="355">
        <v>61</v>
      </c>
      <c r="E1688" s="356">
        <v>29.8</v>
      </c>
      <c r="F1688" s="4">
        <f t="shared" si="29"/>
        <v>-5.6962025316455715E-2</v>
      </c>
      <c r="G1688" s="37">
        <v>24.9</v>
      </c>
      <c r="H1688" s="354">
        <v>45600</v>
      </c>
    </row>
    <row r="1689" spans="3:8" x14ac:dyDescent="0.25">
      <c r="C1689" s="355">
        <v>3</v>
      </c>
      <c r="D1689" s="355">
        <v>100</v>
      </c>
      <c r="E1689" s="356">
        <v>25.1</v>
      </c>
      <c r="F1689" s="4">
        <f t="shared" si="29"/>
        <v>-3.4615384615384562E-2</v>
      </c>
      <c r="G1689" s="37">
        <v>24.9</v>
      </c>
      <c r="H1689" s="354">
        <v>45600</v>
      </c>
    </row>
    <row r="1690" spans="3:8" x14ac:dyDescent="0.25">
      <c r="C1690" s="355">
        <v>4</v>
      </c>
      <c r="D1690" s="355">
        <v>109</v>
      </c>
      <c r="E1690" s="356">
        <v>23</v>
      </c>
      <c r="F1690" s="4">
        <f t="shared" si="29"/>
        <v>-7.2580645161290355E-2</v>
      </c>
      <c r="G1690" s="37">
        <v>24.9</v>
      </c>
      <c r="H1690" s="354">
        <v>45600</v>
      </c>
    </row>
    <row r="1691" spans="3:8" x14ac:dyDescent="0.25">
      <c r="C1691" s="355">
        <v>5</v>
      </c>
      <c r="D1691" s="355">
        <v>96</v>
      </c>
      <c r="E1691" s="356">
        <v>31</v>
      </c>
      <c r="F1691" s="4">
        <f t="shared" si="29"/>
        <v>-3.4267912772585715E-2</v>
      </c>
      <c r="G1691" s="37">
        <v>24.9</v>
      </c>
      <c r="H1691" s="354">
        <v>45600</v>
      </c>
    </row>
    <row r="1692" spans="3:8" x14ac:dyDescent="0.25">
      <c r="C1692" s="355">
        <v>6</v>
      </c>
      <c r="D1692" s="355">
        <v>81</v>
      </c>
      <c r="E1692" s="356">
        <v>19.899999999999999</v>
      </c>
      <c r="F1692" s="4">
        <f t="shared" si="29"/>
        <v>-0.11555555555555562</v>
      </c>
      <c r="G1692" s="37">
        <v>24.9</v>
      </c>
      <c r="H1692" s="354">
        <v>45600</v>
      </c>
    </row>
    <row r="1693" spans="3:8" x14ac:dyDescent="0.25">
      <c r="C1693" s="355">
        <v>7</v>
      </c>
      <c r="D1693" s="355">
        <v>94</v>
      </c>
      <c r="E1693" s="356">
        <v>20.5</v>
      </c>
      <c r="F1693" s="4">
        <f t="shared" si="29"/>
        <v>-5.5299539170506881E-2</v>
      </c>
      <c r="G1693" s="37">
        <v>24.9</v>
      </c>
      <c r="H1693" s="354">
        <v>45600</v>
      </c>
    </row>
    <row r="1694" spans="3:8" x14ac:dyDescent="0.25">
      <c r="C1694" s="355">
        <v>8</v>
      </c>
      <c r="D1694" s="355">
        <v>0</v>
      </c>
      <c r="E1694" s="356"/>
      <c r="F1694" s="4" t="str">
        <f t="shared" si="29"/>
        <v/>
      </c>
      <c r="G1694" s="37">
        <v>24.9</v>
      </c>
      <c r="H1694" s="354">
        <v>45600</v>
      </c>
    </row>
    <row r="1695" spans="3:8" x14ac:dyDescent="0.25">
      <c r="C1695" s="355">
        <v>9</v>
      </c>
      <c r="D1695" s="355">
        <v>0</v>
      </c>
      <c r="E1695" s="356"/>
      <c r="F1695" s="4" t="str">
        <f t="shared" si="29"/>
        <v/>
      </c>
      <c r="G1695" s="37">
        <v>24.9</v>
      </c>
      <c r="H1695" s="354">
        <v>45600</v>
      </c>
    </row>
    <row r="1696" spans="3:8" x14ac:dyDescent="0.25">
      <c r="C1696" s="355">
        <v>10</v>
      </c>
      <c r="D1696" s="355">
        <v>70</v>
      </c>
      <c r="E1696" s="356">
        <v>15.8</v>
      </c>
      <c r="F1696" s="4">
        <f t="shared" si="29"/>
        <v>-9.1954022988505635E-2</v>
      </c>
      <c r="G1696" s="37">
        <v>24.9</v>
      </c>
      <c r="H1696" s="354">
        <v>45600</v>
      </c>
    </row>
    <row r="1697" spans="3:8" x14ac:dyDescent="0.25">
      <c r="C1697" s="355">
        <v>18</v>
      </c>
      <c r="D1697" s="355">
        <v>14</v>
      </c>
      <c r="E1697" s="356">
        <v>4.4000000000000004</v>
      </c>
      <c r="F1697" s="4">
        <f t="shared" si="29"/>
        <v>-0.57692307692307687</v>
      </c>
      <c r="G1697" s="37">
        <v>24.9</v>
      </c>
      <c r="H1697" s="354">
        <v>45600</v>
      </c>
    </row>
    <row r="1698" spans="3:8" x14ac:dyDescent="0.25">
      <c r="C1698" s="355">
        <v>19</v>
      </c>
      <c r="D1698" s="355">
        <v>20</v>
      </c>
      <c r="E1698" s="356">
        <v>15.2</v>
      </c>
      <c r="F1698" s="4">
        <f t="shared" si="29"/>
        <v>7.0422535211267609E-2</v>
      </c>
      <c r="G1698" s="37">
        <v>24.9</v>
      </c>
      <c r="H1698" s="354">
        <v>45600</v>
      </c>
    </row>
    <row r="1699" spans="3:8" x14ac:dyDescent="0.25">
      <c r="C1699" s="357" t="s">
        <v>0</v>
      </c>
      <c r="D1699" s="357" t="s">
        <v>7</v>
      </c>
      <c r="E1699" s="358" t="s">
        <v>4</v>
      </c>
      <c r="F1699" s="4" t="str">
        <f t="shared" si="29"/>
        <v/>
      </c>
      <c r="G1699" s="37">
        <v>25.7</v>
      </c>
      <c r="H1699" s="359">
        <v>45601</v>
      </c>
    </row>
    <row r="1700" spans="3:8" x14ac:dyDescent="0.25">
      <c r="C1700" s="357">
        <v>1</v>
      </c>
      <c r="D1700" s="357">
        <v>46</v>
      </c>
      <c r="E1700" s="358">
        <v>23.5</v>
      </c>
      <c r="F1700" s="4">
        <f t="shared" si="29"/>
        <v>-9.9616858237547942E-2</v>
      </c>
      <c r="G1700" s="37">
        <v>25.7</v>
      </c>
      <c r="H1700" s="359">
        <v>45601</v>
      </c>
    </row>
    <row r="1701" spans="3:8" x14ac:dyDescent="0.25">
      <c r="C1701" s="357">
        <v>2</v>
      </c>
      <c r="D1701" s="357">
        <v>61</v>
      </c>
      <c r="E1701" s="358">
        <v>23.5</v>
      </c>
      <c r="F1701" s="4">
        <f t="shared" si="29"/>
        <v>-0.21140939597315439</v>
      </c>
      <c r="G1701" s="37">
        <v>25.7</v>
      </c>
      <c r="H1701" s="359">
        <v>45601</v>
      </c>
    </row>
    <row r="1702" spans="3:8" x14ac:dyDescent="0.25">
      <c r="C1702" s="357">
        <v>3</v>
      </c>
      <c r="D1702" s="357">
        <v>100</v>
      </c>
      <c r="E1702" s="358">
        <v>22.2</v>
      </c>
      <c r="F1702" s="4">
        <f t="shared" si="29"/>
        <v>-0.11553784860557777</v>
      </c>
      <c r="G1702" s="37">
        <v>25.7</v>
      </c>
      <c r="H1702" s="359">
        <v>45601</v>
      </c>
    </row>
    <row r="1703" spans="3:8" x14ac:dyDescent="0.25">
      <c r="C1703" s="357">
        <v>4</v>
      </c>
      <c r="D1703" s="357">
        <v>109</v>
      </c>
      <c r="E1703" s="358">
        <v>21.8</v>
      </c>
      <c r="F1703" s="4">
        <f t="shared" si="29"/>
        <v>-5.217391304347823E-2</v>
      </c>
      <c r="G1703" s="37">
        <v>25.7</v>
      </c>
      <c r="H1703" s="359">
        <v>45601</v>
      </c>
    </row>
    <row r="1704" spans="3:8" x14ac:dyDescent="0.25">
      <c r="C1704" s="357">
        <v>5</v>
      </c>
      <c r="D1704" s="357">
        <v>94</v>
      </c>
      <c r="E1704" s="358">
        <v>29.7</v>
      </c>
      <c r="F1704" s="4">
        <f t="shared" si="29"/>
        <v>-4.1935483870967766E-2</v>
      </c>
      <c r="G1704" s="37">
        <v>25.7</v>
      </c>
      <c r="H1704" s="359">
        <v>45601</v>
      </c>
    </row>
    <row r="1705" spans="3:8" x14ac:dyDescent="0.25">
      <c r="C1705" s="357">
        <v>6</v>
      </c>
      <c r="D1705" s="357">
        <v>79</v>
      </c>
      <c r="E1705" s="358">
        <v>18.2</v>
      </c>
      <c r="F1705" s="4">
        <f t="shared" si="29"/>
        <v>-8.5427135678391927E-2</v>
      </c>
      <c r="G1705" s="37">
        <v>25.7</v>
      </c>
      <c r="H1705" s="359">
        <v>45601</v>
      </c>
    </row>
    <row r="1706" spans="3:8" x14ac:dyDescent="0.25">
      <c r="C1706" s="357">
        <v>7</v>
      </c>
      <c r="D1706" s="357">
        <v>94</v>
      </c>
      <c r="E1706" s="358">
        <v>16.399999999999999</v>
      </c>
      <c r="F1706" s="4">
        <f t="shared" si="29"/>
        <v>-0.20000000000000007</v>
      </c>
      <c r="G1706" s="37">
        <v>25.7</v>
      </c>
      <c r="H1706" s="359">
        <v>45601</v>
      </c>
    </row>
    <row r="1707" spans="3:8" x14ac:dyDescent="0.25">
      <c r="C1707" s="357">
        <v>8</v>
      </c>
      <c r="D1707" s="357">
        <v>0</v>
      </c>
      <c r="E1707" s="358"/>
      <c r="F1707" s="4" t="str">
        <f t="shared" si="29"/>
        <v/>
      </c>
      <c r="G1707" s="37">
        <v>25.7</v>
      </c>
      <c r="H1707" s="359">
        <v>45601</v>
      </c>
    </row>
    <row r="1708" spans="3:8" x14ac:dyDescent="0.25">
      <c r="C1708" s="357">
        <v>9</v>
      </c>
      <c r="D1708" s="357">
        <v>0</v>
      </c>
      <c r="E1708" s="358"/>
      <c r="F1708" s="4" t="str">
        <f t="shared" si="29"/>
        <v/>
      </c>
      <c r="G1708" s="37">
        <v>25.7</v>
      </c>
      <c r="H1708" s="359">
        <v>45601</v>
      </c>
    </row>
    <row r="1709" spans="3:8" x14ac:dyDescent="0.25">
      <c r="C1709" s="357">
        <v>10</v>
      </c>
      <c r="D1709" s="357">
        <v>48</v>
      </c>
      <c r="E1709" s="358">
        <v>13.3</v>
      </c>
      <c r="F1709" s="4">
        <f t="shared" si="29"/>
        <v>-0.15822784810126581</v>
      </c>
      <c r="G1709" s="37">
        <v>25.7</v>
      </c>
      <c r="H1709" s="359">
        <v>45601</v>
      </c>
    </row>
    <row r="1710" spans="3:8" x14ac:dyDescent="0.25">
      <c r="C1710" s="357">
        <v>18</v>
      </c>
      <c r="D1710" s="357">
        <v>11</v>
      </c>
      <c r="E1710" s="358">
        <v>11.3</v>
      </c>
      <c r="F1710" s="4">
        <f t="shared" si="29"/>
        <v>1.5681818181818181</v>
      </c>
      <c r="G1710" s="37">
        <v>25.7</v>
      </c>
      <c r="H1710" s="359">
        <v>45601</v>
      </c>
    </row>
    <row r="1711" spans="3:8" x14ac:dyDescent="0.25">
      <c r="C1711" s="357">
        <v>19</v>
      </c>
      <c r="D1711" s="357">
        <v>16</v>
      </c>
      <c r="E1711" s="358">
        <v>25.1</v>
      </c>
      <c r="F1711" s="4">
        <f t="shared" si="29"/>
        <v>0.6513157894736844</v>
      </c>
      <c r="G1711" s="37">
        <v>25.7</v>
      </c>
      <c r="H1711" s="359">
        <v>45601</v>
      </c>
    </row>
    <row r="1712" spans="3:8" x14ac:dyDescent="0.25">
      <c r="C1712" s="360" t="s">
        <v>0</v>
      </c>
      <c r="D1712" s="360" t="s">
        <v>7</v>
      </c>
      <c r="E1712" s="361" t="s">
        <v>4</v>
      </c>
      <c r="F1712" s="4" t="str">
        <f t="shared" si="29"/>
        <v/>
      </c>
      <c r="G1712" s="37">
        <v>25.2</v>
      </c>
      <c r="H1712" s="362">
        <v>45602</v>
      </c>
    </row>
    <row r="1713" spans="3:8" x14ac:dyDescent="0.25">
      <c r="C1713" s="360">
        <v>1</v>
      </c>
      <c r="D1713" s="360">
        <v>50</v>
      </c>
      <c r="E1713" s="361">
        <v>21.8</v>
      </c>
      <c r="F1713" s="4">
        <f t="shared" si="29"/>
        <v>-7.2340425531914859E-2</v>
      </c>
      <c r="G1713" s="37">
        <v>25.2</v>
      </c>
      <c r="H1713" s="362">
        <v>45602</v>
      </c>
    </row>
    <row r="1714" spans="3:8" x14ac:dyDescent="0.25">
      <c r="C1714" s="360">
        <v>2</v>
      </c>
      <c r="D1714" s="360">
        <v>60</v>
      </c>
      <c r="E1714" s="361">
        <v>24.6</v>
      </c>
      <c r="F1714" s="4">
        <f t="shared" si="29"/>
        <v>4.6808510638297933E-2</v>
      </c>
      <c r="G1714" s="37">
        <v>25.2</v>
      </c>
      <c r="H1714" s="362">
        <v>45602</v>
      </c>
    </row>
    <row r="1715" spans="3:8" x14ac:dyDescent="0.25">
      <c r="C1715" s="360">
        <v>3</v>
      </c>
      <c r="D1715" s="360">
        <v>100</v>
      </c>
      <c r="E1715" s="361">
        <v>25.8</v>
      </c>
      <c r="F1715" s="4">
        <f t="shared" si="29"/>
        <v>0.16216216216216223</v>
      </c>
      <c r="G1715" s="37">
        <v>25.2</v>
      </c>
      <c r="H1715" s="362">
        <v>45602</v>
      </c>
    </row>
    <row r="1716" spans="3:8" x14ac:dyDescent="0.25">
      <c r="C1716" s="360">
        <v>4</v>
      </c>
      <c r="D1716" s="360">
        <v>109</v>
      </c>
      <c r="E1716" s="361">
        <v>23.5</v>
      </c>
      <c r="F1716" s="4">
        <f t="shared" si="29"/>
        <v>7.7981651376146752E-2</v>
      </c>
      <c r="G1716" s="37">
        <v>25.2</v>
      </c>
      <c r="H1716" s="362">
        <v>45602</v>
      </c>
    </row>
    <row r="1717" spans="3:8" x14ac:dyDescent="0.25">
      <c r="C1717" s="360">
        <v>5</v>
      </c>
      <c r="D1717" s="360">
        <v>94</v>
      </c>
      <c r="E1717" s="361">
        <v>31.5</v>
      </c>
      <c r="F1717" s="4">
        <f t="shared" si="29"/>
        <v>6.0606060606060629E-2</v>
      </c>
      <c r="G1717" s="37">
        <v>25.2</v>
      </c>
      <c r="H1717" s="362">
        <v>45602</v>
      </c>
    </row>
    <row r="1718" spans="3:8" x14ac:dyDescent="0.25">
      <c r="C1718" s="360">
        <v>6</v>
      </c>
      <c r="D1718" s="360">
        <v>79</v>
      </c>
      <c r="E1718" s="361">
        <v>21.7</v>
      </c>
      <c r="F1718" s="4">
        <f t="shared" si="29"/>
        <v>0.19230769230769232</v>
      </c>
      <c r="G1718" s="37">
        <v>25.2</v>
      </c>
      <c r="H1718" s="362">
        <v>45602</v>
      </c>
    </row>
    <row r="1719" spans="3:8" x14ac:dyDescent="0.25">
      <c r="C1719" s="360">
        <v>7</v>
      </c>
      <c r="D1719" s="360">
        <v>96</v>
      </c>
      <c r="E1719" s="361">
        <v>21.1</v>
      </c>
      <c r="F1719" s="4">
        <f t="shared" si="29"/>
        <v>0.28658536585365874</v>
      </c>
      <c r="G1719" s="37">
        <v>25.2</v>
      </c>
      <c r="H1719" s="362">
        <v>45602</v>
      </c>
    </row>
    <row r="1720" spans="3:8" x14ac:dyDescent="0.25">
      <c r="C1720" s="360">
        <v>8</v>
      </c>
      <c r="D1720" s="360">
        <v>0</v>
      </c>
      <c r="E1720" s="361"/>
      <c r="F1720" s="4" t="str">
        <f t="shared" si="29"/>
        <v/>
      </c>
      <c r="G1720" s="37">
        <v>25.2</v>
      </c>
      <c r="H1720" s="362">
        <v>45602</v>
      </c>
    </row>
    <row r="1721" spans="3:8" x14ac:dyDescent="0.25">
      <c r="C1721" s="360">
        <v>9</v>
      </c>
      <c r="D1721" s="360">
        <v>0</v>
      </c>
      <c r="E1721" s="361"/>
      <c r="F1721" s="4" t="str">
        <f t="shared" si="29"/>
        <v/>
      </c>
      <c r="G1721" s="37">
        <v>25.2</v>
      </c>
      <c r="H1721" s="362">
        <v>45602</v>
      </c>
    </row>
    <row r="1722" spans="3:8" x14ac:dyDescent="0.25">
      <c r="C1722" s="360">
        <v>10</v>
      </c>
      <c r="D1722" s="360">
        <v>48</v>
      </c>
      <c r="E1722" s="361">
        <v>18.7</v>
      </c>
      <c r="F1722" s="4">
        <f t="shared" si="29"/>
        <v>0.40601503759398483</v>
      </c>
      <c r="G1722" s="37">
        <v>25.2</v>
      </c>
      <c r="H1722" s="362">
        <v>45602</v>
      </c>
    </row>
    <row r="1723" spans="3:8" x14ac:dyDescent="0.25">
      <c r="C1723" s="360">
        <v>18</v>
      </c>
      <c r="D1723" s="360">
        <v>12</v>
      </c>
      <c r="E1723" s="361">
        <v>20</v>
      </c>
      <c r="F1723" s="4">
        <f t="shared" si="29"/>
        <v>0.76991150442477863</v>
      </c>
      <c r="G1723" s="37">
        <v>25.2</v>
      </c>
      <c r="H1723" s="362">
        <v>45602</v>
      </c>
    </row>
    <row r="1724" spans="3:8" x14ac:dyDescent="0.25">
      <c r="C1724" s="360">
        <v>19</v>
      </c>
      <c r="D1724" s="360">
        <v>16</v>
      </c>
      <c r="E1724" s="361">
        <v>23.7</v>
      </c>
      <c r="F1724" s="4">
        <f t="shared" si="29"/>
        <v>-5.5776892430278967E-2</v>
      </c>
      <c r="G1724" s="37">
        <v>25.2</v>
      </c>
      <c r="H1724" s="362">
        <v>45602</v>
      </c>
    </row>
    <row r="1725" spans="3:8" x14ac:dyDescent="0.25">
      <c r="C1725" s="363" t="s">
        <v>0</v>
      </c>
      <c r="D1725" s="363" t="s">
        <v>7</v>
      </c>
      <c r="E1725" s="364" t="s">
        <v>4</v>
      </c>
      <c r="F1725" s="4" t="str">
        <f t="shared" si="29"/>
        <v/>
      </c>
      <c r="G1725" s="37">
        <v>25.8</v>
      </c>
      <c r="H1725" s="365">
        <v>45603</v>
      </c>
    </row>
    <row r="1726" spans="3:8" x14ac:dyDescent="0.25">
      <c r="C1726" s="363">
        <v>1</v>
      </c>
      <c r="D1726" s="363">
        <v>49</v>
      </c>
      <c r="E1726" s="364">
        <v>22.7</v>
      </c>
      <c r="F1726" s="4">
        <f t="shared" ref="F1726:F1790" si="30">IFERROR((E1726-E1713)/E1713,"")</f>
        <v>4.1284403669724704E-2</v>
      </c>
      <c r="G1726" s="37">
        <v>25.8</v>
      </c>
      <c r="H1726" s="365">
        <v>45603</v>
      </c>
    </row>
    <row r="1727" spans="3:8" x14ac:dyDescent="0.25">
      <c r="C1727" s="363">
        <v>2</v>
      </c>
      <c r="D1727" s="363">
        <v>60</v>
      </c>
      <c r="E1727" s="364">
        <v>31.4</v>
      </c>
      <c r="F1727" s="4">
        <f t="shared" si="30"/>
        <v>0.27642276422764217</v>
      </c>
      <c r="G1727" s="37">
        <v>25.8</v>
      </c>
      <c r="H1727" s="365">
        <v>45603</v>
      </c>
    </row>
    <row r="1728" spans="3:8" x14ac:dyDescent="0.25">
      <c r="C1728" s="363">
        <v>3</v>
      </c>
      <c r="D1728" s="363">
        <v>100</v>
      </c>
      <c r="E1728" s="364">
        <v>26.6</v>
      </c>
      <c r="F1728" s="4">
        <f t="shared" si="30"/>
        <v>3.1007751937984523E-2</v>
      </c>
      <c r="G1728" s="37">
        <v>25.8</v>
      </c>
      <c r="H1728" s="365">
        <v>45603</v>
      </c>
    </row>
    <row r="1729" spans="3:8" x14ac:dyDescent="0.25">
      <c r="C1729" s="363">
        <v>4</v>
      </c>
      <c r="D1729" s="363">
        <v>109</v>
      </c>
      <c r="E1729" s="364">
        <v>23.1</v>
      </c>
      <c r="F1729" s="4">
        <f t="shared" si="30"/>
        <v>-1.7021276595744619E-2</v>
      </c>
      <c r="G1729" s="37">
        <v>25.8</v>
      </c>
      <c r="H1729" s="365">
        <v>45603</v>
      </c>
    </row>
    <row r="1730" spans="3:8" x14ac:dyDescent="0.25">
      <c r="C1730" s="363">
        <v>5</v>
      </c>
      <c r="D1730" s="363">
        <v>94</v>
      </c>
      <c r="E1730" s="364">
        <v>32.700000000000003</v>
      </c>
      <c r="F1730" s="4">
        <f t="shared" si="30"/>
        <v>3.8095238095238189E-2</v>
      </c>
      <c r="G1730" s="37">
        <v>25.8</v>
      </c>
      <c r="H1730" s="365">
        <v>45603</v>
      </c>
    </row>
    <row r="1731" spans="3:8" x14ac:dyDescent="0.25">
      <c r="C1731" s="363">
        <v>6</v>
      </c>
      <c r="D1731" s="363">
        <v>78</v>
      </c>
      <c r="E1731" s="364">
        <v>21.7</v>
      </c>
      <c r="F1731" s="4">
        <f t="shared" si="30"/>
        <v>0</v>
      </c>
      <c r="G1731" s="37">
        <v>25.8</v>
      </c>
      <c r="H1731" s="365">
        <v>45603</v>
      </c>
    </row>
    <row r="1732" spans="3:8" x14ac:dyDescent="0.25">
      <c r="C1732" s="363">
        <v>7</v>
      </c>
      <c r="D1732" s="363">
        <v>95</v>
      </c>
      <c r="E1732" s="364">
        <v>20.8</v>
      </c>
      <c r="F1732" s="4">
        <f t="shared" si="30"/>
        <v>-1.4218009478673018E-2</v>
      </c>
      <c r="G1732" s="37">
        <v>25.8</v>
      </c>
      <c r="H1732" s="365">
        <v>45603</v>
      </c>
    </row>
    <row r="1733" spans="3:8" x14ac:dyDescent="0.25">
      <c r="C1733" s="363">
        <v>8</v>
      </c>
      <c r="D1733" s="363">
        <v>0</v>
      </c>
      <c r="E1733" s="364"/>
      <c r="F1733" s="4" t="str">
        <f t="shared" si="30"/>
        <v/>
      </c>
      <c r="G1733" s="37">
        <v>25.8</v>
      </c>
      <c r="H1733" s="365">
        <v>45603</v>
      </c>
    </row>
    <row r="1734" spans="3:8" x14ac:dyDescent="0.25">
      <c r="C1734" s="363">
        <v>9</v>
      </c>
      <c r="D1734" s="363">
        <v>0</v>
      </c>
      <c r="E1734" s="364"/>
      <c r="F1734" s="4" t="str">
        <f t="shared" si="30"/>
        <v/>
      </c>
      <c r="G1734" s="37">
        <v>25.8</v>
      </c>
      <c r="H1734" s="365">
        <v>45603</v>
      </c>
    </row>
    <row r="1735" spans="3:8" x14ac:dyDescent="0.25">
      <c r="C1735" s="363">
        <v>10</v>
      </c>
      <c r="D1735" s="363">
        <v>48</v>
      </c>
      <c r="E1735" s="364">
        <v>18.7</v>
      </c>
      <c r="F1735" s="4">
        <f t="shared" si="30"/>
        <v>0</v>
      </c>
      <c r="G1735" s="37">
        <v>25.8</v>
      </c>
      <c r="H1735" s="365">
        <v>45603</v>
      </c>
    </row>
    <row r="1736" spans="3:8" x14ac:dyDescent="0.25">
      <c r="C1736" s="363">
        <v>18</v>
      </c>
      <c r="D1736" s="363">
        <v>12</v>
      </c>
      <c r="E1736" s="364">
        <v>15.8</v>
      </c>
      <c r="F1736" s="4">
        <f t="shared" si="30"/>
        <v>-0.20999999999999996</v>
      </c>
      <c r="G1736" s="37">
        <v>25.8</v>
      </c>
      <c r="H1736" s="365">
        <v>45603</v>
      </c>
    </row>
    <row r="1737" spans="3:8" x14ac:dyDescent="0.25">
      <c r="C1737" s="363">
        <v>19</v>
      </c>
      <c r="D1737" s="363">
        <v>18</v>
      </c>
      <c r="E1737" s="364">
        <v>22.2</v>
      </c>
      <c r="F1737" s="4">
        <f t="shared" si="30"/>
        <v>-6.3291139240506333E-2</v>
      </c>
      <c r="G1737" s="37">
        <v>25.8</v>
      </c>
      <c r="H1737" s="365">
        <v>45603</v>
      </c>
    </row>
    <row r="1738" spans="3:8" x14ac:dyDescent="0.25">
      <c r="C1738" s="366" t="s">
        <v>0</v>
      </c>
      <c r="D1738" s="366" t="s">
        <v>7</v>
      </c>
      <c r="E1738" s="367" t="s">
        <v>4</v>
      </c>
      <c r="F1738" s="4" t="str">
        <f t="shared" si="30"/>
        <v/>
      </c>
      <c r="G1738" s="37">
        <v>26.5</v>
      </c>
      <c r="H1738" s="368">
        <v>45604</v>
      </c>
    </row>
    <row r="1739" spans="3:8" x14ac:dyDescent="0.25">
      <c r="C1739" s="366">
        <v>1</v>
      </c>
      <c r="D1739" s="366">
        <v>43</v>
      </c>
      <c r="E1739" s="367">
        <v>29.1</v>
      </c>
      <c r="F1739" s="4">
        <f t="shared" si="30"/>
        <v>0.28193832599118951</v>
      </c>
      <c r="G1739" s="37">
        <v>26.5</v>
      </c>
      <c r="H1739" s="368">
        <v>45604</v>
      </c>
    </row>
    <row r="1740" spans="3:8" x14ac:dyDescent="0.25">
      <c r="C1740" s="366">
        <v>2</v>
      </c>
      <c r="D1740" s="366">
        <v>64</v>
      </c>
      <c r="E1740" s="367">
        <v>31.1</v>
      </c>
      <c r="F1740" s="4">
        <f t="shared" si="30"/>
        <v>-9.5541401273884444E-3</v>
      </c>
      <c r="G1740" s="37">
        <v>26.5</v>
      </c>
      <c r="H1740" s="368">
        <v>45604</v>
      </c>
    </row>
    <row r="1741" spans="3:8" x14ac:dyDescent="0.25">
      <c r="C1741" s="366">
        <v>3</v>
      </c>
      <c r="D1741" s="366">
        <v>100</v>
      </c>
      <c r="E1741" s="367">
        <v>25.9</v>
      </c>
      <c r="F1741" s="4">
        <f t="shared" si="30"/>
        <v>-2.6315789473684317E-2</v>
      </c>
      <c r="G1741" s="37">
        <v>26.5</v>
      </c>
      <c r="H1741" s="368">
        <v>45604</v>
      </c>
    </row>
    <row r="1742" spans="3:8" x14ac:dyDescent="0.25">
      <c r="C1742" s="366">
        <v>4</v>
      </c>
      <c r="D1742" s="366">
        <v>110</v>
      </c>
      <c r="E1742" s="367">
        <v>24.4</v>
      </c>
      <c r="F1742" s="4">
        <f t="shared" si="30"/>
        <v>5.6277056277056148E-2</v>
      </c>
      <c r="G1742" s="37">
        <v>26.5</v>
      </c>
      <c r="H1742" s="368">
        <v>45604</v>
      </c>
    </row>
    <row r="1743" spans="3:8" x14ac:dyDescent="0.25">
      <c r="C1743" s="366">
        <v>5</v>
      </c>
      <c r="D1743" s="366">
        <v>100</v>
      </c>
      <c r="E1743" s="367">
        <v>32.1</v>
      </c>
      <c r="F1743" s="4">
        <f t="shared" si="30"/>
        <v>-1.8348623853211052E-2</v>
      </c>
      <c r="G1743" s="37">
        <v>26.5</v>
      </c>
      <c r="H1743" s="368">
        <v>45604</v>
      </c>
    </row>
    <row r="1744" spans="3:8" x14ac:dyDescent="0.25">
      <c r="C1744" s="366">
        <v>6</v>
      </c>
      <c r="D1744" s="366">
        <v>78</v>
      </c>
      <c r="E1744" s="367">
        <v>22.1</v>
      </c>
      <c r="F1744" s="4">
        <f t="shared" si="30"/>
        <v>1.8433179723502401E-2</v>
      </c>
      <c r="G1744" s="37">
        <v>26.5</v>
      </c>
      <c r="H1744" s="368">
        <v>45604</v>
      </c>
    </row>
    <row r="1745" spans="3:8" x14ac:dyDescent="0.25">
      <c r="C1745" s="366">
        <v>7</v>
      </c>
      <c r="D1745" s="366">
        <v>95</v>
      </c>
      <c r="E1745" s="367">
        <v>21.2</v>
      </c>
      <c r="F1745" s="4">
        <f t="shared" si="30"/>
        <v>1.9230769230769162E-2</v>
      </c>
      <c r="G1745" s="37">
        <v>26.5</v>
      </c>
      <c r="H1745" s="368">
        <v>45604</v>
      </c>
    </row>
    <row r="1746" spans="3:8" x14ac:dyDescent="0.25">
      <c r="C1746" s="366">
        <v>8</v>
      </c>
      <c r="D1746" s="366">
        <v>0</v>
      </c>
      <c r="E1746" s="367"/>
      <c r="F1746" s="4" t="str">
        <f t="shared" si="30"/>
        <v/>
      </c>
      <c r="G1746" s="37">
        <v>26.5</v>
      </c>
      <c r="H1746" s="368">
        <v>45604</v>
      </c>
    </row>
    <row r="1747" spans="3:8" x14ac:dyDescent="0.25">
      <c r="C1747" s="366">
        <v>9</v>
      </c>
      <c r="D1747" s="366">
        <v>0</v>
      </c>
      <c r="E1747" s="367"/>
      <c r="F1747" s="4" t="str">
        <f t="shared" si="30"/>
        <v/>
      </c>
      <c r="G1747" s="37">
        <v>26.5</v>
      </c>
      <c r="H1747" s="368">
        <v>45604</v>
      </c>
    </row>
    <row r="1748" spans="3:8" x14ac:dyDescent="0.25">
      <c r="C1748" s="366">
        <v>10</v>
      </c>
      <c r="D1748" s="366">
        <v>48</v>
      </c>
      <c r="E1748" s="367">
        <v>18.899999999999999</v>
      </c>
      <c r="F1748" s="4">
        <f t="shared" si="30"/>
        <v>1.0695187165775364E-2</v>
      </c>
      <c r="G1748" s="37">
        <v>26.5</v>
      </c>
      <c r="H1748" s="368">
        <v>45604</v>
      </c>
    </row>
    <row r="1749" spans="3:8" x14ac:dyDescent="0.25">
      <c r="C1749" s="366">
        <v>18</v>
      </c>
      <c r="D1749" s="366">
        <v>7</v>
      </c>
      <c r="E1749" s="367">
        <v>15</v>
      </c>
      <c r="F1749" s="4">
        <f t="shared" si="30"/>
        <v>-5.0632911392405104E-2</v>
      </c>
      <c r="G1749" s="37">
        <v>26.5</v>
      </c>
      <c r="H1749" s="368">
        <v>45604</v>
      </c>
    </row>
    <row r="1750" spans="3:8" x14ac:dyDescent="0.25">
      <c r="C1750" s="366">
        <v>19</v>
      </c>
      <c r="D1750" s="366">
        <v>16</v>
      </c>
      <c r="E1750" s="367">
        <v>16.3</v>
      </c>
      <c r="F1750" s="4">
        <f t="shared" si="30"/>
        <v>-0.26576576576576572</v>
      </c>
      <c r="G1750" s="37">
        <v>26.5</v>
      </c>
      <c r="H1750" s="368">
        <v>45604</v>
      </c>
    </row>
    <row r="1751" spans="3:8" x14ac:dyDescent="0.25">
      <c r="C1751" s="369" t="s">
        <v>0</v>
      </c>
      <c r="D1751" s="369" t="s">
        <v>7</v>
      </c>
      <c r="E1751" s="370" t="s">
        <v>4</v>
      </c>
      <c r="F1751" s="4" t="str">
        <f t="shared" si="30"/>
        <v/>
      </c>
      <c r="G1751" s="37">
        <v>26.4</v>
      </c>
      <c r="H1751" s="368">
        <v>45605</v>
      </c>
    </row>
    <row r="1752" spans="3:8" x14ac:dyDescent="0.25">
      <c r="C1752" s="369">
        <v>1</v>
      </c>
      <c r="D1752" s="369">
        <v>46</v>
      </c>
      <c r="E1752" s="370">
        <v>23.9</v>
      </c>
      <c r="F1752" s="4">
        <f t="shared" si="30"/>
        <v>-0.17869415807560146</v>
      </c>
      <c r="G1752" s="37">
        <v>26.4</v>
      </c>
      <c r="H1752" s="368">
        <v>45605</v>
      </c>
    </row>
    <row r="1753" spans="3:8" x14ac:dyDescent="0.25">
      <c r="C1753" s="369">
        <v>2</v>
      </c>
      <c r="D1753" s="369">
        <v>64</v>
      </c>
      <c r="E1753" s="370">
        <v>31.1</v>
      </c>
      <c r="F1753" s="4">
        <f t="shared" si="30"/>
        <v>0</v>
      </c>
      <c r="G1753" s="37">
        <v>26.4</v>
      </c>
      <c r="H1753" s="368">
        <v>45605</v>
      </c>
    </row>
    <row r="1754" spans="3:8" x14ac:dyDescent="0.25">
      <c r="C1754" s="369">
        <v>3</v>
      </c>
      <c r="D1754" s="369">
        <v>101</v>
      </c>
      <c r="E1754" s="370">
        <v>25.9</v>
      </c>
      <c r="F1754" s="4">
        <f t="shared" si="30"/>
        <v>0</v>
      </c>
      <c r="G1754" s="37">
        <v>26.4</v>
      </c>
      <c r="H1754" s="368">
        <v>45605</v>
      </c>
    </row>
    <row r="1755" spans="3:8" x14ac:dyDescent="0.25">
      <c r="C1755" s="369">
        <v>4</v>
      </c>
      <c r="D1755" s="369">
        <v>110</v>
      </c>
      <c r="E1755" s="370">
        <v>23.2</v>
      </c>
      <c r="F1755" s="4">
        <f t="shared" si="30"/>
        <v>-4.918032786885243E-2</v>
      </c>
      <c r="G1755" s="37">
        <v>26.4</v>
      </c>
      <c r="H1755" s="368">
        <v>45605</v>
      </c>
    </row>
    <row r="1756" spans="3:8" x14ac:dyDescent="0.25">
      <c r="C1756" s="369">
        <v>5</v>
      </c>
      <c r="D1756" s="369">
        <v>100</v>
      </c>
      <c r="E1756" s="370">
        <v>32.4</v>
      </c>
      <c r="F1756" s="4">
        <f t="shared" si="30"/>
        <v>9.3457943925232753E-3</v>
      </c>
      <c r="G1756" s="37">
        <v>26.4</v>
      </c>
      <c r="H1756" s="368">
        <v>45605</v>
      </c>
    </row>
    <row r="1757" spans="3:8" x14ac:dyDescent="0.25">
      <c r="C1757" s="369">
        <v>6</v>
      </c>
      <c r="D1757" s="369">
        <v>63</v>
      </c>
      <c r="E1757" s="370">
        <v>22.6</v>
      </c>
      <c r="F1757" s="4">
        <f t="shared" si="30"/>
        <v>2.2624434389140271E-2</v>
      </c>
      <c r="G1757" s="37">
        <v>26.4</v>
      </c>
      <c r="H1757" s="368">
        <v>45605</v>
      </c>
    </row>
    <row r="1758" spans="3:8" x14ac:dyDescent="0.25">
      <c r="C1758" s="369">
        <v>7</v>
      </c>
      <c r="D1758" s="369">
        <v>108</v>
      </c>
      <c r="E1758" s="370">
        <v>20.399999999999999</v>
      </c>
      <c r="F1758" s="4">
        <f t="shared" si="30"/>
        <v>-3.7735849056603807E-2</v>
      </c>
      <c r="G1758" s="37">
        <v>26.4</v>
      </c>
      <c r="H1758" s="368">
        <v>45605</v>
      </c>
    </row>
    <row r="1759" spans="3:8" x14ac:dyDescent="0.25">
      <c r="C1759" s="369">
        <v>8</v>
      </c>
      <c r="D1759" s="369">
        <v>0</v>
      </c>
      <c r="E1759" s="370"/>
      <c r="F1759" s="4" t="str">
        <f t="shared" si="30"/>
        <v/>
      </c>
      <c r="G1759" s="37">
        <v>26.4</v>
      </c>
      <c r="H1759" s="368">
        <v>45605</v>
      </c>
    </row>
    <row r="1760" spans="3:8" x14ac:dyDescent="0.25">
      <c r="C1760" s="369">
        <v>9</v>
      </c>
      <c r="D1760" s="369">
        <v>0</v>
      </c>
      <c r="E1760" s="370"/>
      <c r="F1760" s="4" t="str">
        <f t="shared" si="30"/>
        <v/>
      </c>
      <c r="G1760" s="37">
        <v>26.4</v>
      </c>
      <c r="H1760" s="368">
        <v>45605</v>
      </c>
    </row>
    <row r="1761" spans="3:8" x14ac:dyDescent="0.25">
      <c r="C1761" s="369">
        <v>10</v>
      </c>
      <c r="D1761" s="369">
        <v>48</v>
      </c>
      <c r="E1761" s="370">
        <v>18.100000000000001</v>
      </c>
      <c r="F1761" s="4">
        <f t="shared" si="30"/>
        <v>-4.232804232804218E-2</v>
      </c>
      <c r="G1761" s="37">
        <v>26.4</v>
      </c>
      <c r="H1761" s="368">
        <v>45605</v>
      </c>
    </row>
    <row r="1762" spans="3:8" x14ac:dyDescent="0.25">
      <c r="C1762" s="369">
        <v>18</v>
      </c>
      <c r="D1762" s="369">
        <v>8</v>
      </c>
      <c r="E1762" s="370">
        <v>11.3</v>
      </c>
      <c r="F1762" s="4">
        <f t="shared" si="30"/>
        <v>-0.24666666666666662</v>
      </c>
      <c r="G1762" s="37">
        <v>26.4</v>
      </c>
      <c r="H1762" s="368">
        <v>45605</v>
      </c>
    </row>
    <row r="1763" spans="3:8" x14ac:dyDescent="0.25">
      <c r="C1763" s="369">
        <v>19</v>
      </c>
      <c r="D1763" s="369">
        <v>18</v>
      </c>
      <c r="E1763" s="370">
        <v>21.1</v>
      </c>
      <c r="F1763" s="4">
        <f t="shared" si="30"/>
        <v>0.29447852760736198</v>
      </c>
      <c r="G1763" s="37">
        <v>26.4</v>
      </c>
      <c r="H1763" s="368">
        <v>45605</v>
      </c>
    </row>
    <row r="1764" spans="3:8" x14ac:dyDescent="0.25">
      <c r="C1764" s="371" t="s">
        <v>0</v>
      </c>
      <c r="D1764" s="371" t="s">
        <v>7</v>
      </c>
      <c r="E1764" s="372" t="s">
        <v>4</v>
      </c>
      <c r="F1764" s="4" t="str">
        <f t="shared" si="30"/>
        <v/>
      </c>
      <c r="G1764" s="37">
        <v>24.9</v>
      </c>
      <c r="H1764" s="373">
        <v>45606</v>
      </c>
    </row>
    <row r="1765" spans="3:8" x14ac:dyDescent="0.25">
      <c r="C1765" s="371">
        <v>1</v>
      </c>
      <c r="D1765" s="371">
        <v>44</v>
      </c>
      <c r="E1765" s="372">
        <v>27.8</v>
      </c>
      <c r="F1765" s="4">
        <f t="shared" si="30"/>
        <v>0.16317991631799172</v>
      </c>
      <c r="G1765" s="37">
        <v>24.9</v>
      </c>
      <c r="H1765" s="373">
        <v>45606</v>
      </c>
    </row>
    <row r="1766" spans="3:8" x14ac:dyDescent="0.25">
      <c r="C1766" s="371">
        <v>2</v>
      </c>
      <c r="D1766" s="371">
        <v>66</v>
      </c>
      <c r="E1766" s="372">
        <v>31.4</v>
      </c>
      <c r="F1766" s="4">
        <f t="shared" si="30"/>
        <v>9.6463022508037673E-3</v>
      </c>
      <c r="G1766" s="37">
        <v>24.9</v>
      </c>
      <c r="H1766" s="373">
        <v>45606</v>
      </c>
    </row>
    <row r="1767" spans="3:8" x14ac:dyDescent="0.25">
      <c r="C1767" s="371">
        <v>3</v>
      </c>
      <c r="D1767" s="371">
        <v>101</v>
      </c>
      <c r="E1767" s="372">
        <v>25.2</v>
      </c>
      <c r="F1767" s="4">
        <f t="shared" si="30"/>
        <v>-2.7027027027027001E-2</v>
      </c>
      <c r="G1767" s="37">
        <v>24.9</v>
      </c>
      <c r="H1767" s="373">
        <v>45606</v>
      </c>
    </row>
    <row r="1768" spans="3:8" x14ac:dyDescent="0.25">
      <c r="C1768" s="371">
        <v>4</v>
      </c>
      <c r="D1768" s="371">
        <v>110</v>
      </c>
      <c r="E1768" s="372">
        <v>23.7</v>
      </c>
      <c r="F1768" s="4">
        <f t="shared" si="30"/>
        <v>2.1551724137931036E-2</v>
      </c>
      <c r="G1768" s="37">
        <v>24.9</v>
      </c>
      <c r="H1768" s="373">
        <v>45606</v>
      </c>
    </row>
    <row r="1769" spans="3:8" x14ac:dyDescent="0.25">
      <c r="C1769" s="371">
        <v>5</v>
      </c>
      <c r="D1769" s="371">
        <v>99</v>
      </c>
      <c r="E1769" s="372">
        <v>31.3</v>
      </c>
      <c r="F1769" s="4">
        <f t="shared" si="30"/>
        <v>-3.3950617283950553E-2</v>
      </c>
      <c r="G1769" s="37">
        <v>24.9</v>
      </c>
      <c r="H1769" s="373">
        <v>45606</v>
      </c>
    </row>
    <row r="1770" spans="3:8" x14ac:dyDescent="0.25">
      <c r="C1770" s="371">
        <v>6</v>
      </c>
      <c r="D1770" s="371">
        <v>65</v>
      </c>
      <c r="E1770" s="372">
        <v>21.9</v>
      </c>
      <c r="F1770" s="4">
        <f t="shared" si="30"/>
        <v>-3.0973451327433753E-2</v>
      </c>
      <c r="G1770" s="37">
        <v>24.9</v>
      </c>
      <c r="H1770" s="373">
        <v>45606</v>
      </c>
    </row>
    <row r="1771" spans="3:8" x14ac:dyDescent="0.25">
      <c r="C1771" s="371">
        <v>7</v>
      </c>
      <c r="D1771" s="371">
        <v>108</v>
      </c>
      <c r="E1771" s="372">
        <v>20.3</v>
      </c>
      <c r="F1771" s="4">
        <f t="shared" si="30"/>
        <v>-4.9019607843136213E-3</v>
      </c>
      <c r="G1771" s="37">
        <v>24.9</v>
      </c>
      <c r="H1771" s="373">
        <v>45606</v>
      </c>
    </row>
    <row r="1772" spans="3:8" x14ac:dyDescent="0.25">
      <c r="C1772" s="371">
        <v>8</v>
      </c>
      <c r="D1772" s="371">
        <v>0</v>
      </c>
      <c r="E1772" s="372"/>
      <c r="F1772" s="4" t="str">
        <f t="shared" si="30"/>
        <v/>
      </c>
      <c r="G1772" s="37">
        <v>24.9</v>
      </c>
      <c r="H1772" s="373">
        <v>45606</v>
      </c>
    </row>
    <row r="1773" spans="3:8" x14ac:dyDescent="0.25">
      <c r="C1773" s="371">
        <v>9</v>
      </c>
      <c r="D1773" s="371">
        <v>0</v>
      </c>
      <c r="E1773" s="372"/>
      <c r="F1773" s="4" t="str">
        <f t="shared" si="30"/>
        <v/>
      </c>
      <c r="G1773" s="37">
        <v>24.9</v>
      </c>
      <c r="H1773" s="373">
        <v>45606</v>
      </c>
    </row>
    <row r="1774" spans="3:8" x14ac:dyDescent="0.25">
      <c r="C1774" s="371">
        <v>10</v>
      </c>
      <c r="D1774" s="371">
        <v>54</v>
      </c>
      <c r="E1774" s="372">
        <v>20</v>
      </c>
      <c r="F1774" s="4">
        <f t="shared" si="30"/>
        <v>0.10497237569060765</v>
      </c>
      <c r="G1774" s="37">
        <v>24.9</v>
      </c>
      <c r="H1774" s="373">
        <v>45606</v>
      </c>
    </row>
    <row r="1775" spans="3:8" x14ac:dyDescent="0.25">
      <c r="C1775" s="371">
        <v>18</v>
      </c>
      <c r="D1775" s="371">
        <v>10</v>
      </c>
      <c r="E1775" s="372">
        <v>10.3</v>
      </c>
      <c r="F1775" s="4">
        <f t="shared" si="30"/>
        <v>-8.8495575221238937E-2</v>
      </c>
      <c r="G1775" s="37">
        <v>24.9</v>
      </c>
      <c r="H1775" s="373">
        <v>45606</v>
      </c>
    </row>
    <row r="1776" spans="3:8" x14ac:dyDescent="0.25">
      <c r="C1776" s="371">
        <v>19</v>
      </c>
      <c r="D1776" s="371">
        <v>10</v>
      </c>
      <c r="E1776" s="372">
        <v>24.2</v>
      </c>
      <c r="F1776" s="4">
        <f t="shared" si="30"/>
        <v>0.14691943127962073</v>
      </c>
      <c r="G1776" s="37">
        <v>24.9</v>
      </c>
      <c r="H1776" s="373">
        <v>45606</v>
      </c>
    </row>
    <row r="1777" spans="3:8" x14ac:dyDescent="0.25">
      <c r="C1777" s="374" t="s">
        <v>0</v>
      </c>
      <c r="D1777" s="374" t="s">
        <v>7</v>
      </c>
      <c r="E1777" s="375" t="s">
        <v>4</v>
      </c>
      <c r="F1777" s="4" t="str">
        <f t="shared" si="30"/>
        <v/>
      </c>
      <c r="G1777" s="37">
        <v>27.2</v>
      </c>
      <c r="H1777" s="373">
        <v>45607</v>
      </c>
    </row>
    <row r="1778" spans="3:8" x14ac:dyDescent="0.25">
      <c r="C1778" s="374">
        <v>1</v>
      </c>
      <c r="D1778" s="374">
        <v>44</v>
      </c>
      <c r="E1778" s="375">
        <v>26.9</v>
      </c>
      <c r="F1778" s="4">
        <f t="shared" si="30"/>
        <v>-3.2374100719424537E-2</v>
      </c>
      <c r="G1778" s="37">
        <v>27.2</v>
      </c>
      <c r="H1778" s="373">
        <v>45607</v>
      </c>
    </row>
    <row r="1779" spans="3:8" x14ac:dyDescent="0.25">
      <c r="C1779" s="374">
        <v>2</v>
      </c>
      <c r="D1779" s="374">
        <v>65</v>
      </c>
      <c r="E1779" s="375">
        <v>31.8</v>
      </c>
      <c r="F1779" s="4">
        <f t="shared" si="30"/>
        <v>1.2738853503184782E-2</v>
      </c>
      <c r="G1779" s="37">
        <v>27.2</v>
      </c>
      <c r="H1779" s="373">
        <v>45607</v>
      </c>
    </row>
    <row r="1780" spans="3:8" x14ac:dyDescent="0.25">
      <c r="C1780" s="374">
        <v>3</v>
      </c>
      <c r="D1780" s="374">
        <v>100</v>
      </c>
      <c r="E1780" s="375">
        <v>26</v>
      </c>
      <c r="F1780" s="4">
        <f t="shared" si="30"/>
        <v>3.1746031746031772E-2</v>
      </c>
      <c r="G1780" s="37">
        <v>27.2</v>
      </c>
      <c r="H1780" s="373">
        <v>45607</v>
      </c>
    </row>
    <row r="1781" spans="3:8" x14ac:dyDescent="0.25">
      <c r="C1781" s="374">
        <v>4</v>
      </c>
      <c r="D1781" s="374">
        <v>110</v>
      </c>
      <c r="E1781" s="375">
        <v>23.8</v>
      </c>
      <c r="F1781" s="4">
        <f t="shared" si="30"/>
        <v>4.2194092827004823E-3</v>
      </c>
      <c r="G1781" s="37">
        <v>27.2</v>
      </c>
      <c r="H1781" s="373">
        <v>45607</v>
      </c>
    </row>
    <row r="1782" spans="3:8" x14ac:dyDescent="0.25">
      <c r="C1782" s="374">
        <v>5</v>
      </c>
      <c r="D1782" s="374">
        <v>99</v>
      </c>
      <c r="E1782" s="375">
        <v>33</v>
      </c>
      <c r="F1782" s="4">
        <f t="shared" si="30"/>
        <v>5.4313099041533523E-2</v>
      </c>
      <c r="G1782" s="37">
        <v>27.2</v>
      </c>
      <c r="H1782" s="373">
        <v>45607</v>
      </c>
    </row>
    <row r="1783" spans="3:8" x14ac:dyDescent="0.25">
      <c r="C1783" s="374">
        <v>6</v>
      </c>
      <c r="D1783" s="374">
        <v>64</v>
      </c>
      <c r="E1783" s="375">
        <v>22.7</v>
      </c>
      <c r="F1783" s="4">
        <f t="shared" si="30"/>
        <v>3.6529680365296836E-2</v>
      </c>
      <c r="G1783" s="37">
        <v>27.2</v>
      </c>
      <c r="H1783" s="373">
        <v>45607</v>
      </c>
    </row>
    <row r="1784" spans="3:8" x14ac:dyDescent="0.25">
      <c r="C1784" s="374">
        <v>7</v>
      </c>
      <c r="D1784" s="374">
        <v>108</v>
      </c>
      <c r="E1784" s="375">
        <v>21.1</v>
      </c>
      <c r="F1784" s="4">
        <f t="shared" si="30"/>
        <v>3.9408866995073927E-2</v>
      </c>
      <c r="G1784" s="37">
        <v>27.2</v>
      </c>
      <c r="H1784" s="373">
        <v>45607</v>
      </c>
    </row>
    <row r="1785" spans="3:8" x14ac:dyDescent="0.25">
      <c r="C1785" s="374">
        <v>8</v>
      </c>
      <c r="D1785" s="374">
        <v>0</v>
      </c>
      <c r="E1785" s="375"/>
      <c r="F1785" s="4" t="str">
        <f t="shared" si="30"/>
        <v/>
      </c>
      <c r="G1785" s="37">
        <v>27.2</v>
      </c>
      <c r="H1785" s="373">
        <v>45607</v>
      </c>
    </row>
    <row r="1786" spans="3:8" x14ac:dyDescent="0.25">
      <c r="C1786" s="374">
        <v>9</v>
      </c>
      <c r="D1786" s="374">
        <v>0</v>
      </c>
      <c r="E1786" s="375"/>
      <c r="F1786" s="4" t="str">
        <f t="shared" si="30"/>
        <v/>
      </c>
      <c r="G1786" s="37">
        <v>27.2</v>
      </c>
      <c r="H1786" s="373">
        <v>45607</v>
      </c>
    </row>
    <row r="1787" spans="3:8" x14ac:dyDescent="0.25">
      <c r="C1787" s="374">
        <v>10</v>
      </c>
      <c r="D1787" s="374">
        <v>54</v>
      </c>
      <c r="E1787" s="375">
        <v>21.4</v>
      </c>
      <c r="F1787" s="4">
        <f t="shared" si="30"/>
        <v>6.9999999999999923E-2</v>
      </c>
      <c r="G1787" s="37">
        <v>27.2</v>
      </c>
      <c r="H1787" s="373">
        <v>45607</v>
      </c>
    </row>
    <row r="1788" spans="3:8" x14ac:dyDescent="0.25">
      <c r="C1788" s="374">
        <v>18</v>
      </c>
      <c r="D1788" s="374">
        <v>11</v>
      </c>
      <c r="E1788" s="375">
        <v>9.9</v>
      </c>
      <c r="F1788" s="4">
        <f t="shared" si="30"/>
        <v>-3.8834951456310711E-2</v>
      </c>
      <c r="G1788" s="37">
        <v>27.2</v>
      </c>
      <c r="H1788" s="373">
        <v>45607</v>
      </c>
    </row>
    <row r="1789" spans="3:8" x14ac:dyDescent="0.25">
      <c r="C1789" s="374">
        <v>19</v>
      </c>
      <c r="D1789" s="374">
        <v>14</v>
      </c>
      <c r="E1789" s="375">
        <v>32.6</v>
      </c>
      <c r="F1789" s="4">
        <f t="shared" si="30"/>
        <v>0.34710743801652905</v>
      </c>
      <c r="G1789" s="37">
        <v>27.2</v>
      </c>
      <c r="H1789" s="373">
        <v>45607</v>
      </c>
    </row>
    <row r="1790" spans="3:8" x14ac:dyDescent="0.25">
      <c r="C1790" s="376" t="s">
        <v>0</v>
      </c>
      <c r="D1790" s="376" t="s">
        <v>7</v>
      </c>
      <c r="E1790" s="377" t="s">
        <v>4</v>
      </c>
      <c r="F1790" s="4" t="str">
        <f t="shared" si="30"/>
        <v/>
      </c>
      <c r="G1790" s="37">
        <v>25.7</v>
      </c>
      <c r="H1790" s="373">
        <v>45608</v>
      </c>
    </row>
    <row r="1791" spans="3:8" x14ac:dyDescent="0.25">
      <c r="C1791" s="376">
        <v>1</v>
      </c>
      <c r="D1791" s="376">
        <v>45</v>
      </c>
      <c r="E1791" s="377">
        <v>24.9</v>
      </c>
      <c r="F1791" s="4">
        <f t="shared" ref="F1791:F1855" si="31">IFERROR((E1791-E1778)/E1778,"")</f>
        <v>-7.434944237918216E-2</v>
      </c>
      <c r="G1791" s="37">
        <v>25.7</v>
      </c>
      <c r="H1791" s="373">
        <v>45608</v>
      </c>
    </row>
    <row r="1792" spans="3:8" x14ac:dyDescent="0.25">
      <c r="C1792" s="376">
        <v>2</v>
      </c>
      <c r="D1792" s="376">
        <v>65</v>
      </c>
      <c r="E1792" s="377">
        <v>31.3</v>
      </c>
      <c r="F1792" s="4">
        <f t="shared" si="31"/>
        <v>-1.5723270440251572E-2</v>
      </c>
      <c r="G1792" s="37">
        <v>25.7</v>
      </c>
      <c r="H1792" s="373">
        <v>45608</v>
      </c>
    </row>
    <row r="1793" spans="3:8" x14ac:dyDescent="0.25">
      <c r="C1793" s="376">
        <v>3</v>
      </c>
      <c r="D1793" s="376">
        <v>100</v>
      </c>
      <c r="E1793" s="377">
        <v>25.7</v>
      </c>
      <c r="F1793" s="4">
        <f t="shared" si="31"/>
        <v>-1.1538461538461565E-2</v>
      </c>
      <c r="G1793" s="37">
        <v>25.7</v>
      </c>
      <c r="H1793" s="373">
        <v>45608</v>
      </c>
    </row>
    <row r="1794" spans="3:8" x14ac:dyDescent="0.25">
      <c r="C1794" s="376">
        <v>4</v>
      </c>
      <c r="D1794" s="376">
        <v>110</v>
      </c>
      <c r="E1794" s="377">
        <v>22</v>
      </c>
      <c r="F1794" s="4">
        <f t="shared" si="31"/>
        <v>-7.5630252100840359E-2</v>
      </c>
      <c r="G1794" s="37">
        <v>25.7</v>
      </c>
      <c r="H1794" s="373">
        <v>45608</v>
      </c>
    </row>
    <row r="1795" spans="3:8" x14ac:dyDescent="0.25">
      <c r="C1795" s="376">
        <v>5</v>
      </c>
      <c r="D1795" s="376">
        <v>98</v>
      </c>
      <c r="E1795" s="377">
        <v>30.7</v>
      </c>
      <c r="F1795" s="4">
        <f t="shared" si="31"/>
        <v>-6.9696969696969716E-2</v>
      </c>
      <c r="G1795" s="37">
        <v>25.7</v>
      </c>
      <c r="H1795" s="373">
        <v>45608</v>
      </c>
    </row>
    <row r="1796" spans="3:8" x14ac:dyDescent="0.25">
      <c r="C1796" s="376">
        <v>6</v>
      </c>
      <c r="D1796" s="376">
        <v>64</v>
      </c>
      <c r="E1796" s="377">
        <v>22</v>
      </c>
      <c r="F1796" s="4">
        <f t="shared" si="31"/>
        <v>-3.0837004405286313E-2</v>
      </c>
      <c r="G1796" s="37">
        <v>25.7</v>
      </c>
      <c r="H1796" s="373">
        <v>45608</v>
      </c>
    </row>
    <row r="1797" spans="3:8" x14ac:dyDescent="0.25">
      <c r="C1797" s="376">
        <v>7</v>
      </c>
      <c r="D1797" s="376">
        <v>107</v>
      </c>
      <c r="E1797" s="377">
        <v>19.7</v>
      </c>
      <c r="F1797" s="4">
        <f t="shared" si="31"/>
        <v>-6.6350710900474036E-2</v>
      </c>
      <c r="G1797" s="37">
        <v>25.7</v>
      </c>
      <c r="H1797" s="373">
        <v>45608</v>
      </c>
    </row>
    <row r="1798" spans="3:8" x14ac:dyDescent="0.25">
      <c r="C1798" s="376">
        <v>8</v>
      </c>
      <c r="D1798" s="376">
        <v>0</v>
      </c>
      <c r="E1798" s="377"/>
      <c r="F1798" s="4" t="str">
        <f t="shared" si="31"/>
        <v/>
      </c>
      <c r="G1798" s="37">
        <v>25.7</v>
      </c>
      <c r="H1798" s="373">
        <v>45608</v>
      </c>
    </row>
    <row r="1799" spans="3:8" x14ac:dyDescent="0.25">
      <c r="C1799" s="376">
        <v>9</v>
      </c>
      <c r="D1799" s="376">
        <v>0</v>
      </c>
      <c r="E1799" s="377"/>
      <c r="F1799" s="4" t="str">
        <f t="shared" si="31"/>
        <v/>
      </c>
      <c r="G1799" s="37">
        <v>25.7</v>
      </c>
      <c r="H1799" s="373">
        <v>45608</v>
      </c>
    </row>
    <row r="1800" spans="3:8" x14ac:dyDescent="0.25">
      <c r="C1800" s="376">
        <v>10</v>
      </c>
      <c r="D1800" s="376">
        <v>54</v>
      </c>
      <c r="E1800" s="377">
        <v>19.3</v>
      </c>
      <c r="F1800" s="4">
        <f t="shared" si="31"/>
        <v>-9.8130841121495241E-2</v>
      </c>
      <c r="G1800" s="37">
        <v>25.7</v>
      </c>
      <c r="H1800" s="373">
        <v>45608</v>
      </c>
    </row>
    <row r="1801" spans="3:8" x14ac:dyDescent="0.25">
      <c r="C1801" s="376">
        <v>18</v>
      </c>
      <c r="D1801" s="376">
        <v>11</v>
      </c>
      <c r="E1801" s="377">
        <v>9.6</v>
      </c>
      <c r="F1801" s="4">
        <f t="shared" si="31"/>
        <v>-3.0303030303030373E-2</v>
      </c>
      <c r="G1801" s="37">
        <v>25.7</v>
      </c>
      <c r="H1801" s="373">
        <v>45608</v>
      </c>
    </row>
    <row r="1802" spans="3:8" x14ac:dyDescent="0.25">
      <c r="C1802" s="376">
        <v>19</v>
      </c>
      <c r="D1802" s="376">
        <v>17</v>
      </c>
      <c r="E1802" s="377">
        <v>24.5</v>
      </c>
      <c r="F1802" s="4">
        <f t="shared" si="31"/>
        <v>-0.24846625766871169</v>
      </c>
      <c r="G1802" s="37">
        <v>25.7</v>
      </c>
      <c r="H1802" s="373">
        <v>45608</v>
      </c>
    </row>
    <row r="1803" spans="3:8" x14ac:dyDescent="0.25">
      <c r="C1803" s="378" t="s">
        <v>0</v>
      </c>
      <c r="D1803" s="378" t="s">
        <v>7</v>
      </c>
      <c r="E1803" s="379" t="s">
        <v>4</v>
      </c>
      <c r="F1803" s="4" t="str">
        <f t="shared" si="31"/>
        <v/>
      </c>
      <c r="G1803" s="37">
        <v>26.5</v>
      </c>
      <c r="H1803" s="373">
        <v>45609</v>
      </c>
    </row>
    <row r="1804" spans="3:8" x14ac:dyDescent="0.25">
      <c r="C1804" s="378">
        <v>1</v>
      </c>
      <c r="D1804" s="378">
        <v>51</v>
      </c>
      <c r="E1804" s="379">
        <v>25.4</v>
      </c>
      <c r="F1804" s="4">
        <f t="shared" si="31"/>
        <v>2.0080321285140562E-2</v>
      </c>
      <c r="G1804" s="37">
        <v>26.5</v>
      </c>
      <c r="H1804" s="373">
        <v>45609</v>
      </c>
    </row>
    <row r="1805" spans="3:8" x14ac:dyDescent="0.25">
      <c r="C1805" s="378">
        <v>2</v>
      </c>
      <c r="D1805" s="378">
        <v>66</v>
      </c>
      <c r="E1805" s="379">
        <v>31.6</v>
      </c>
      <c r="F1805" s="4">
        <f t="shared" si="31"/>
        <v>9.5846645367412362E-3</v>
      </c>
      <c r="G1805" s="37">
        <v>26.5</v>
      </c>
      <c r="H1805" s="373">
        <v>45609</v>
      </c>
    </row>
    <row r="1806" spans="3:8" x14ac:dyDescent="0.25">
      <c r="C1806" s="378">
        <v>3</v>
      </c>
      <c r="D1806" s="378">
        <v>100</v>
      </c>
      <c r="E1806" s="379">
        <v>25.6</v>
      </c>
      <c r="F1806" s="4">
        <f t="shared" si="31"/>
        <v>-3.8910505836575048E-3</v>
      </c>
      <c r="G1806" s="37">
        <v>26.5</v>
      </c>
      <c r="H1806" s="373">
        <v>45609</v>
      </c>
    </row>
    <row r="1807" spans="3:8" x14ac:dyDescent="0.25">
      <c r="C1807" s="378">
        <v>4</v>
      </c>
      <c r="D1807" s="378">
        <v>110</v>
      </c>
      <c r="E1807" s="379">
        <v>24</v>
      </c>
      <c r="F1807" s="4">
        <f t="shared" si="31"/>
        <v>9.0909090909090912E-2</v>
      </c>
      <c r="G1807" s="37">
        <v>26.5</v>
      </c>
      <c r="H1807" s="373">
        <v>45609</v>
      </c>
    </row>
    <row r="1808" spans="3:8" x14ac:dyDescent="0.25">
      <c r="C1808" s="378">
        <v>5</v>
      </c>
      <c r="D1808" s="378">
        <v>100</v>
      </c>
      <c r="E1808" s="379">
        <v>32.9</v>
      </c>
      <c r="F1808" s="4">
        <f t="shared" si="31"/>
        <v>7.1661237785016263E-2</v>
      </c>
      <c r="G1808" s="37">
        <v>26.5</v>
      </c>
      <c r="H1808" s="373">
        <v>45609</v>
      </c>
    </row>
    <row r="1809" spans="3:8" x14ac:dyDescent="0.25">
      <c r="C1809" s="378">
        <v>6</v>
      </c>
      <c r="D1809" s="378">
        <v>65</v>
      </c>
      <c r="E1809" s="379">
        <v>22</v>
      </c>
      <c r="F1809" s="4">
        <f t="shared" si="31"/>
        <v>0</v>
      </c>
      <c r="G1809" s="37">
        <v>26.5</v>
      </c>
      <c r="H1809" s="373">
        <v>45609</v>
      </c>
    </row>
    <row r="1810" spans="3:8" x14ac:dyDescent="0.25">
      <c r="C1810" s="378">
        <v>7</v>
      </c>
      <c r="D1810" s="378">
        <v>106</v>
      </c>
      <c r="E1810" s="379">
        <v>20.100000000000001</v>
      </c>
      <c r="F1810" s="4">
        <f t="shared" si="31"/>
        <v>2.0304568527918891E-2</v>
      </c>
      <c r="G1810" s="37">
        <v>26.5</v>
      </c>
      <c r="H1810" s="373">
        <v>45609</v>
      </c>
    </row>
    <row r="1811" spans="3:8" x14ac:dyDescent="0.25">
      <c r="C1811" s="378">
        <v>8</v>
      </c>
      <c r="D1811" s="378">
        <v>0</v>
      </c>
      <c r="E1811" s="379"/>
      <c r="F1811" s="4" t="str">
        <f t="shared" si="31"/>
        <v/>
      </c>
      <c r="G1811" s="37">
        <v>26.5</v>
      </c>
      <c r="H1811" s="373">
        <v>45609</v>
      </c>
    </row>
    <row r="1812" spans="3:8" x14ac:dyDescent="0.25">
      <c r="C1812" s="378">
        <v>9</v>
      </c>
      <c r="D1812" s="378">
        <v>0</v>
      </c>
      <c r="E1812" s="379"/>
      <c r="F1812" s="4" t="str">
        <f t="shared" si="31"/>
        <v/>
      </c>
      <c r="G1812" s="37">
        <v>26.5</v>
      </c>
      <c r="H1812" s="373">
        <v>45609</v>
      </c>
    </row>
    <row r="1813" spans="3:8" x14ac:dyDescent="0.25">
      <c r="C1813" s="378">
        <v>10</v>
      </c>
      <c r="D1813" s="378">
        <v>53</v>
      </c>
      <c r="E1813" s="379">
        <v>18.600000000000001</v>
      </c>
      <c r="F1813" s="4">
        <f t="shared" si="31"/>
        <v>-3.6269430051813434E-2</v>
      </c>
      <c r="G1813" s="37">
        <v>26.5</v>
      </c>
      <c r="H1813" s="373">
        <v>45609</v>
      </c>
    </row>
    <row r="1814" spans="3:8" x14ac:dyDescent="0.25">
      <c r="C1814" s="378">
        <v>18</v>
      </c>
      <c r="D1814" s="378">
        <v>12</v>
      </c>
      <c r="E1814" s="379">
        <v>10.9</v>
      </c>
      <c r="F1814" s="4">
        <f t="shared" si="31"/>
        <v>0.13541666666666674</v>
      </c>
      <c r="G1814" s="37">
        <v>26.5</v>
      </c>
      <c r="H1814" s="373">
        <v>45609</v>
      </c>
    </row>
    <row r="1815" spans="3:8" x14ac:dyDescent="0.25">
      <c r="C1815" s="378">
        <v>19</v>
      </c>
      <c r="D1815" s="378">
        <v>11</v>
      </c>
      <c r="E1815" s="379">
        <v>24.7</v>
      </c>
      <c r="F1815" s="4">
        <f t="shared" si="31"/>
        <v>8.1632653061224202E-3</v>
      </c>
      <c r="G1815" s="37">
        <v>26.5</v>
      </c>
      <c r="H1815" s="373">
        <v>45609</v>
      </c>
    </row>
    <row r="1816" spans="3:8" x14ac:dyDescent="0.25">
      <c r="C1816" s="380" t="s">
        <v>0</v>
      </c>
      <c r="D1816" s="380" t="s">
        <v>7</v>
      </c>
      <c r="E1816" s="381" t="s">
        <v>4</v>
      </c>
      <c r="F1816" s="4" t="str">
        <f t="shared" si="31"/>
        <v/>
      </c>
      <c r="G1816" s="37">
        <v>26.3</v>
      </c>
      <c r="H1816" s="373">
        <v>45610</v>
      </c>
    </row>
    <row r="1817" spans="3:8" x14ac:dyDescent="0.25">
      <c r="C1817" s="380">
        <v>1</v>
      </c>
      <c r="D1817" s="380">
        <v>53</v>
      </c>
      <c r="E1817" s="381">
        <v>27.1</v>
      </c>
      <c r="F1817" s="4">
        <f t="shared" si="31"/>
        <v>6.6929133858267834E-2</v>
      </c>
      <c r="G1817" s="37">
        <v>26.3</v>
      </c>
      <c r="H1817" s="373">
        <v>45610</v>
      </c>
    </row>
    <row r="1818" spans="3:8" x14ac:dyDescent="0.25">
      <c r="C1818" s="380">
        <v>2</v>
      </c>
      <c r="D1818" s="380">
        <v>66</v>
      </c>
      <c r="E1818" s="381">
        <v>30.7</v>
      </c>
      <c r="F1818" s="4">
        <f t="shared" si="31"/>
        <v>-2.8481012658227913E-2</v>
      </c>
      <c r="G1818" s="37">
        <v>26.3</v>
      </c>
      <c r="H1818" s="373">
        <v>45610</v>
      </c>
    </row>
    <row r="1819" spans="3:8" x14ac:dyDescent="0.25">
      <c r="C1819" s="380">
        <v>3</v>
      </c>
      <c r="D1819" s="380">
        <v>100</v>
      </c>
      <c r="E1819" s="381">
        <v>26.6</v>
      </c>
      <c r="F1819" s="4">
        <f t="shared" si="31"/>
        <v>3.90625E-2</v>
      </c>
      <c r="G1819" s="37">
        <v>26.3</v>
      </c>
      <c r="H1819" s="373">
        <v>45610</v>
      </c>
    </row>
    <row r="1820" spans="3:8" x14ac:dyDescent="0.25">
      <c r="C1820" s="380">
        <v>4</v>
      </c>
      <c r="D1820" s="380">
        <v>110</v>
      </c>
      <c r="E1820" s="381">
        <v>23.2</v>
      </c>
      <c r="F1820" s="4">
        <f t="shared" si="31"/>
        <v>-3.3333333333333361E-2</v>
      </c>
      <c r="G1820" s="37">
        <v>26.3</v>
      </c>
      <c r="H1820" s="373">
        <v>45610</v>
      </c>
    </row>
    <row r="1821" spans="3:8" x14ac:dyDescent="0.25">
      <c r="C1821" s="380">
        <v>5</v>
      </c>
      <c r="D1821" s="380">
        <v>101</v>
      </c>
      <c r="E1821" s="381">
        <v>32.299999999999997</v>
      </c>
      <c r="F1821" s="4">
        <f t="shared" si="31"/>
        <v>-1.8237082066869345E-2</v>
      </c>
      <c r="G1821" s="37">
        <v>26.3</v>
      </c>
      <c r="H1821" s="373">
        <v>45610</v>
      </c>
    </row>
    <row r="1822" spans="3:8" x14ac:dyDescent="0.25">
      <c r="C1822" s="380">
        <v>6</v>
      </c>
      <c r="D1822" s="380">
        <v>65</v>
      </c>
      <c r="E1822" s="381">
        <v>22.1</v>
      </c>
      <c r="F1822" s="4">
        <f t="shared" si="31"/>
        <v>4.5454545454546103E-3</v>
      </c>
      <c r="G1822" s="37">
        <v>26.3</v>
      </c>
      <c r="H1822" s="373">
        <v>45610</v>
      </c>
    </row>
    <row r="1823" spans="3:8" x14ac:dyDescent="0.25">
      <c r="C1823" s="380">
        <v>7</v>
      </c>
      <c r="D1823" s="380">
        <v>104</v>
      </c>
      <c r="E1823" s="381">
        <v>19.7</v>
      </c>
      <c r="F1823" s="4">
        <f t="shared" si="31"/>
        <v>-1.9900497512437915E-2</v>
      </c>
      <c r="G1823" s="37">
        <v>26.3</v>
      </c>
      <c r="H1823" s="373">
        <v>45610</v>
      </c>
    </row>
    <row r="1824" spans="3:8" x14ac:dyDescent="0.25">
      <c r="C1824" s="380">
        <v>8</v>
      </c>
      <c r="D1824" s="380">
        <v>0</v>
      </c>
      <c r="E1824" s="381"/>
      <c r="F1824" s="4" t="str">
        <f t="shared" si="31"/>
        <v/>
      </c>
      <c r="G1824" s="37">
        <v>26.3</v>
      </c>
      <c r="H1824" s="373">
        <v>45610</v>
      </c>
    </row>
    <row r="1825" spans="3:8" x14ac:dyDescent="0.25">
      <c r="C1825" s="380">
        <v>9</v>
      </c>
      <c r="D1825" s="380">
        <v>0</v>
      </c>
      <c r="E1825" s="381"/>
      <c r="F1825" s="4" t="str">
        <f t="shared" si="31"/>
        <v/>
      </c>
      <c r="G1825" s="37">
        <v>26.3</v>
      </c>
      <c r="H1825" s="373">
        <v>45610</v>
      </c>
    </row>
    <row r="1826" spans="3:8" x14ac:dyDescent="0.25">
      <c r="C1826" s="380">
        <v>10</v>
      </c>
      <c r="D1826" s="380">
        <v>52</v>
      </c>
      <c r="E1826" s="381">
        <v>20</v>
      </c>
      <c r="F1826" s="4">
        <f t="shared" si="31"/>
        <v>7.5268817204300995E-2</v>
      </c>
      <c r="G1826" s="37">
        <v>26.3</v>
      </c>
      <c r="H1826" s="373">
        <v>45610</v>
      </c>
    </row>
    <row r="1827" spans="3:8" x14ac:dyDescent="0.25">
      <c r="C1827" s="380">
        <v>18</v>
      </c>
      <c r="D1827" s="380">
        <v>11</v>
      </c>
      <c r="E1827" s="381">
        <v>12</v>
      </c>
      <c r="F1827" s="4">
        <f t="shared" si="31"/>
        <v>0.10091743119266051</v>
      </c>
      <c r="G1827" s="37">
        <v>26.3</v>
      </c>
      <c r="H1827" s="373">
        <v>45610</v>
      </c>
    </row>
    <row r="1828" spans="3:8" x14ac:dyDescent="0.25">
      <c r="C1828" s="380">
        <v>19</v>
      </c>
      <c r="D1828" s="380">
        <v>14</v>
      </c>
      <c r="E1828" s="381">
        <v>28</v>
      </c>
      <c r="F1828" s="4">
        <f t="shared" si="31"/>
        <v>0.1336032388663968</v>
      </c>
      <c r="G1828" s="37">
        <v>26.3</v>
      </c>
      <c r="H1828" s="373">
        <v>45610</v>
      </c>
    </row>
    <row r="1829" spans="3:8" x14ac:dyDescent="0.25">
      <c r="C1829" s="382" t="s">
        <v>0</v>
      </c>
      <c r="D1829" s="382" t="s">
        <v>7</v>
      </c>
      <c r="E1829" s="383" t="s">
        <v>4</v>
      </c>
      <c r="F1829" s="4" t="str">
        <f t="shared" si="31"/>
        <v/>
      </c>
      <c r="G1829" s="37">
        <v>26.5</v>
      </c>
      <c r="H1829" s="373">
        <v>45611</v>
      </c>
    </row>
    <row r="1830" spans="3:8" x14ac:dyDescent="0.25">
      <c r="C1830" s="382">
        <v>1</v>
      </c>
      <c r="D1830" s="382">
        <v>37</v>
      </c>
      <c r="E1830" s="383">
        <v>26.4</v>
      </c>
      <c r="F1830" s="4">
        <f t="shared" si="31"/>
        <v>-2.583025830258313E-2</v>
      </c>
      <c r="G1830" s="37">
        <v>26.5</v>
      </c>
      <c r="H1830" s="373">
        <v>45611</v>
      </c>
    </row>
    <row r="1831" spans="3:8" x14ac:dyDescent="0.25">
      <c r="C1831" s="382">
        <v>2</v>
      </c>
      <c r="D1831" s="382">
        <v>71</v>
      </c>
      <c r="E1831" s="383">
        <v>32.200000000000003</v>
      </c>
      <c r="F1831" s="4">
        <f t="shared" si="31"/>
        <v>4.8859934853420314E-2</v>
      </c>
      <c r="G1831" s="37">
        <v>26.5</v>
      </c>
      <c r="H1831" s="373">
        <v>45611</v>
      </c>
    </row>
    <row r="1832" spans="3:8" x14ac:dyDescent="0.25">
      <c r="C1832" s="382">
        <v>3</v>
      </c>
      <c r="D1832" s="382">
        <v>100</v>
      </c>
      <c r="E1832" s="383">
        <v>25.5</v>
      </c>
      <c r="F1832" s="4">
        <f t="shared" si="31"/>
        <v>-4.135338345864667E-2</v>
      </c>
      <c r="G1832" s="37">
        <v>26.5</v>
      </c>
      <c r="H1832" s="373">
        <v>45611</v>
      </c>
    </row>
    <row r="1833" spans="3:8" x14ac:dyDescent="0.25">
      <c r="C1833" s="382">
        <v>4</v>
      </c>
      <c r="D1833" s="382">
        <v>101</v>
      </c>
      <c r="E1833" s="383">
        <v>21.8</v>
      </c>
      <c r="F1833" s="4">
        <f t="shared" si="31"/>
        <v>-6.0344827586206837E-2</v>
      </c>
      <c r="G1833" s="37">
        <v>26.5</v>
      </c>
      <c r="H1833" s="373">
        <v>45611</v>
      </c>
    </row>
    <row r="1834" spans="3:8" x14ac:dyDescent="0.25">
      <c r="C1834" s="382">
        <v>5</v>
      </c>
      <c r="D1834" s="382">
        <v>104</v>
      </c>
      <c r="E1834" s="383">
        <v>31.6</v>
      </c>
      <c r="F1834" s="4">
        <f t="shared" si="31"/>
        <v>-2.1671826625386865E-2</v>
      </c>
      <c r="G1834" s="37">
        <v>26.5</v>
      </c>
      <c r="H1834" s="373">
        <v>45611</v>
      </c>
    </row>
    <row r="1835" spans="3:8" x14ac:dyDescent="0.25">
      <c r="C1835" s="382">
        <v>6</v>
      </c>
      <c r="D1835" s="382">
        <v>71</v>
      </c>
      <c r="E1835" s="383">
        <v>22.6</v>
      </c>
      <c r="F1835" s="4">
        <f t="shared" si="31"/>
        <v>2.2624434389140271E-2</v>
      </c>
      <c r="G1835" s="37">
        <v>26.5</v>
      </c>
      <c r="H1835" s="373">
        <v>45611</v>
      </c>
    </row>
    <row r="1836" spans="3:8" x14ac:dyDescent="0.25">
      <c r="C1836" s="382">
        <v>7</v>
      </c>
      <c r="D1836" s="382">
        <v>95</v>
      </c>
      <c r="E1836" s="383">
        <v>19.399999999999999</v>
      </c>
      <c r="F1836" s="4">
        <f t="shared" si="31"/>
        <v>-1.5228426395939123E-2</v>
      </c>
      <c r="G1836" s="37">
        <v>26.5</v>
      </c>
      <c r="H1836" s="373">
        <v>45611</v>
      </c>
    </row>
    <row r="1837" spans="3:8" x14ac:dyDescent="0.25">
      <c r="C1837" s="382">
        <v>8</v>
      </c>
      <c r="D1837" s="382">
        <v>0</v>
      </c>
      <c r="E1837" s="383"/>
      <c r="F1837" s="4" t="str">
        <f t="shared" si="31"/>
        <v/>
      </c>
      <c r="G1837" s="37">
        <v>26.5</v>
      </c>
      <c r="H1837" s="373">
        <v>45611</v>
      </c>
    </row>
    <row r="1838" spans="3:8" x14ac:dyDescent="0.25">
      <c r="C1838" s="382">
        <v>9</v>
      </c>
      <c r="D1838" s="382">
        <v>0</v>
      </c>
      <c r="E1838" s="383"/>
      <c r="F1838" s="4" t="str">
        <f t="shared" si="31"/>
        <v/>
      </c>
      <c r="G1838" s="37">
        <v>26.5</v>
      </c>
      <c r="H1838" s="373">
        <v>45611</v>
      </c>
    </row>
    <row r="1839" spans="3:8" x14ac:dyDescent="0.25">
      <c r="C1839" s="382">
        <v>10</v>
      </c>
      <c r="D1839" s="382">
        <v>51</v>
      </c>
      <c r="E1839" s="383">
        <v>19.8</v>
      </c>
      <c r="F1839" s="4">
        <f t="shared" si="31"/>
        <v>-9.9999999999999638E-3</v>
      </c>
      <c r="G1839" s="37">
        <v>26.5</v>
      </c>
      <c r="H1839" s="373">
        <v>45611</v>
      </c>
    </row>
    <row r="1840" spans="3:8" x14ac:dyDescent="0.25">
      <c r="C1840" s="382">
        <v>18</v>
      </c>
      <c r="D1840" s="382">
        <v>12</v>
      </c>
      <c r="E1840" s="383">
        <v>22.9</v>
      </c>
      <c r="F1840" s="4">
        <f t="shared" si="31"/>
        <v>0.90833333333333321</v>
      </c>
      <c r="G1840" s="37">
        <v>26.5</v>
      </c>
      <c r="H1840" s="373">
        <v>45611</v>
      </c>
    </row>
    <row r="1841" spans="3:8" x14ac:dyDescent="0.25">
      <c r="C1841" s="382">
        <v>19</v>
      </c>
      <c r="D1841" s="382">
        <v>14</v>
      </c>
      <c r="E1841" s="383">
        <v>28</v>
      </c>
      <c r="F1841" s="4">
        <f t="shared" si="31"/>
        <v>0</v>
      </c>
      <c r="G1841" s="37">
        <v>26.5</v>
      </c>
      <c r="H1841" s="373">
        <v>45611</v>
      </c>
    </row>
    <row r="1842" spans="3:8" x14ac:dyDescent="0.25">
      <c r="C1842" s="384" t="s">
        <v>0</v>
      </c>
      <c r="D1842" s="384" t="s">
        <v>7</v>
      </c>
      <c r="E1842" s="385" t="s">
        <v>4</v>
      </c>
      <c r="F1842" s="4" t="str">
        <f t="shared" si="31"/>
        <v/>
      </c>
      <c r="G1842" s="37">
        <v>26.6</v>
      </c>
      <c r="H1842" s="386">
        <v>45612</v>
      </c>
    </row>
    <row r="1843" spans="3:8" x14ac:dyDescent="0.25">
      <c r="C1843" s="384">
        <v>1</v>
      </c>
      <c r="D1843" s="384">
        <v>36</v>
      </c>
      <c r="E1843" s="385">
        <v>24.2</v>
      </c>
      <c r="F1843" s="4">
        <f t="shared" si="31"/>
        <v>-8.3333333333333315E-2</v>
      </c>
      <c r="G1843" s="37">
        <v>26.6</v>
      </c>
      <c r="H1843" s="386">
        <v>45612</v>
      </c>
    </row>
    <row r="1844" spans="3:8" x14ac:dyDescent="0.25">
      <c r="C1844" s="384">
        <v>2</v>
      </c>
      <c r="D1844" s="384">
        <v>69</v>
      </c>
      <c r="E1844" s="385">
        <v>31.7</v>
      </c>
      <c r="F1844" s="4">
        <f t="shared" si="31"/>
        <v>-1.5527950310559115E-2</v>
      </c>
      <c r="G1844" s="37">
        <v>26.6</v>
      </c>
      <c r="H1844" s="386">
        <v>45612</v>
      </c>
    </row>
    <row r="1845" spans="3:8" x14ac:dyDescent="0.25">
      <c r="C1845" s="384">
        <v>3</v>
      </c>
      <c r="D1845" s="384">
        <v>100</v>
      </c>
      <c r="E1845" s="385">
        <v>25.2</v>
      </c>
      <c r="F1845" s="4">
        <f t="shared" si="31"/>
        <v>-1.1764705882352969E-2</v>
      </c>
      <c r="G1845" s="37">
        <v>26.6</v>
      </c>
      <c r="H1845" s="386">
        <v>45612</v>
      </c>
    </row>
    <row r="1846" spans="3:8" x14ac:dyDescent="0.25">
      <c r="C1846" s="384">
        <v>4</v>
      </c>
      <c r="D1846" s="384">
        <v>101</v>
      </c>
      <c r="E1846" s="385">
        <v>23.7</v>
      </c>
      <c r="F1846" s="4">
        <f t="shared" si="31"/>
        <v>8.7155963302752229E-2</v>
      </c>
      <c r="G1846" s="37">
        <v>26.6</v>
      </c>
      <c r="H1846" s="386">
        <v>45612</v>
      </c>
    </row>
    <row r="1847" spans="3:8" x14ac:dyDescent="0.25">
      <c r="C1847" s="384">
        <v>5</v>
      </c>
      <c r="D1847" s="384">
        <v>104</v>
      </c>
      <c r="E1847" s="385">
        <v>31.3</v>
      </c>
      <c r="F1847" s="4">
        <f t="shared" si="31"/>
        <v>-9.4936708860759722E-3</v>
      </c>
      <c r="G1847" s="37">
        <v>26.6</v>
      </c>
      <c r="H1847" s="386">
        <v>45612</v>
      </c>
    </row>
    <row r="1848" spans="3:8" x14ac:dyDescent="0.25">
      <c r="C1848" s="384">
        <v>6</v>
      </c>
      <c r="D1848" s="384">
        <v>71</v>
      </c>
      <c r="E1848" s="385">
        <v>22.1</v>
      </c>
      <c r="F1848" s="4">
        <f t="shared" si="31"/>
        <v>-2.2123893805309734E-2</v>
      </c>
      <c r="G1848" s="37">
        <v>26.6</v>
      </c>
      <c r="H1848" s="386">
        <v>45612</v>
      </c>
    </row>
    <row r="1849" spans="3:8" x14ac:dyDescent="0.25">
      <c r="C1849" s="384">
        <v>7</v>
      </c>
      <c r="D1849" s="384">
        <v>95</v>
      </c>
      <c r="E1849" s="385">
        <v>20.399999999999999</v>
      </c>
      <c r="F1849" s="4">
        <f t="shared" si="31"/>
        <v>5.1546391752577324E-2</v>
      </c>
      <c r="G1849" s="37">
        <v>26.6</v>
      </c>
      <c r="H1849" s="386">
        <v>45612</v>
      </c>
    </row>
    <row r="1850" spans="3:8" x14ac:dyDescent="0.25">
      <c r="C1850" s="384">
        <v>8</v>
      </c>
      <c r="D1850" s="384">
        <v>0</v>
      </c>
      <c r="E1850" s="385"/>
      <c r="F1850" s="4" t="str">
        <f t="shared" si="31"/>
        <v/>
      </c>
      <c r="G1850" s="37">
        <v>26.6</v>
      </c>
      <c r="H1850" s="386">
        <v>45612</v>
      </c>
    </row>
    <row r="1851" spans="3:8" x14ac:dyDescent="0.25">
      <c r="C1851" s="384">
        <v>9</v>
      </c>
      <c r="D1851" s="384">
        <v>0</v>
      </c>
      <c r="E1851" s="385"/>
      <c r="F1851" s="4" t="str">
        <f t="shared" si="31"/>
        <v/>
      </c>
      <c r="G1851" s="37">
        <v>26.6</v>
      </c>
      <c r="H1851" s="386">
        <v>45612</v>
      </c>
    </row>
    <row r="1852" spans="3:8" x14ac:dyDescent="0.25">
      <c r="C1852" s="384">
        <v>10</v>
      </c>
      <c r="D1852" s="384">
        <v>51</v>
      </c>
      <c r="E1852" s="385">
        <v>17.5</v>
      </c>
      <c r="F1852" s="4">
        <f t="shared" si="31"/>
        <v>-0.11616161616161619</v>
      </c>
      <c r="G1852" s="37">
        <v>26.6</v>
      </c>
      <c r="H1852" s="386">
        <v>45612</v>
      </c>
    </row>
    <row r="1853" spans="3:8" x14ac:dyDescent="0.25">
      <c r="C1853" s="384">
        <v>18</v>
      </c>
      <c r="D1853" s="384">
        <v>10</v>
      </c>
      <c r="E1853" s="385">
        <v>19.100000000000001</v>
      </c>
      <c r="F1853" s="4">
        <f t="shared" si="31"/>
        <v>-0.16593886462882085</v>
      </c>
      <c r="G1853" s="37">
        <v>26.6</v>
      </c>
      <c r="H1853" s="386">
        <v>45612</v>
      </c>
    </row>
    <row r="1854" spans="3:8" x14ac:dyDescent="0.25">
      <c r="C1854" s="384">
        <v>19</v>
      </c>
      <c r="D1854" s="384">
        <v>19</v>
      </c>
      <c r="E1854" s="385">
        <v>29.5</v>
      </c>
      <c r="F1854" s="4">
        <f t="shared" si="31"/>
        <v>5.3571428571428568E-2</v>
      </c>
      <c r="G1854" s="37">
        <v>26.6</v>
      </c>
      <c r="H1854" s="386">
        <v>45612</v>
      </c>
    </row>
    <row r="1855" spans="3:8" x14ac:dyDescent="0.25">
      <c r="C1855" s="387" t="s">
        <v>0</v>
      </c>
      <c r="D1855" s="387" t="s">
        <v>7</v>
      </c>
      <c r="E1855" s="388" t="s">
        <v>4</v>
      </c>
      <c r="F1855" s="4" t="str">
        <f t="shared" si="31"/>
        <v/>
      </c>
      <c r="G1855" s="37">
        <v>26.7</v>
      </c>
      <c r="H1855" s="389">
        <v>45613</v>
      </c>
    </row>
    <row r="1856" spans="3:8" x14ac:dyDescent="0.25">
      <c r="C1856" s="387">
        <v>1</v>
      </c>
      <c r="D1856" s="387">
        <v>36</v>
      </c>
      <c r="E1856" s="388">
        <v>28.6</v>
      </c>
      <c r="F1856" s="4">
        <f t="shared" ref="F1856:F1920" si="32">IFERROR((E1856-E1843)/E1843,"")</f>
        <v>0.18181818181818191</v>
      </c>
      <c r="G1856" s="37">
        <v>26.7</v>
      </c>
      <c r="H1856" s="389">
        <v>45613</v>
      </c>
    </row>
    <row r="1857" spans="3:8" x14ac:dyDescent="0.25">
      <c r="C1857" s="387">
        <v>2</v>
      </c>
      <c r="D1857" s="387">
        <v>69</v>
      </c>
      <c r="E1857" s="388">
        <v>31.8</v>
      </c>
      <c r="F1857" s="4">
        <f t="shared" si="32"/>
        <v>3.1545741324921586E-3</v>
      </c>
      <c r="G1857" s="37">
        <v>26.7</v>
      </c>
      <c r="H1857" s="389">
        <v>45613</v>
      </c>
    </row>
    <row r="1858" spans="3:8" x14ac:dyDescent="0.25">
      <c r="C1858" s="387">
        <v>3</v>
      </c>
      <c r="D1858" s="387">
        <v>100</v>
      </c>
      <c r="E1858" s="388">
        <v>25.8</v>
      </c>
      <c r="F1858" s="4">
        <f t="shared" si="32"/>
        <v>2.3809523809523867E-2</v>
      </c>
      <c r="G1858" s="37">
        <v>26.7</v>
      </c>
      <c r="H1858" s="389">
        <v>45613</v>
      </c>
    </row>
    <row r="1859" spans="3:8" x14ac:dyDescent="0.25">
      <c r="C1859" s="387">
        <v>4</v>
      </c>
      <c r="D1859" s="387">
        <v>100</v>
      </c>
      <c r="E1859" s="388">
        <v>23.9</v>
      </c>
      <c r="F1859" s="4">
        <f t="shared" si="32"/>
        <v>8.4388185654008137E-3</v>
      </c>
      <c r="G1859" s="37">
        <v>26.7</v>
      </c>
      <c r="H1859" s="389">
        <v>45613</v>
      </c>
    </row>
    <row r="1860" spans="3:8" x14ac:dyDescent="0.25">
      <c r="C1860" s="387">
        <v>5</v>
      </c>
      <c r="D1860" s="387">
        <v>103</v>
      </c>
      <c r="E1860" s="388">
        <v>33.1</v>
      </c>
      <c r="F1860" s="4">
        <f t="shared" si="32"/>
        <v>5.7507987220447303E-2</v>
      </c>
      <c r="G1860" s="37">
        <v>26.7</v>
      </c>
      <c r="H1860" s="389">
        <v>45613</v>
      </c>
    </row>
    <row r="1861" spans="3:8" x14ac:dyDescent="0.25">
      <c r="C1861" s="387">
        <v>6</v>
      </c>
      <c r="D1861" s="387">
        <v>71</v>
      </c>
      <c r="E1861" s="388">
        <v>22.6</v>
      </c>
      <c r="F1861" s="4">
        <f t="shared" si="32"/>
        <v>2.2624434389140271E-2</v>
      </c>
      <c r="G1861" s="37">
        <v>26.7</v>
      </c>
      <c r="H1861" s="389">
        <v>45613</v>
      </c>
    </row>
    <row r="1862" spans="3:8" x14ac:dyDescent="0.25">
      <c r="C1862" s="387">
        <v>7</v>
      </c>
      <c r="D1862" s="387">
        <v>95</v>
      </c>
      <c r="E1862" s="388">
        <v>19.5</v>
      </c>
      <c r="F1862" s="4">
        <f t="shared" si="32"/>
        <v>-4.4117647058823463E-2</v>
      </c>
      <c r="G1862" s="37">
        <v>26.7</v>
      </c>
      <c r="H1862" s="389">
        <v>45613</v>
      </c>
    </row>
    <row r="1863" spans="3:8" x14ac:dyDescent="0.25">
      <c r="C1863" s="387">
        <v>8</v>
      </c>
      <c r="D1863" s="387">
        <v>0</v>
      </c>
      <c r="E1863" s="388"/>
      <c r="F1863" s="4" t="str">
        <f t="shared" si="32"/>
        <v/>
      </c>
      <c r="G1863" s="37">
        <v>26.7</v>
      </c>
      <c r="H1863" s="389">
        <v>45613</v>
      </c>
    </row>
    <row r="1864" spans="3:8" x14ac:dyDescent="0.25">
      <c r="C1864" s="387">
        <v>9</v>
      </c>
      <c r="D1864" s="387">
        <v>0</v>
      </c>
      <c r="E1864" s="388"/>
      <c r="F1864" s="4" t="str">
        <f t="shared" si="32"/>
        <v/>
      </c>
      <c r="G1864" s="37">
        <v>26.7</v>
      </c>
      <c r="H1864" s="389">
        <v>45613</v>
      </c>
    </row>
    <row r="1865" spans="3:8" x14ac:dyDescent="0.25">
      <c r="C1865" s="387">
        <v>10</v>
      </c>
      <c r="D1865" s="387">
        <v>51</v>
      </c>
      <c r="E1865" s="388">
        <v>19.3</v>
      </c>
      <c r="F1865" s="4">
        <f t="shared" si="32"/>
        <v>0.1028571428571429</v>
      </c>
      <c r="G1865" s="37">
        <v>26.7</v>
      </c>
      <c r="H1865" s="389">
        <v>45613</v>
      </c>
    </row>
    <row r="1866" spans="3:8" x14ac:dyDescent="0.25">
      <c r="C1866" s="387">
        <v>18</v>
      </c>
      <c r="D1866" s="387">
        <v>10</v>
      </c>
      <c r="E1866" s="388">
        <v>4.7</v>
      </c>
      <c r="F1866" s="4">
        <f t="shared" si="32"/>
        <v>-0.75392670157068065</v>
      </c>
      <c r="G1866" s="37">
        <v>26.7</v>
      </c>
      <c r="H1866" s="389">
        <v>45613</v>
      </c>
    </row>
    <row r="1867" spans="3:8" x14ac:dyDescent="0.25">
      <c r="C1867" s="387">
        <v>19</v>
      </c>
      <c r="D1867" s="387">
        <v>21</v>
      </c>
      <c r="E1867" s="388">
        <v>21.2</v>
      </c>
      <c r="F1867" s="4">
        <f t="shared" si="32"/>
        <v>-0.28135593220338984</v>
      </c>
      <c r="G1867" s="37">
        <v>26.7</v>
      </c>
      <c r="H1867" s="389">
        <v>45613</v>
      </c>
    </row>
    <row r="1868" spans="3:8" x14ac:dyDescent="0.25">
      <c r="C1868" s="390" t="s">
        <v>8</v>
      </c>
      <c r="D1868" s="390" t="s">
        <v>9</v>
      </c>
      <c r="E1868" s="391" t="s">
        <v>10</v>
      </c>
      <c r="F1868" s="4" t="str">
        <f t="shared" si="32"/>
        <v/>
      </c>
      <c r="G1868" s="37">
        <v>26.2</v>
      </c>
      <c r="H1868" s="392">
        <v>45614</v>
      </c>
    </row>
    <row r="1869" spans="3:8" x14ac:dyDescent="0.25">
      <c r="C1869" s="390">
        <v>1</v>
      </c>
      <c r="D1869" s="390">
        <v>38</v>
      </c>
      <c r="E1869" s="391">
        <v>24.5</v>
      </c>
      <c r="F1869" s="4">
        <f t="shared" si="32"/>
        <v>-0.14335664335664339</v>
      </c>
      <c r="G1869" s="37">
        <v>26.2</v>
      </c>
      <c r="H1869" s="392">
        <v>45614</v>
      </c>
    </row>
    <row r="1870" spans="3:8" x14ac:dyDescent="0.25">
      <c r="C1870" s="390">
        <v>2</v>
      </c>
      <c r="D1870" s="390">
        <v>71</v>
      </c>
      <c r="E1870" s="391">
        <v>32.1</v>
      </c>
      <c r="F1870" s="4">
        <f t="shared" si="32"/>
        <v>9.4339622641509656E-3</v>
      </c>
      <c r="G1870" s="37">
        <v>26.2</v>
      </c>
      <c r="H1870" s="392">
        <v>45614</v>
      </c>
    </row>
    <row r="1871" spans="3:8" x14ac:dyDescent="0.25">
      <c r="C1871" s="390">
        <v>3</v>
      </c>
      <c r="D1871" s="390">
        <v>100</v>
      </c>
      <c r="E1871" s="391">
        <v>24.5</v>
      </c>
      <c r="F1871" s="4">
        <f t="shared" si="32"/>
        <v>-5.0387596899224833E-2</v>
      </c>
      <c r="G1871" s="37">
        <v>26.2</v>
      </c>
      <c r="H1871" s="392">
        <v>45614</v>
      </c>
    </row>
    <row r="1872" spans="3:8" x14ac:dyDescent="0.25">
      <c r="C1872" s="390">
        <v>4</v>
      </c>
      <c r="D1872" s="390">
        <v>100</v>
      </c>
      <c r="E1872" s="391">
        <v>23.6</v>
      </c>
      <c r="F1872" s="4">
        <f t="shared" si="32"/>
        <v>-1.2552301255230007E-2</v>
      </c>
      <c r="G1872" s="37">
        <v>26.2</v>
      </c>
      <c r="H1872" s="392">
        <v>45614</v>
      </c>
    </row>
    <row r="1873" spans="3:8" x14ac:dyDescent="0.25">
      <c r="C1873" s="390">
        <v>5</v>
      </c>
      <c r="D1873" s="390">
        <v>103</v>
      </c>
      <c r="E1873" s="391">
        <v>31.8</v>
      </c>
      <c r="F1873" s="4">
        <f t="shared" si="32"/>
        <v>-3.9274924471299114E-2</v>
      </c>
      <c r="G1873" s="37">
        <v>26.2</v>
      </c>
      <c r="H1873" s="392">
        <v>45614</v>
      </c>
    </row>
    <row r="1874" spans="3:8" x14ac:dyDescent="0.25">
      <c r="C1874" s="390">
        <v>6</v>
      </c>
      <c r="D1874" s="390">
        <v>72</v>
      </c>
      <c r="E1874" s="391">
        <v>21.6</v>
      </c>
      <c r="F1874" s="4">
        <f t="shared" si="32"/>
        <v>-4.4247787610619468E-2</v>
      </c>
      <c r="G1874" s="37">
        <v>26.2</v>
      </c>
      <c r="H1874" s="392">
        <v>45614</v>
      </c>
    </row>
    <row r="1875" spans="3:8" x14ac:dyDescent="0.25">
      <c r="C1875" s="390">
        <v>7</v>
      </c>
      <c r="D1875" s="390">
        <v>95</v>
      </c>
      <c r="E1875" s="391">
        <v>19.3</v>
      </c>
      <c r="F1875" s="4">
        <f t="shared" si="32"/>
        <v>-1.025641025641022E-2</v>
      </c>
      <c r="G1875" s="37">
        <v>26.2</v>
      </c>
      <c r="H1875" s="392">
        <v>45614</v>
      </c>
    </row>
    <row r="1876" spans="3:8" x14ac:dyDescent="0.25">
      <c r="C1876" s="390">
        <v>8</v>
      </c>
      <c r="D1876" s="390">
        <v>0</v>
      </c>
      <c r="E1876" s="391"/>
      <c r="F1876" s="4" t="str">
        <f t="shared" si="32"/>
        <v/>
      </c>
      <c r="G1876" s="37">
        <v>26.2</v>
      </c>
      <c r="H1876" s="392">
        <v>45614</v>
      </c>
    </row>
    <row r="1877" spans="3:8" x14ac:dyDescent="0.25">
      <c r="C1877" s="390">
        <v>9</v>
      </c>
      <c r="D1877" s="390">
        <v>0</v>
      </c>
      <c r="E1877" s="391"/>
      <c r="F1877" s="4" t="str">
        <f t="shared" si="32"/>
        <v/>
      </c>
      <c r="G1877" s="37">
        <v>26.2</v>
      </c>
      <c r="H1877" s="392">
        <v>45614</v>
      </c>
    </row>
    <row r="1878" spans="3:8" x14ac:dyDescent="0.25">
      <c r="C1878" s="390">
        <v>10</v>
      </c>
      <c r="D1878" s="390">
        <v>51</v>
      </c>
      <c r="E1878" s="391">
        <v>19</v>
      </c>
      <c r="F1878" s="4">
        <f t="shared" si="32"/>
        <v>-1.5544041450777238E-2</v>
      </c>
      <c r="G1878" s="37">
        <v>26.2</v>
      </c>
      <c r="H1878" s="392">
        <v>45614</v>
      </c>
    </row>
    <row r="1879" spans="3:8" x14ac:dyDescent="0.25">
      <c r="C1879" s="390">
        <v>18</v>
      </c>
      <c r="D1879" s="390">
        <v>13</v>
      </c>
      <c r="E1879" s="391">
        <v>19.8</v>
      </c>
      <c r="F1879" s="4">
        <f t="shared" si="32"/>
        <v>3.2127659574468086</v>
      </c>
      <c r="G1879" s="37">
        <v>26.2</v>
      </c>
      <c r="H1879" s="392">
        <v>45614</v>
      </c>
    </row>
    <row r="1880" spans="3:8" x14ac:dyDescent="0.25">
      <c r="C1880" s="390">
        <v>19</v>
      </c>
      <c r="D1880" s="390">
        <v>13</v>
      </c>
      <c r="E1880" s="391">
        <v>20.6</v>
      </c>
      <c r="F1880" s="4">
        <f t="shared" si="32"/>
        <v>-2.830188679245273E-2</v>
      </c>
      <c r="G1880" s="37">
        <v>26.2</v>
      </c>
      <c r="H1880" s="392">
        <v>45614</v>
      </c>
    </row>
    <row r="1881" spans="3:8" x14ac:dyDescent="0.25">
      <c r="C1881" s="393" t="s">
        <v>0</v>
      </c>
      <c r="D1881" s="393" t="s">
        <v>7</v>
      </c>
      <c r="E1881" s="394" t="s">
        <v>4</v>
      </c>
      <c r="F1881" s="4" t="str">
        <f t="shared" si="32"/>
        <v/>
      </c>
      <c r="G1881" s="37">
        <v>26.8</v>
      </c>
      <c r="H1881" s="395">
        <v>45615</v>
      </c>
    </row>
    <row r="1882" spans="3:8" x14ac:dyDescent="0.25">
      <c r="C1882" s="393">
        <v>1</v>
      </c>
      <c r="D1882" s="393">
        <v>46</v>
      </c>
      <c r="E1882" s="394">
        <v>27.9</v>
      </c>
      <c r="F1882" s="4">
        <f t="shared" si="32"/>
        <v>0.13877551020408158</v>
      </c>
      <c r="G1882" s="37">
        <v>26.8</v>
      </c>
      <c r="H1882" s="395">
        <v>45615</v>
      </c>
    </row>
    <row r="1883" spans="3:8" x14ac:dyDescent="0.25">
      <c r="C1883" s="393">
        <v>2</v>
      </c>
      <c r="D1883" s="393">
        <v>70</v>
      </c>
      <c r="E1883" s="394">
        <v>31.7</v>
      </c>
      <c r="F1883" s="4">
        <f t="shared" si="32"/>
        <v>-1.2461059190031218E-2</v>
      </c>
      <c r="G1883" s="37">
        <v>26.8</v>
      </c>
      <c r="H1883" s="395">
        <v>45615</v>
      </c>
    </row>
    <row r="1884" spans="3:8" x14ac:dyDescent="0.25">
      <c r="C1884" s="393">
        <v>3</v>
      </c>
      <c r="D1884" s="393">
        <v>100</v>
      </c>
      <c r="E1884" s="394">
        <v>25.6</v>
      </c>
      <c r="F1884" s="4">
        <f t="shared" si="32"/>
        <v>4.4897959183673529E-2</v>
      </c>
      <c r="G1884" s="37">
        <v>26.8</v>
      </c>
      <c r="H1884" s="395">
        <v>45615</v>
      </c>
    </row>
    <row r="1885" spans="3:8" x14ac:dyDescent="0.25">
      <c r="C1885" s="393">
        <v>4</v>
      </c>
      <c r="D1885" s="393">
        <v>99</v>
      </c>
      <c r="E1885" s="394">
        <v>23.7</v>
      </c>
      <c r="F1885" s="4">
        <f t="shared" si="32"/>
        <v>4.2372881355931301E-3</v>
      </c>
      <c r="G1885" s="37">
        <v>26.8</v>
      </c>
      <c r="H1885" s="395">
        <v>45615</v>
      </c>
    </row>
    <row r="1886" spans="3:8" x14ac:dyDescent="0.25">
      <c r="C1886" s="393">
        <v>5</v>
      </c>
      <c r="D1886" s="393">
        <v>103</v>
      </c>
      <c r="E1886" s="394">
        <v>34.6</v>
      </c>
      <c r="F1886" s="4">
        <f t="shared" si="32"/>
        <v>8.8050314465408827E-2</v>
      </c>
      <c r="G1886" s="37">
        <v>26.8</v>
      </c>
      <c r="H1886" s="395">
        <v>45615</v>
      </c>
    </row>
    <row r="1887" spans="3:8" x14ac:dyDescent="0.25">
      <c r="C1887" s="393">
        <v>6</v>
      </c>
      <c r="D1887" s="393">
        <v>72</v>
      </c>
      <c r="E1887" s="394">
        <v>21.5</v>
      </c>
      <c r="F1887" s="4">
        <f t="shared" si="32"/>
        <v>-4.6296296296296953E-3</v>
      </c>
      <c r="G1887" s="37">
        <v>26.8</v>
      </c>
      <c r="H1887" s="395">
        <v>45615</v>
      </c>
    </row>
    <row r="1888" spans="3:8" x14ac:dyDescent="0.25">
      <c r="C1888" s="393">
        <v>7</v>
      </c>
      <c r="D1888" s="393">
        <v>96</v>
      </c>
      <c r="E1888" s="394">
        <v>19</v>
      </c>
      <c r="F1888" s="4">
        <f t="shared" si="32"/>
        <v>-1.5544041450777238E-2</v>
      </c>
      <c r="G1888" s="37">
        <v>26.8</v>
      </c>
      <c r="H1888" s="395">
        <v>45615</v>
      </c>
    </row>
    <row r="1889" spans="3:8" x14ac:dyDescent="0.25">
      <c r="C1889" s="393">
        <v>8</v>
      </c>
      <c r="D1889" s="393">
        <v>0</v>
      </c>
      <c r="E1889" s="394"/>
      <c r="F1889" s="4" t="str">
        <f t="shared" si="32"/>
        <v/>
      </c>
      <c r="G1889" s="37">
        <v>26.8</v>
      </c>
      <c r="H1889" s="395">
        <v>45615</v>
      </c>
    </row>
    <row r="1890" spans="3:8" x14ac:dyDescent="0.25">
      <c r="C1890" s="393">
        <v>9</v>
      </c>
      <c r="D1890" s="393">
        <v>0</v>
      </c>
      <c r="E1890" s="394"/>
      <c r="F1890" s="4" t="str">
        <f t="shared" si="32"/>
        <v/>
      </c>
      <c r="G1890" s="37">
        <v>26.8</v>
      </c>
      <c r="H1890" s="395">
        <v>45615</v>
      </c>
    </row>
    <row r="1891" spans="3:8" x14ac:dyDescent="0.25">
      <c r="C1891" s="393">
        <v>10</v>
      </c>
      <c r="D1891" s="393">
        <v>50</v>
      </c>
      <c r="E1891" s="394">
        <v>18.7</v>
      </c>
      <c r="F1891" s="4">
        <f t="shared" si="32"/>
        <v>-1.5789473684210565E-2</v>
      </c>
      <c r="G1891" s="37">
        <v>26.8</v>
      </c>
      <c r="H1891" s="395">
        <v>45615</v>
      </c>
    </row>
    <row r="1892" spans="3:8" x14ac:dyDescent="0.25">
      <c r="C1892" s="393">
        <v>18</v>
      </c>
      <c r="D1892" s="393">
        <v>16</v>
      </c>
      <c r="E1892" s="394">
        <v>20.5</v>
      </c>
      <c r="F1892" s="4">
        <f t="shared" si="32"/>
        <v>3.5353535353535318E-2</v>
      </c>
      <c r="G1892" s="37">
        <v>26.8</v>
      </c>
      <c r="H1892" s="395">
        <v>45615</v>
      </c>
    </row>
    <row r="1893" spans="3:8" x14ac:dyDescent="0.25">
      <c r="C1893" s="393">
        <v>19</v>
      </c>
      <c r="D1893" s="393">
        <v>8</v>
      </c>
      <c r="E1893" s="394">
        <v>19.2</v>
      </c>
      <c r="F1893" s="4">
        <f t="shared" si="32"/>
        <v>-6.7961165048543784E-2</v>
      </c>
      <c r="G1893" s="37">
        <v>26.8</v>
      </c>
      <c r="H1893" s="395">
        <v>45615</v>
      </c>
    </row>
    <row r="1894" spans="3:8" x14ac:dyDescent="0.25">
      <c r="C1894" s="396" t="s">
        <v>0</v>
      </c>
      <c r="D1894" s="396" t="s">
        <v>7</v>
      </c>
      <c r="E1894" s="397" t="s">
        <v>4</v>
      </c>
      <c r="F1894" s="4" t="str">
        <f t="shared" si="32"/>
        <v/>
      </c>
      <c r="G1894" s="37">
        <v>26.3</v>
      </c>
      <c r="H1894" s="398">
        <v>45616</v>
      </c>
    </row>
    <row r="1895" spans="3:8" x14ac:dyDescent="0.25">
      <c r="C1895" s="396">
        <v>1</v>
      </c>
      <c r="D1895" s="396">
        <v>45</v>
      </c>
      <c r="E1895" s="397">
        <v>30.1</v>
      </c>
      <c r="F1895" s="4">
        <f t="shared" si="32"/>
        <v>7.8853046594982185E-2</v>
      </c>
      <c r="G1895" s="37">
        <v>26.3</v>
      </c>
      <c r="H1895" s="398">
        <v>45616</v>
      </c>
    </row>
    <row r="1896" spans="3:8" x14ac:dyDescent="0.25">
      <c r="C1896" s="396">
        <v>2</v>
      </c>
      <c r="D1896" s="396">
        <v>72</v>
      </c>
      <c r="E1896" s="397">
        <v>31.2</v>
      </c>
      <c r="F1896" s="4">
        <f t="shared" si="32"/>
        <v>-1.5772870662460567E-2</v>
      </c>
      <c r="G1896" s="37">
        <v>26.3</v>
      </c>
      <c r="H1896" s="398">
        <v>45616</v>
      </c>
    </row>
    <row r="1897" spans="3:8" x14ac:dyDescent="0.25">
      <c r="C1897" s="396">
        <v>3</v>
      </c>
      <c r="D1897" s="396">
        <v>100</v>
      </c>
      <c r="E1897" s="397">
        <v>24.9</v>
      </c>
      <c r="F1897" s="4">
        <f t="shared" si="32"/>
        <v>-2.7343750000000111E-2</v>
      </c>
      <c r="G1897" s="37">
        <v>26.3</v>
      </c>
      <c r="H1897" s="398">
        <v>45616</v>
      </c>
    </row>
    <row r="1898" spans="3:8" x14ac:dyDescent="0.25">
      <c r="C1898" s="396">
        <v>4</v>
      </c>
      <c r="D1898" s="396">
        <v>99</v>
      </c>
      <c r="E1898" s="397">
        <v>23.6</v>
      </c>
      <c r="F1898" s="4">
        <f t="shared" si="32"/>
        <v>-4.2194092827003322E-3</v>
      </c>
      <c r="G1898" s="37">
        <v>26.3</v>
      </c>
      <c r="H1898" s="398">
        <v>45616</v>
      </c>
    </row>
    <row r="1899" spans="3:8" x14ac:dyDescent="0.25">
      <c r="C1899" s="396">
        <v>5</v>
      </c>
      <c r="D1899" s="396">
        <v>107</v>
      </c>
      <c r="E1899" s="397">
        <v>31.4</v>
      </c>
      <c r="F1899" s="4">
        <f t="shared" si="32"/>
        <v>-9.2485549132948056E-2</v>
      </c>
      <c r="G1899" s="37">
        <v>26.3</v>
      </c>
      <c r="H1899" s="398">
        <v>45616</v>
      </c>
    </row>
    <row r="1900" spans="3:8" x14ac:dyDescent="0.25">
      <c r="C1900" s="396">
        <v>6</v>
      </c>
      <c r="D1900" s="396">
        <v>73</v>
      </c>
      <c r="E1900" s="397">
        <v>21.7</v>
      </c>
      <c r="F1900" s="4">
        <f t="shared" si="32"/>
        <v>9.3023255813953157E-3</v>
      </c>
      <c r="G1900" s="37">
        <v>26.3</v>
      </c>
      <c r="H1900" s="398">
        <v>45616</v>
      </c>
    </row>
    <row r="1901" spans="3:8" x14ac:dyDescent="0.25">
      <c r="C1901" s="396">
        <v>7</v>
      </c>
      <c r="D1901" s="396">
        <v>96</v>
      </c>
      <c r="E1901" s="397">
        <v>18.8</v>
      </c>
      <c r="F1901" s="4">
        <f t="shared" si="32"/>
        <v>-1.0526315789473648E-2</v>
      </c>
      <c r="G1901" s="37">
        <v>26.3</v>
      </c>
      <c r="H1901" s="398">
        <v>45616</v>
      </c>
    </row>
    <row r="1902" spans="3:8" x14ac:dyDescent="0.25">
      <c r="C1902" s="396">
        <v>8</v>
      </c>
      <c r="D1902" s="396">
        <v>0</v>
      </c>
      <c r="E1902" s="397"/>
      <c r="F1902" s="4" t="str">
        <f t="shared" si="32"/>
        <v/>
      </c>
      <c r="G1902" s="37">
        <v>26.3</v>
      </c>
      <c r="H1902" s="398">
        <v>45616</v>
      </c>
    </row>
    <row r="1903" spans="3:8" x14ac:dyDescent="0.25">
      <c r="C1903" s="396">
        <v>9</v>
      </c>
      <c r="D1903" s="396">
        <v>0</v>
      </c>
      <c r="E1903" s="397"/>
      <c r="F1903" s="4" t="str">
        <f t="shared" si="32"/>
        <v/>
      </c>
      <c r="G1903" s="37">
        <v>26.3</v>
      </c>
      <c r="H1903" s="398">
        <v>45616</v>
      </c>
    </row>
    <row r="1904" spans="3:8" x14ac:dyDescent="0.25">
      <c r="C1904" s="396">
        <v>10</v>
      </c>
      <c r="D1904" s="396">
        <v>50</v>
      </c>
      <c r="E1904" s="397">
        <v>20</v>
      </c>
      <c r="F1904" s="4">
        <f t="shared" si="32"/>
        <v>6.9518716577540149E-2</v>
      </c>
      <c r="G1904" s="37">
        <v>26.3</v>
      </c>
      <c r="H1904" s="398">
        <v>45616</v>
      </c>
    </row>
    <row r="1905" spans="3:8" x14ac:dyDescent="0.25">
      <c r="C1905" s="396">
        <v>18</v>
      </c>
      <c r="D1905" s="396">
        <v>15</v>
      </c>
      <c r="E1905" s="397">
        <v>8.8000000000000007</v>
      </c>
      <c r="F1905" s="4">
        <f t="shared" si="32"/>
        <v>-0.57073170731707312</v>
      </c>
      <c r="G1905" s="37">
        <v>26.3</v>
      </c>
      <c r="H1905" s="398">
        <v>45616</v>
      </c>
    </row>
    <row r="1906" spans="3:8" x14ac:dyDescent="0.25">
      <c r="C1906" s="396">
        <v>19</v>
      </c>
      <c r="D1906" s="396">
        <v>8</v>
      </c>
      <c r="E1906" s="397">
        <v>21.1</v>
      </c>
      <c r="F1906" s="4">
        <f t="shared" si="32"/>
        <v>9.8958333333333454E-2</v>
      </c>
      <c r="G1906" s="37">
        <v>26.3</v>
      </c>
      <c r="H1906" s="398">
        <v>45616</v>
      </c>
    </row>
    <row r="1907" spans="3:8" x14ac:dyDescent="0.25">
      <c r="C1907" s="399" t="s">
        <v>8</v>
      </c>
      <c r="D1907" s="399" t="s">
        <v>9</v>
      </c>
      <c r="E1907" s="400" t="s">
        <v>10</v>
      </c>
      <c r="F1907" s="4" t="str">
        <f t="shared" si="32"/>
        <v/>
      </c>
      <c r="G1907" s="37">
        <v>27.3</v>
      </c>
      <c r="H1907" s="401">
        <v>45617</v>
      </c>
    </row>
    <row r="1908" spans="3:8" x14ac:dyDescent="0.25">
      <c r="C1908" s="399">
        <v>1</v>
      </c>
      <c r="D1908" s="399">
        <v>49</v>
      </c>
      <c r="E1908" s="400">
        <v>29.2</v>
      </c>
      <c r="F1908" s="4">
        <f t="shared" si="32"/>
        <v>-2.9900332225913692E-2</v>
      </c>
      <c r="G1908" s="37">
        <v>27.3</v>
      </c>
      <c r="H1908" s="401">
        <v>45617</v>
      </c>
    </row>
    <row r="1909" spans="3:8" x14ac:dyDescent="0.25">
      <c r="C1909" s="399">
        <v>2</v>
      </c>
      <c r="D1909" s="399">
        <v>71</v>
      </c>
      <c r="E1909" s="400">
        <v>33.1</v>
      </c>
      <c r="F1909" s="4">
        <f t="shared" si="32"/>
        <v>6.0897435897435966E-2</v>
      </c>
      <c r="G1909" s="37">
        <v>27.3</v>
      </c>
      <c r="H1909" s="401">
        <v>45617</v>
      </c>
    </row>
    <row r="1910" spans="3:8" x14ac:dyDescent="0.25">
      <c r="C1910" s="399">
        <v>3</v>
      </c>
      <c r="D1910" s="399">
        <v>100</v>
      </c>
      <c r="E1910" s="400">
        <v>26.1</v>
      </c>
      <c r="F1910" s="4">
        <f t="shared" si="32"/>
        <v>4.8192771084337463E-2</v>
      </c>
      <c r="G1910" s="37">
        <v>27.3</v>
      </c>
      <c r="H1910" s="401">
        <v>45617</v>
      </c>
    </row>
    <row r="1911" spans="3:8" x14ac:dyDescent="0.25">
      <c r="C1911" s="399">
        <v>4</v>
      </c>
      <c r="D1911" s="399">
        <v>99</v>
      </c>
      <c r="E1911" s="400">
        <v>24.7</v>
      </c>
      <c r="F1911" s="4">
        <f t="shared" si="32"/>
        <v>4.6610169491525327E-2</v>
      </c>
      <c r="G1911" s="37">
        <v>27.3</v>
      </c>
      <c r="H1911" s="401">
        <v>45617</v>
      </c>
    </row>
    <row r="1912" spans="3:8" x14ac:dyDescent="0.25">
      <c r="C1912" s="399">
        <v>5</v>
      </c>
      <c r="D1912" s="399">
        <v>107</v>
      </c>
      <c r="E1912" s="400">
        <v>34.700000000000003</v>
      </c>
      <c r="F1912" s="4">
        <f t="shared" si="32"/>
        <v>0.10509554140127403</v>
      </c>
      <c r="G1912" s="37">
        <v>27.3</v>
      </c>
      <c r="H1912" s="401">
        <v>45617</v>
      </c>
    </row>
    <row r="1913" spans="3:8" x14ac:dyDescent="0.25">
      <c r="C1913" s="399">
        <v>6</v>
      </c>
      <c r="D1913" s="399">
        <v>73</v>
      </c>
      <c r="E1913" s="400">
        <v>19.8</v>
      </c>
      <c r="F1913" s="4">
        <f t="shared" si="32"/>
        <v>-8.7557603686635885E-2</v>
      </c>
      <c r="G1913" s="37">
        <v>27.3</v>
      </c>
      <c r="H1913" s="401">
        <v>45617</v>
      </c>
    </row>
    <row r="1914" spans="3:8" x14ac:dyDescent="0.25">
      <c r="C1914" s="399">
        <v>7</v>
      </c>
      <c r="D1914" s="399">
        <v>95</v>
      </c>
      <c r="E1914" s="400">
        <v>19.600000000000001</v>
      </c>
      <c r="F1914" s="4">
        <f t="shared" si="32"/>
        <v>4.2553191489361736E-2</v>
      </c>
      <c r="G1914" s="37">
        <v>27.3</v>
      </c>
      <c r="H1914" s="401">
        <v>45617</v>
      </c>
    </row>
    <row r="1915" spans="3:8" x14ac:dyDescent="0.25">
      <c r="C1915" s="399">
        <v>8</v>
      </c>
      <c r="D1915" s="399">
        <v>0</v>
      </c>
      <c r="E1915" s="400"/>
      <c r="F1915" s="4" t="str">
        <f t="shared" si="32"/>
        <v/>
      </c>
      <c r="G1915" s="37">
        <v>27.3</v>
      </c>
      <c r="H1915" s="401">
        <v>45617</v>
      </c>
    </row>
    <row r="1916" spans="3:8" x14ac:dyDescent="0.25">
      <c r="C1916" s="399">
        <v>9</v>
      </c>
      <c r="D1916" s="399">
        <v>0</v>
      </c>
      <c r="E1916" s="400"/>
      <c r="F1916" s="4" t="str">
        <f t="shared" si="32"/>
        <v/>
      </c>
      <c r="G1916" s="37">
        <v>27.3</v>
      </c>
      <c r="H1916" s="401">
        <v>45617</v>
      </c>
    </row>
    <row r="1917" spans="3:8" x14ac:dyDescent="0.25">
      <c r="C1917" s="399">
        <v>10</v>
      </c>
      <c r="D1917" s="399">
        <v>51</v>
      </c>
      <c r="E1917" s="400">
        <v>18.899999999999999</v>
      </c>
      <c r="F1917" s="4">
        <f t="shared" si="32"/>
        <v>-5.500000000000007E-2</v>
      </c>
      <c r="G1917" s="37">
        <v>27.3</v>
      </c>
      <c r="H1917" s="401">
        <v>45617</v>
      </c>
    </row>
    <row r="1918" spans="3:8" x14ac:dyDescent="0.25">
      <c r="C1918" s="399">
        <v>18</v>
      </c>
      <c r="D1918" s="399">
        <v>14</v>
      </c>
      <c r="E1918" s="400">
        <v>17.5</v>
      </c>
      <c r="F1918" s="4">
        <f t="shared" si="32"/>
        <v>0.98863636363636342</v>
      </c>
      <c r="G1918" s="37">
        <v>27.3</v>
      </c>
      <c r="H1918" s="401">
        <v>45617</v>
      </c>
    </row>
    <row r="1919" spans="3:8" x14ac:dyDescent="0.25">
      <c r="C1919" s="399">
        <v>19</v>
      </c>
      <c r="D1919" s="399">
        <v>11</v>
      </c>
      <c r="E1919" s="400">
        <v>16.3</v>
      </c>
      <c r="F1919" s="4">
        <f t="shared" si="32"/>
        <v>-0.22748815165876779</v>
      </c>
      <c r="G1919" s="37">
        <v>27.3</v>
      </c>
      <c r="H1919" s="401">
        <v>45617</v>
      </c>
    </row>
    <row r="1920" spans="3:8" x14ac:dyDescent="0.25">
      <c r="C1920" s="402" t="s">
        <v>0</v>
      </c>
      <c r="D1920" s="402" t="s">
        <v>7</v>
      </c>
      <c r="E1920" s="403" t="s">
        <v>4</v>
      </c>
      <c r="F1920" s="4" t="str">
        <f t="shared" si="32"/>
        <v/>
      </c>
      <c r="G1920" s="37">
        <v>24.7</v>
      </c>
      <c r="H1920" s="404">
        <v>45618</v>
      </c>
    </row>
    <row r="1921" spans="3:8" x14ac:dyDescent="0.25">
      <c r="C1921" s="402">
        <v>1</v>
      </c>
      <c r="D1921" s="402">
        <v>51</v>
      </c>
      <c r="E1921" s="403">
        <v>28.2</v>
      </c>
      <c r="F1921" s="4">
        <f t="shared" ref="F1921:F1985" si="33">IFERROR((E1921-E1908)/E1908,"")</f>
        <v>-3.4246575342465752E-2</v>
      </c>
      <c r="G1921" s="37">
        <v>24.7</v>
      </c>
      <c r="H1921" s="404">
        <v>45618</v>
      </c>
    </row>
    <row r="1922" spans="3:8" x14ac:dyDescent="0.25">
      <c r="C1922" s="402">
        <v>2</v>
      </c>
      <c r="D1922" s="402">
        <v>70</v>
      </c>
      <c r="E1922" s="403">
        <v>26.6</v>
      </c>
      <c r="F1922" s="4">
        <f t="shared" si="33"/>
        <v>-0.19637462235649547</v>
      </c>
      <c r="G1922" s="37">
        <v>24.7</v>
      </c>
      <c r="H1922" s="404">
        <v>45618</v>
      </c>
    </row>
    <row r="1923" spans="3:8" x14ac:dyDescent="0.25">
      <c r="C1923" s="402">
        <v>3</v>
      </c>
      <c r="D1923" s="402">
        <v>100</v>
      </c>
      <c r="E1923" s="403">
        <v>22.6</v>
      </c>
      <c r="F1923" s="4">
        <f t="shared" si="33"/>
        <v>-0.13409961685823754</v>
      </c>
      <c r="G1923" s="37">
        <v>24.7</v>
      </c>
      <c r="H1923" s="404">
        <v>45618</v>
      </c>
    </row>
    <row r="1924" spans="3:8" x14ac:dyDescent="0.25">
      <c r="C1924" s="402">
        <v>4</v>
      </c>
      <c r="D1924" s="402">
        <v>99</v>
      </c>
      <c r="E1924" s="403">
        <v>21.3</v>
      </c>
      <c r="F1924" s="4">
        <f t="shared" si="33"/>
        <v>-0.13765182186234812</v>
      </c>
      <c r="G1924" s="37">
        <v>24.7</v>
      </c>
      <c r="H1924" s="404">
        <v>45618</v>
      </c>
    </row>
    <row r="1925" spans="3:8" x14ac:dyDescent="0.25">
      <c r="C1925" s="402">
        <v>5</v>
      </c>
      <c r="D1925" s="402">
        <v>106</v>
      </c>
      <c r="E1925" s="403">
        <v>30</v>
      </c>
      <c r="F1925" s="4">
        <f t="shared" si="33"/>
        <v>-0.13544668587896261</v>
      </c>
      <c r="G1925" s="37">
        <v>24.7</v>
      </c>
      <c r="H1925" s="404">
        <v>45618</v>
      </c>
    </row>
    <row r="1926" spans="3:8" x14ac:dyDescent="0.25">
      <c r="C1926" s="402">
        <v>6</v>
      </c>
      <c r="D1926" s="402">
        <v>73</v>
      </c>
      <c r="E1926" s="403">
        <v>22.6</v>
      </c>
      <c r="F1926" s="4">
        <f t="shared" si="33"/>
        <v>0.14141414141414144</v>
      </c>
      <c r="G1926" s="37">
        <v>24.7</v>
      </c>
      <c r="H1926" s="404">
        <v>45618</v>
      </c>
    </row>
    <row r="1927" spans="3:8" x14ac:dyDescent="0.25">
      <c r="C1927" s="402">
        <v>7</v>
      </c>
      <c r="D1927" s="402">
        <v>95</v>
      </c>
      <c r="E1927" s="403">
        <v>16.2</v>
      </c>
      <c r="F1927" s="4">
        <f t="shared" si="33"/>
        <v>-0.17346938775510215</v>
      </c>
      <c r="G1927" s="37">
        <v>24.7</v>
      </c>
      <c r="H1927" s="404">
        <v>45618</v>
      </c>
    </row>
    <row r="1928" spans="3:8" x14ac:dyDescent="0.25">
      <c r="C1928" s="402">
        <v>8</v>
      </c>
      <c r="D1928" s="402">
        <v>0</v>
      </c>
      <c r="E1928" s="403"/>
      <c r="F1928" s="4" t="str">
        <f t="shared" si="33"/>
        <v/>
      </c>
      <c r="G1928" s="37">
        <v>24.7</v>
      </c>
      <c r="H1928" s="404">
        <v>45618</v>
      </c>
    </row>
    <row r="1929" spans="3:8" x14ac:dyDescent="0.25">
      <c r="C1929" s="402">
        <v>9</v>
      </c>
      <c r="D1929" s="402">
        <v>0</v>
      </c>
      <c r="E1929" s="403"/>
      <c r="F1929" s="4" t="str">
        <f t="shared" si="33"/>
        <v/>
      </c>
      <c r="G1929" s="37">
        <v>24.7</v>
      </c>
      <c r="H1929" s="404">
        <v>45618</v>
      </c>
    </row>
    <row r="1930" spans="3:8" x14ac:dyDescent="0.25">
      <c r="C1930" s="402">
        <v>10</v>
      </c>
      <c r="D1930" s="402">
        <v>50</v>
      </c>
      <c r="E1930" s="403">
        <v>17.600000000000001</v>
      </c>
      <c r="F1930" s="4">
        <f t="shared" si="33"/>
        <v>-6.878306878306864E-2</v>
      </c>
      <c r="G1930" s="37">
        <v>24.7</v>
      </c>
      <c r="H1930" s="404">
        <v>45618</v>
      </c>
    </row>
    <row r="1931" spans="3:8" x14ac:dyDescent="0.25">
      <c r="C1931" s="402">
        <v>18</v>
      </c>
      <c r="D1931" s="402">
        <v>18</v>
      </c>
      <c r="E1931" s="403">
        <v>17.2</v>
      </c>
      <c r="F1931" s="4">
        <f t="shared" si="33"/>
        <v>-1.7142857142857182E-2</v>
      </c>
      <c r="G1931" s="37">
        <v>24.7</v>
      </c>
      <c r="H1931" s="404">
        <v>45618</v>
      </c>
    </row>
    <row r="1932" spans="3:8" x14ac:dyDescent="0.25">
      <c r="C1932" s="402">
        <v>19</v>
      </c>
      <c r="D1932" s="402">
        <v>10</v>
      </c>
      <c r="E1932" s="403">
        <v>15.2</v>
      </c>
      <c r="F1932" s="4">
        <f t="shared" si="33"/>
        <v>-6.7484662576687199E-2</v>
      </c>
      <c r="G1932" s="37">
        <v>24.7</v>
      </c>
      <c r="H1932" s="404">
        <v>45618</v>
      </c>
    </row>
    <row r="1933" spans="3:8" x14ac:dyDescent="0.25">
      <c r="C1933" s="405" t="s">
        <v>0</v>
      </c>
      <c r="D1933" s="405" t="s">
        <v>7</v>
      </c>
      <c r="E1933" s="406" t="s">
        <v>4</v>
      </c>
      <c r="F1933" s="4" t="str">
        <f t="shared" si="33"/>
        <v/>
      </c>
      <c r="G1933" s="37">
        <v>27.2</v>
      </c>
      <c r="H1933" s="404">
        <v>45619</v>
      </c>
    </row>
    <row r="1934" spans="3:8" x14ac:dyDescent="0.25">
      <c r="C1934" s="405">
        <v>1</v>
      </c>
      <c r="D1934" s="405">
        <v>37</v>
      </c>
      <c r="E1934" s="406">
        <v>30.3</v>
      </c>
      <c r="F1934" s="4">
        <f t="shared" si="33"/>
        <v>7.4468085106383031E-2</v>
      </c>
      <c r="G1934" s="37">
        <v>27.2</v>
      </c>
      <c r="H1934" s="404">
        <v>45619</v>
      </c>
    </row>
    <row r="1935" spans="3:8" x14ac:dyDescent="0.25">
      <c r="C1935" s="405">
        <v>2</v>
      </c>
      <c r="D1935" s="405">
        <v>68</v>
      </c>
      <c r="E1935" s="406">
        <v>33.200000000000003</v>
      </c>
      <c r="F1935" s="4">
        <f t="shared" si="33"/>
        <v>0.24812030075187974</v>
      </c>
      <c r="G1935" s="37">
        <v>27.2</v>
      </c>
      <c r="H1935" s="404">
        <v>45619</v>
      </c>
    </row>
    <row r="1936" spans="3:8" x14ac:dyDescent="0.25">
      <c r="C1936" s="405">
        <v>3</v>
      </c>
      <c r="D1936" s="405">
        <v>104</v>
      </c>
      <c r="E1936" s="406">
        <v>25.7</v>
      </c>
      <c r="F1936" s="4">
        <f t="shared" si="33"/>
        <v>0.13716814159292026</v>
      </c>
      <c r="G1936" s="37">
        <v>27.2</v>
      </c>
      <c r="H1936" s="404">
        <v>45619</v>
      </c>
    </row>
    <row r="1937" spans="3:8" x14ac:dyDescent="0.25">
      <c r="C1937" s="405">
        <v>4</v>
      </c>
      <c r="D1937" s="405">
        <v>103</v>
      </c>
      <c r="E1937" s="406">
        <v>24.2</v>
      </c>
      <c r="F1937" s="4">
        <f t="shared" si="33"/>
        <v>0.13615023474178398</v>
      </c>
      <c r="G1937" s="37">
        <v>27.2</v>
      </c>
      <c r="H1937" s="404">
        <v>45619</v>
      </c>
    </row>
    <row r="1938" spans="3:8" x14ac:dyDescent="0.25">
      <c r="C1938" s="405">
        <v>5</v>
      </c>
      <c r="D1938" s="405">
        <v>106</v>
      </c>
      <c r="E1938" s="406">
        <v>31.7</v>
      </c>
      <c r="F1938" s="4">
        <f t="shared" si="33"/>
        <v>5.6666666666666643E-2</v>
      </c>
      <c r="G1938" s="37">
        <v>27.2</v>
      </c>
      <c r="H1938" s="404">
        <v>45619</v>
      </c>
    </row>
    <row r="1939" spans="3:8" x14ac:dyDescent="0.25">
      <c r="C1939" s="405">
        <v>6</v>
      </c>
      <c r="D1939" s="405">
        <v>81</v>
      </c>
      <c r="E1939" s="406">
        <v>22.4</v>
      </c>
      <c r="F1939" s="4">
        <f t="shared" si="33"/>
        <v>-8.8495575221240186E-3</v>
      </c>
      <c r="G1939" s="37">
        <v>27.2</v>
      </c>
      <c r="H1939" s="404">
        <v>45619</v>
      </c>
    </row>
    <row r="1940" spans="3:8" x14ac:dyDescent="0.25">
      <c r="C1940" s="405">
        <v>7</v>
      </c>
      <c r="D1940" s="405">
        <v>94</v>
      </c>
      <c r="E1940" s="406">
        <v>19.3</v>
      </c>
      <c r="F1940" s="4">
        <f t="shared" si="33"/>
        <v>0.19135802469135813</v>
      </c>
      <c r="G1940" s="37">
        <v>27.2</v>
      </c>
      <c r="H1940" s="404">
        <v>45619</v>
      </c>
    </row>
    <row r="1941" spans="3:8" x14ac:dyDescent="0.25">
      <c r="C1941" s="405">
        <v>8</v>
      </c>
      <c r="D1941" s="405">
        <v>0</v>
      </c>
      <c r="E1941" s="406"/>
      <c r="F1941" s="4" t="str">
        <f t="shared" si="33"/>
        <v/>
      </c>
      <c r="G1941" s="37">
        <v>27.2</v>
      </c>
      <c r="H1941" s="404">
        <v>45619</v>
      </c>
    </row>
    <row r="1942" spans="3:8" x14ac:dyDescent="0.25">
      <c r="C1942" s="405">
        <v>9</v>
      </c>
      <c r="D1942" s="405">
        <v>0</v>
      </c>
      <c r="E1942" s="406"/>
      <c r="F1942" s="4" t="str">
        <f t="shared" si="33"/>
        <v/>
      </c>
      <c r="G1942" s="37">
        <v>27.2</v>
      </c>
      <c r="H1942" s="404">
        <v>45619</v>
      </c>
    </row>
    <row r="1943" spans="3:8" x14ac:dyDescent="0.25">
      <c r="C1943" s="405">
        <v>10</v>
      </c>
      <c r="D1943" s="405">
        <v>49</v>
      </c>
      <c r="E1943" s="406">
        <v>19.100000000000001</v>
      </c>
      <c r="F1943" s="4">
        <f t="shared" si="33"/>
        <v>8.5227272727272721E-2</v>
      </c>
      <c r="G1943" s="37">
        <v>27.2</v>
      </c>
      <c r="H1943" s="404">
        <v>45619</v>
      </c>
    </row>
    <row r="1944" spans="3:8" x14ac:dyDescent="0.25">
      <c r="C1944" s="405">
        <v>18</v>
      </c>
      <c r="D1944" s="405">
        <v>17</v>
      </c>
      <c r="E1944" s="406">
        <v>13.4</v>
      </c>
      <c r="F1944" s="4">
        <f t="shared" si="33"/>
        <v>-0.22093023255813948</v>
      </c>
      <c r="G1944" s="37">
        <v>27.2</v>
      </c>
      <c r="H1944" s="404">
        <v>45619</v>
      </c>
    </row>
    <row r="1945" spans="3:8" x14ac:dyDescent="0.25">
      <c r="C1945" s="405">
        <v>19</v>
      </c>
      <c r="D1945" s="405">
        <v>15</v>
      </c>
      <c r="E1945" s="406">
        <v>19.7</v>
      </c>
      <c r="F1945" s="4">
        <f t="shared" si="33"/>
        <v>0.2960526315789474</v>
      </c>
      <c r="G1945" s="37">
        <v>27.2</v>
      </c>
      <c r="H1945" s="404">
        <v>45619</v>
      </c>
    </row>
    <row r="1946" spans="3:8" x14ac:dyDescent="0.25">
      <c r="C1946" s="407" t="s">
        <v>0</v>
      </c>
      <c r="D1946" s="407" t="s">
        <v>7</v>
      </c>
      <c r="E1946" s="408" t="s">
        <v>4</v>
      </c>
      <c r="F1946" s="4" t="str">
        <f t="shared" si="33"/>
        <v/>
      </c>
      <c r="G1946" s="37">
        <v>25.9</v>
      </c>
      <c r="H1946" s="409">
        <v>45620</v>
      </c>
    </row>
    <row r="1947" spans="3:8" x14ac:dyDescent="0.25">
      <c r="C1947" s="407">
        <v>1</v>
      </c>
      <c r="D1947" s="407">
        <v>32</v>
      </c>
      <c r="E1947" s="408">
        <v>24.9</v>
      </c>
      <c r="F1947" s="4">
        <f t="shared" si="33"/>
        <v>-0.17821782178217829</v>
      </c>
      <c r="G1947" s="37">
        <v>25.9</v>
      </c>
      <c r="H1947" s="409">
        <v>45620</v>
      </c>
    </row>
    <row r="1948" spans="3:8" x14ac:dyDescent="0.25">
      <c r="C1948" s="407">
        <v>2</v>
      </c>
      <c r="D1948" s="407">
        <v>67</v>
      </c>
      <c r="E1948" s="408">
        <v>32.1</v>
      </c>
      <c r="F1948" s="4">
        <f t="shared" si="33"/>
        <v>-3.3132530120481965E-2</v>
      </c>
      <c r="G1948" s="37">
        <v>25.9</v>
      </c>
      <c r="H1948" s="409">
        <v>45620</v>
      </c>
    </row>
    <row r="1949" spans="3:8" x14ac:dyDescent="0.25">
      <c r="C1949" s="407">
        <v>3</v>
      </c>
      <c r="D1949" s="407">
        <v>103</v>
      </c>
      <c r="E1949" s="408">
        <v>24.4</v>
      </c>
      <c r="F1949" s="4">
        <f t="shared" si="33"/>
        <v>-5.0583657587548667E-2</v>
      </c>
      <c r="G1949" s="37">
        <v>25.9</v>
      </c>
      <c r="H1949" s="409">
        <v>45620</v>
      </c>
    </row>
    <row r="1950" spans="3:8" x14ac:dyDescent="0.25">
      <c r="C1950" s="407">
        <v>4</v>
      </c>
      <c r="D1950" s="407">
        <v>103</v>
      </c>
      <c r="E1950" s="408">
        <v>22.7</v>
      </c>
      <c r="F1950" s="4">
        <f t="shared" si="33"/>
        <v>-6.1983471074380167E-2</v>
      </c>
      <c r="G1950" s="37">
        <v>25.9</v>
      </c>
      <c r="H1950" s="409">
        <v>45620</v>
      </c>
    </row>
    <row r="1951" spans="3:8" x14ac:dyDescent="0.25">
      <c r="C1951" s="407">
        <v>5</v>
      </c>
      <c r="D1951" s="407">
        <v>106</v>
      </c>
      <c r="E1951" s="408">
        <v>31.2</v>
      </c>
      <c r="F1951" s="4">
        <f t="shared" si="33"/>
        <v>-1.5772870662460567E-2</v>
      </c>
      <c r="G1951" s="37">
        <v>25.9</v>
      </c>
      <c r="H1951" s="409">
        <v>45620</v>
      </c>
    </row>
    <row r="1952" spans="3:8" x14ac:dyDescent="0.25">
      <c r="C1952" s="407">
        <v>6</v>
      </c>
      <c r="D1952" s="407">
        <v>81</v>
      </c>
      <c r="E1952" s="408">
        <v>22.9</v>
      </c>
      <c r="F1952" s="4">
        <f t="shared" si="33"/>
        <v>2.2321428571428572E-2</v>
      </c>
      <c r="G1952" s="37">
        <v>25.9</v>
      </c>
      <c r="H1952" s="409">
        <v>45620</v>
      </c>
    </row>
    <row r="1953" spans="3:8" x14ac:dyDescent="0.25">
      <c r="C1953" s="407">
        <v>7</v>
      </c>
      <c r="D1953" s="407">
        <v>92</v>
      </c>
      <c r="E1953" s="408">
        <v>17.5</v>
      </c>
      <c r="F1953" s="4">
        <f t="shared" si="33"/>
        <v>-9.3264248704663252E-2</v>
      </c>
      <c r="G1953" s="37">
        <v>25.9</v>
      </c>
      <c r="H1953" s="409">
        <v>45620</v>
      </c>
    </row>
    <row r="1954" spans="3:8" x14ac:dyDescent="0.25">
      <c r="C1954" s="407">
        <v>8</v>
      </c>
      <c r="D1954" s="407">
        <v>0</v>
      </c>
      <c r="E1954" s="408"/>
      <c r="F1954" s="4" t="str">
        <f t="shared" si="33"/>
        <v/>
      </c>
      <c r="G1954" s="37">
        <v>25.9</v>
      </c>
      <c r="H1954" s="409">
        <v>45620</v>
      </c>
    </row>
    <row r="1955" spans="3:8" x14ac:dyDescent="0.25">
      <c r="C1955" s="407">
        <v>9</v>
      </c>
      <c r="D1955" s="407">
        <v>0</v>
      </c>
      <c r="E1955" s="408"/>
      <c r="F1955" s="4" t="str">
        <f t="shared" si="33"/>
        <v/>
      </c>
      <c r="G1955" s="37">
        <v>25.9</v>
      </c>
      <c r="H1955" s="409">
        <v>45620</v>
      </c>
    </row>
    <row r="1956" spans="3:8" x14ac:dyDescent="0.25">
      <c r="C1956" s="407">
        <v>10</v>
      </c>
      <c r="D1956" s="407">
        <v>49</v>
      </c>
      <c r="E1956" s="408">
        <v>18.8</v>
      </c>
      <c r="F1956" s="4">
        <f t="shared" si="33"/>
        <v>-1.570680628272255E-2</v>
      </c>
      <c r="G1956" s="37">
        <v>25.9</v>
      </c>
      <c r="H1956" s="409">
        <v>45620</v>
      </c>
    </row>
    <row r="1957" spans="3:8" x14ac:dyDescent="0.25">
      <c r="C1957" s="407">
        <v>18</v>
      </c>
      <c r="D1957" s="407">
        <v>21</v>
      </c>
      <c r="E1957" s="408">
        <v>19</v>
      </c>
      <c r="F1957" s="4">
        <f t="shared" si="33"/>
        <v>0.41791044776119401</v>
      </c>
      <c r="G1957" s="37">
        <v>25.9</v>
      </c>
      <c r="H1957" s="409">
        <v>45620</v>
      </c>
    </row>
    <row r="1958" spans="3:8" x14ac:dyDescent="0.25">
      <c r="C1958" s="407">
        <v>19</v>
      </c>
      <c r="D1958" s="407">
        <v>14</v>
      </c>
      <c r="E1958" s="408">
        <v>20.9</v>
      </c>
      <c r="F1958" s="4">
        <f t="shared" si="33"/>
        <v>6.0913705583756313E-2</v>
      </c>
      <c r="G1958" s="37">
        <v>25.9</v>
      </c>
      <c r="H1958" s="409">
        <v>45620</v>
      </c>
    </row>
    <row r="1959" spans="3:8" x14ac:dyDescent="0.25">
      <c r="C1959" s="410" t="s">
        <v>0</v>
      </c>
      <c r="D1959" s="410" t="s">
        <v>7</v>
      </c>
      <c r="E1959" s="411" t="s">
        <v>4</v>
      </c>
      <c r="F1959" s="4" t="str">
        <f t="shared" si="33"/>
        <v/>
      </c>
      <c r="G1959" s="37">
        <v>26.2</v>
      </c>
      <c r="H1959" s="412">
        <v>45621</v>
      </c>
    </row>
    <row r="1960" spans="3:8" x14ac:dyDescent="0.25">
      <c r="C1960" s="410">
        <v>1</v>
      </c>
      <c r="D1960" s="410">
        <v>35</v>
      </c>
      <c r="E1960" s="411">
        <v>25.5</v>
      </c>
      <c r="F1960" s="4">
        <f t="shared" si="33"/>
        <v>2.4096385542168731E-2</v>
      </c>
      <c r="G1960" s="37">
        <v>26.2</v>
      </c>
      <c r="H1960" s="412">
        <v>45621</v>
      </c>
    </row>
    <row r="1961" spans="3:8" x14ac:dyDescent="0.25">
      <c r="C1961" s="410">
        <v>2</v>
      </c>
      <c r="D1961" s="410">
        <v>67</v>
      </c>
      <c r="E1961" s="411">
        <v>32.6</v>
      </c>
      <c r="F1961" s="4">
        <f t="shared" si="33"/>
        <v>1.5576323987538941E-2</v>
      </c>
      <c r="G1961" s="37">
        <v>26.2</v>
      </c>
      <c r="H1961" s="412">
        <v>45621</v>
      </c>
    </row>
    <row r="1962" spans="3:8" x14ac:dyDescent="0.25">
      <c r="C1962" s="410">
        <v>3</v>
      </c>
      <c r="D1962" s="410">
        <v>102</v>
      </c>
      <c r="E1962" s="411">
        <v>25.1</v>
      </c>
      <c r="F1962" s="4">
        <f t="shared" si="33"/>
        <v>2.8688524590164053E-2</v>
      </c>
      <c r="G1962" s="37">
        <v>26.2</v>
      </c>
      <c r="H1962" s="412">
        <v>45621</v>
      </c>
    </row>
    <row r="1963" spans="3:8" x14ac:dyDescent="0.25">
      <c r="C1963" s="410">
        <v>4</v>
      </c>
      <c r="D1963" s="410">
        <v>102</v>
      </c>
      <c r="E1963" s="411">
        <v>23.5</v>
      </c>
      <c r="F1963" s="4">
        <f t="shared" si="33"/>
        <v>3.5242290748898709E-2</v>
      </c>
      <c r="G1963" s="37">
        <v>26.2</v>
      </c>
      <c r="H1963" s="412">
        <v>45621</v>
      </c>
    </row>
    <row r="1964" spans="3:8" x14ac:dyDescent="0.25">
      <c r="C1964" s="410">
        <v>5</v>
      </c>
      <c r="D1964" s="410">
        <v>106</v>
      </c>
      <c r="E1964" s="411">
        <v>32.6</v>
      </c>
      <c r="F1964" s="4">
        <f t="shared" si="33"/>
        <v>4.4871794871794941E-2</v>
      </c>
      <c r="G1964" s="37">
        <v>26.2</v>
      </c>
      <c r="H1964" s="412">
        <v>45621</v>
      </c>
    </row>
    <row r="1965" spans="3:8" x14ac:dyDescent="0.25">
      <c r="C1965" s="410">
        <v>6</v>
      </c>
      <c r="D1965" s="410">
        <v>75</v>
      </c>
      <c r="E1965" s="411">
        <v>22.4</v>
      </c>
      <c r="F1965" s="4">
        <f t="shared" si="33"/>
        <v>-2.1834061135371181E-2</v>
      </c>
      <c r="G1965" s="37">
        <v>26.2</v>
      </c>
      <c r="H1965" s="412">
        <v>45621</v>
      </c>
    </row>
    <row r="1966" spans="3:8" x14ac:dyDescent="0.25">
      <c r="C1966" s="410">
        <v>7</v>
      </c>
      <c r="D1966" s="410">
        <v>92</v>
      </c>
      <c r="E1966" s="411">
        <v>18.3</v>
      </c>
      <c r="F1966" s="4">
        <f t="shared" si="33"/>
        <v>4.5714285714285756E-2</v>
      </c>
      <c r="G1966" s="37">
        <v>26.2</v>
      </c>
      <c r="H1966" s="412">
        <v>45621</v>
      </c>
    </row>
    <row r="1967" spans="3:8" x14ac:dyDescent="0.25">
      <c r="C1967" s="410">
        <v>8</v>
      </c>
      <c r="D1967" s="410">
        <v>0</v>
      </c>
      <c r="E1967" s="411"/>
      <c r="F1967" s="4" t="str">
        <f t="shared" si="33"/>
        <v/>
      </c>
      <c r="G1967" s="37">
        <v>26.2</v>
      </c>
      <c r="H1967" s="412">
        <v>45621</v>
      </c>
    </row>
    <row r="1968" spans="3:8" x14ac:dyDescent="0.25">
      <c r="C1968" s="410">
        <v>9</v>
      </c>
      <c r="D1968" s="410">
        <v>0</v>
      </c>
      <c r="E1968" s="411"/>
      <c r="F1968" s="4" t="str">
        <f t="shared" si="33"/>
        <v/>
      </c>
      <c r="G1968" s="37">
        <v>26.2</v>
      </c>
      <c r="H1968" s="412">
        <v>45621</v>
      </c>
    </row>
    <row r="1969" spans="3:8" x14ac:dyDescent="0.25">
      <c r="C1969" s="410">
        <v>10</v>
      </c>
      <c r="D1969" s="410">
        <v>37</v>
      </c>
      <c r="E1969" s="411">
        <v>19.600000000000001</v>
      </c>
      <c r="F1969" s="4">
        <f t="shared" si="33"/>
        <v>4.2553191489361736E-2</v>
      </c>
      <c r="G1969" s="37">
        <v>26.2</v>
      </c>
      <c r="H1969" s="412">
        <v>45621</v>
      </c>
    </row>
    <row r="1970" spans="3:8" x14ac:dyDescent="0.25">
      <c r="C1970" s="410">
        <v>18</v>
      </c>
      <c r="D1970" s="410">
        <v>14</v>
      </c>
      <c r="E1970" s="411">
        <v>15.5</v>
      </c>
      <c r="F1970" s="4">
        <f t="shared" si="33"/>
        <v>-0.18421052631578946</v>
      </c>
      <c r="G1970" s="37">
        <v>26.2</v>
      </c>
      <c r="H1970" s="412">
        <v>45621</v>
      </c>
    </row>
    <row r="1971" spans="3:8" x14ac:dyDescent="0.25">
      <c r="C1971" s="410">
        <v>19</v>
      </c>
      <c r="D1971" s="410">
        <v>17</v>
      </c>
      <c r="E1971" s="411">
        <v>16.2</v>
      </c>
      <c r="F1971" s="4">
        <f t="shared" si="33"/>
        <v>-0.2248803827751196</v>
      </c>
      <c r="G1971" s="37">
        <v>26.2</v>
      </c>
      <c r="H1971" s="412">
        <v>45621</v>
      </c>
    </row>
    <row r="1972" spans="3:8" x14ac:dyDescent="0.25">
      <c r="C1972" s="413" t="s">
        <v>0</v>
      </c>
      <c r="D1972" s="413" t="s">
        <v>7</v>
      </c>
      <c r="E1972" s="414" t="s">
        <v>4</v>
      </c>
      <c r="F1972" s="4" t="str">
        <f t="shared" si="33"/>
        <v/>
      </c>
      <c r="G1972" s="37">
        <v>26.5</v>
      </c>
      <c r="H1972" s="415">
        <v>45622</v>
      </c>
    </row>
    <row r="1973" spans="3:8" x14ac:dyDescent="0.25">
      <c r="C1973" s="413">
        <v>1</v>
      </c>
      <c r="D1973" s="413">
        <v>36</v>
      </c>
      <c r="E1973" s="414">
        <v>24.1</v>
      </c>
      <c r="F1973" s="4">
        <f t="shared" si="33"/>
        <v>-5.4901960784313669E-2</v>
      </c>
      <c r="G1973" s="37">
        <v>26.5</v>
      </c>
      <c r="H1973" s="415">
        <v>45622</v>
      </c>
    </row>
    <row r="1974" spans="3:8" x14ac:dyDescent="0.25">
      <c r="C1974" s="413">
        <v>2</v>
      </c>
      <c r="D1974" s="413">
        <v>68</v>
      </c>
      <c r="E1974" s="414">
        <v>32.700000000000003</v>
      </c>
      <c r="F1974" s="4">
        <f t="shared" si="33"/>
        <v>3.0674846625767306E-3</v>
      </c>
      <c r="G1974" s="37">
        <v>26.5</v>
      </c>
      <c r="H1974" s="415">
        <v>45622</v>
      </c>
    </row>
    <row r="1975" spans="3:8" x14ac:dyDescent="0.25">
      <c r="C1975" s="413">
        <v>3</v>
      </c>
      <c r="D1975" s="413">
        <v>102</v>
      </c>
      <c r="E1975" s="414">
        <v>25.9</v>
      </c>
      <c r="F1975" s="4">
        <f t="shared" si="33"/>
        <v>3.1872509960159251E-2</v>
      </c>
      <c r="G1975" s="37">
        <v>26.5</v>
      </c>
      <c r="H1975" s="415">
        <v>45622</v>
      </c>
    </row>
    <row r="1976" spans="3:8" x14ac:dyDescent="0.25">
      <c r="C1976" s="413">
        <v>4</v>
      </c>
      <c r="D1976" s="413">
        <v>101</v>
      </c>
      <c r="E1976" s="414">
        <v>22.6</v>
      </c>
      <c r="F1976" s="4">
        <f t="shared" si="33"/>
        <v>-3.8297872340425469E-2</v>
      </c>
      <c r="G1976" s="37">
        <v>26.5</v>
      </c>
      <c r="H1976" s="415">
        <v>45622</v>
      </c>
    </row>
    <row r="1977" spans="3:8" x14ac:dyDescent="0.25">
      <c r="C1977" s="413">
        <v>5</v>
      </c>
      <c r="D1977" s="413">
        <v>106</v>
      </c>
      <c r="E1977" s="414">
        <v>32.6</v>
      </c>
      <c r="F1977" s="4">
        <f t="shared" si="33"/>
        <v>0</v>
      </c>
      <c r="G1977" s="37">
        <v>26.5</v>
      </c>
      <c r="H1977" s="415">
        <v>45622</v>
      </c>
    </row>
    <row r="1978" spans="3:8" x14ac:dyDescent="0.25">
      <c r="C1978" s="413">
        <v>6</v>
      </c>
      <c r="D1978" s="413">
        <v>75</v>
      </c>
      <c r="E1978" s="414">
        <v>23.4</v>
      </c>
      <c r="F1978" s="4">
        <f t="shared" si="33"/>
        <v>4.4642857142857144E-2</v>
      </c>
      <c r="G1978" s="37">
        <v>26.5</v>
      </c>
      <c r="H1978" s="415">
        <v>45622</v>
      </c>
    </row>
    <row r="1979" spans="3:8" x14ac:dyDescent="0.25">
      <c r="C1979" s="413">
        <v>7</v>
      </c>
      <c r="D1979" s="413">
        <v>91</v>
      </c>
      <c r="E1979" s="414">
        <v>18.7</v>
      </c>
      <c r="F1979" s="4">
        <f t="shared" si="33"/>
        <v>2.185792349726768E-2</v>
      </c>
      <c r="G1979" s="37">
        <v>26.5</v>
      </c>
      <c r="H1979" s="415">
        <v>45622</v>
      </c>
    </row>
    <row r="1980" spans="3:8" x14ac:dyDescent="0.25">
      <c r="C1980" s="413">
        <v>8</v>
      </c>
      <c r="D1980" s="413">
        <v>0</v>
      </c>
      <c r="E1980" s="414"/>
      <c r="F1980" s="4" t="str">
        <f t="shared" si="33"/>
        <v/>
      </c>
      <c r="G1980" s="37">
        <v>26.5</v>
      </c>
      <c r="H1980" s="415">
        <v>45622</v>
      </c>
    </row>
    <row r="1981" spans="3:8" x14ac:dyDescent="0.25">
      <c r="C1981" s="413">
        <v>9</v>
      </c>
      <c r="D1981" s="413">
        <v>0</v>
      </c>
      <c r="E1981" s="414"/>
      <c r="F1981" s="4" t="str">
        <f t="shared" si="33"/>
        <v/>
      </c>
      <c r="G1981" s="37">
        <v>26.5</v>
      </c>
      <c r="H1981" s="415">
        <v>45622</v>
      </c>
    </row>
    <row r="1982" spans="3:8" x14ac:dyDescent="0.25">
      <c r="C1982" s="413">
        <v>10</v>
      </c>
      <c r="D1982" s="413">
        <v>37</v>
      </c>
      <c r="E1982" s="414">
        <v>20.100000000000001</v>
      </c>
      <c r="F1982" s="4">
        <f t="shared" si="33"/>
        <v>2.551020408163265E-2</v>
      </c>
      <c r="G1982" s="37">
        <v>26.5</v>
      </c>
      <c r="H1982" s="415">
        <v>45622</v>
      </c>
    </row>
    <row r="1983" spans="3:8" x14ac:dyDescent="0.25">
      <c r="C1983" s="413">
        <v>18</v>
      </c>
      <c r="D1983" s="413">
        <v>14</v>
      </c>
      <c r="E1983" s="414">
        <v>17</v>
      </c>
      <c r="F1983" s="4">
        <f t="shared" si="33"/>
        <v>9.6774193548387094E-2</v>
      </c>
      <c r="G1983" s="37">
        <v>26.5</v>
      </c>
      <c r="H1983" s="415">
        <v>45622</v>
      </c>
    </row>
    <row r="1984" spans="3:8" x14ac:dyDescent="0.25">
      <c r="C1984" s="413">
        <v>19</v>
      </c>
      <c r="D1984" s="413">
        <v>17</v>
      </c>
      <c r="E1984" s="414">
        <v>16</v>
      </c>
      <c r="F1984" s="4">
        <f t="shared" si="33"/>
        <v>-1.2345679012345635E-2</v>
      </c>
      <c r="G1984" s="37">
        <v>26.5</v>
      </c>
      <c r="H1984" s="415">
        <v>45622</v>
      </c>
    </row>
    <row r="1985" spans="3:8" x14ac:dyDescent="0.25">
      <c r="C1985" s="416" t="s">
        <v>0</v>
      </c>
      <c r="D1985" s="416" t="s">
        <v>7</v>
      </c>
      <c r="E1985" s="417" t="s">
        <v>4</v>
      </c>
      <c r="F1985" s="4" t="str">
        <f t="shared" si="33"/>
        <v/>
      </c>
      <c r="G1985" s="37">
        <v>26.3</v>
      </c>
      <c r="H1985" s="418">
        <v>45623</v>
      </c>
    </row>
    <row r="1986" spans="3:8" x14ac:dyDescent="0.25">
      <c r="C1986" s="416">
        <v>1</v>
      </c>
      <c r="D1986" s="416">
        <v>39</v>
      </c>
      <c r="E1986" s="417">
        <v>27.4</v>
      </c>
      <c r="F1986" s="4">
        <f t="shared" ref="F1986:F2050" si="34">IFERROR((E1986-E1973)/E1973,"")</f>
        <v>0.13692946058091274</v>
      </c>
      <c r="G1986" s="37">
        <v>26.3</v>
      </c>
      <c r="H1986" s="418">
        <v>45623</v>
      </c>
    </row>
    <row r="1987" spans="3:8" x14ac:dyDescent="0.25">
      <c r="C1987" s="416">
        <v>2</v>
      </c>
      <c r="D1987" s="416">
        <v>71</v>
      </c>
      <c r="E1987" s="417">
        <v>32.4</v>
      </c>
      <c r="F1987" s="4">
        <f t="shared" si="34"/>
        <v>-9.1743119266056335E-3</v>
      </c>
      <c r="G1987" s="37">
        <v>26.3</v>
      </c>
      <c r="H1987" s="418">
        <v>45623</v>
      </c>
    </row>
    <row r="1988" spans="3:8" x14ac:dyDescent="0.25">
      <c r="C1988" s="416">
        <v>3</v>
      </c>
      <c r="D1988" s="416">
        <v>103</v>
      </c>
      <c r="E1988" s="417">
        <v>25.6</v>
      </c>
      <c r="F1988" s="4">
        <f t="shared" si="34"/>
        <v>-1.1583011583011473E-2</v>
      </c>
      <c r="G1988" s="37">
        <v>26.3</v>
      </c>
      <c r="H1988" s="418">
        <v>45623</v>
      </c>
    </row>
    <row r="1989" spans="3:8" x14ac:dyDescent="0.25">
      <c r="C1989" s="416">
        <v>4</v>
      </c>
      <c r="D1989" s="416">
        <v>102</v>
      </c>
      <c r="E1989" s="417">
        <v>23.1</v>
      </c>
      <c r="F1989" s="4">
        <f t="shared" si="34"/>
        <v>2.2123893805309734E-2</v>
      </c>
      <c r="G1989" s="37">
        <v>26.3</v>
      </c>
      <c r="H1989" s="418">
        <v>45623</v>
      </c>
    </row>
    <row r="1990" spans="3:8" x14ac:dyDescent="0.25">
      <c r="C1990" s="416">
        <v>5</v>
      </c>
      <c r="D1990" s="416">
        <v>107</v>
      </c>
      <c r="E1990" s="417">
        <v>31.3</v>
      </c>
      <c r="F1990" s="4">
        <f t="shared" si="34"/>
        <v>-3.9877300613496952E-2</v>
      </c>
      <c r="G1990" s="37">
        <v>26.3</v>
      </c>
      <c r="H1990" s="418">
        <v>45623</v>
      </c>
    </row>
    <row r="1991" spans="3:8" x14ac:dyDescent="0.25">
      <c r="C1991" s="416">
        <v>6</v>
      </c>
      <c r="D1991" s="416">
        <v>74</v>
      </c>
      <c r="E1991" s="417">
        <v>23.2</v>
      </c>
      <c r="F1991" s="4">
        <f t="shared" si="34"/>
        <v>-8.5470085470085166E-3</v>
      </c>
      <c r="G1991" s="37">
        <v>26.3</v>
      </c>
      <c r="H1991" s="418">
        <v>45623</v>
      </c>
    </row>
    <row r="1992" spans="3:8" x14ac:dyDescent="0.25">
      <c r="C1992" s="416">
        <v>7</v>
      </c>
      <c r="D1992" s="416">
        <v>92</v>
      </c>
      <c r="E1992" s="417">
        <v>18.8</v>
      </c>
      <c r="F1992" s="4">
        <f t="shared" si="34"/>
        <v>5.3475935828877766E-3</v>
      </c>
      <c r="G1992" s="37">
        <v>26.3</v>
      </c>
      <c r="H1992" s="418">
        <v>45623</v>
      </c>
    </row>
    <row r="1993" spans="3:8" x14ac:dyDescent="0.25">
      <c r="C1993" s="416">
        <v>8</v>
      </c>
      <c r="D1993" s="416">
        <v>0</v>
      </c>
      <c r="E1993" s="417"/>
      <c r="F1993" s="4" t="str">
        <f t="shared" si="34"/>
        <v/>
      </c>
      <c r="G1993" s="37">
        <v>26.3</v>
      </c>
      <c r="H1993" s="418">
        <v>45623</v>
      </c>
    </row>
    <row r="1994" spans="3:8" x14ac:dyDescent="0.25">
      <c r="C1994" s="416">
        <v>9</v>
      </c>
      <c r="D1994" s="416">
        <v>0</v>
      </c>
      <c r="E1994" s="417"/>
      <c r="F1994" s="4" t="str">
        <f t="shared" si="34"/>
        <v/>
      </c>
      <c r="G1994" s="37">
        <v>26.3</v>
      </c>
      <c r="H1994" s="418">
        <v>45623</v>
      </c>
    </row>
    <row r="1995" spans="3:8" x14ac:dyDescent="0.25">
      <c r="C1995" s="416">
        <v>10</v>
      </c>
      <c r="D1995" s="416">
        <v>37</v>
      </c>
      <c r="E1995" s="417">
        <v>21.6</v>
      </c>
      <c r="F1995" s="4">
        <f t="shared" si="34"/>
        <v>7.4626865671641784E-2</v>
      </c>
      <c r="G1995" s="37">
        <v>26.3</v>
      </c>
      <c r="H1995" s="418">
        <v>45623</v>
      </c>
    </row>
    <row r="1996" spans="3:8" x14ac:dyDescent="0.25">
      <c r="C1996" s="416">
        <v>18</v>
      </c>
      <c r="D1996" s="416">
        <v>13</v>
      </c>
      <c r="E1996" s="417">
        <v>17</v>
      </c>
      <c r="F1996" s="4">
        <f t="shared" si="34"/>
        <v>0</v>
      </c>
      <c r="G1996" s="37">
        <v>26.3</v>
      </c>
      <c r="H1996" s="418">
        <v>45623</v>
      </c>
    </row>
    <row r="1997" spans="3:8" x14ac:dyDescent="0.25">
      <c r="C1997" s="416">
        <v>19</v>
      </c>
      <c r="D1997" s="416">
        <v>14</v>
      </c>
      <c r="E1997" s="417">
        <v>19.2</v>
      </c>
      <c r="F1997" s="4">
        <f t="shared" si="34"/>
        <v>0.19999999999999996</v>
      </c>
      <c r="G1997" s="37">
        <v>26.3</v>
      </c>
      <c r="H1997" s="418">
        <v>45623</v>
      </c>
    </row>
    <row r="1998" spans="3:8" x14ac:dyDescent="0.25">
      <c r="C1998" s="419" t="s">
        <v>0</v>
      </c>
      <c r="D1998" s="419" t="s">
        <v>7</v>
      </c>
      <c r="E1998" s="420" t="s">
        <v>4</v>
      </c>
      <c r="F1998" s="4" t="str">
        <f t="shared" si="34"/>
        <v/>
      </c>
      <c r="G1998" s="37">
        <v>26.8</v>
      </c>
      <c r="H1998" s="421">
        <v>45624</v>
      </c>
    </row>
    <row r="1999" spans="3:8" x14ac:dyDescent="0.25">
      <c r="C1999" s="419">
        <v>1</v>
      </c>
      <c r="D1999" s="419">
        <v>39</v>
      </c>
      <c r="E1999" s="420">
        <v>26.7</v>
      </c>
      <c r="F1999" s="4">
        <f t="shared" si="34"/>
        <v>-2.5547445255474428E-2</v>
      </c>
      <c r="G1999" s="37">
        <v>26.8</v>
      </c>
      <c r="H1999" s="421">
        <v>45624</v>
      </c>
    </row>
    <row r="2000" spans="3:8" x14ac:dyDescent="0.25">
      <c r="C2000" s="419">
        <v>2</v>
      </c>
      <c r="D2000" s="419">
        <v>71</v>
      </c>
      <c r="E2000" s="420">
        <v>32.4</v>
      </c>
      <c r="F2000" s="4">
        <f t="shared" si="34"/>
        <v>0</v>
      </c>
      <c r="G2000" s="37">
        <v>26.8</v>
      </c>
      <c r="H2000" s="421">
        <v>45624</v>
      </c>
    </row>
    <row r="2001" spans="3:8" x14ac:dyDescent="0.25">
      <c r="C2001" s="419">
        <v>3</v>
      </c>
      <c r="D2001" s="419">
        <v>103</v>
      </c>
      <c r="E2001" s="420">
        <v>25.7</v>
      </c>
      <c r="F2001" s="4">
        <f t="shared" si="34"/>
        <v>3.9062499999999167E-3</v>
      </c>
      <c r="G2001" s="37">
        <v>26.8</v>
      </c>
      <c r="H2001" s="421">
        <v>45624</v>
      </c>
    </row>
    <row r="2002" spans="3:8" x14ac:dyDescent="0.25">
      <c r="C2002" s="419">
        <v>4</v>
      </c>
      <c r="D2002" s="419">
        <v>103</v>
      </c>
      <c r="E2002" s="420">
        <v>23.4</v>
      </c>
      <c r="F2002" s="4">
        <f t="shared" si="34"/>
        <v>1.2987012987012863E-2</v>
      </c>
      <c r="G2002" s="37">
        <v>26.8</v>
      </c>
      <c r="H2002" s="421">
        <v>45624</v>
      </c>
    </row>
    <row r="2003" spans="3:8" x14ac:dyDescent="0.25">
      <c r="C2003" s="419">
        <v>5</v>
      </c>
      <c r="D2003" s="419">
        <v>107</v>
      </c>
      <c r="E2003" s="420">
        <v>32.5</v>
      </c>
      <c r="F2003" s="4">
        <f t="shared" si="34"/>
        <v>3.8338658146964834E-2</v>
      </c>
      <c r="G2003" s="37">
        <v>26.8</v>
      </c>
      <c r="H2003" s="421">
        <v>45624</v>
      </c>
    </row>
    <row r="2004" spans="3:8" x14ac:dyDescent="0.25">
      <c r="C2004" s="419">
        <v>6</v>
      </c>
      <c r="D2004" s="419">
        <v>0</v>
      </c>
      <c r="E2004" s="420">
        <v>23.8</v>
      </c>
      <c r="F2004" s="4">
        <f t="shared" si="34"/>
        <v>2.5862068965517303E-2</v>
      </c>
      <c r="G2004" s="37">
        <v>26.8</v>
      </c>
      <c r="H2004" s="421">
        <v>45624</v>
      </c>
    </row>
    <row r="2005" spans="3:8" x14ac:dyDescent="0.25">
      <c r="C2005" s="419">
        <v>7</v>
      </c>
      <c r="D2005" s="419">
        <v>74</v>
      </c>
      <c r="E2005" s="420">
        <v>18.8</v>
      </c>
      <c r="F2005" s="4">
        <f t="shared" si="34"/>
        <v>0</v>
      </c>
      <c r="G2005" s="37">
        <v>26.8</v>
      </c>
      <c r="H2005" s="421">
        <v>45624</v>
      </c>
    </row>
    <row r="2006" spans="3:8" x14ac:dyDescent="0.25">
      <c r="C2006" s="419">
        <v>8</v>
      </c>
      <c r="D2006" s="419">
        <v>91</v>
      </c>
      <c r="E2006" s="420"/>
      <c r="F2006" s="4" t="str">
        <f t="shared" si="34"/>
        <v/>
      </c>
      <c r="G2006" s="37">
        <v>26.8</v>
      </c>
      <c r="H2006" s="421">
        <v>45624</v>
      </c>
    </row>
    <row r="2007" spans="3:8" x14ac:dyDescent="0.25">
      <c r="C2007" s="419">
        <v>9</v>
      </c>
      <c r="D2007" s="419">
        <v>0</v>
      </c>
      <c r="E2007" s="420"/>
      <c r="F2007" s="4" t="str">
        <f t="shared" si="34"/>
        <v/>
      </c>
      <c r="G2007" s="37">
        <v>26.8</v>
      </c>
      <c r="H2007" s="421">
        <v>45624</v>
      </c>
    </row>
    <row r="2008" spans="3:8" x14ac:dyDescent="0.25">
      <c r="C2008" s="419">
        <v>10</v>
      </c>
      <c r="D2008" s="419">
        <v>39</v>
      </c>
      <c r="E2008" s="420">
        <v>21.5</v>
      </c>
      <c r="F2008" s="4">
        <f t="shared" si="34"/>
        <v>-4.6296296296296953E-3</v>
      </c>
      <c r="G2008" s="37">
        <v>26.8</v>
      </c>
      <c r="H2008" s="421">
        <v>45624</v>
      </c>
    </row>
    <row r="2009" spans="3:8" x14ac:dyDescent="0.25">
      <c r="C2009" s="419">
        <v>18</v>
      </c>
      <c r="D2009" s="419">
        <v>12</v>
      </c>
      <c r="E2009" s="420">
        <v>11.8</v>
      </c>
      <c r="F2009" s="4">
        <f t="shared" si="34"/>
        <v>-0.30588235294117644</v>
      </c>
      <c r="G2009" s="37">
        <v>26.8</v>
      </c>
      <c r="H2009" s="421">
        <v>45624</v>
      </c>
    </row>
    <row r="2010" spans="3:8" x14ac:dyDescent="0.25">
      <c r="C2010" s="419">
        <v>19</v>
      </c>
      <c r="D2010" s="419">
        <v>13</v>
      </c>
      <c r="E2010" s="420">
        <v>19.600000000000001</v>
      </c>
      <c r="F2010" s="4">
        <f t="shared" si="34"/>
        <v>2.0833333333333447E-2</v>
      </c>
      <c r="G2010" s="37">
        <v>26.8</v>
      </c>
      <c r="H2010" s="421">
        <v>45624</v>
      </c>
    </row>
    <row r="2011" spans="3:8" x14ac:dyDescent="0.25">
      <c r="C2011" s="422" t="s">
        <v>0</v>
      </c>
      <c r="D2011" s="422" t="s">
        <v>7</v>
      </c>
      <c r="E2011" s="423" t="s">
        <v>4</v>
      </c>
      <c r="F2011" s="4" t="str">
        <f t="shared" si="34"/>
        <v/>
      </c>
      <c r="G2011" s="37">
        <v>27</v>
      </c>
      <c r="H2011" s="424">
        <v>45625</v>
      </c>
    </row>
    <row r="2012" spans="3:8" x14ac:dyDescent="0.25">
      <c r="C2012" s="422">
        <v>1</v>
      </c>
      <c r="D2012" s="422">
        <v>37</v>
      </c>
      <c r="E2012" s="423">
        <v>27.3</v>
      </c>
      <c r="F2012" s="4">
        <f t="shared" si="34"/>
        <v>2.2471910112359605E-2</v>
      </c>
      <c r="G2012" s="37">
        <v>27</v>
      </c>
      <c r="H2012" s="424">
        <v>45625</v>
      </c>
    </row>
    <row r="2013" spans="3:8" x14ac:dyDescent="0.25">
      <c r="C2013" s="422">
        <v>2</v>
      </c>
      <c r="D2013" s="422">
        <v>71</v>
      </c>
      <c r="E2013" s="423">
        <v>32.5</v>
      </c>
      <c r="F2013" s="4">
        <f t="shared" si="34"/>
        <v>3.0864197530864638E-3</v>
      </c>
      <c r="G2013" s="37">
        <v>27</v>
      </c>
      <c r="H2013" s="424">
        <v>45625</v>
      </c>
    </row>
    <row r="2014" spans="3:8" x14ac:dyDescent="0.25">
      <c r="C2014" s="422">
        <v>3</v>
      </c>
      <c r="D2014" s="422">
        <v>103</v>
      </c>
      <c r="E2014" s="423">
        <v>26.1</v>
      </c>
      <c r="F2014" s="4">
        <f t="shared" si="34"/>
        <v>1.5564202334630434E-2</v>
      </c>
      <c r="G2014" s="37">
        <v>27</v>
      </c>
      <c r="H2014" s="424">
        <v>45625</v>
      </c>
    </row>
    <row r="2015" spans="3:8" x14ac:dyDescent="0.25">
      <c r="C2015" s="422">
        <v>4</v>
      </c>
      <c r="D2015" s="422">
        <v>98</v>
      </c>
      <c r="E2015" s="423">
        <v>22.6</v>
      </c>
      <c r="F2015" s="4">
        <f t="shared" si="34"/>
        <v>-3.4188034188034067E-2</v>
      </c>
      <c r="G2015" s="37">
        <v>27</v>
      </c>
      <c r="H2015" s="424">
        <v>45625</v>
      </c>
    </row>
    <row r="2016" spans="3:8" x14ac:dyDescent="0.25">
      <c r="C2016" s="422">
        <v>5</v>
      </c>
      <c r="D2016" s="422">
        <v>107</v>
      </c>
      <c r="E2016" s="423">
        <v>33</v>
      </c>
      <c r="F2016" s="4">
        <f t="shared" si="34"/>
        <v>1.5384615384615385E-2</v>
      </c>
      <c r="G2016" s="37">
        <v>27</v>
      </c>
      <c r="H2016" s="424">
        <v>45625</v>
      </c>
    </row>
    <row r="2017" spans="3:8" x14ac:dyDescent="0.25">
      <c r="C2017" s="422">
        <v>6</v>
      </c>
      <c r="D2017" s="422">
        <v>0</v>
      </c>
      <c r="E2017" s="423"/>
      <c r="F2017" s="4">
        <f t="shared" si="34"/>
        <v>-1</v>
      </c>
      <c r="G2017" s="37">
        <v>27</v>
      </c>
      <c r="H2017" s="424">
        <v>45625</v>
      </c>
    </row>
    <row r="2018" spans="3:8" x14ac:dyDescent="0.25">
      <c r="C2018" s="422">
        <v>7</v>
      </c>
      <c r="D2018" s="422">
        <v>74</v>
      </c>
      <c r="E2018" s="423">
        <v>24</v>
      </c>
      <c r="F2018" s="4">
        <f t="shared" si="34"/>
        <v>0.27659574468085102</v>
      </c>
      <c r="G2018" s="37">
        <v>27</v>
      </c>
      <c r="H2018" s="424">
        <v>45625</v>
      </c>
    </row>
    <row r="2019" spans="3:8" x14ac:dyDescent="0.25">
      <c r="C2019" s="422">
        <v>8</v>
      </c>
      <c r="D2019" s="422">
        <v>84</v>
      </c>
      <c r="E2019" s="423">
        <v>18.7</v>
      </c>
      <c r="F2019" s="4" t="str">
        <f t="shared" si="34"/>
        <v/>
      </c>
      <c r="G2019" s="37">
        <v>27</v>
      </c>
      <c r="H2019" s="424">
        <v>45625</v>
      </c>
    </row>
    <row r="2020" spans="3:8" x14ac:dyDescent="0.25">
      <c r="C2020" s="422">
        <v>9</v>
      </c>
      <c r="D2020" s="422">
        <v>0</v>
      </c>
      <c r="E2020" s="423"/>
      <c r="F2020" s="4" t="str">
        <f t="shared" si="34"/>
        <v/>
      </c>
      <c r="G2020" s="37">
        <v>27</v>
      </c>
      <c r="H2020" s="424">
        <v>45625</v>
      </c>
    </row>
    <row r="2021" spans="3:8" x14ac:dyDescent="0.25">
      <c r="C2021" s="422">
        <v>10</v>
      </c>
      <c r="D2021" s="422">
        <v>39</v>
      </c>
      <c r="E2021" s="423">
        <v>20.7</v>
      </c>
      <c r="F2021" s="4">
        <f t="shared" si="34"/>
        <v>-3.720930232558143E-2</v>
      </c>
      <c r="G2021" s="37">
        <v>27</v>
      </c>
      <c r="H2021" s="424">
        <v>45625</v>
      </c>
    </row>
    <row r="2022" spans="3:8" x14ac:dyDescent="0.25">
      <c r="C2022" s="422">
        <v>18</v>
      </c>
      <c r="D2022" s="422">
        <v>12</v>
      </c>
      <c r="E2022" s="423">
        <v>10.6</v>
      </c>
      <c r="F2022" s="4">
        <f t="shared" si="34"/>
        <v>-0.10169491525423738</v>
      </c>
      <c r="G2022" s="37">
        <v>27</v>
      </c>
      <c r="H2022" s="424">
        <v>45625</v>
      </c>
    </row>
    <row r="2023" spans="3:8" x14ac:dyDescent="0.25">
      <c r="C2023" s="422">
        <v>19</v>
      </c>
      <c r="D2023" s="422">
        <v>11</v>
      </c>
      <c r="E2023" s="423">
        <v>14.2</v>
      </c>
      <c r="F2023" s="4">
        <f t="shared" si="34"/>
        <v>-0.27551020408163274</v>
      </c>
      <c r="G2023" s="37">
        <v>27</v>
      </c>
      <c r="H2023" s="424">
        <v>45625</v>
      </c>
    </row>
    <row r="2024" spans="3:8" x14ac:dyDescent="0.25">
      <c r="C2024" s="425" t="s">
        <v>0</v>
      </c>
      <c r="D2024" s="425" t="s">
        <v>7</v>
      </c>
      <c r="E2024" s="426" t="s">
        <v>4</v>
      </c>
      <c r="F2024" s="4" t="str">
        <f t="shared" si="34"/>
        <v/>
      </c>
      <c r="G2024" s="37">
        <v>26.2</v>
      </c>
      <c r="H2024" s="424">
        <v>45626</v>
      </c>
    </row>
    <row r="2025" spans="3:8" x14ac:dyDescent="0.25">
      <c r="C2025" s="425">
        <v>1</v>
      </c>
      <c r="D2025" s="425">
        <v>41</v>
      </c>
      <c r="E2025" s="426">
        <v>28.1</v>
      </c>
      <c r="F2025" s="4">
        <f t="shared" si="34"/>
        <v>2.9304029304029328E-2</v>
      </c>
      <c r="G2025" s="37">
        <v>26.2</v>
      </c>
      <c r="H2025" s="424">
        <v>45626</v>
      </c>
    </row>
    <row r="2026" spans="3:8" x14ac:dyDescent="0.25">
      <c r="C2026" s="425">
        <v>2</v>
      </c>
      <c r="D2026" s="425">
        <v>69</v>
      </c>
      <c r="E2026" s="426">
        <v>31.5</v>
      </c>
      <c r="F2026" s="4">
        <f t="shared" si="34"/>
        <v>-3.0769230769230771E-2</v>
      </c>
      <c r="G2026" s="37">
        <v>26.2</v>
      </c>
      <c r="H2026" s="424">
        <v>45626</v>
      </c>
    </row>
    <row r="2027" spans="3:8" x14ac:dyDescent="0.25">
      <c r="C2027" s="425">
        <v>3</v>
      </c>
      <c r="D2027" s="425">
        <v>96</v>
      </c>
      <c r="E2027" s="426">
        <v>24.3</v>
      </c>
      <c r="F2027" s="4">
        <f t="shared" si="34"/>
        <v>-6.8965517241379337E-2</v>
      </c>
      <c r="G2027" s="37">
        <v>26.2</v>
      </c>
      <c r="H2027" s="424">
        <v>45626</v>
      </c>
    </row>
    <row r="2028" spans="3:8" x14ac:dyDescent="0.25">
      <c r="C2028" s="425">
        <v>4</v>
      </c>
      <c r="D2028" s="425">
        <v>105</v>
      </c>
      <c r="E2028" s="426">
        <v>23.5</v>
      </c>
      <c r="F2028" s="4">
        <f t="shared" si="34"/>
        <v>3.9823008849557459E-2</v>
      </c>
      <c r="G2028" s="37">
        <v>26.2</v>
      </c>
      <c r="H2028" s="424">
        <v>45626</v>
      </c>
    </row>
    <row r="2029" spans="3:8" x14ac:dyDescent="0.25">
      <c r="C2029" s="425">
        <v>5</v>
      </c>
      <c r="D2029" s="425">
        <v>102</v>
      </c>
      <c r="E2029" s="426">
        <v>31.8</v>
      </c>
      <c r="F2029" s="4">
        <f t="shared" si="34"/>
        <v>-3.6363636363636341E-2</v>
      </c>
      <c r="G2029" s="37">
        <v>26.2</v>
      </c>
      <c r="H2029" s="424">
        <v>45626</v>
      </c>
    </row>
    <row r="2030" spans="3:8" x14ac:dyDescent="0.25">
      <c r="C2030" s="425">
        <v>6</v>
      </c>
      <c r="D2030" s="425">
        <v>0</v>
      </c>
      <c r="E2030" s="426"/>
      <c r="F2030" s="4" t="str">
        <f t="shared" si="34"/>
        <v/>
      </c>
      <c r="G2030" s="37">
        <v>26.2</v>
      </c>
      <c r="H2030" s="424">
        <v>45626</v>
      </c>
    </row>
    <row r="2031" spans="3:8" x14ac:dyDescent="0.25">
      <c r="C2031" s="425">
        <v>7</v>
      </c>
      <c r="D2031" s="425">
        <v>77</v>
      </c>
      <c r="E2031" s="426">
        <v>22.9</v>
      </c>
      <c r="F2031" s="4">
        <f t="shared" si="34"/>
        <v>-4.5833333333333393E-2</v>
      </c>
      <c r="G2031" s="37">
        <v>26.2</v>
      </c>
      <c r="H2031" s="424">
        <v>45626</v>
      </c>
    </row>
    <row r="2032" spans="3:8" x14ac:dyDescent="0.25">
      <c r="C2032" s="425">
        <v>8</v>
      </c>
      <c r="D2032" s="425">
        <v>87</v>
      </c>
      <c r="E2032" s="426">
        <v>18.600000000000001</v>
      </c>
      <c r="F2032" s="4">
        <f t="shared" si="34"/>
        <v>-5.3475935828875866E-3</v>
      </c>
      <c r="G2032" s="37">
        <v>26.2</v>
      </c>
      <c r="H2032" s="424">
        <v>45626</v>
      </c>
    </row>
    <row r="2033" spans="3:8" x14ac:dyDescent="0.25">
      <c r="C2033" s="425">
        <v>9</v>
      </c>
      <c r="D2033" s="425">
        <v>0</v>
      </c>
      <c r="E2033" s="426"/>
      <c r="F2033" s="4" t="str">
        <f t="shared" si="34"/>
        <v/>
      </c>
      <c r="G2033" s="37">
        <v>26.2</v>
      </c>
      <c r="H2033" s="424">
        <v>45626</v>
      </c>
    </row>
    <row r="2034" spans="3:8" x14ac:dyDescent="0.25">
      <c r="C2034" s="425">
        <v>10</v>
      </c>
      <c r="D2034" s="425">
        <v>39</v>
      </c>
      <c r="E2034" s="426">
        <v>19.7</v>
      </c>
      <c r="F2034" s="4">
        <f t="shared" si="34"/>
        <v>-4.8309178743961352E-2</v>
      </c>
      <c r="G2034" s="37">
        <v>26.2</v>
      </c>
      <c r="H2034" s="424">
        <v>45626</v>
      </c>
    </row>
    <row r="2035" spans="3:8" x14ac:dyDescent="0.25">
      <c r="C2035" s="425">
        <v>18</v>
      </c>
      <c r="D2035" s="425">
        <v>12</v>
      </c>
      <c r="E2035" s="426">
        <v>10.5</v>
      </c>
      <c r="F2035" s="4">
        <f t="shared" si="34"/>
        <v>-9.4339622641509101E-3</v>
      </c>
      <c r="G2035" s="37">
        <v>26.2</v>
      </c>
      <c r="H2035" s="424">
        <v>45626</v>
      </c>
    </row>
    <row r="2036" spans="3:8" x14ac:dyDescent="0.25">
      <c r="C2036" s="425">
        <v>19</v>
      </c>
      <c r="D2036" s="425">
        <v>13</v>
      </c>
      <c r="E2036" s="426">
        <v>18</v>
      </c>
      <c r="F2036" s="4">
        <f t="shared" si="34"/>
        <v>0.26760563380281699</v>
      </c>
      <c r="G2036" s="37">
        <v>26.2</v>
      </c>
      <c r="H2036" s="424">
        <v>45626</v>
      </c>
    </row>
    <row r="2037" spans="3:8" x14ac:dyDescent="0.25">
      <c r="C2037" s="427" t="s">
        <v>0</v>
      </c>
      <c r="D2037" s="427" t="s">
        <v>7</v>
      </c>
      <c r="E2037" s="428" t="s">
        <v>4</v>
      </c>
      <c r="F2037" s="4" t="str">
        <f t="shared" si="34"/>
        <v/>
      </c>
      <c r="G2037" s="37">
        <v>26.6</v>
      </c>
      <c r="H2037" s="429">
        <v>45627</v>
      </c>
    </row>
    <row r="2038" spans="3:8" x14ac:dyDescent="0.25">
      <c r="C2038" s="427">
        <v>1</v>
      </c>
      <c r="D2038" s="427">
        <v>42</v>
      </c>
      <c r="E2038" s="428">
        <v>28.1</v>
      </c>
      <c r="F2038" s="4">
        <f t="shared" si="34"/>
        <v>0</v>
      </c>
      <c r="G2038" s="37">
        <v>26.6</v>
      </c>
      <c r="H2038" s="429">
        <v>45627</v>
      </c>
    </row>
    <row r="2039" spans="3:8" x14ac:dyDescent="0.25">
      <c r="C2039" s="427">
        <v>2</v>
      </c>
      <c r="D2039" s="427">
        <v>68</v>
      </c>
      <c r="E2039" s="428">
        <v>32</v>
      </c>
      <c r="F2039" s="4">
        <f t="shared" si="34"/>
        <v>1.5873015873015872E-2</v>
      </c>
      <c r="G2039" s="37">
        <v>26.6</v>
      </c>
      <c r="H2039" s="429">
        <v>45627</v>
      </c>
    </row>
    <row r="2040" spans="3:8" x14ac:dyDescent="0.25">
      <c r="C2040" s="427">
        <v>3</v>
      </c>
      <c r="D2040" s="427">
        <v>96</v>
      </c>
      <c r="E2040" s="428">
        <v>26.3</v>
      </c>
      <c r="F2040" s="4">
        <f t="shared" si="34"/>
        <v>8.2304526748971193E-2</v>
      </c>
      <c r="G2040" s="37">
        <v>26.6</v>
      </c>
      <c r="H2040" s="429">
        <v>45627</v>
      </c>
    </row>
    <row r="2041" spans="3:8" x14ac:dyDescent="0.25">
      <c r="C2041" s="427">
        <v>4</v>
      </c>
      <c r="D2041" s="427">
        <v>105</v>
      </c>
      <c r="E2041" s="428">
        <v>22.5</v>
      </c>
      <c r="F2041" s="4">
        <f t="shared" si="34"/>
        <v>-4.2553191489361701E-2</v>
      </c>
      <c r="G2041" s="37">
        <v>26.6</v>
      </c>
      <c r="H2041" s="429">
        <v>45627</v>
      </c>
    </row>
    <row r="2042" spans="3:8" x14ac:dyDescent="0.25">
      <c r="C2042" s="427">
        <v>5</v>
      </c>
      <c r="D2042" s="427">
        <v>101</v>
      </c>
      <c r="E2042" s="428">
        <v>32.6</v>
      </c>
      <c r="F2042" s="4">
        <f t="shared" si="34"/>
        <v>2.5157232704402538E-2</v>
      </c>
      <c r="G2042" s="37">
        <v>26.6</v>
      </c>
      <c r="H2042" s="429">
        <v>45627</v>
      </c>
    </row>
    <row r="2043" spans="3:8" x14ac:dyDescent="0.25">
      <c r="C2043" s="427">
        <v>6</v>
      </c>
      <c r="D2043" s="427">
        <v>0</v>
      </c>
      <c r="E2043" s="428"/>
      <c r="F2043" s="4" t="str">
        <f t="shared" si="34"/>
        <v/>
      </c>
      <c r="G2043" s="37">
        <v>26.6</v>
      </c>
      <c r="H2043" s="429">
        <v>45627</v>
      </c>
    </row>
    <row r="2044" spans="3:8" x14ac:dyDescent="0.25">
      <c r="C2044" s="427">
        <v>7</v>
      </c>
      <c r="D2044" s="427">
        <v>77</v>
      </c>
      <c r="E2044" s="428">
        <v>23.5</v>
      </c>
      <c r="F2044" s="4">
        <f t="shared" si="34"/>
        <v>2.6200873362445479E-2</v>
      </c>
      <c r="G2044" s="37">
        <v>26.6</v>
      </c>
      <c r="H2044" s="429">
        <v>45627</v>
      </c>
    </row>
    <row r="2045" spans="3:8" x14ac:dyDescent="0.25">
      <c r="C2045" s="427">
        <v>8</v>
      </c>
      <c r="D2045" s="427">
        <v>86</v>
      </c>
      <c r="E2045" s="428">
        <v>18.3</v>
      </c>
      <c r="F2045" s="4">
        <f t="shared" si="34"/>
        <v>-1.6129032258064554E-2</v>
      </c>
      <c r="G2045" s="37">
        <v>26.6</v>
      </c>
      <c r="H2045" s="429">
        <v>45627</v>
      </c>
    </row>
    <row r="2046" spans="3:8" x14ac:dyDescent="0.25">
      <c r="C2046" s="427">
        <v>9</v>
      </c>
      <c r="D2046" s="427">
        <v>0</v>
      </c>
      <c r="E2046" s="428"/>
      <c r="F2046" s="4" t="str">
        <f t="shared" si="34"/>
        <v/>
      </c>
      <c r="G2046" s="37">
        <v>26.6</v>
      </c>
      <c r="H2046" s="429">
        <v>45627</v>
      </c>
    </row>
    <row r="2047" spans="3:8" x14ac:dyDescent="0.25">
      <c r="C2047" s="427">
        <v>10</v>
      </c>
      <c r="D2047" s="427">
        <v>39</v>
      </c>
      <c r="E2047" s="428">
        <v>20</v>
      </c>
      <c r="F2047" s="4">
        <f t="shared" si="34"/>
        <v>1.5228426395939123E-2</v>
      </c>
      <c r="G2047" s="37">
        <v>26.6</v>
      </c>
      <c r="H2047" s="429">
        <v>45627</v>
      </c>
    </row>
    <row r="2048" spans="3:8" x14ac:dyDescent="0.25">
      <c r="C2048" s="427">
        <v>18</v>
      </c>
      <c r="D2048" s="427">
        <v>14</v>
      </c>
      <c r="E2048" s="428">
        <v>20.9</v>
      </c>
      <c r="F2048" s="4">
        <f t="shared" si="34"/>
        <v>0.99047619047619029</v>
      </c>
      <c r="G2048" s="37">
        <v>26.6</v>
      </c>
      <c r="H2048" s="429">
        <v>45627</v>
      </c>
    </row>
    <row r="2049" spans="3:8" x14ac:dyDescent="0.25">
      <c r="C2049" s="427">
        <v>19</v>
      </c>
      <c r="D2049" s="427">
        <v>17</v>
      </c>
      <c r="E2049" s="428">
        <v>18.899999999999999</v>
      </c>
      <c r="F2049" s="4">
        <f t="shared" si="34"/>
        <v>4.999999999999992E-2</v>
      </c>
      <c r="G2049" s="37">
        <v>26.6</v>
      </c>
      <c r="H2049" s="429">
        <v>45627</v>
      </c>
    </row>
    <row r="2050" spans="3:8" x14ac:dyDescent="0.25">
      <c r="C2050" s="430" t="s">
        <v>0</v>
      </c>
      <c r="D2050" s="430" t="s">
        <v>7</v>
      </c>
      <c r="E2050" s="431" t="s">
        <v>4</v>
      </c>
      <c r="F2050" s="4" t="str">
        <f t="shared" si="34"/>
        <v/>
      </c>
      <c r="G2050" s="37">
        <v>25.7</v>
      </c>
      <c r="H2050" s="432">
        <v>45628</v>
      </c>
    </row>
    <row r="2051" spans="3:8" x14ac:dyDescent="0.25">
      <c r="C2051" s="430">
        <v>1</v>
      </c>
      <c r="D2051" s="430">
        <v>44</v>
      </c>
      <c r="E2051" s="431">
        <v>27.2</v>
      </c>
      <c r="F2051" s="4">
        <f t="shared" ref="F2051:F2115" si="35">IFERROR((E2051-E2038)/E2038,"")</f>
        <v>-3.2028469750889757E-2</v>
      </c>
      <c r="G2051" s="37">
        <v>25.7</v>
      </c>
      <c r="H2051" s="432">
        <v>45628</v>
      </c>
    </row>
    <row r="2052" spans="3:8" x14ac:dyDescent="0.25">
      <c r="C2052" s="430">
        <v>2</v>
      </c>
      <c r="D2052" s="430">
        <v>70</v>
      </c>
      <c r="E2052" s="431">
        <v>29.9</v>
      </c>
      <c r="F2052" s="4">
        <f t="shared" si="35"/>
        <v>-6.5625000000000044E-2</v>
      </c>
      <c r="G2052" s="37">
        <v>25.7</v>
      </c>
      <c r="H2052" s="432">
        <v>45628</v>
      </c>
    </row>
    <row r="2053" spans="3:8" x14ac:dyDescent="0.25">
      <c r="C2053" s="430">
        <v>3</v>
      </c>
      <c r="D2053" s="430">
        <v>96</v>
      </c>
      <c r="E2053" s="431">
        <v>25.1</v>
      </c>
      <c r="F2053" s="4">
        <f t="shared" si="35"/>
        <v>-4.5627376425855487E-2</v>
      </c>
      <c r="G2053" s="37">
        <v>25.7</v>
      </c>
      <c r="H2053" s="432">
        <v>45628</v>
      </c>
    </row>
    <row r="2054" spans="3:8" x14ac:dyDescent="0.25">
      <c r="C2054" s="430">
        <v>4</v>
      </c>
      <c r="D2054" s="430">
        <v>104</v>
      </c>
      <c r="E2054" s="431">
        <v>20.6</v>
      </c>
      <c r="F2054" s="4">
        <f t="shared" si="35"/>
        <v>-8.4444444444444378E-2</v>
      </c>
      <c r="G2054" s="37">
        <v>25.7</v>
      </c>
      <c r="H2054" s="432">
        <v>45628</v>
      </c>
    </row>
    <row r="2055" spans="3:8" x14ac:dyDescent="0.25">
      <c r="C2055" s="430">
        <v>5</v>
      </c>
      <c r="D2055" s="430">
        <v>102</v>
      </c>
      <c r="E2055" s="431">
        <v>31.2</v>
      </c>
      <c r="F2055" s="4">
        <f t="shared" si="35"/>
        <v>-4.2944785276073684E-2</v>
      </c>
      <c r="G2055" s="37">
        <v>25.7</v>
      </c>
      <c r="H2055" s="432">
        <v>45628</v>
      </c>
    </row>
    <row r="2056" spans="3:8" x14ac:dyDescent="0.25">
      <c r="C2056" s="430">
        <v>6</v>
      </c>
      <c r="D2056" s="430">
        <v>0</v>
      </c>
      <c r="E2056" s="431"/>
      <c r="F2056" s="4" t="str">
        <f t="shared" si="35"/>
        <v/>
      </c>
      <c r="G2056" s="37">
        <v>25.7</v>
      </c>
      <c r="H2056" s="432">
        <v>45628</v>
      </c>
    </row>
    <row r="2057" spans="3:8" x14ac:dyDescent="0.25">
      <c r="C2057" s="430">
        <v>7</v>
      </c>
      <c r="D2057" s="430">
        <v>78</v>
      </c>
      <c r="E2057" s="431">
        <v>22.3</v>
      </c>
      <c r="F2057" s="4">
        <f t="shared" si="35"/>
        <v>-5.1063829787234012E-2</v>
      </c>
      <c r="G2057" s="37">
        <v>25.7</v>
      </c>
      <c r="H2057" s="432">
        <v>45628</v>
      </c>
    </row>
    <row r="2058" spans="3:8" x14ac:dyDescent="0.25">
      <c r="C2058" s="430">
        <v>8</v>
      </c>
      <c r="D2058" s="430">
        <v>87</v>
      </c>
      <c r="E2058" s="431">
        <v>18.399999999999999</v>
      </c>
      <c r="F2058" s="4">
        <f t="shared" si="35"/>
        <v>5.4644808743168228E-3</v>
      </c>
      <c r="G2058" s="37">
        <v>25.7</v>
      </c>
      <c r="H2058" s="432">
        <v>45628</v>
      </c>
    </row>
    <row r="2059" spans="3:8" x14ac:dyDescent="0.25">
      <c r="C2059" s="430">
        <v>9</v>
      </c>
      <c r="D2059" s="430">
        <v>0</v>
      </c>
      <c r="E2059" s="431"/>
      <c r="F2059" s="4" t="str">
        <f t="shared" si="35"/>
        <v/>
      </c>
      <c r="G2059" s="37">
        <v>25.7</v>
      </c>
      <c r="H2059" s="432">
        <v>45628</v>
      </c>
    </row>
    <row r="2060" spans="3:8" x14ac:dyDescent="0.25">
      <c r="C2060" s="430">
        <v>10</v>
      </c>
      <c r="D2060" s="430">
        <v>39</v>
      </c>
      <c r="E2060" s="431">
        <v>17.5</v>
      </c>
      <c r="F2060" s="4">
        <f t="shared" si="35"/>
        <v>-0.125</v>
      </c>
      <c r="G2060" s="37">
        <v>25.7</v>
      </c>
      <c r="H2060" s="432">
        <v>45628</v>
      </c>
    </row>
    <row r="2061" spans="3:8" x14ac:dyDescent="0.25">
      <c r="C2061" s="430">
        <v>18</v>
      </c>
      <c r="D2061" s="430">
        <v>12</v>
      </c>
      <c r="E2061" s="431">
        <v>20.2</v>
      </c>
      <c r="F2061" s="4">
        <f t="shared" si="35"/>
        <v>-3.3492822966507144E-2</v>
      </c>
      <c r="G2061" s="37">
        <v>25.7</v>
      </c>
      <c r="H2061" s="432">
        <v>45628</v>
      </c>
    </row>
    <row r="2062" spans="3:8" x14ac:dyDescent="0.25">
      <c r="C2062" s="430">
        <v>19</v>
      </c>
      <c r="D2062" s="430">
        <v>18</v>
      </c>
      <c r="E2062" s="431">
        <v>21.9</v>
      </c>
      <c r="F2062" s="4">
        <f t="shared" si="35"/>
        <v>0.15873015873015875</v>
      </c>
      <c r="G2062" s="37">
        <v>25.7</v>
      </c>
      <c r="H2062" s="432">
        <v>45628</v>
      </c>
    </row>
    <row r="2063" spans="3:8" x14ac:dyDescent="0.25">
      <c r="C2063" s="433" t="s">
        <v>0</v>
      </c>
      <c r="D2063" s="433" t="s">
        <v>7</v>
      </c>
      <c r="E2063" s="434" t="s">
        <v>4</v>
      </c>
      <c r="F2063" s="4" t="str">
        <f t="shared" si="35"/>
        <v/>
      </c>
      <c r="G2063" s="37">
        <v>26.6</v>
      </c>
      <c r="H2063" s="435">
        <v>45629</v>
      </c>
    </row>
    <row r="2064" spans="3:8" x14ac:dyDescent="0.25">
      <c r="C2064" s="433">
        <v>1</v>
      </c>
      <c r="D2064" s="433">
        <v>33</v>
      </c>
      <c r="E2064" s="434">
        <v>29.6</v>
      </c>
      <c r="F2064" s="4">
        <f t="shared" si="35"/>
        <v>8.8235294117647134E-2</v>
      </c>
      <c r="G2064" s="37">
        <v>26.6</v>
      </c>
      <c r="H2064" s="435">
        <v>45629</v>
      </c>
    </row>
    <row r="2065" spans="3:8" x14ac:dyDescent="0.25">
      <c r="C2065" s="433">
        <v>2</v>
      </c>
      <c r="D2065" s="433">
        <v>78</v>
      </c>
      <c r="E2065" s="434">
        <v>32.700000000000003</v>
      </c>
      <c r="F2065" s="4">
        <f t="shared" si="35"/>
        <v>9.3645484949832922E-2</v>
      </c>
      <c r="G2065" s="37">
        <v>26.6</v>
      </c>
      <c r="H2065" s="435">
        <v>45629</v>
      </c>
    </row>
    <row r="2066" spans="3:8" x14ac:dyDescent="0.25">
      <c r="C2066" s="433">
        <v>3</v>
      </c>
      <c r="D2066" s="433">
        <v>96</v>
      </c>
      <c r="E2066" s="434">
        <v>25.5</v>
      </c>
      <c r="F2066" s="4">
        <f t="shared" si="35"/>
        <v>1.5936254980079625E-2</v>
      </c>
      <c r="G2066" s="37">
        <v>26.6</v>
      </c>
      <c r="H2066" s="435">
        <v>45629</v>
      </c>
    </row>
    <row r="2067" spans="3:8" x14ac:dyDescent="0.25">
      <c r="C2067" s="433">
        <v>4</v>
      </c>
      <c r="D2067" s="433">
        <v>104</v>
      </c>
      <c r="E2067" s="434">
        <v>22.5</v>
      </c>
      <c r="F2067" s="4">
        <f t="shared" si="35"/>
        <v>9.2233009708737795E-2</v>
      </c>
      <c r="G2067" s="37">
        <v>26.6</v>
      </c>
      <c r="H2067" s="435">
        <v>45629</v>
      </c>
    </row>
    <row r="2068" spans="3:8" x14ac:dyDescent="0.25">
      <c r="C2068" s="433">
        <v>5</v>
      </c>
      <c r="D2068" s="433">
        <v>106</v>
      </c>
      <c r="E2068" s="434">
        <v>33</v>
      </c>
      <c r="F2068" s="4">
        <f t="shared" si="35"/>
        <v>5.7692307692307716E-2</v>
      </c>
      <c r="G2068" s="37">
        <v>26.6</v>
      </c>
      <c r="H2068" s="435">
        <v>45629</v>
      </c>
    </row>
    <row r="2069" spans="3:8" x14ac:dyDescent="0.25">
      <c r="C2069" s="433">
        <v>6</v>
      </c>
      <c r="D2069" s="433">
        <v>0</v>
      </c>
      <c r="E2069" s="434"/>
      <c r="F2069" s="4" t="str">
        <f t="shared" si="35"/>
        <v/>
      </c>
      <c r="G2069" s="37">
        <v>26.6</v>
      </c>
      <c r="H2069" s="435">
        <v>45629</v>
      </c>
    </row>
    <row r="2070" spans="3:8" x14ac:dyDescent="0.25">
      <c r="C2070" s="433">
        <v>7</v>
      </c>
      <c r="D2070" s="433">
        <v>78</v>
      </c>
      <c r="E2070" s="434">
        <v>23.3</v>
      </c>
      <c r="F2070" s="4">
        <f t="shared" si="35"/>
        <v>4.4843049327354258E-2</v>
      </c>
      <c r="G2070" s="37">
        <v>26.6</v>
      </c>
      <c r="H2070" s="435">
        <v>45629</v>
      </c>
    </row>
    <row r="2071" spans="3:8" x14ac:dyDescent="0.25">
      <c r="C2071" s="433">
        <v>8</v>
      </c>
      <c r="D2071" s="433">
        <v>86</v>
      </c>
      <c r="E2071" s="434">
        <v>18.3</v>
      </c>
      <c r="F2071" s="4">
        <f t="shared" si="35"/>
        <v>-5.4347826086955367E-3</v>
      </c>
      <c r="G2071" s="37">
        <v>26.6</v>
      </c>
      <c r="H2071" s="435">
        <v>45629</v>
      </c>
    </row>
    <row r="2072" spans="3:8" x14ac:dyDescent="0.25">
      <c r="C2072" s="433">
        <v>9</v>
      </c>
      <c r="D2072" s="433">
        <v>0</v>
      </c>
      <c r="E2072" s="434"/>
      <c r="F2072" s="4" t="str">
        <f t="shared" si="35"/>
        <v/>
      </c>
      <c r="G2072" s="37">
        <v>26.6</v>
      </c>
      <c r="H2072" s="435">
        <v>45629</v>
      </c>
    </row>
    <row r="2073" spans="3:8" x14ac:dyDescent="0.25">
      <c r="C2073" s="433">
        <v>10</v>
      </c>
      <c r="D2073" s="433">
        <v>39</v>
      </c>
      <c r="E2073" s="434">
        <v>18.899999999999999</v>
      </c>
      <c r="F2073" s="4">
        <f t="shared" si="35"/>
        <v>7.9999999999999918E-2</v>
      </c>
      <c r="G2073" s="37">
        <v>26.6</v>
      </c>
      <c r="H2073" s="435">
        <v>45629</v>
      </c>
    </row>
    <row r="2074" spans="3:8" x14ac:dyDescent="0.25">
      <c r="C2074" s="433">
        <v>18</v>
      </c>
      <c r="D2074" s="433">
        <v>9</v>
      </c>
      <c r="E2074" s="434">
        <v>18.8</v>
      </c>
      <c r="F2074" s="4">
        <f t="shared" si="35"/>
        <v>-6.9306930693069244E-2</v>
      </c>
      <c r="G2074" s="37">
        <v>26.6</v>
      </c>
      <c r="H2074" s="435">
        <v>45629</v>
      </c>
    </row>
    <row r="2075" spans="3:8" x14ac:dyDescent="0.25">
      <c r="C2075" s="433">
        <v>19</v>
      </c>
      <c r="D2075" s="433">
        <v>20</v>
      </c>
      <c r="E2075" s="434">
        <v>13</v>
      </c>
      <c r="F2075" s="4">
        <f t="shared" si="35"/>
        <v>-0.40639269406392692</v>
      </c>
      <c r="G2075" s="37">
        <v>26.6</v>
      </c>
      <c r="H2075" s="435">
        <v>45629</v>
      </c>
    </row>
    <row r="2076" spans="3:8" x14ac:dyDescent="0.25">
      <c r="C2076" s="436" t="s">
        <v>0</v>
      </c>
      <c r="D2076" s="436" t="s">
        <v>7</v>
      </c>
      <c r="E2076" s="437" t="s">
        <v>4</v>
      </c>
      <c r="F2076" s="4" t="str">
        <f t="shared" si="35"/>
        <v/>
      </c>
      <c r="G2076" s="37">
        <v>26</v>
      </c>
      <c r="H2076" s="438">
        <v>45630</v>
      </c>
    </row>
    <row r="2077" spans="3:8" x14ac:dyDescent="0.25">
      <c r="C2077" s="436">
        <v>1</v>
      </c>
      <c r="D2077" s="436">
        <v>33</v>
      </c>
      <c r="E2077" s="437">
        <v>27.1</v>
      </c>
      <c r="F2077" s="4">
        <f t="shared" si="35"/>
        <v>-8.4459459459459457E-2</v>
      </c>
      <c r="G2077" s="37">
        <v>26</v>
      </c>
      <c r="H2077" s="438">
        <v>45630</v>
      </c>
    </row>
    <row r="2078" spans="3:8" x14ac:dyDescent="0.25">
      <c r="C2078" s="436">
        <v>2</v>
      </c>
      <c r="D2078" s="436">
        <v>78</v>
      </c>
      <c r="E2078" s="437">
        <v>31.9</v>
      </c>
      <c r="F2078" s="4">
        <f t="shared" si="35"/>
        <v>-2.4464831804281474E-2</v>
      </c>
      <c r="G2078" s="37">
        <v>26</v>
      </c>
      <c r="H2078" s="438">
        <v>45630</v>
      </c>
    </row>
    <row r="2079" spans="3:8" x14ac:dyDescent="0.25">
      <c r="C2079" s="436">
        <v>3</v>
      </c>
      <c r="D2079" s="436">
        <v>96</v>
      </c>
      <c r="E2079" s="437">
        <v>25.3</v>
      </c>
      <c r="F2079" s="4">
        <f t="shared" si="35"/>
        <v>-7.8431372549019329E-3</v>
      </c>
      <c r="G2079" s="37">
        <v>26</v>
      </c>
      <c r="H2079" s="438">
        <v>45630</v>
      </c>
    </row>
    <row r="2080" spans="3:8" x14ac:dyDescent="0.25">
      <c r="C2080" s="436">
        <v>4</v>
      </c>
      <c r="D2080" s="436">
        <v>104</v>
      </c>
      <c r="E2080" s="437">
        <v>21.8</v>
      </c>
      <c r="F2080" s="4">
        <f t="shared" si="35"/>
        <v>-3.1111111111111079E-2</v>
      </c>
      <c r="G2080" s="37">
        <v>26</v>
      </c>
      <c r="H2080" s="438">
        <v>45630</v>
      </c>
    </row>
    <row r="2081" spans="3:8" x14ac:dyDescent="0.25">
      <c r="C2081" s="436">
        <v>5</v>
      </c>
      <c r="D2081" s="436">
        <v>106</v>
      </c>
      <c r="E2081" s="437">
        <v>32.9</v>
      </c>
      <c r="F2081" s="4">
        <f t="shared" si="35"/>
        <v>-3.0303030303030732E-3</v>
      </c>
      <c r="G2081" s="37">
        <v>26</v>
      </c>
      <c r="H2081" s="438">
        <v>45630</v>
      </c>
    </row>
    <row r="2082" spans="3:8" x14ac:dyDescent="0.25">
      <c r="C2082" s="436">
        <v>6</v>
      </c>
      <c r="D2082" s="436">
        <v>0</v>
      </c>
      <c r="E2082" s="437"/>
      <c r="F2082" s="4" t="str">
        <f t="shared" si="35"/>
        <v/>
      </c>
      <c r="G2082" s="37">
        <v>26</v>
      </c>
      <c r="H2082" s="438">
        <v>45630</v>
      </c>
    </row>
    <row r="2083" spans="3:8" x14ac:dyDescent="0.25">
      <c r="C2083" s="436">
        <v>7</v>
      </c>
      <c r="D2083" s="436">
        <v>77</v>
      </c>
      <c r="E2083" s="437">
        <v>22.2</v>
      </c>
      <c r="F2083" s="4">
        <f t="shared" si="35"/>
        <v>-4.7210300429184608E-2</v>
      </c>
      <c r="G2083" s="37">
        <v>26</v>
      </c>
      <c r="H2083" s="438">
        <v>45630</v>
      </c>
    </row>
    <row r="2084" spans="3:8" x14ac:dyDescent="0.25">
      <c r="C2084" s="436">
        <v>8</v>
      </c>
      <c r="D2084" s="436">
        <v>86</v>
      </c>
      <c r="E2084" s="437">
        <v>17.8</v>
      </c>
      <c r="F2084" s="4">
        <f t="shared" si="35"/>
        <v>-2.7322404371584699E-2</v>
      </c>
      <c r="G2084" s="37">
        <v>26</v>
      </c>
      <c r="H2084" s="438">
        <v>45630</v>
      </c>
    </row>
    <row r="2085" spans="3:8" x14ac:dyDescent="0.25">
      <c r="C2085" s="436">
        <v>9</v>
      </c>
      <c r="D2085" s="436">
        <v>0</v>
      </c>
      <c r="E2085" s="437"/>
      <c r="F2085" s="4" t="str">
        <f t="shared" si="35"/>
        <v/>
      </c>
      <c r="G2085" s="37">
        <v>26</v>
      </c>
      <c r="H2085" s="438">
        <v>45630</v>
      </c>
    </row>
    <row r="2086" spans="3:8" x14ac:dyDescent="0.25">
      <c r="C2086" s="436">
        <v>10</v>
      </c>
      <c r="D2086" s="436">
        <v>37</v>
      </c>
      <c r="E2086" s="437">
        <v>19.899999999999999</v>
      </c>
      <c r="F2086" s="4">
        <f t="shared" si="35"/>
        <v>5.2910052910052914E-2</v>
      </c>
      <c r="G2086" s="37">
        <v>26</v>
      </c>
      <c r="H2086" s="438">
        <v>45630</v>
      </c>
    </row>
    <row r="2087" spans="3:8" x14ac:dyDescent="0.25">
      <c r="C2087" s="436">
        <v>18</v>
      </c>
      <c r="D2087" s="436">
        <v>12</v>
      </c>
      <c r="E2087" s="437">
        <v>11.6</v>
      </c>
      <c r="F2087" s="4">
        <f t="shared" si="35"/>
        <v>-0.38297872340425537</v>
      </c>
      <c r="G2087" s="37">
        <v>26</v>
      </c>
      <c r="H2087" s="438">
        <v>45630</v>
      </c>
    </row>
    <row r="2088" spans="3:8" x14ac:dyDescent="0.25">
      <c r="C2088" s="436">
        <v>19</v>
      </c>
      <c r="D2088" s="436">
        <v>21</v>
      </c>
      <c r="E2088" s="437">
        <v>22.8</v>
      </c>
      <c r="F2088" s="4">
        <f t="shared" si="35"/>
        <v>0.75384615384615394</v>
      </c>
      <c r="G2088" s="37">
        <v>26</v>
      </c>
      <c r="H2088" s="438">
        <v>45630</v>
      </c>
    </row>
    <row r="2089" spans="3:8" x14ac:dyDescent="0.25">
      <c r="C2089" s="439" t="s">
        <v>0</v>
      </c>
      <c r="D2089" s="439" t="s">
        <v>7</v>
      </c>
      <c r="E2089" s="440" t="s">
        <v>4</v>
      </c>
      <c r="F2089" s="4" t="str">
        <f t="shared" si="35"/>
        <v/>
      </c>
      <c r="G2089" s="37">
        <v>27.1</v>
      </c>
      <c r="H2089" s="441">
        <v>45631</v>
      </c>
    </row>
    <row r="2090" spans="3:8" x14ac:dyDescent="0.25">
      <c r="C2090" s="439">
        <v>1</v>
      </c>
      <c r="D2090" s="439">
        <v>34</v>
      </c>
      <c r="E2090" s="440">
        <v>27.1</v>
      </c>
      <c r="F2090" s="4">
        <f t="shared" si="35"/>
        <v>0</v>
      </c>
      <c r="G2090" s="37">
        <v>27.1</v>
      </c>
      <c r="H2090" s="441">
        <v>45631</v>
      </c>
    </row>
    <row r="2091" spans="3:8" x14ac:dyDescent="0.25">
      <c r="C2091" s="439">
        <v>2</v>
      </c>
      <c r="D2091" s="439">
        <v>78</v>
      </c>
      <c r="E2091" s="440">
        <v>32.299999999999997</v>
      </c>
      <c r="F2091" s="4">
        <f t="shared" si="35"/>
        <v>1.2539184952978013E-2</v>
      </c>
      <c r="G2091" s="37">
        <v>27.1</v>
      </c>
      <c r="H2091" s="441">
        <v>45631</v>
      </c>
    </row>
    <row r="2092" spans="3:8" x14ac:dyDescent="0.25">
      <c r="C2092" s="439">
        <v>3</v>
      </c>
      <c r="D2092" s="439">
        <v>95</v>
      </c>
      <c r="E2092" s="440">
        <v>26.6</v>
      </c>
      <c r="F2092" s="4">
        <f t="shared" si="35"/>
        <v>5.1383399209486195E-2</v>
      </c>
      <c r="G2092" s="37">
        <v>27.1</v>
      </c>
      <c r="H2092" s="441">
        <v>45631</v>
      </c>
    </row>
    <row r="2093" spans="3:8" x14ac:dyDescent="0.25">
      <c r="C2093" s="439">
        <v>4</v>
      </c>
      <c r="D2093" s="439">
        <v>104</v>
      </c>
      <c r="E2093" s="440">
        <v>22.6</v>
      </c>
      <c r="F2093" s="4">
        <f t="shared" si="35"/>
        <v>3.6697247706422048E-2</v>
      </c>
      <c r="G2093" s="37">
        <v>27.1</v>
      </c>
      <c r="H2093" s="441">
        <v>45631</v>
      </c>
    </row>
    <row r="2094" spans="3:8" x14ac:dyDescent="0.25">
      <c r="C2094" s="439">
        <v>5</v>
      </c>
      <c r="D2094" s="439">
        <v>106</v>
      </c>
      <c r="E2094" s="440">
        <v>34.200000000000003</v>
      </c>
      <c r="F2094" s="4">
        <f t="shared" si="35"/>
        <v>3.9513677811550282E-2</v>
      </c>
      <c r="G2094" s="37">
        <v>27.1</v>
      </c>
      <c r="H2094" s="441">
        <v>45631</v>
      </c>
    </row>
    <row r="2095" spans="3:8" x14ac:dyDescent="0.25">
      <c r="C2095" s="439">
        <v>6</v>
      </c>
      <c r="D2095" s="439">
        <v>0</v>
      </c>
      <c r="E2095" s="440"/>
      <c r="F2095" s="4" t="str">
        <f t="shared" si="35"/>
        <v/>
      </c>
      <c r="G2095" s="37">
        <v>27.1</v>
      </c>
      <c r="H2095" s="441">
        <v>45631</v>
      </c>
    </row>
    <row r="2096" spans="3:8" x14ac:dyDescent="0.25">
      <c r="C2096" s="439">
        <v>7</v>
      </c>
      <c r="D2096" s="439">
        <v>77</v>
      </c>
      <c r="E2096" s="440">
        <v>23.1</v>
      </c>
      <c r="F2096" s="4">
        <f t="shared" si="35"/>
        <v>4.054054054054064E-2</v>
      </c>
      <c r="G2096" s="37">
        <v>27.1</v>
      </c>
      <c r="H2096" s="441">
        <v>45631</v>
      </c>
    </row>
    <row r="2097" spans="3:8" x14ac:dyDescent="0.25">
      <c r="C2097" s="439">
        <v>8</v>
      </c>
      <c r="D2097" s="439">
        <v>86</v>
      </c>
      <c r="E2097" s="440">
        <v>19.3</v>
      </c>
      <c r="F2097" s="4">
        <f t="shared" si="35"/>
        <v>8.4269662921348312E-2</v>
      </c>
      <c r="G2097" s="37">
        <v>27.1</v>
      </c>
      <c r="H2097" s="441">
        <v>45631</v>
      </c>
    </row>
    <row r="2098" spans="3:8" x14ac:dyDescent="0.25">
      <c r="C2098" s="439">
        <v>9</v>
      </c>
      <c r="D2098" s="439">
        <v>0</v>
      </c>
      <c r="E2098" s="440"/>
      <c r="F2098" s="4" t="str">
        <f t="shared" si="35"/>
        <v/>
      </c>
      <c r="G2098" s="37">
        <v>27.1</v>
      </c>
      <c r="H2098" s="441">
        <v>45631</v>
      </c>
    </row>
    <row r="2099" spans="3:8" x14ac:dyDescent="0.25">
      <c r="C2099" s="439">
        <v>10</v>
      </c>
      <c r="D2099" s="439">
        <v>37</v>
      </c>
      <c r="E2099" s="440">
        <v>20.2</v>
      </c>
      <c r="F2099" s="4">
        <f t="shared" si="35"/>
        <v>1.5075376884422148E-2</v>
      </c>
      <c r="G2099" s="37">
        <v>27.1</v>
      </c>
      <c r="H2099" s="441">
        <v>45631</v>
      </c>
    </row>
    <row r="2100" spans="3:8" x14ac:dyDescent="0.25">
      <c r="C2100" s="439">
        <v>18</v>
      </c>
      <c r="D2100" s="439">
        <v>11</v>
      </c>
      <c r="E2100" s="440">
        <v>9.9</v>
      </c>
      <c r="F2100" s="4">
        <f t="shared" si="35"/>
        <v>-0.14655172413793097</v>
      </c>
      <c r="G2100" s="37">
        <v>27.1</v>
      </c>
      <c r="H2100" s="441">
        <v>45631</v>
      </c>
    </row>
    <row r="2101" spans="3:8" x14ac:dyDescent="0.25">
      <c r="C2101" s="439">
        <v>19</v>
      </c>
      <c r="D2101" s="439">
        <v>22</v>
      </c>
      <c r="E2101" s="440">
        <v>20.9</v>
      </c>
      <c r="F2101" s="4">
        <f t="shared" si="35"/>
        <v>-8.3333333333333426E-2</v>
      </c>
      <c r="G2101" s="37">
        <v>27.1</v>
      </c>
      <c r="H2101" s="441">
        <v>45631</v>
      </c>
    </row>
    <row r="2102" spans="3:8" x14ac:dyDescent="0.25">
      <c r="C2102" s="442" t="s">
        <v>0</v>
      </c>
      <c r="D2102" s="442" t="s">
        <v>7</v>
      </c>
      <c r="E2102" s="443" t="s">
        <v>4</v>
      </c>
      <c r="F2102" s="4" t="str">
        <f t="shared" si="35"/>
        <v/>
      </c>
      <c r="G2102" s="37">
        <v>25.9</v>
      </c>
      <c r="H2102" s="441">
        <v>45632</v>
      </c>
    </row>
    <row r="2103" spans="3:8" x14ac:dyDescent="0.25">
      <c r="C2103" s="442">
        <v>1</v>
      </c>
      <c r="D2103" s="442">
        <v>38</v>
      </c>
      <c r="E2103" s="443">
        <v>27</v>
      </c>
      <c r="F2103" s="4">
        <f t="shared" si="35"/>
        <v>-3.6900369003690561E-3</v>
      </c>
      <c r="G2103" s="37">
        <v>25.9</v>
      </c>
      <c r="H2103" s="441">
        <v>45632</v>
      </c>
    </row>
    <row r="2104" spans="3:8" x14ac:dyDescent="0.25">
      <c r="C2104" s="442">
        <v>2</v>
      </c>
      <c r="D2104" s="442">
        <v>81</v>
      </c>
      <c r="E2104" s="443">
        <v>30.4</v>
      </c>
      <c r="F2104" s="4">
        <f t="shared" si="35"/>
        <v>-5.882352941176467E-2</v>
      </c>
      <c r="G2104" s="37">
        <v>25.9</v>
      </c>
      <c r="H2104" s="441">
        <v>45632</v>
      </c>
    </row>
    <row r="2105" spans="3:8" x14ac:dyDescent="0.25">
      <c r="C2105" s="442">
        <v>3</v>
      </c>
      <c r="D2105" s="442">
        <v>95</v>
      </c>
      <c r="E2105" s="443">
        <v>25.3</v>
      </c>
      <c r="F2105" s="4">
        <f t="shared" si="35"/>
        <v>-4.8872180451127845E-2</v>
      </c>
      <c r="G2105" s="37">
        <v>25.9</v>
      </c>
      <c r="H2105" s="441">
        <v>45632</v>
      </c>
    </row>
    <row r="2106" spans="3:8" x14ac:dyDescent="0.25">
      <c r="C2106" s="442">
        <v>4</v>
      </c>
      <c r="D2106" s="442">
        <v>99</v>
      </c>
      <c r="E2106" s="443">
        <v>22.2</v>
      </c>
      <c r="F2106" s="4">
        <f t="shared" si="35"/>
        <v>-1.7699115044247881E-2</v>
      </c>
      <c r="G2106" s="37">
        <v>25.9</v>
      </c>
      <c r="H2106" s="441">
        <v>45632</v>
      </c>
    </row>
    <row r="2107" spans="3:8" x14ac:dyDescent="0.25">
      <c r="C2107" s="442">
        <v>5</v>
      </c>
      <c r="D2107" s="442">
        <v>105</v>
      </c>
      <c r="E2107" s="443">
        <v>32.4</v>
      </c>
      <c r="F2107" s="4">
        <f t="shared" si="35"/>
        <v>-5.2631578947368543E-2</v>
      </c>
      <c r="G2107" s="37">
        <v>25.9</v>
      </c>
      <c r="H2107" s="441">
        <v>45632</v>
      </c>
    </row>
    <row r="2108" spans="3:8" x14ac:dyDescent="0.25">
      <c r="C2108" s="442">
        <v>6</v>
      </c>
      <c r="D2108" s="442">
        <v>0</v>
      </c>
      <c r="E2108" s="443"/>
      <c r="F2108" s="4" t="str">
        <f t="shared" si="35"/>
        <v/>
      </c>
      <c r="G2108" s="37">
        <v>25.9</v>
      </c>
      <c r="H2108" s="441">
        <v>45632</v>
      </c>
    </row>
    <row r="2109" spans="3:8" x14ac:dyDescent="0.25">
      <c r="C2109" s="442">
        <v>7</v>
      </c>
      <c r="D2109" s="442">
        <v>76</v>
      </c>
      <c r="E2109" s="443">
        <v>22.6</v>
      </c>
      <c r="F2109" s="4">
        <f t="shared" si="35"/>
        <v>-2.1645021645021644E-2</v>
      </c>
      <c r="G2109" s="37">
        <v>25.9</v>
      </c>
      <c r="H2109" s="441">
        <v>45632</v>
      </c>
    </row>
    <row r="2110" spans="3:8" x14ac:dyDescent="0.25">
      <c r="C2110" s="442">
        <v>8</v>
      </c>
      <c r="D2110" s="442">
        <v>84</v>
      </c>
      <c r="E2110" s="443">
        <v>17.3</v>
      </c>
      <c r="F2110" s="4">
        <f t="shared" si="35"/>
        <v>-0.10362694300518134</v>
      </c>
      <c r="G2110" s="37">
        <v>25.9</v>
      </c>
      <c r="H2110" s="441">
        <v>45632</v>
      </c>
    </row>
    <row r="2111" spans="3:8" x14ac:dyDescent="0.25">
      <c r="C2111" s="442">
        <v>9</v>
      </c>
      <c r="D2111" s="442">
        <v>0</v>
      </c>
      <c r="E2111" s="443"/>
      <c r="F2111" s="4" t="str">
        <f t="shared" si="35"/>
        <v/>
      </c>
      <c r="G2111" s="37">
        <v>25.9</v>
      </c>
      <c r="H2111" s="441">
        <v>45632</v>
      </c>
    </row>
    <row r="2112" spans="3:8" x14ac:dyDescent="0.25">
      <c r="C2112" s="442">
        <v>10</v>
      </c>
      <c r="D2112" s="442">
        <v>36</v>
      </c>
      <c r="E2112" s="443">
        <v>19.7</v>
      </c>
      <c r="F2112" s="4">
        <f t="shared" si="35"/>
        <v>-2.4752475247524754E-2</v>
      </c>
      <c r="G2112" s="37">
        <v>25.9</v>
      </c>
      <c r="H2112" s="441">
        <v>45632</v>
      </c>
    </row>
    <row r="2113" spans="3:8" x14ac:dyDescent="0.25">
      <c r="C2113" s="442">
        <v>18</v>
      </c>
      <c r="D2113" s="442">
        <v>13</v>
      </c>
      <c r="E2113" s="443">
        <v>13.2</v>
      </c>
      <c r="F2113" s="4">
        <f t="shared" si="35"/>
        <v>0.3333333333333332</v>
      </c>
      <c r="G2113" s="37">
        <v>25.9</v>
      </c>
      <c r="H2113" s="441">
        <v>45632</v>
      </c>
    </row>
    <row r="2114" spans="3:8" x14ac:dyDescent="0.25">
      <c r="C2114" s="442">
        <v>19</v>
      </c>
      <c r="D2114" s="442">
        <v>16</v>
      </c>
      <c r="E2114" s="443">
        <v>22.3</v>
      </c>
      <c r="F2114" s="4">
        <f t="shared" si="35"/>
        <v>6.6985645933014454E-2</v>
      </c>
      <c r="G2114" s="37">
        <v>25.9</v>
      </c>
      <c r="H2114" s="441">
        <v>45632</v>
      </c>
    </row>
    <row r="2115" spans="3:8" x14ac:dyDescent="0.25">
      <c r="C2115" s="444" t="s">
        <v>0</v>
      </c>
      <c r="D2115" s="444" t="s">
        <v>7</v>
      </c>
      <c r="E2115" s="445" t="s">
        <v>4</v>
      </c>
      <c r="F2115" s="4" t="str">
        <f t="shared" si="35"/>
        <v/>
      </c>
      <c r="G2115" s="37">
        <v>27</v>
      </c>
      <c r="H2115" s="446">
        <v>45633</v>
      </c>
    </row>
    <row r="2116" spans="3:8" x14ac:dyDescent="0.25">
      <c r="C2116" s="444">
        <v>1</v>
      </c>
      <c r="D2116" s="444">
        <v>37</v>
      </c>
      <c r="E2116" s="445">
        <v>26.5</v>
      </c>
      <c r="F2116" s="4">
        <f t="shared" ref="F2116:F2180" si="36">IFERROR((E2116-E2103)/E2103,"")</f>
        <v>-1.8518518518518517E-2</v>
      </c>
      <c r="G2116" s="37">
        <v>27</v>
      </c>
      <c r="H2116" s="446">
        <v>45633</v>
      </c>
    </row>
    <row r="2117" spans="3:8" x14ac:dyDescent="0.25">
      <c r="C2117" s="444">
        <v>2</v>
      </c>
      <c r="D2117" s="444">
        <v>70</v>
      </c>
      <c r="E2117" s="445">
        <v>32.4</v>
      </c>
      <c r="F2117" s="4">
        <f t="shared" si="36"/>
        <v>6.5789473684210523E-2</v>
      </c>
      <c r="G2117" s="37">
        <v>27</v>
      </c>
      <c r="H2117" s="446">
        <v>45633</v>
      </c>
    </row>
    <row r="2118" spans="3:8" x14ac:dyDescent="0.25">
      <c r="C2118" s="444">
        <v>3</v>
      </c>
      <c r="D2118" s="444">
        <v>92</v>
      </c>
      <c r="E2118" s="445">
        <v>25.3</v>
      </c>
      <c r="F2118" s="4">
        <f t="shared" si="36"/>
        <v>0</v>
      </c>
      <c r="G2118" s="37">
        <v>27</v>
      </c>
      <c r="H2118" s="446">
        <v>45633</v>
      </c>
    </row>
    <row r="2119" spans="3:8" x14ac:dyDescent="0.25">
      <c r="C2119" s="444">
        <v>4</v>
      </c>
      <c r="D2119" s="444">
        <v>104</v>
      </c>
      <c r="E2119" s="445">
        <v>23.3</v>
      </c>
      <c r="F2119" s="4">
        <f t="shared" si="36"/>
        <v>4.9549549549549612E-2</v>
      </c>
      <c r="G2119" s="37">
        <v>27</v>
      </c>
      <c r="H2119" s="446">
        <v>45633</v>
      </c>
    </row>
    <row r="2120" spans="3:8" x14ac:dyDescent="0.25">
      <c r="C2120" s="444">
        <v>5</v>
      </c>
      <c r="D2120" s="444">
        <v>96</v>
      </c>
      <c r="E2120" s="445">
        <v>32.6</v>
      </c>
      <c r="F2120" s="4">
        <f t="shared" si="36"/>
        <v>6.1728395061729276E-3</v>
      </c>
      <c r="G2120" s="37">
        <v>27</v>
      </c>
      <c r="H2120" s="446">
        <v>45633</v>
      </c>
    </row>
    <row r="2121" spans="3:8" x14ac:dyDescent="0.25">
      <c r="C2121" s="444">
        <v>6</v>
      </c>
      <c r="D2121" s="444">
        <v>0</v>
      </c>
      <c r="E2121" s="445"/>
      <c r="F2121" s="4" t="str">
        <f t="shared" si="36"/>
        <v/>
      </c>
      <c r="G2121" s="37">
        <v>27</v>
      </c>
      <c r="H2121" s="446">
        <v>45633</v>
      </c>
    </row>
    <row r="2122" spans="3:8" x14ac:dyDescent="0.25">
      <c r="C2122" s="444">
        <v>7</v>
      </c>
      <c r="D2122" s="444">
        <v>66</v>
      </c>
      <c r="E2122" s="445">
        <v>21.9</v>
      </c>
      <c r="F2122" s="4">
        <f t="shared" si="36"/>
        <v>-3.0973451327433753E-2</v>
      </c>
      <c r="G2122" s="37">
        <v>27</v>
      </c>
      <c r="H2122" s="446">
        <v>45633</v>
      </c>
    </row>
    <row r="2123" spans="3:8" x14ac:dyDescent="0.25">
      <c r="C2123" s="444">
        <v>8</v>
      </c>
      <c r="D2123" s="444">
        <v>87</v>
      </c>
      <c r="E2123" s="445">
        <v>18.8</v>
      </c>
      <c r="F2123" s="4">
        <f t="shared" si="36"/>
        <v>8.6705202312138727E-2</v>
      </c>
      <c r="G2123" s="37">
        <v>27</v>
      </c>
      <c r="H2123" s="446">
        <v>45633</v>
      </c>
    </row>
    <row r="2124" spans="3:8" x14ac:dyDescent="0.25">
      <c r="C2124" s="444">
        <v>9</v>
      </c>
      <c r="D2124" s="444">
        <v>0</v>
      </c>
      <c r="E2124" s="445"/>
      <c r="F2124" s="4" t="str">
        <f t="shared" si="36"/>
        <v/>
      </c>
      <c r="G2124" s="37">
        <v>27</v>
      </c>
      <c r="H2124" s="446">
        <v>45633</v>
      </c>
    </row>
    <row r="2125" spans="3:8" x14ac:dyDescent="0.25">
      <c r="C2125" s="444">
        <v>10</v>
      </c>
      <c r="D2125" s="444">
        <v>63</v>
      </c>
      <c r="E2125" s="445">
        <v>21.4</v>
      </c>
      <c r="F2125" s="4">
        <f t="shared" si="36"/>
        <v>8.629441624365479E-2</v>
      </c>
      <c r="G2125" s="37">
        <v>27</v>
      </c>
      <c r="H2125" s="446">
        <v>45633</v>
      </c>
    </row>
    <row r="2126" spans="3:8" x14ac:dyDescent="0.25">
      <c r="C2126" s="444">
        <v>18</v>
      </c>
      <c r="D2126" s="444">
        <v>14</v>
      </c>
      <c r="E2126" s="445">
        <v>18.5</v>
      </c>
      <c r="F2126" s="4">
        <f t="shared" si="36"/>
        <v>0.4015151515151516</v>
      </c>
      <c r="G2126" s="37">
        <v>27</v>
      </c>
      <c r="H2126" s="446">
        <v>45633</v>
      </c>
    </row>
    <row r="2127" spans="3:8" x14ac:dyDescent="0.25">
      <c r="C2127" s="444">
        <v>19</v>
      </c>
      <c r="D2127" s="444">
        <v>15</v>
      </c>
      <c r="E2127" s="445">
        <v>19.7</v>
      </c>
      <c r="F2127" s="4">
        <f t="shared" si="36"/>
        <v>-0.11659192825112114</v>
      </c>
      <c r="G2127" s="37">
        <v>27</v>
      </c>
      <c r="H2127" s="446">
        <v>45633</v>
      </c>
    </row>
    <row r="2128" spans="3:8" x14ac:dyDescent="0.25">
      <c r="C2128" s="447" t="s">
        <v>0</v>
      </c>
      <c r="D2128" s="447" t="s">
        <v>7</v>
      </c>
      <c r="E2128" s="448" t="s">
        <v>4</v>
      </c>
      <c r="F2128" s="4" t="str">
        <f t="shared" si="36"/>
        <v/>
      </c>
      <c r="G2128" s="37">
        <v>27.3</v>
      </c>
      <c r="H2128" s="449">
        <v>45634</v>
      </c>
    </row>
    <row r="2129" spans="3:8" x14ac:dyDescent="0.25">
      <c r="C2129" s="447">
        <v>1</v>
      </c>
      <c r="D2129" s="447">
        <v>36</v>
      </c>
      <c r="E2129" s="448">
        <v>25.5</v>
      </c>
      <c r="F2129" s="4">
        <f t="shared" si="36"/>
        <v>-3.7735849056603772E-2</v>
      </c>
      <c r="G2129" s="37">
        <v>27.3</v>
      </c>
      <c r="H2129" s="449">
        <v>45634</v>
      </c>
    </row>
    <row r="2130" spans="3:8" x14ac:dyDescent="0.25">
      <c r="C2130" s="447">
        <v>2</v>
      </c>
      <c r="D2130" s="447">
        <v>69</v>
      </c>
      <c r="E2130" s="448">
        <v>34.5</v>
      </c>
      <c r="F2130" s="4">
        <f t="shared" si="36"/>
        <v>6.4814814814814867E-2</v>
      </c>
      <c r="G2130" s="37">
        <v>27.3</v>
      </c>
      <c r="H2130" s="449">
        <v>45634</v>
      </c>
    </row>
    <row r="2131" spans="3:8" x14ac:dyDescent="0.25">
      <c r="C2131" s="447">
        <v>3</v>
      </c>
      <c r="D2131" s="447">
        <v>92</v>
      </c>
      <c r="E2131" s="448">
        <v>26.9</v>
      </c>
      <c r="F2131" s="4">
        <f t="shared" si="36"/>
        <v>6.3241106719367501E-2</v>
      </c>
      <c r="G2131" s="37">
        <v>27.3</v>
      </c>
      <c r="H2131" s="449">
        <v>45634</v>
      </c>
    </row>
    <row r="2132" spans="3:8" x14ac:dyDescent="0.25">
      <c r="C2132" s="447">
        <v>4</v>
      </c>
      <c r="D2132" s="447">
        <v>104</v>
      </c>
      <c r="E2132" s="448">
        <v>24.1</v>
      </c>
      <c r="F2132" s="4">
        <f t="shared" si="36"/>
        <v>3.4334763948497882E-2</v>
      </c>
      <c r="G2132" s="37">
        <v>27.3</v>
      </c>
      <c r="H2132" s="449">
        <v>45634</v>
      </c>
    </row>
    <row r="2133" spans="3:8" x14ac:dyDescent="0.25">
      <c r="C2133" s="447">
        <v>5</v>
      </c>
      <c r="D2133" s="447">
        <v>95</v>
      </c>
      <c r="E2133" s="448">
        <v>35.299999999999997</v>
      </c>
      <c r="F2133" s="4">
        <f t="shared" si="36"/>
        <v>8.2822085889570421E-2</v>
      </c>
      <c r="G2133" s="37">
        <v>27.3</v>
      </c>
      <c r="H2133" s="449">
        <v>45634</v>
      </c>
    </row>
    <row r="2134" spans="3:8" x14ac:dyDescent="0.25">
      <c r="C2134" s="447">
        <v>6</v>
      </c>
      <c r="D2134" s="447">
        <v>0</v>
      </c>
      <c r="E2134" s="448"/>
      <c r="F2134" s="4" t="str">
        <f t="shared" si="36"/>
        <v/>
      </c>
      <c r="G2134" s="37">
        <v>27.3</v>
      </c>
      <c r="H2134" s="449">
        <v>45634</v>
      </c>
    </row>
    <row r="2135" spans="3:8" x14ac:dyDescent="0.25">
      <c r="C2135" s="447">
        <v>7</v>
      </c>
      <c r="D2135" s="447">
        <v>66</v>
      </c>
      <c r="E2135" s="448">
        <v>23.4</v>
      </c>
      <c r="F2135" s="4">
        <f t="shared" si="36"/>
        <v>6.8493150684931517E-2</v>
      </c>
      <c r="G2135" s="37">
        <v>27.3</v>
      </c>
      <c r="H2135" s="449">
        <v>45634</v>
      </c>
    </row>
    <row r="2136" spans="3:8" x14ac:dyDescent="0.25">
      <c r="C2136" s="447">
        <v>8</v>
      </c>
      <c r="D2136" s="447">
        <v>86</v>
      </c>
      <c r="E2136" s="448">
        <v>17.8</v>
      </c>
      <c r="F2136" s="4">
        <f t="shared" si="36"/>
        <v>-5.3191489361702128E-2</v>
      </c>
      <c r="G2136" s="37">
        <v>27.3</v>
      </c>
      <c r="H2136" s="449">
        <v>45634</v>
      </c>
    </row>
    <row r="2137" spans="3:8" x14ac:dyDescent="0.25">
      <c r="C2137" s="447">
        <v>9</v>
      </c>
      <c r="D2137" s="447">
        <v>0</v>
      </c>
      <c r="E2137" s="448"/>
      <c r="F2137" s="4" t="str">
        <f t="shared" si="36"/>
        <v/>
      </c>
      <c r="G2137" s="37">
        <v>27.3</v>
      </c>
      <c r="H2137" s="449">
        <v>45634</v>
      </c>
    </row>
    <row r="2138" spans="3:8" x14ac:dyDescent="0.25">
      <c r="C2138" s="447">
        <v>10</v>
      </c>
      <c r="D2138" s="447">
        <v>63</v>
      </c>
      <c r="E2138" s="448">
        <v>18.8</v>
      </c>
      <c r="F2138" s="4">
        <f t="shared" si="36"/>
        <v>-0.12149532710280364</v>
      </c>
      <c r="G2138" s="37">
        <v>27.3</v>
      </c>
      <c r="H2138" s="449">
        <v>45634</v>
      </c>
    </row>
    <row r="2139" spans="3:8" x14ac:dyDescent="0.25">
      <c r="C2139" s="447">
        <v>18</v>
      </c>
      <c r="D2139" s="447">
        <v>19</v>
      </c>
      <c r="E2139" s="448">
        <v>14.1</v>
      </c>
      <c r="F2139" s="4">
        <f t="shared" si="36"/>
        <v>-0.23783783783783785</v>
      </c>
      <c r="G2139" s="37">
        <v>27.3</v>
      </c>
      <c r="H2139" s="449">
        <v>45634</v>
      </c>
    </row>
    <row r="2140" spans="3:8" x14ac:dyDescent="0.25">
      <c r="C2140" s="447">
        <v>19</v>
      </c>
      <c r="D2140" s="447">
        <v>13</v>
      </c>
      <c r="E2140" s="448">
        <v>18.600000000000001</v>
      </c>
      <c r="F2140" s="4">
        <f t="shared" si="36"/>
        <v>-5.5837563451776547E-2</v>
      </c>
      <c r="G2140" s="37">
        <v>27.3</v>
      </c>
      <c r="H2140" s="449">
        <v>45634</v>
      </c>
    </row>
    <row r="2141" spans="3:8" x14ac:dyDescent="0.25">
      <c r="C2141" s="450" t="s">
        <v>0</v>
      </c>
      <c r="D2141" s="450" t="s">
        <v>7</v>
      </c>
      <c r="E2141" s="451" t="s">
        <v>4</v>
      </c>
      <c r="F2141" s="4" t="str">
        <f t="shared" si="36"/>
        <v/>
      </c>
      <c r="G2141" s="37">
        <v>27.9</v>
      </c>
      <c r="H2141" s="452">
        <v>45635</v>
      </c>
    </row>
    <row r="2142" spans="3:8" x14ac:dyDescent="0.25">
      <c r="C2142" s="450">
        <v>1</v>
      </c>
      <c r="D2142" s="450">
        <v>35</v>
      </c>
      <c r="E2142" s="451">
        <v>23.8</v>
      </c>
      <c r="F2142" s="4">
        <f t="shared" si="36"/>
        <v>-6.6666666666666638E-2</v>
      </c>
      <c r="G2142" s="37">
        <v>27.9</v>
      </c>
      <c r="H2142" s="452">
        <v>45635</v>
      </c>
    </row>
    <row r="2143" spans="3:8" x14ac:dyDescent="0.25">
      <c r="C2143" s="450">
        <v>2</v>
      </c>
      <c r="D2143" s="450">
        <v>69</v>
      </c>
      <c r="E2143" s="451">
        <v>34.299999999999997</v>
      </c>
      <c r="F2143" s="4">
        <f t="shared" si="36"/>
        <v>-5.7971014492754448E-3</v>
      </c>
      <c r="G2143" s="37">
        <v>27.9</v>
      </c>
      <c r="H2143" s="452">
        <v>45635</v>
      </c>
    </row>
    <row r="2144" spans="3:8" x14ac:dyDescent="0.25">
      <c r="C2144" s="450">
        <v>3</v>
      </c>
      <c r="D2144" s="450">
        <v>92</v>
      </c>
      <c r="E2144" s="451">
        <v>27.2</v>
      </c>
      <c r="F2144" s="4">
        <f t="shared" si="36"/>
        <v>1.1152416356877351E-2</v>
      </c>
      <c r="G2144" s="37">
        <v>27.9</v>
      </c>
      <c r="H2144" s="452">
        <v>45635</v>
      </c>
    </row>
    <row r="2145" spans="3:8" x14ac:dyDescent="0.25">
      <c r="C2145" s="450">
        <v>4</v>
      </c>
      <c r="D2145" s="450">
        <v>104</v>
      </c>
      <c r="E2145" s="451">
        <v>23.5</v>
      </c>
      <c r="F2145" s="4">
        <f t="shared" si="36"/>
        <v>-2.4896265560166032E-2</v>
      </c>
      <c r="G2145" s="37">
        <v>27.9</v>
      </c>
      <c r="H2145" s="452">
        <v>45635</v>
      </c>
    </row>
    <row r="2146" spans="3:8" x14ac:dyDescent="0.25">
      <c r="C2146" s="450">
        <v>5</v>
      </c>
      <c r="D2146" s="450">
        <v>95</v>
      </c>
      <c r="E2146" s="451">
        <v>36.700000000000003</v>
      </c>
      <c r="F2146" s="4">
        <f t="shared" si="36"/>
        <v>3.9660056657223962E-2</v>
      </c>
      <c r="G2146" s="37">
        <v>27.9</v>
      </c>
      <c r="H2146" s="452">
        <v>45635</v>
      </c>
    </row>
    <row r="2147" spans="3:8" x14ac:dyDescent="0.25">
      <c r="C2147" s="450">
        <v>6</v>
      </c>
      <c r="D2147" s="450">
        <v>0</v>
      </c>
      <c r="E2147" s="451"/>
      <c r="F2147" s="4" t="str">
        <f t="shared" si="36"/>
        <v/>
      </c>
      <c r="G2147" s="37">
        <v>27.9</v>
      </c>
      <c r="H2147" s="452">
        <v>45635</v>
      </c>
    </row>
    <row r="2148" spans="3:8" x14ac:dyDescent="0.25">
      <c r="C2148" s="450">
        <v>7</v>
      </c>
      <c r="D2148" s="450">
        <v>66</v>
      </c>
      <c r="E2148" s="451">
        <v>23</v>
      </c>
      <c r="F2148" s="4">
        <f t="shared" si="36"/>
        <v>-1.7094017094017033E-2</v>
      </c>
      <c r="G2148" s="37">
        <v>27.9</v>
      </c>
      <c r="H2148" s="452">
        <v>45635</v>
      </c>
    </row>
    <row r="2149" spans="3:8" x14ac:dyDescent="0.25">
      <c r="C2149" s="450">
        <v>8</v>
      </c>
      <c r="D2149" s="450">
        <v>86</v>
      </c>
      <c r="E2149" s="451">
        <v>18.5</v>
      </c>
      <c r="F2149" s="4">
        <f t="shared" si="36"/>
        <v>3.9325842696629171E-2</v>
      </c>
      <c r="G2149" s="37">
        <v>27.9</v>
      </c>
      <c r="H2149" s="452">
        <v>45635</v>
      </c>
    </row>
    <row r="2150" spans="3:8" x14ac:dyDescent="0.25">
      <c r="C2150" s="450">
        <v>9</v>
      </c>
      <c r="D2150" s="450">
        <v>0</v>
      </c>
      <c r="E2150" s="451"/>
      <c r="F2150" s="4" t="str">
        <f t="shared" si="36"/>
        <v/>
      </c>
      <c r="G2150" s="37">
        <v>27.9</v>
      </c>
      <c r="H2150" s="452">
        <v>45635</v>
      </c>
    </row>
    <row r="2151" spans="3:8" x14ac:dyDescent="0.25">
      <c r="C2151" s="450">
        <v>10</v>
      </c>
      <c r="D2151" s="450">
        <v>63</v>
      </c>
      <c r="E2151" s="451">
        <v>18.8</v>
      </c>
      <c r="F2151" s="4">
        <f t="shared" si="36"/>
        <v>0</v>
      </c>
      <c r="G2151" s="37">
        <v>27.9</v>
      </c>
      <c r="H2151" s="452">
        <v>45635</v>
      </c>
    </row>
    <row r="2152" spans="3:8" x14ac:dyDescent="0.25">
      <c r="C2152" s="450">
        <v>18</v>
      </c>
      <c r="D2152" s="450">
        <v>17</v>
      </c>
      <c r="E2152" s="451">
        <v>28.5</v>
      </c>
      <c r="F2152" s="4">
        <f t="shared" si="36"/>
        <v>1.021276595744681</v>
      </c>
      <c r="G2152" s="37">
        <v>27.9</v>
      </c>
      <c r="H2152" s="452">
        <v>45635</v>
      </c>
    </row>
    <row r="2153" spans="3:8" x14ac:dyDescent="0.25">
      <c r="C2153" s="450">
        <v>19</v>
      </c>
      <c r="D2153" s="450">
        <v>17</v>
      </c>
      <c r="E2153" s="451">
        <v>17.5</v>
      </c>
      <c r="F2153" s="4">
        <f t="shared" si="36"/>
        <v>-5.9139784946236632E-2</v>
      </c>
      <c r="G2153" s="37">
        <v>27.9</v>
      </c>
      <c r="H2153" s="452">
        <v>45635</v>
      </c>
    </row>
    <row r="2154" spans="3:8" x14ac:dyDescent="0.25">
      <c r="C2154" s="453" t="s">
        <v>0</v>
      </c>
      <c r="D2154" s="453" t="s">
        <v>7</v>
      </c>
      <c r="E2154" s="454" t="s">
        <v>4</v>
      </c>
      <c r="F2154" s="4" t="str">
        <f t="shared" si="36"/>
        <v/>
      </c>
      <c r="G2154" s="37">
        <v>26.7</v>
      </c>
      <c r="H2154" s="455">
        <v>45636</v>
      </c>
    </row>
    <row r="2155" spans="3:8" x14ac:dyDescent="0.25">
      <c r="C2155" s="453">
        <v>1</v>
      </c>
      <c r="D2155" s="453">
        <v>38</v>
      </c>
      <c r="E2155" s="454">
        <v>27.7</v>
      </c>
      <c r="F2155" s="4">
        <f t="shared" si="36"/>
        <v>0.16386554621848734</v>
      </c>
      <c r="G2155" s="37">
        <v>26.7</v>
      </c>
      <c r="H2155" s="455">
        <v>45636</v>
      </c>
    </row>
    <row r="2156" spans="3:8" x14ac:dyDescent="0.25">
      <c r="C2156" s="453">
        <v>2</v>
      </c>
      <c r="D2156" s="453">
        <v>70</v>
      </c>
      <c r="E2156" s="454">
        <v>33.6</v>
      </c>
      <c r="F2156" s="4">
        <f t="shared" si="36"/>
        <v>-2.0408163265305999E-2</v>
      </c>
      <c r="G2156" s="37">
        <v>26.7</v>
      </c>
      <c r="H2156" s="455">
        <v>45636</v>
      </c>
    </row>
    <row r="2157" spans="3:8" x14ac:dyDescent="0.25">
      <c r="C2157" s="453">
        <v>3</v>
      </c>
      <c r="D2157" s="453">
        <v>92</v>
      </c>
      <c r="E2157" s="454">
        <v>25.9</v>
      </c>
      <c r="F2157" s="4">
        <f t="shared" si="36"/>
        <v>-4.7794117647058848E-2</v>
      </c>
      <c r="G2157" s="37">
        <v>26.7</v>
      </c>
      <c r="H2157" s="455">
        <v>45636</v>
      </c>
    </row>
    <row r="2158" spans="3:8" x14ac:dyDescent="0.25">
      <c r="C2158" s="453">
        <v>4</v>
      </c>
      <c r="D2158" s="453">
        <v>103</v>
      </c>
      <c r="E2158" s="454">
        <v>22</v>
      </c>
      <c r="F2158" s="4">
        <f t="shared" si="36"/>
        <v>-6.3829787234042548E-2</v>
      </c>
      <c r="G2158" s="37">
        <v>26.7</v>
      </c>
      <c r="H2158" s="455">
        <v>45636</v>
      </c>
    </row>
    <row r="2159" spans="3:8" x14ac:dyDescent="0.25">
      <c r="C2159" s="453">
        <v>5</v>
      </c>
      <c r="D2159" s="453">
        <v>95</v>
      </c>
      <c r="E2159" s="454">
        <v>33.700000000000003</v>
      </c>
      <c r="F2159" s="4">
        <f t="shared" si="36"/>
        <v>-8.1743869209809264E-2</v>
      </c>
      <c r="G2159" s="37">
        <v>26.7</v>
      </c>
      <c r="H2159" s="455">
        <v>45636</v>
      </c>
    </row>
    <row r="2160" spans="3:8" x14ac:dyDescent="0.25">
      <c r="C2160" s="453">
        <v>6</v>
      </c>
      <c r="D2160" s="453">
        <v>0</v>
      </c>
      <c r="E2160" s="454"/>
      <c r="F2160" s="4" t="str">
        <f t="shared" si="36"/>
        <v/>
      </c>
      <c r="G2160" s="37">
        <v>26.7</v>
      </c>
      <c r="H2160" s="455">
        <v>45636</v>
      </c>
    </row>
    <row r="2161" spans="3:8" x14ac:dyDescent="0.25">
      <c r="C2161" s="453">
        <v>7</v>
      </c>
      <c r="D2161" s="453">
        <v>66</v>
      </c>
      <c r="E2161" s="454">
        <v>22.6</v>
      </c>
      <c r="F2161" s="4">
        <f t="shared" si="36"/>
        <v>-1.7391304347826025E-2</v>
      </c>
      <c r="G2161" s="37">
        <v>26.7</v>
      </c>
      <c r="H2161" s="455">
        <v>45636</v>
      </c>
    </row>
    <row r="2162" spans="3:8" x14ac:dyDescent="0.25">
      <c r="C2162" s="453">
        <v>8</v>
      </c>
      <c r="D2162" s="453">
        <v>86</v>
      </c>
      <c r="E2162" s="454">
        <v>17.7</v>
      </c>
      <c r="F2162" s="4">
        <f t="shared" si="36"/>
        <v>-4.324324324324328E-2</v>
      </c>
      <c r="G2162" s="37">
        <v>26.7</v>
      </c>
      <c r="H2162" s="455">
        <v>45636</v>
      </c>
    </row>
    <row r="2163" spans="3:8" x14ac:dyDescent="0.25">
      <c r="C2163" s="453">
        <v>9</v>
      </c>
      <c r="D2163" s="453">
        <v>0</v>
      </c>
      <c r="E2163" s="454"/>
      <c r="F2163" s="4" t="str">
        <f t="shared" si="36"/>
        <v/>
      </c>
      <c r="G2163" s="37">
        <v>26.7</v>
      </c>
      <c r="H2163" s="455">
        <v>45636</v>
      </c>
    </row>
    <row r="2164" spans="3:8" x14ac:dyDescent="0.25">
      <c r="C2164" s="453">
        <v>10</v>
      </c>
      <c r="D2164" s="453">
        <v>62</v>
      </c>
      <c r="E2164" s="454">
        <v>17.899999999999999</v>
      </c>
      <c r="F2164" s="4">
        <f t="shared" si="36"/>
        <v>-4.7872340425532026E-2</v>
      </c>
      <c r="G2164" s="37">
        <v>26.7</v>
      </c>
      <c r="H2164" s="455">
        <v>45636</v>
      </c>
    </row>
    <row r="2165" spans="3:8" x14ac:dyDescent="0.25">
      <c r="C2165" s="453">
        <v>18</v>
      </c>
      <c r="D2165" s="453">
        <v>20</v>
      </c>
      <c r="E2165" s="454">
        <v>11.4</v>
      </c>
      <c r="F2165" s="4">
        <f t="shared" si="36"/>
        <v>-0.60000000000000009</v>
      </c>
      <c r="G2165" s="37">
        <v>26.7</v>
      </c>
      <c r="H2165" s="455">
        <v>45636</v>
      </c>
    </row>
    <row r="2166" spans="3:8" x14ac:dyDescent="0.25">
      <c r="C2166" s="453">
        <v>19</v>
      </c>
      <c r="D2166" s="453">
        <v>9</v>
      </c>
      <c r="E2166" s="454">
        <v>15.5</v>
      </c>
      <c r="F2166" s="4">
        <f t="shared" si="36"/>
        <v>-0.11428571428571428</v>
      </c>
      <c r="G2166" s="37">
        <v>26.7</v>
      </c>
      <c r="H2166" s="455">
        <v>45636</v>
      </c>
    </row>
    <row r="2167" spans="3:8" x14ac:dyDescent="0.25">
      <c r="C2167" s="456" t="s">
        <v>0</v>
      </c>
      <c r="D2167" s="456" t="s">
        <v>7</v>
      </c>
      <c r="E2167" s="457" t="s">
        <v>4</v>
      </c>
      <c r="F2167" s="4" t="str">
        <f t="shared" si="36"/>
        <v/>
      </c>
      <c r="G2167" s="37">
        <v>27</v>
      </c>
      <c r="H2167" s="458">
        <v>45637</v>
      </c>
    </row>
    <row r="2168" spans="3:8" x14ac:dyDescent="0.25">
      <c r="C2168" s="456">
        <v>1</v>
      </c>
      <c r="D2168" s="456">
        <v>39</v>
      </c>
      <c r="E2168" s="457">
        <v>26.4</v>
      </c>
      <c r="F2168" s="4">
        <f t="shared" si="36"/>
        <v>-4.6931407942238296E-2</v>
      </c>
      <c r="G2168" s="37">
        <v>27</v>
      </c>
      <c r="H2168" s="458">
        <v>45637</v>
      </c>
    </row>
    <row r="2169" spans="3:8" x14ac:dyDescent="0.25">
      <c r="C2169" s="456">
        <v>2</v>
      </c>
      <c r="D2169" s="456">
        <v>70</v>
      </c>
      <c r="E2169" s="457">
        <v>33.4</v>
      </c>
      <c r="F2169" s="4">
        <f t="shared" si="36"/>
        <v>-5.9523809523810371E-3</v>
      </c>
      <c r="G2169" s="37">
        <v>27</v>
      </c>
      <c r="H2169" s="458">
        <v>45637</v>
      </c>
    </row>
    <row r="2170" spans="3:8" x14ac:dyDescent="0.25">
      <c r="C2170" s="456">
        <v>3</v>
      </c>
      <c r="D2170" s="456">
        <v>92</v>
      </c>
      <c r="E2170" s="457">
        <v>26.3</v>
      </c>
      <c r="F2170" s="4">
        <f t="shared" si="36"/>
        <v>1.5444015444015528E-2</v>
      </c>
      <c r="G2170" s="37">
        <v>27</v>
      </c>
      <c r="H2170" s="458">
        <v>45637</v>
      </c>
    </row>
    <row r="2171" spans="3:8" x14ac:dyDescent="0.25">
      <c r="C2171" s="456">
        <v>4</v>
      </c>
      <c r="D2171" s="456">
        <v>103</v>
      </c>
      <c r="E2171" s="457">
        <v>22.8</v>
      </c>
      <c r="F2171" s="4">
        <f t="shared" si="36"/>
        <v>3.6363636363636397E-2</v>
      </c>
      <c r="G2171" s="37">
        <v>27</v>
      </c>
      <c r="H2171" s="458">
        <v>45637</v>
      </c>
    </row>
    <row r="2172" spans="3:8" x14ac:dyDescent="0.25">
      <c r="C2172" s="456">
        <v>5</v>
      </c>
      <c r="D2172" s="456">
        <v>95</v>
      </c>
      <c r="E2172" s="457">
        <v>34</v>
      </c>
      <c r="F2172" s="4">
        <f t="shared" si="36"/>
        <v>8.9020771513352269E-3</v>
      </c>
      <c r="G2172" s="37">
        <v>27</v>
      </c>
      <c r="H2172" s="458">
        <v>45637</v>
      </c>
    </row>
    <row r="2173" spans="3:8" x14ac:dyDescent="0.25">
      <c r="C2173" s="456">
        <v>6</v>
      </c>
      <c r="D2173" s="456">
        <v>0</v>
      </c>
      <c r="E2173" s="457"/>
      <c r="F2173" s="4" t="str">
        <f t="shared" si="36"/>
        <v/>
      </c>
      <c r="G2173" s="37">
        <v>27</v>
      </c>
      <c r="H2173" s="458">
        <v>45637</v>
      </c>
    </row>
    <row r="2174" spans="3:8" x14ac:dyDescent="0.25">
      <c r="C2174" s="456">
        <v>7</v>
      </c>
      <c r="D2174" s="456">
        <v>65</v>
      </c>
      <c r="E2174" s="457">
        <v>23.7</v>
      </c>
      <c r="F2174" s="4">
        <f t="shared" si="36"/>
        <v>4.8672566371681318E-2</v>
      </c>
      <c r="G2174" s="37">
        <v>27</v>
      </c>
      <c r="H2174" s="458">
        <v>45637</v>
      </c>
    </row>
    <row r="2175" spans="3:8" x14ac:dyDescent="0.25">
      <c r="C2175" s="456">
        <v>8</v>
      </c>
      <c r="D2175" s="456">
        <v>86</v>
      </c>
      <c r="E2175" s="457">
        <v>17.8</v>
      </c>
      <c r="F2175" s="4">
        <f t="shared" si="36"/>
        <v>5.6497175141243744E-3</v>
      </c>
      <c r="G2175" s="37">
        <v>27</v>
      </c>
      <c r="H2175" s="458">
        <v>45637</v>
      </c>
    </row>
    <row r="2176" spans="3:8" x14ac:dyDescent="0.25">
      <c r="C2176" s="456">
        <v>9</v>
      </c>
      <c r="D2176" s="456">
        <v>0</v>
      </c>
      <c r="E2176" s="457"/>
      <c r="F2176" s="4" t="str">
        <f t="shared" si="36"/>
        <v/>
      </c>
      <c r="G2176" s="37">
        <v>27</v>
      </c>
      <c r="H2176" s="458">
        <v>45637</v>
      </c>
    </row>
    <row r="2177" spans="3:8" x14ac:dyDescent="0.25">
      <c r="C2177" s="456">
        <v>10</v>
      </c>
      <c r="D2177" s="456">
        <v>62</v>
      </c>
      <c r="E2177" s="457">
        <v>19.600000000000001</v>
      </c>
      <c r="F2177" s="4">
        <f t="shared" si="36"/>
        <v>9.4972067039106309E-2</v>
      </c>
      <c r="G2177" s="37">
        <v>27</v>
      </c>
      <c r="H2177" s="458">
        <v>45637</v>
      </c>
    </row>
    <row r="2178" spans="3:8" x14ac:dyDescent="0.25">
      <c r="C2178" s="456">
        <v>18</v>
      </c>
      <c r="D2178" s="456">
        <v>21</v>
      </c>
      <c r="E2178" s="457">
        <v>20.7</v>
      </c>
      <c r="F2178" s="4">
        <f t="shared" si="36"/>
        <v>0.8157894736842104</v>
      </c>
      <c r="G2178" s="37">
        <v>27</v>
      </c>
      <c r="H2178" s="458">
        <v>45637</v>
      </c>
    </row>
    <row r="2179" spans="3:8" x14ac:dyDescent="0.25">
      <c r="C2179" s="456">
        <v>19</v>
      </c>
      <c r="D2179" s="456">
        <v>9</v>
      </c>
      <c r="E2179" s="457">
        <v>14.7</v>
      </c>
      <c r="F2179" s="4">
        <f t="shared" si="36"/>
        <v>-5.16129032258065E-2</v>
      </c>
      <c r="G2179" s="37">
        <v>27</v>
      </c>
      <c r="H2179" s="458">
        <v>45637</v>
      </c>
    </row>
    <row r="2180" spans="3:8" x14ac:dyDescent="0.25">
      <c r="C2180" s="459" t="s">
        <v>0</v>
      </c>
      <c r="D2180" s="459" t="s">
        <v>7</v>
      </c>
      <c r="E2180" s="460" t="s">
        <v>4</v>
      </c>
      <c r="F2180" s="4" t="str">
        <f t="shared" si="36"/>
        <v/>
      </c>
      <c r="G2180" s="37">
        <v>26.7</v>
      </c>
      <c r="H2180" s="461">
        <v>45638</v>
      </c>
    </row>
    <row r="2181" spans="3:8" x14ac:dyDescent="0.25">
      <c r="C2181" s="459">
        <v>1</v>
      </c>
      <c r="D2181" s="459">
        <v>40</v>
      </c>
      <c r="E2181" s="460">
        <v>22</v>
      </c>
      <c r="F2181" s="4">
        <f t="shared" ref="F2181:F2245" si="37">IFERROR((E2181-E2168)/E2168,"")</f>
        <v>-0.16666666666666663</v>
      </c>
      <c r="G2181" s="37">
        <v>26.7</v>
      </c>
      <c r="H2181" s="461">
        <v>45638</v>
      </c>
    </row>
    <row r="2182" spans="3:8" x14ac:dyDescent="0.25">
      <c r="C2182" s="459">
        <v>2</v>
      </c>
      <c r="D2182" s="459">
        <v>70</v>
      </c>
      <c r="E2182" s="460">
        <v>32.9</v>
      </c>
      <c r="F2182" s="4">
        <f t="shared" si="37"/>
        <v>-1.4970059880239521E-2</v>
      </c>
      <c r="G2182" s="37">
        <v>26.7</v>
      </c>
      <c r="H2182" s="461">
        <v>45638</v>
      </c>
    </row>
    <row r="2183" spans="3:8" x14ac:dyDescent="0.25">
      <c r="C2183" s="459">
        <v>3</v>
      </c>
      <c r="D2183" s="459">
        <v>92</v>
      </c>
      <c r="E2183" s="460">
        <v>24.8</v>
      </c>
      <c r="F2183" s="4">
        <f t="shared" si="37"/>
        <v>-5.7034220532319393E-2</v>
      </c>
      <c r="G2183" s="37">
        <v>26.7</v>
      </c>
      <c r="H2183" s="461">
        <v>45638</v>
      </c>
    </row>
    <row r="2184" spans="3:8" x14ac:dyDescent="0.25">
      <c r="C2184" s="459">
        <v>4</v>
      </c>
      <c r="D2184" s="459">
        <v>103</v>
      </c>
      <c r="E2184" s="460">
        <v>22.8</v>
      </c>
      <c r="F2184" s="4">
        <f t="shared" si="37"/>
        <v>0</v>
      </c>
      <c r="G2184" s="37">
        <v>26.7</v>
      </c>
      <c r="H2184" s="461">
        <v>45638</v>
      </c>
    </row>
    <row r="2185" spans="3:8" x14ac:dyDescent="0.25">
      <c r="C2185" s="459">
        <v>5</v>
      </c>
      <c r="D2185" s="459">
        <v>94</v>
      </c>
      <c r="E2185" s="460">
        <v>33.9</v>
      </c>
      <c r="F2185" s="4">
        <f t="shared" si="37"/>
        <v>-2.9411764705882769E-3</v>
      </c>
      <c r="G2185" s="37">
        <v>26.7</v>
      </c>
      <c r="H2185" s="461">
        <v>45638</v>
      </c>
    </row>
    <row r="2186" spans="3:8" x14ac:dyDescent="0.25">
      <c r="C2186" s="459">
        <v>6</v>
      </c>
      <c r="D2186" s="459">
        <v>0</v>
      </c>
      <c r="E2186" s="460"/>
      <c r="F2186" s="4" t="str">
        <f t="shared" si="37"/>
        <v/>
      </c>
      <c r="G2186" s="37">
        <v>26.7</v>
      </c>
      <c r="H2186" s="461">
        <v>45638</v>
      </c>
    </row>
    <row r="2187" spans="3:8" x14ac:dyDescent="0.25">
      <c r="C2187" s="459">
        <v>7</v>
      </c>
      <c r="D2187" s="459">
        <v>65</v>
      </c>
      <c r="E2187" s="460">
        <v>22.4</v>
      </c>
      <c r="F2187" s="4">
        <f t="shared" si="37"/>
        <v>-5.4852320675105516E-2</v>
      </c>
      <c r="G2187" s="37">
        <v>26.7</v>
      </c>
      <c r="H2187" s="461">
        <v>45638</v>
      </c>
    </row>
    <row r="2188" spans="3:8" x14ac:dyDescent="0.25">
      <c r="C2188" s="459">
        <v>8</v>
      </c>
      <c r="D2188" s="459">
        <v>86</v>
      </c>
      <c r="E2188" s="460">
        <v>16.399999999999999</v>
      </c>
      <c r="F2188" s="4">
        <f t="shared" si="37"/>
        <v>-7.865168539325855E-2</v>
      </c>
      <c r="G2188" s="37">
        <v>26.7</v>
      </c>
      <c r="H2188" s="461">
        <v>45638</v>
      </c>
    </row>
    <row r="2189" spans="3:8" x14ac:dyDescent="0.25">
      <c r="C2189" s="459">
        <v>9</v>
      </c>
      <c r="D2189" s="459">
        <v>0</v>
      </c>
      <c r="E2189" s="460"/>
      <c r="F2189" s="4" t="str">
        <f t="shared" si="37"/>
        <v/>
      </c>
      <c r="G2189" s="37">
        <v>26.7</v>
      </c>
      <c r="H2189" s="461">
        <v>45638</v>
      </c>
    </row>
    <row r="2190" spans="3:8" x14ac:dyDescent="0.25">
      <c r="C2190" s="459">
        <v>10</v>
      </c>
      <c r="D2190" s="459">
        <v>61</v>
      </c>
      <c r="E2190" s="460">
        <v>19.100000000000001</v>
      </c>
      <c r="F2190" s="4">
        <f t="shared" si="37"/>
        <v>-2.551020408163265E-2</v>
      </c>
      <c r="G2190" s="37">
        <v>26.7</v>
      </c>
      <c r="H2190" s="461">
        <v>45638</v>
      </c>
    </row>
    <row r="2191" spans="3:8" x14ac:dyDescent="0.25">
      <c r="C2191" s="459">
        <v>18</v>
      </c>
      <c r="D2191" s="459">
        <v>20</v>
      </c>
      <c r="E2191" s="460">
        <v>10.4</v>
      </c>
      <c r="F2191" s="4">
        <f t="shared" si="37"/>
        <v>-0.49758454106280192</v>
      </c>
      <c r="G2191" s="37">
        <v>26.7</v>
      </c>
      <c r="H2191" s="461">
        <v>45638</v>
      </c>
    </row>
    <row r="2192" spans="3:8" x14ac:dyDescent="0.25">
      <c r="C2192" s="459">
        <v>19</v>
      </c>
      <c r="D2192" s="459">
        <v>11</v>
      </c>
      <c r="E2192" s="460">
        <v>12.9</v>
      </c>
      <c r="F2192" s="4">
        <f t="shared" si="37"/>
        <v>-0.12244897959183666</v>
      </c>
      <c r="G2192" s="37">
        <v>26.7</v>
      </c>
      <c r="H2192" s="461">
        <v>45638</v>
      </c>
    </row>
    <row r="2193" spans="3:8" x14ac:dyDescent="0.25">
      <c r="C2193" s="462" t="s">
        <v>0</v>
      </c>
      <c r="D2193" s="462" t="s">
        <v>7</v>
      </c>
      <c r="E2193" s="463" t="s">
        <v>4</v>
      </c>
      <c r="F2193" s="4" t="str">
        <f t="shared" si="37"/>
        <v/>
      </c>
      <c r="G2193" s="37">
        <v>27</v>
      </c>
      <c r="H2193" s="464">
        <v>45639</v>
      </c>
    </row>
    <row r="2194" spans="3:8" x14ac:dyDescent="0.25">
      <c r="C2194" s="462">
        <v>1</v>
      </c>
      <c r="D2194" s="462">
        <v>40</v>
      </c>
      <c r="E2194" s="463">
        <v>29.6</v>
      </c>
      <c r="F2194" s="4">
        <f t="shared" si="37"/>
        <v>0.34545454545454551</v>
      </c>
      <c r="G2194" s="37">
        <v>27</v>
      </c>
      <c r="H2194" s="464">
        <v>45639</v>
      </c>
    </row>
    <row r="2195" spans="3:8" x14ac:dyDescent="0.25">
      <c r="C2195" s="462">
        <v>2</v>
      </c>
      <c r="D2195" s="462">
        <v>69</v>
      </c>
      <c r="E2195" s="463">
        <v>33.700000000000003</v>
      </c>
      <c r="F2195" s="4">
        <f t="shared" si="37"/>
        <v>2.4316109422492533E-2</v>
      </c>
      <c r="G2195" s="37">
        <v>27</v>
      </c>
      <c r="H2195" s="464">
        <v>45639</v>
      </c>
    </row>
    <row r="2196" spans="3:8" x14ac:dyDescent="0.25">
      <c r="C2196" s="462">
        <v>3</v>
      </c>
      <c r="D2196" s="462">
        <v>91</v>
      </c>
      <c r="E2196" s="463">
        <v>25.8</v>
      </c>
      <c r="F2196" s="4">
        <f t="shared" si="37"/>
        <v>4.0322580645161289E-2</v>
      </c>
      <c r="G2196" s="37">
        <v>27</v>
      </c>
      <c r="H2196" s="464">
        <v>45639</v>
      </c>
    </row>
    <row r="2197" spans="3:8" x14ac:dyDescent="0.25">
      <c r="C2197" s="462">
        <v>4</v>
      </c>
      <c r="D2197" s="462">
        <v>100</v>
      </c>
      <c r="E2197" s="463">
        <v>22.6</v>
      </c>
      <c r="F2197" s="4">
        <f t="shared" si="37"/>
        <v>-8.7719298245613718E-3</v>
      </c>
      <c r="G2197" s="37">
        <v>27</v>
      </c>
      <c r="H2197" s="464">
        <v>45639</v>
      </c>
    </row>
    <row r="2198" spans="3:8" x14ac:dyDescent="0.25">
      <c r="C2198" s="462">
        <v>5</v>
      </c>
      <c r="D2198" s="462">
        <v>93</v>
      </c>
      <c r="E2198" s="463">
        <v>34.1</v>
      </c>
      <c r="F2198" s="4">
        <f t="shared" si="37"/>
        <v>5.8997050147493466E-3</v>
      </c>
      <c r="G2198" s="37">
        <v>27</v>
      </c>
      <c r="H2198" s="464">
        <v>45639</v>
      </c>
    </row>
    <row r="2199" spans="3:8" x14ac:dyDescent="0.25">
      <c r="C2199" s="462">
        <v>6</v>
      </c>
      <c r="D2199" s="462">
        <v>0</v>
      </c>
      <c r="E2199" s="463"/>
      <c r="F2199" s="4" t="str">
        <f t="shared" si="37"/>
        <v/>
      </c>
      <c r="G2199" s="37">
        <v>27</v>
      </c>
      <c r="H2199" s="464">
        <v>45639</v>
      </c>
    </row>
    <row r="2200" spans="3:8" x14ac:dyDescent="0.25">
      <c r="C2200" s="462">
        <v>7</v>
      </c>
      <c r="D2200" s="462">
        <v>65</v>
      </c>
      <c r="E2200" s="463">
        <v>23.6</v>
      </c>
      <c r="F2200" s="4">
        <f t="shared" si="37"/>
        <v>5.35714285714287E-2</v>
      </c>
      <c r="G2200" s="37">
        <v>27</v>
      </c>
      <c r="H2200" s="464">
        <v>45639</v>
      </c>
    </row>
    <row r="2201" spans="3:8" x14ac:dyDescent="0.25">
      <c r="C2201" s="462">
        <v>8</v>
      </c>
      <c r="D2201" s="462">
        <v>76</v>
      </c>
      <c r="E2201" s="463">
        <v>16.5</v>
      </c>
      <c r="F2201" s="4">
        <f t="shared" si="37"/>
        <v>6.097560975609843E-3</v>
      </c>
      <c r="G2201" s="37">
        <v>27</v>
      </c>
      <c r="H2201" s="464">
        <v>45639</v>
      </c>
    </row>
    <row r="2202" spans="3:8" x14ac:dyDescent="0.25">
      <c r="C2202" s="462">
        <v>9</v>
      </c>
      <c r="D2202" s="462">
        <v>0</v>
      </c>
      <c r="E2202" s="463"/>
      <c r="F2202" s="4" t="str">
        <f t="shared" si="37"/>
        <v/>
      </c>
      <c r="G2202" s="37">
        <v>27</v>
      </c>
      <c r="H2202" s="464">
        <v>45639</v>
      </c>
    </row>
    <row r="2203" spans="3:8" x14ac:dyDescent="0.25">
      <c r="C2203" s="462">
        <v>10</v>
      </c>
      <c r="D2203" s="462">
        <v>54</v>
      </c>
      <c r="E2203" s="463">
        <v>19.399999999999999</v>
      </c>
      <c r="F2203" s="4">
        <f t="shared" si="37"/>
        <v>1.5706806282722363E-2</v>
      </c>
      <c r="G2203" s="37">
        <v>27</v>
      </c>
      <c r="H2203" s="464">
        <v>45639</v>
      </c>
    </row>
    <row r="2204" spans="3:8" x14ac:dyDescent="0.25">
      <c r="C2204" s="462">
        <v>18</v>
      </c>
      <c r="D2204" s="462">
        <v>13</v>
      </c>
      <c r="E2204" s="463">
        <v>15.6</v>
      </c>
      <c r="F2204" s="4">
        <f t="shared" si="37"/>
        <v>0.49999999999999989</v>
      </c>
      <c r="G2204" s="37">
        <v>27</v>
      </c>
      <c r="H2204" s="464">
        <v>45639</v>
      </c>
    </row>
    <row r="2205" spans="3:8" x14ac:dyDescent="0.25">
      <c r="C2205" s="462">
        <v>19</v>
      </c>
      <c r="D2205" s="462">
        <v>13</v>
      </c>
      <c r="E2205" s="463">
        <v>13.8</v>
      </c>
      <c r="F2205" s="4">
        <f t="shared" si="37"/>
        <v>6.9767441860465143E-2</v>
      </c>
      <c r="G2205" s="37">
        <v>27</v>
      </c>
      <c r="H2205" s="464">
        <v>45639</v>
      </c>
    </row>
    <row r="2206" spans="3:8" x14ac:dyDescent="0.25">
      <c r="C2206" s="465" t="s">
        <v>0</v>
      </c>
      <c r="D2206" s="465" t="s">
        <v>7</v>
      </c>
      <c r="E2206" s="466" t="s">
        <v>4</v>
      </c>
      <c r="F2206" s="4" t="str">
        <f t="shared" si="37"/>
        <v/>
      </c>
      <c r="G2206" s="37">
        <v>27.4</v>
      </c>
      <c r="H2206" s="464">
        <v>45640</v>
      </c>
    </row>
    <row r="2207" spans="3:8" x14ac:dyDescent="0.25">
      <c r="C2207" s="465">
        <v>1</v>
      </c>
      <c r="D2207" s="465">
        <v>41</v>
      </c>
      <c r="E2207" s="466">
        <v>27.9</v>
      </c>
      <c r="F2207" s="4">
        <f t="shared" si="37"/>
        <v>-5.7432432432432526E-2</v>
      </c>
      <c r="G2207" s="37">
        <v>27.4</v>
      </c>
      <c r="H2207" s="464">
        <v>45640</v>
      </c>
    </row>
    <row r="2208" spans="3:8" x14ac:dyDescent="0.25">
      <c r="C2208" s="465">
        <v>2</v>
      </c>
      <c r="D2208" s="465">
        <v>62</v>
      </c>
      <c r="E2208" s="466">
        <v>33.700000000000003</v>
      </c>
      <c r="F2208" s="4">
        <f t="shared" si="37"/>
        <v>0</v>
      </c>
      <c r="G2208" s="37">
        <v>27.4</v>
      </c>
      <c r="H2208" s="464">
        <v>45640</v>
      </c>
    </row>
    <row r="2209" spans="3:8" x14ac:dyDescent="0.25">
      <c r="C2209" s="465">
        <v>3</v>
      </c>
      <c r="D2209" s="465">
        <v>98</v>
      </c>
      <c r="E2209" s="466">
        <v>25.7</v>
      </c>
      <c r="F2209" s="4">
        <f t="shared" si="37"/>
        <v>-3.875968992248117E-3</v>
      </c>
      <c r="G2209" s="37">
        <v>27.4</v>
      </c>
      <c r="H2209" s="464">
        <v>45640</v>
      </c>
    </row>
    <row r="2210" spans="3:8" x14ac:dyDescent="0.25">
      <c r="C2210" s="465">
        <v>4</v>
      </c>
      <c r="D2210" s="465">
        <v>100</v>
      </c>
      <c r="E2210" s="466">
        <v>23.2</v>
      </c>
      <c r="F2210" s="4">
        <f t="shared" si="37"/>
        <v>2.6548672566371584E-2</v>
      </c>
      <c r="G2210" s="37">
        <v>27.4</v>
      </c>
      <c r="H2210" s="464">
        <v>45640</v>
      </c>
    </row>
    <row r="2211" spans="3:8" x14ac:dyDescent="0.25">
      <c r="C2211" s="465">
        <v>5</v>
      </c>
      <c r="D2211" s="465">
        <v>89</v>
      </c>
      <c r="E2211" s="466">
        <v>37.1</v>
      </c>
      <c r="F2211" s="4">
        <f t="shared" si="37"/>
        <v>8.7976539589442806E-2</v>
      </c>
      <c r="G2211" s="37">
        <v>27.4</v>
      </c>
      <c r="H2211" s="464">
        <v>45640</v>
      </c>
    </row>
    <row r="2212" spans="3:8" x14ac:dyDescent="0.25">
      <c r="C2212" s="465">
        <v>6</v>
      </c>
      <c r="D2212" s="465">
        <v>0</v>
      </c>
      <c r="E2212" s="466"/>
      <c r="F2212" s="4" t="str">
        <f t="shared" si="37"/>
        <v/>
      </c>
      <c r="G2212" s="37">
        <v>27.4</v>
      </c>
      <c r="H2212" s="464">
        <v>45640</v>
      </c>
    </row>
    <row r="2213" spans="3:8" x14ac:dyDescent="0.25">
      <c r="C2213" s="465">
        <v>7</v>
      </c>
      <c r="D2213" s="465">
        <v>72</v>
      </c>
      <c r="E2213" s="466">
        <v>22.4</v>
      </c>
      <c r="F2213" s="4">
        <f t="shared" si="37"/>
        <v>-5.0847457627118758E-2</v>
      </c>
      <c r="G2213" s="37">
        <v>27.4</v>
      </c>
      <c r="H2213" s="464">
        <v>45640</v>
      </c>
    </row>
    <row r="2214" spans="3:8" x14ac:dyDescent="0.25">
      <c r="C2214" s="465">
        <v>8</v>
      </c>
      <c r="D2214" s="465">
        <v>73</v>
      </c>
      <c r="E2214" s="466">
        <v>17.899999999999999</v>
      </c>
      <c r="F2214" s="4">
        <f t="shared" si="37"/>
        <v>8.4848484848484756E-2</v>
      </c>
      <c r="G2214" s="37">
        <v>27.4</v>
      </c>
      <c r="H2214" s="464">
        <v>45640</v>
      </c>
    </row>
    <row r="2215" spans="3:8" x14ac:dyDescent="0.25">
      <c r="C2215" s="465">
        <v>9</v>
      </c>
      <c r="D2215" s="465">
        <v>0</v>
      </c>
      <c r="E2215" s="466"/>
      <c r="F2215" s="4" t="str">
        <f t="shared" si="37"/>
        <v/>
      </c>
      <c r="G2215" s="37">
        <v>27.4</v>
      </c>
      <c r="H2215" s="464">
        <v>45640</v>
      </c>
    </row>
    <row r="2216" spans="3:8" x14ac:dyDescent="0.25">
      <c r="C2216" s="465">
        <v>10</v>
      </c>
      <c r="D2216" s="465">
        <v>54</v>
      </c>
      <c r="E2216" s="466">
        <v>20.5</v>
      </c>
      <c r="F2216" s="4">
        <f t="shared" si="37"/>
        <v>5.6701030927835128E-2</v>
      </c>
      <c r="G2216" s="37">
        <v>27.4</v>
      </c>
      <c r="H2216" s="464">
        <v>45640</v>
      </c>
    </row>
    <row r="2217" spans="3:8" x14ac:dyDescent="0.25">
      <c r="C2217" s="465">
        <v>18</v>
      </c>
      <c r="D2217" s="465">
        <v>12</v>
      </c>
      <c r="E2217" s="466">
        <v>10.4</v>
      </c>
      <c r="F2217" s="4">
        <f t="shared" si="37"/>
        <v>-0.33333333333333331</v>
      </c>
      <c r="G2217" s="37">
        <v>27.4</v>
      </c>
      <c r="H2217" s="464">
        <v>45640</v>
      </c>
    </row>
    <row r="2218" spans="3:8" x14ac:dyDescent="0.25">
      <c r="C2218" s="465">
        <v>19</v>
      </c>
      <c r="D2218" s="465">
        <v>14</v>
      </c>
      <c r="E2218" s="466">
        <v>21.5</v>
      </c>
      <c r="F2218" s="4">
        <f t="shared" si="37"/>
        <v>0.55797101449275355</v>
      </c>
      <c r="G2218" s="37">
        <v>27.4</v>
      </c>
      <c r="H2218" s="464">
        <v>45640</v>
      </c>
    </row>
    <row r="2219" spans="3:8" x14ac:dyDescent="0.25">
      <c r="C2219" s="467" t="s">
        <v>0</v>
      </c>
      <c r="D2219" s="467" t="s">
        <v>7</v>
      </c>
      <c r="E2219" s="468" t="s">
        <v>4</v>
      </c>
      <c r="F2219" s="4" t="str">
        <f t="shared" si="37"/>
        <v/>
      </c>
      <c r="G2219" s="37">
        <v>27.2</v>
      </c>
      <c r="H2219" s="469">
        <v>45641</v>
      </c>
    </row>
    <row r="2220" spans="3:8" x14ac:dyDescent="0.25">
      <c r="C2220" s="467">
        <v>1</v>
      </c>
      <c r="D2220" s="467">
        <v>42</v>
      </c>
      <c r="E2220" s="468">
        <v>27</v>
      </c>
      <c r="F2220" s="4">
        <f t="shared" si="37"/>
        <v>-3.2258064516128983E-2</v>
      </c>
      <c r="G2220" s="37">
        <v>27.2</v>
      </c>
      <c r="H2220" s="469">
        <v>45641</v>
      </c>
    </row>
    <row r="2221" spans="3:8" x14ac:dyDescent="0.25">
      <c r="C2221" s="467">
        <v>2</v>
      </c>
      <c r="D2221" s="467">
        <v>62</v>
      </c>
      <c r="E2221" s="468">
        <v>33.299999999999997</v>
      </c>
      <c r="F2221" s="4">
        <f t="shared" si="37"/>
        <v>-1.1869436201780582E-2</v>
      </c>
      <c r="G2221" s="37">
        <v>27.2</v>
      </c>
      <c r="H2221" s="469">
        <v>45641</v>
      </c>
    </row>
    <row r="2222" spans="3:8" x14ac:dyDescent="0.25">
      <c r="C2222" s="467">
        <v>3</v>
      </c>
      <c r="D2222" s="467">
        <v>96</v>
      </c>
      <c r="E2222" s="468">
        <v>26.5</v>
      </c>
      <c r="F2222" s="4">
        <f t="shared" si="37"/>
        <v>3.1128404669260729E-2</v>
      </c>
      <c r="G2222" s="37">
        <v>27.2</v>
      </c>
      <c r="H2222" s="469">
        <v>45641</v>
      </c>
    </row>
    <row r="2223" spans="3:8" x14ac:dyDescent="0.25">
      <c r="C2223" s="467">
        <v>4</v>
      </c>
      <c r="D2223" s="467">
        <v>101</v>
      </c>
      <c r="E2223" s="468">
        <v>23.5</v>
      </c>
      <c r="F2223" s="4">
        <f t="shared" si="37"/>
        <v>1.2931034482758652E-2</v>
      </c>
      <c r="G2223" s="37">
        <v>27.2</v>
      </c>
      <c r="H2223" s="469">
        <v>45641</v>
      </c>
    </row>
    <row r="2224" spans="3:8" x14ac:dyDescent="0.25">
      <c r="C2224" s="467">
        <v>5</v>
      </c>
      <c r="D2224" s="467">
        <v>88</v>
      </c>
      <c r="E2224" s="468">
        <v>34.1</v>
      </c>
      <c r="F2224" s="4">
        <f t="shared" si="37"/>
        <v>-8.0862533692722366E-2</v>
      </c>
      <c r="G2224" s="37">
        <v>27.2</v>
      </c>
      <c r="H2224" s="469">
        <v>45641</v>
      </c>
    </row>
    <row r="2225" spans="3:8" x14ac:dyDescent="0.25">
      <c r="C2225" s="467">
        <v>6</v>
      </c>
      <c r="D2225" s="467">
        <v>0</v>
      </c>
      <c r="E2225" s="468"/>
      <c r="F2225" s="4" t="str">
        <f t="shared" si="37"/>
        <v/>
      </c>
      <c r="G2225" s="37">
        <v>27.2</v>
      </c>
      <c r="H2225" s="469">
        <v>45641</v>
      </c>
    </row>
    <row r="2226" spans="3:8" x14ac:dyDescent="0.25">
      <c r="C2226" s="467">
        <v>7</v>
      </c>
      <c r="D2226" s="467">
        <v>72</v>
      </c>
      <c r="E2226" s="468">
        <v>23.6</v>
      </c>
      <c r="F2226" s="4">
        <f t="shared" si="37"/>
        <v>5.35714285714287E-2</v>
      </c>
      <c r="G2226" s="37">
        <v>27.2</v>
      </c>
      <c r="H2226" s="469">
        <v>45641</v>
      </c>
    </row>
    <row r="2227" spans="3:8" x14ac:dyDescent="0.25">
      <c r="C2227" s="467">
        <v>8</v>
      </c>
      <c r="D2227" s="467">
        <v>73</v>
      </c>
      <c r="E2227" s="468">
        <v>18.3</v>
      </c>
      <c r="F2227" s="4">
        <f t="shared" si="37"/>
        <v>2.2346368715083921E-2</v>
      </c>
      <c r="G2227" s="37">
        <v>27.2</v>
      </c>
      <c r="H2227" s="469">
        <v>45641</v>
      </c>
    </row>
    <row r="2228" spans="3:8" x14ac:dyDescent="0.25">
      <c r="C2228" s="467">
        <v>9</v>
      </c>
      <c r="D2228" s="467">
        <v>0</v>
      </c>
      <c r="E2228" s="468"/>
      <c r="F2228" s="4" t="str">
        <f t="shared" si="37"/>
        <v/>
      </c>
      <c r="G2228" s="37">
        <v>27.2</v>
      </c>
      <c r="H2228" s="469">
        <v>45641</v>
      </c>
    </row>
    <row r="2229" spans="3:8" x14ac:dyDescent="0.25">
      <c r="C2229" s="467">
        <v>10</v>
      </c>
      <c r="D2229" s="467">
        <v>53</v>
      </c>
      <c r="E2229" s="468">
        <v>20.6</v>
      </c>
      <c r="F2229" s="4">
        <f t="shared" si="37"/>
        <v>4.8780487804878743E-3</v>
      </c>
      <c r="G2229" s="37">
        <v>27.2</v>
      </c>
      <c r="H2229" s="469">
        <v>45641</v>
      </c>
    </row>
    <row r="2230" spans="3:8" x14ac:dyDescent="0.25">
      <c r="C2230" s="467">
        <v>18</v>
      </c>
      <c r="D2230" s="467">
        <v>15</v>
      </c>
      <c r="E2230" s="468">
        <v>15.5</v>
      </c>
      <c r="F2230" s="4">
        <f t="shared" si="37"/>
        <v>0.49038461538461531</v>
      </c>
      <c r="G2230" s="37">
        <v>27.2</v>
      </c>
      <c r="H2230" s="469">
        <v>45641</v>
      </c>
    </row>
    <row r="2231" spans="3:8" x14ac:dyDescent="0.25">
      <c r="C2231" s="467">
        <v>19</v>
      </c>
      <c r="D2231" s="467">
        <v>11</v>
      </c>
      <c r="E2231" s="468">
        <v>16.399999999999999</v>
      </c>
      <c r="F2231" s="4">
        <f t="shared" si="37"/>
        <v>-0.23720930232558146</v>
      </c>
      <c r="G2231" s="37">
        <v>27.2</v>
      </c>
      <c r="H2231" s="469">
        <v>45641</v>
      </c>
    </row>
    <row r="2232" spans="3:8" x14ac:dyDescent="0.25">
      <c r="C2232" s="470" t="s">
        <v>0</v>
      </c>
      <c r="D2232" s="470" t="s">
        <v>7</v>
      </c>
      <c r="E2232" s="471" t="s">
        <v>4</v>
      </c>
      <c r="F2232" s="4" t="str">
        <f t="shared" si="37"/>
        <v/>
      </c>
      <c r="G2232" s="37">
        <v>27.4</v>
      </c>
      <c r="H2232" s="472">
        <v>45642</v>
      </c>
    </row>
    <row r="2233" spans="3:8" x14ac:dyDescent="0.25">
      <c r="C2233" s="470">
        <v>1</v>
      </c>
      <c r="D2233" s="470">
        <v>43</v>
      </c>
      <c r="E2233" s="471">
        <v>28.5</v>
      </c>
      <c r="F2233" s="4">
        <f t="shared" si="37"/>
        <v>5.5555555555555552E-2</v>
      </c>
      <c r="G2233" s="37">
        <v>27.4</v>
      </c>
      <c r="H2233" s="472">
        <v>45642</v>
      </c>
    </row>
    <row r="2234" spans="3:8" x14ac:dyDescent="0.25">
      <c r="C2234" s="470">
        <v>2</v>
      </c>
      <c r="D2234" s="470">
        <v>62</v>
      </c>
      <c r="E2234" s="471">
        <v>33.799999999999997</v>
      </c>
      <c r="F2234" s="4">
        <f t="shared" si="37"/>
        <v>1.5015015015015017E-2</v>
      </c>
      <c r="G2234" s="37">
        <v>27.4</v>
      </c>
      <c r="H2234" s="472">
        <v>45642</v>
      </c>
    </row>
    <row r="2235" spans="3:8" x14ac:dyDescent="0.25">
      <c r="C2235" s="470">
        <v>3</v>
      </c>
      <c r="D2235" s="470">
        <v>96</v>
      </c>
      <c r="E2235" s="471">
        <v>27.7</v>
      </c>
      <c r="F2235" s="4">
        <f t="shared" si="37"/>
        <v>4.5283018867924504E-2</v>
      </c>
      <c r="G2235" s="37">
        <v>27.4</v>
      </c>
      <c r="H2235" s="472">
        <v>45642</v>
      </c>
    </row>
    <row r="2236" spans="3:8" x14ac:dyDescent="0.25">
      <c r="C2236" s="470">
        <v>4</v>
      </c>
      <c r="D2236" s="470">
        <v>101</v>
      </c>
      <c r="E2236" s="471">
        <v>21.2</v>
      </c>
      <c r="F2236" s="4">
        <f t="shared" si="37"/>
        <v>-9.7872340425531945E-2</v>
      </c>
      <c r="G2236" s="37">
        <v>27.4</v>
      </c>
      <c r="H2236" s="472">
        <v>45642</v>
      </c>
    </row>
    <row r="2237" spans="3:8" x14ac:dyDescent="0.25">
      <c r="C2237" s="470">
        <v>5</v>
      </c>
      <c r="D2237" s="470">
        <v>90</v>
      </c>
      <c r="E2237" s="471">
        <v>34.9</v>
      </c>
      <c r="F2237" s="4">
        <f t="shared" si="37"/>
        <v>2.3460410557184667E-2</v>
      </c>
      <c r="G2237" s="37">
        <v>27.4</v>
      </c>
      <c r="H2237" s="472">
        <v>45642</v>
      </c>
    </row>
    <row r="2238" spans="3:8" x14ac:dyDescent="0.25">
      <c r="C2238" s="470">
        <v>6</v>
      </c>
      <c r="D2238" s="470">
        <v>0</v>
      </c>
      <c r="E2238" s="471"/>
      <c r="F2238" s="4" t="str">
        <f t="shared" si="37"/>
        <v/>
      </c>
      <c r="G2238" s="37">
        <v>27.4</v>
      </c>
      <c r="H2238" s="472">
        <v>45642</v>
      </c>
    </row>
    <row r="2239" spans="3:8" x14ac:dyDescent="0.25">
      <c r="C2239" s="470">
        <v>7</v>
      </c>
      <c r="D2239" s="470">
        <v>73</v>
      </c>
      <c r="E2239" s="471">
        <v>24.1</v>
      </c>
      <c r="F2239" s="4">
        <f t="shared" si="37"/>
        <v>2.1186440677966101E-2</v>
      </c>
      <c r="G2239" s="37">
        <v>27.4</v>
      </c>
      <c r="H2239" s="472">
        <v>45642</v>
      </c>
    </row>
    <row r="2240" spans="3:8" x14ac:dyDescent="0.25">
      <c r="C2240" s="470">
        <v>8</v>
      </c>
      <c r="D2240" s="470">
        <v>73</v>
      </c>
      <c r="E2240" s="471">
        <v>19.5</v>
      </c>
      <c r="F2240" s="4">
        <f t="shared" si="37"/>
        <v>6.557377049180324E-2</v>
      </c>
      <c r="G2240" s="37">
        <v>27.4</v>
      </c>
      <c r="H2240" s="472">
        <v>45642</v>
      </c>
    </row>
    <row r="2241" spans="3:8" x14ac:dyDescent="0.25">
      <c r="C2241" s="470">
        <v>9</v>
      </c>
      <c r="D2241" s="470">
        <v>0</v>
      </c>
      <c r="E2241" s="471"/>
      <c r="F2241" s="4" t="str">
        <f t="shared" si="37"/>
        <v/>
      </c>
      <c r="G2241" s="37">
        <v>27.4</v>
      </c>
      <c r="H2241" s="472">
        <v>45642</v>
      </c>
    </row>
    <row r="2242" spans="3:8" x14ac:dyDescent="0.25">
      <c r="C2242" s="470">
        <v>10</v>
      </c>
      <c r="D2242" s="470">
        <v>53</v>
      </c>
      <c r="E2242" s="471">
        <v>20.2</v>
      </c>
      <c r="F2242" s="4">
        <f t="shared" si="37"/>
        <v>-1.9417475728155442E-2</v>
      </c>
      <c r="G2242" s="37">
        <v>27.4</v>
      </c>
      <c r="H2242" s="472">
        <v>45642</v>
      </c>
    </row>
    <row r="2243" spans="3:8" x14ac:dyDescent="0.25">
      <c r="C2243" s="470">
        <v>18</v>
      </c>
      <c r="D2243" s="470">
        <v>16</v>
      </c>
      <c r="E2243" s="471">
        <v>13.9</v>
      </c>
      <c r="F2243" s="4">
        <f t="shared" si="37"/>
        <v>-0.10322580645161288</v>
      </c>
      <c r="G2243" s="37">
        <v>27.4</v>
      </c>
      <c r="H2243" s="472">
        <v>45642</v>
      </c>
    </row>
    <row r="2244" spans="3:8" x14ac:dyDescent="0.25">
      <c r="C2244" s="470">
        <v>19</v>
      </c>
      <c r="D2244" s="470">
        <v>10</v>
      </c>
      <c r="E2244" s="471">
        <v>21.9</v>
      </c>
      <c r="F2244" s="4">
        <f t="shared" si="37"/>
        <v>0.33536585365853661</v>
      </c>
      <c r="G2244" s="37">
        <v>27.4</v>
      </c>
      <c r="H2244" s="472">
        <v>45642</v>
      </c>
    </row>
    <row r="2245" spans="3:8" x14ac:dyDescent="0.25">
      <c r="C2245" s="473" t="s">
        <v>0</v>
      </c>
      <c r="D2245" s="473" t="s">
        <v>7</v>
      </c>
      <c r="E2245" s="474" t="s">
        <v>4</v>
      </c>
      <c r="F2245" s="4" t="str">
        <f t="shared" si="37"/>
        <v/>
      </c>
      <c r="G2245" s="37">
        <v>26.3</v>
      </c>
      <c r="H2245" s="475">
        <v>45643</v>
      </c>
    </row>
    <row r="2246" spans="3:8" x14ac:dyDescent="0.25">
      <c r="C2246" s="473">
        <v>1</v>
      </c>
      <c r="D2246" s="473">
        <v>30</v>
      </c>
      <c r="E2246" s="474">
        <v>29.6</v>
      </c>
      <c r="F2246" s="4">
        <f t="shared" ref="F2246:F2310" si="38">IFERROR((E2246-E2233)/E2233,"")</f>
        <v>3.8596491228070226E-2</v>
      </c>
      <c r="G2246" s="37">
        <v>26.3</v>
      </c>
      <c r="H2246" s="475">
        <v>45643</v>
      </c>
    </row>
    <row r="2247" spans="3:8" x14ac:dyDescent="0.25">
      <c r="C2247" s="473">
        <v>2</v>
      </c>
      <c r="D2247" s="473">
        <v>69</v>
      </c>
      <c r="E2247" s="474">
        <v>31.7</v>
      </c>
      <c r="F2247" s="4">
        <f t="shared" si="38"/>
        <v>-6.2130177514792842E-2</v>
      </c>
      <c r="G2247" s="37">
        <v>26.3</v>
      </c>
      <c r="H2247" s="475">
        <v>45643</v>
      </c>
    </row>
    <row r="2248" spans="3:8" x14ac:dyDescent="0.25">
      <c r="C2248" s="473">
        <v>3</v>
      </c>
      <c r="D2248" s="473">
        <v>96</v>
      </c>
      <c r="E2248" s="474">
        <v>26.1</v>
      </c>
      <c r="F2248" s="4">
        <f t="shared" si="38"/>
        <v>-5.7761732851985485E-2</v>
      </c>
      <c r="G2248" s="37">
        <v>26.3</v>
      </c>
      <c r="H2248" s="475">
        <v>45643</v>
      </c>
    </row>
    <row r="2249" spans="3:8" x14ac:dyDescent="0.25">
      <c r="C2249" s="473">
        <v>4</v>
      </c>
      <c r="D2249" s="473">
        <v>101</v>
      </c>
      <c r="E2249" s="474">
        <v>22.4</v>
      </c>
      <c r="F2249" s="4">
        <f t="shared" si="38"/>
        <v>5.6603773584905627E-2</v>
      </c>
      <c r="G2249" s="37">
        <v>26.3</v>
      </c>
      <c r="H2249" s="475">
        <v>45643</v>
      </c>
    </row>
    <row r="2250" spans="3:8" x14ac:dyDescent="0.25">
      <c r="C2250" s="473">
        <v>5</v>
      </c>
      <c r="D2250" s="473">
        <v>98</v>
      </c>
      <c r="E2250" s="474">
        <v>33.1</v>
      </c>
      <c r="F2250" s="4">
        <f t="shared" si="38"/>
        <v>-5.1575931232091608E-2</v>
      </c>
      <c r="G2250" s="37">
        <v>26.3</v>
      </c>
      <c r="H2250" s="475">
        <v>45643</v>
      </c>
    </row>
    <row r="2251" spans="3:8" x14ac:dyDescent="0.25">
      <c r="C2251" s="473">
        <v>6</v>
      </c>
      <c r="D2251" s="473">
        <v>0</v>
      </c>
      <c r="E2251" s="474"/>
      <c r="F2251" s="4" t="str">
        <f t="shared" si="38"/>
        <v/>
      </c>
      <c r="G2251" s="37">
        <v>26.3</v>
      </c>
      <c r="H2251" s="475">
        <v>45643</v>
      </c>
    </row>
    <row r="2252" spans="3:8" x14ac:dyDescent="0.25">
      <c r="C2252" s="473">
        <v>7</v>
      </c>
      <c r="D2252" s="473">
        <v>73</v>
      </c>
      <c r="E2252" s="474">
        <v>22.8</v>
      </c>
      <c r="F2252" s="4">
        <f t="shared" si="38"/>
        <v>-5.394190871369297E-2</v>
      </c>
      <c r="G2252" s="37">
        <v>26.3</v>
      </c>
      <c r="H2252" s="475">
        <v>45643</v>
      </c>
    </row>
    <row r="2253" spans="3:8" x14ac:dyDescent="0.25">
      <c r="C2253" s="473">
        <v>8</v>
      </c>
      <c r="D2253" s="473">
        <v>72</v>
      </c>
      <c r="E2253" s="474">
        <v>17.899999999999999</v>
      </c>
      <c r="F2253" s="4">
        <f t="shared" si="38"/>
        <v>-8.2051282051282121E-2</v>
      </c>
      <c r="G2253" s="37">
        <v>26.3</v>
      </c>
      <c r="H2253" s="475">
        <v>45643</v>
      </c>
    </row>
    <row r="2254" spans="3:8" x14ac:dyDescent="0.25">
      <c r="C2254" s="473">
        <v>9</v>
      </c>
      <c r="D2254" s="473">
        <v>0</v>
      </c>
      <c r="E2254" s="474"/>
      <c r="F2254" s="4" t="str">
        <f t="shared" si="38"/>
        <v/>
      </c>
      <c r="G2254" s="37">
        <v>26.3</v>
      </c>
      <c r="H2254" s="475">
        <v>45643</v>
      </c>
    </row>
    <row r="2255" spans="3:8" x14ac:dyDescent="0.25">
      <c r="C2255" s="473">
        <v>10</v>
      </c>
      <c r="D2255" s="473">
        <v>53</v>
      </c>
      <c r="E2255" s="474">
        <v>19.3</v>
      </c>
      <c r="F2255" s="4">
        <f t="shared" si="38"/>
        <v>-4.4554455445544483E-2</v>
      </c>
      <c r="G2255" s="37">
        <v>26.3</v>
      </c>
      <c r="H2255" s="475">
        <v>45643</v>
      </c>
    </row>
    <row r="2256" spans="3:8" x14ac:dyDescent="0.25">
      <c r="C2256" s="473">
        <v>18</v>
      </c>
      <c r="D2256" s="473">
        <v>16</v>
      </c>
      <c r="E2256" s="474">
        <v>13.1</v>
      </c>
      <c r="F2256" s="4">
        <f t="shared" si="38"/>
        <v>-5.7553956834532426E-2</v>
      </c>
      <c r="G2256" s="37">
        <v>26.3</v>
      </c>
      <c r="H2256" s="475">
        <v>45643</v>
      </c>
    </row>
    <row r="2257" spans="3:8" x14ac:dyDescent="0.25">
      <c r="C2257" s="473">
        <v>19</v>
      </c>
      <c r="D2257" s="473">
        <v>12</v>
      </c>
      <c r="E2257" s="474">
        <v>13.4</v>
      </c>
      <c r="F2257" s="4">
        <f t="shared" si="38"/>
        <v>-0.38812785388127846</v>
      </c>
      <c r="G2257" s="37">
        <v>26.3</v>
      </c>
      <c r="H2257" s="475">
        <v>45643</v>
      </c>
    </row>
    <row r="2258" spans="3:8" x14ac:dyDescent="0.25">
      <c r="C2258" s="476" t="s">
        <v>0</v>
      </c>
      <c r="D2258" s="476" t="s">
        <v>7</v>
      </c>
      <c r="E2258" s="477" t="s">
        <v>4</v>
      </c>
      <c r="F2258" s="4" t="str">
        <f t="shared" si="38"/>
        <v/>
      </c>
      <c r="G2258" s="37">
        <v>26.7</v>
      </c>
      <c r="H2258" s="478">
        <v>45644</v>
      </c>
    </row>
    <row r="2259" spans="3:8" x14ac:dyDescent="0.25">
      <c r="C2259" s="476">
        <v>1</v>
      </c>
      <c r="D2259" s="476">
        <v>30</v>
      </c>
      <c r="E2259" s="477">
        <v>24.1</v>
      </c>
      <c r="F2259" s="4">
        <f t="shared" si="38"/>
        <v>-0.1858108108108108</v>
      </c>
      <c r="G2259" s="37">
        <v>26.7</v>
      </c>
      <c r="H2259" s="478">
        <v>45644</v>
      </c>
    </row>
    <row r="2260" spans="3:8" x14ac:dyDescent="0.25">
      <c r="C2260" s="476">
        <v>2</v>
      </c>
      <c r="D2260" s="476">
        <v>69</v>
      </c>
      <c r="E2260" s="477">
        <v>31.4</v>
      </c>
      <c r="F2260" s="4">
        <f t="shared" si="38"/>
        <v>-9.4637223974763634E-3</v>
      </c>
      <c r="G2260" s="37">
        <v>26.7</v>
      </c>
      <c r="H2260" s="478">
        <v>45644</v>
      </c>
    </row>
    <row r="2261" spans="3:8" x14ac:dyDescent="0.25">
      <c r="C2261" s="476">
        <v>3</v>
      </c>
      <c r="D2261" s="476">
        <v>96</v>
      </c>
      <c r="E2261" s="477">
        <v>26.8</v>
      </c>
      <c r="F2261" s="4">
        <f t="shared" si="38"/>
        <v>2.6819923371647483E-2</v>
      </c>
      <c r="G2261" s="37">
        <v>26.7</v>
      </c>
      <c r="H2261" s="478">
        <v>45644</v>
      </c>
    </row>
    <row r="2262" spans="3:8" x14ac:dyDescent="0.25">
      <c r="C2262" s="476">
        <v>4</v>
      </c>
      <c r="D2262" s="476">
        <v>101</v>
      </c>
      <c r="E2262" s="477">
        <v>22.4</v>
      </c>
      <c r="F2262" s="4">
        <f t="shared" si="38"/>
        <v>0</v>
      </c>
      <c r="G2262" s="37">
        <v>26.7</v>
      </c>
      <c r="H2262" s="478">
        <v>45644</v>
      </c>
    </row>
    <row r="2263" spans="3:8" x14ac:dyDescent="0.25">
      <c r="C2263" s="476">
        <v>5</v>
      </c>
      <c r="D2263" s="476">
        <v>98</v>
      </c>
      <c r="E2263" s="477">
        <v>33.700000000000003</v>
      </c>
      <c r="F2263" s="4">
        <f t="shared" si="38"/>
        <v>1.8126888217522702E-2</v>
      </c>
      <c r="G2263" s="37">
        <v>26.7</v>
      </c>
      <c r="H2263" s="478">
        <v>45644</v>
      </c>
    </row>
    <row r="2264" spans="3:8" x14ac:dyDescent="0.25">
      <c r="C2264" s="476">
        <v>6</v>
      </c>
      <c r="D2264" s="476">
        <v>0</v>
      </c>
      <c r="E2264" s="477"/>
      <c r="F2264" s="4" t="str">
        <f t="shared" si="38"/>
        <v/>
      </c>
      <c r="G2264" s="37">
        <v>26.7</v>
      </c>
      <c r="H2264" s="478">
        <v>45644</v>
      </c>
    </row>
    <row r="2265" spans="3:8" x14ac:dyDescent="0.25">
      <c r="C2265" s="476">
        <v>7</v>
      </c>
      <c r="D2265" s="476">
        <v>73</v>
      </c>
      <c r="E2265" s="477">
        <v>23.3</v>
      </c>
      <c r="F2265" s="4">
        <f t="shared" si="38"/>
        <v>2.1929824561403508E-2</v>
      </c>
      <c r="G2265" s="37">
        <v>26.7</v>
      </c>
      <c r="H2265" s="478">
        <v>45644</v>
      </c>
    </row>
    <row r="2266" spans="3:8" x14ac:dyDescent="0.25">
      <c r="C2266" s="476">
        <v>8</v>
      </c>
      <c r="D2266" s="476">
        <v>72</v>
      </c>
      <c r="E2266" s="477">
        <v>18.8</v>
      </c>
      <c r="F2266" s="4">
        <f t="shared" si="38"/>
        <v>5.0279329608938668E-2</v>
      </c>
      <c r="G2266" s="37">
        <v>26.7</v>
      </c>
      <c r="H2266" s="478">
        <v>45644</v>
      </c>
    </row>
    <row r="2267" spans="3:8" x14ac:dyDescent="0.25">
      <c r="C2267" s="476">
        <v>9</v>
      </c>
      <c r="D2267" s="476">
        <v>0</v>
      </c>
      <c r="E2267" s="477"/>
      <c r="F2267" s="4" t="str">
        <f t="shared" si="38"/>
        <v/>
      </c>
      <c r="G2267" s="37">
        <v>26.7</v>
      </c>
      <c r="H2267" s="478">
        <v>45644</v>
      </c>
    </row>
    <row r="2268" spans="3:8" x14ac:dyDescent="0.25">
      <c r="C2268" s="476">
        <v>10</v>
      </c>
      <c r="D2268" s="476">
        <v>53</v>
      </c>
      <c r="E2268" s="477">
        <v>19.399999999999999</v>
      </c>
      <c r="F2268" s="4">
        <f t="shared" si="38"/>
        <v>5.1813471502589565E-3</v>
      </c>
      <c r="G2268" s="37">
        <v>26.7</v>
      </c>
      <c r="H2268" s="478">
        <v>45644</v>
      </c>
    </row>
    <row r="2269" spans="3:8" x14ac:dyDescent="0.25">
      <c r="C2269" s="476">
        <v>18</v>
      </c>
      <c r="D2269" s="476">
        <v>14</v>
      </c>
      <c r="E2269" s="477">
        <v>11.9</v>
      </c>
      <c r="F2269" s="4">
        <f t="shared" si="38"/>
        <v>-9.1603053435114448E-2</v>
      </c>
      <c r="G2269" s="37">
        <v>26.7</v>
      </c>
      <c r="H2269" s="478">
        <v>45644</v>
      </c>
    </row>
    <row r="2270" spans="3:8" x14ac:dyDescent="0.25">
      <c r="C2270" s="476">
        <v>19</v>
      </c>
      <c r="D2270" s="476">
        <v>14</v>
      </c>
      <c r="E2270" s="477">
        <v>19.100000000000001</v>
      </c>
      <c r="F2270" s="4">
        <f t="shared" si="38"/>
        <v>0.42537313432835827</v>
      </c>
      <c r="G2270" s="37">
        <v>26.7</v>
      </c>
      <c r="H2270" s="478">
        <v>45644</v>
      </c>
    </row>
    <row r="2271" spans="3:8" x14ac:dyDescent="0.25">
      <c r="C2271" s="479" t="s">
        <v>0</v>
      </c>
      <c r="D2271" s="479" t="s">
        <v>7</v>
      </c>
      <c r="E2271" s="480" t="s">
        <v>4</v>
      </c>
      <c r="F2271" s="4" t="str">
        <f t="shared" si="38"/>
        <v/>
      </c>
      <c r="G2271" s="37">
        <v>26.4</v>
      </c>
      <c r="H2271" s="478">
        <v>45645</v>
      </c>
    </row>
    <row r="2272" spans="3:8" x14ac:dyDescent="0.25">
      <c r="C2272" s="479">
        <v>1</v>
      </c>
      <c r="D2272" s="479">
        <v>32</v>
      </c>
      <c r="E2272" s="480">
        <v>25.4</v>
      </c>
      <c r="F2272" s="4">
        <f t="shared" si="38"/>
        <v>5.3941908713692824E-2</v>
      </c>
      <c r="G2272" s="37">
        <v>26.4</v>
      </c>
      <c r="H2272" s="478">
        <v>45645</v>
      </c>
    </row>
    <row r="2273" spans="3:8" x14ac:dyDescent="0.25">
      <c r="C2273" s="479">
        <v>2</v>
      </c>
      <c r="D2273" s="479">
        <v>68</v>
      </c>
      <c r="E2273" s="480">
        <v>31.7</v>
      </c>
      <c r="F2273" s="4">
        <f t="shared" si="38"/>
        <v>9.5541401273885589E-3</v>
      </c>
      <c r="G2273" s="37">
        <v>26.4</v>
      </c>
      <c r="H2273" s="478">
        <v>45645</v>
      </c>
    </row>
    <row r="2274" spans="3:8" x14ac:dyDescent="0.25">
      <c r="C2274" s="479">
        <v>3</v>
      </c>
      <c r="D2274" s="479">
        <v>96</v>
      </c>
      <c r="E2274" s="480">
        <v>25.6</v>
      </c>
      <c r="F2274" s="4">
        <f t="shared" si="38"/>
        <v>-4.4776119402985044E-2</v>
      </c>
      <c r="G2274" s="37">
        <v>26.4</v>
      </c>
      <c r="H2274" s="478">
        <v>45645</v>
      </c>
    </row>
    <row r="2275" spans="3:8" x14ac:dyDescent="0.25">
      <c r="C2275" s="479">
        <v>4</v>
      </c>
      <c r="D2275" s="479">
        <v>100</v>
      </c>
      <c r="E2275" s="480">
        <v>21.2</v>
      </c>
      <c r="F2275" s="4">
        <f t="shared" si="38"/>
        <v>-5.3571428571428541E-2</v>
      </c>
      <c r="G2275" s="37">
        <v>26.4</v>
      </c>
      <c r="H2275" s="478">
        <v>45645</v>
      </c>
    </row>
    <row r="2276" spans="3:8" x14ac:dyDescent="0.25">
      <c r="C2276" s="479">
        <v>5</v>
      </c>
      <c r="D2276" s="479">
        <v>93</v>
      </c>
      <c r="E2276" s="480">
        <v>33.200000000000003</v>
      </c>
      <c r="F2276" s="4">
        <f t="shared" si="38"/>
        <v>-1.4836795252225518E-2</v>
      </c>
      <c r="G2276" s="37">
        <v>26.4</v>
      </c>
      <c r="H2276" s="478">
        <v>45645</v>
      </c>
    </row>
    <row r="2277" spans="3:8" x14ac:dyDescent="0.25">
      <c r="C2277" s="479">
        <v>6</v>
      </c>
      <c r="D2277" s="479">
        <v>0</v>
      </c>
      <c r="E2277" s="480"/>
      <c r="F2277" s="4" t="str">
        <f t="shared" si="38"/>
        <v/>
      </c>
      <c r="G2277" s="37">
        <v>26.4</v>
      </c>
      <c r="H2277" s="478">
        <v>45645</v>
      </c>
    </row>
    <row r="2278" spans="3:8" x14ac:dyDescent="0.25">
      <c r="C2278" s="479">
        <v>7</v>
      </c>
      <c r="D2278" s="479">
        <v>72</v>
      </c>
      <c r="E2278" s="480">
        <v>23</v>
      </c>
      <c r="F2278" s="4">
        <f t="shared" si="38"/>
        <v>-1.2875536480686725E-2</v>
      </c>
      <c r="G2278" s="37">
        <v>26.4</v>
      </c>
      <c r="H2278" s="478">
        <v>45645</v>
      </c>
    </row>
    <row r="2279" spans="3:8" x14ac:dyDescent="0.25">
      <c r="C2279" s="479">
        <v>8</v>
      </c>
      <c r="D2279" s="479">
        <v>72</v>
      </c>
      <c r="E2279" s="480">
        <v>17.7</v>
      </c>
      <c r="F2279" s="4">
        <f t="shared" si="38"/>
        <v>-5.8510638297872411E-2</v>
      </c>
      <c r="G2279" s="37">
        <v>26.4</v>
      </c>
      <c r="H2279" s="478">
        <v>45645</v>
      </c>
    </row>
    <row r="2280" spans="3:8" x14ac:dyDescent="0.25">
      <c r="C2280" s="479">
        <v>9</v>
      </c>
      <c r="D2280" s="479">
        <v>0</v>
      </c>
      <c r="E2280" s="480"/>
      <c r="F2280" s="4" t="str">
        <f t="shared" si="38"/>
        <v/>
      </c>
      <c r="G2280" s="37">
        <v>26.4</v>
      </c>
      <c r="H2280" s="478">
        <v>45645</v>
      </c>
    </row>
    <row r="2281" spans="3:8" x14ac:dyDescent="0.25">
      <c r="C2281" s="479">
        <v>10</v>
      </c>
      <c r="D2281" s="479">
        <v>32</v>
      </c>
      <c r="E2281" s="480">
        <v>16.3</v>
      </c>
      <c r="F2281" s="4">
        <f t="shared" si="38"/>
        <v>-0.15979381443298959</v>
      </c>
      <c r="G2281" s="37">
        <v>26.4</v>
      </c>
      <c r="H2281" s="478">
        <v>45645</v>
      </c>
    </row>
    <row r="2282" spans="3:8" x14ac:dyDescent="0.25">
      <c r="C2282" s="479">
        <v>18</v>
      </c>
      <c r="D2282" s="479">
        <v>9</v>
      </c>
      <c r="E2282" s="480">
        <v>13.6</v>
      </c>
      <c r="F2282" s="4">
        <f t="shared" si="38"/>
        <v>0.14285714285714279</v>
      </c>
      <c r="G2282" s="37">
        <v>26.4</v>
      </c>
      <c r="H2282" s="478">
        <v>45645</v>
      </c>
    </row>
    <row r="2283" spans="3:8" x14ac:dyDescent="0.25">
      <c r="C2283" s="479">
        <v>19</v>
      </c>
      <c r="D2283" s="479">
        <v>9</v>
      </c>
      <c r="E2283" s="480">
        <v>13.3</v>
      </c>
      <c r="F2283" s="4">
        <f t="shared" si="38"/>
        <v>-0.30366492146596857</v>
      </c>
      <c r="G2283" s="37">
        <v>26.4</v>
      </c>
      <c r="H2283" s="478">
        <v>45645</v>
      </c>
    </row>
    <row r="2284" spans="3:8" x14ac:dyDescent="0.25">
      <c r="C2284" s="481" t="s">
        <v>0</v>
      </c>
      <c r="D2284" s="481" t="s">
        <v>7</v>
      </c>
      <c r="E2284" s="482" t="s">
        <v>4</v>
      </c>
      <c r="F2284" s="4" t="str">
        <f t="shared" si="38"/>
        <v/>
      </c>
      <c r="G2284" s="37">
        <v>27</v>
      </c>
      <c r="H2284" s="483">
        <v>45646</v>
      </c>
    </row>
    <row r="2285" spans="3:8" x14ac:dyDescent="0.25">
      <c r="C2285" s="481">
        <v>1</v>
      </c>
      <c r="D2285" s="481">
        <v>34</v>
      </c>
      <c r="E2285" s="482">
        <v>26.2</v>
      </c>
      <c r="F2285" s="4">
        <f t="shared" si="38"/>
        <v>3.1496062992126012E-2</v>
      </c>
      <c r="G2285" s="37">
        <v>27</v>
      </c>
      <c r="H2285" s="483">
        <v>45646</v>
      </c>
    </row>
    <row r="2286" spans="3:8" x14ac:dyDescent="0.25">
      <c r="C2286" s="481">
        <v>2</v>
      </c>
      <c r="D2286" s="481">
        <v>68</v>
      </c>
      <c r="E2286" s="482">
        <v>32.299999999999997</v>
      </c>
      <c r="F2286" s="4">
        <f t="shared" si="38"/>
        <v>1.8927444794952616E-2</v>
      </c>
      <c r="G2286" s="37">
        <v>27</v>
      </c>
      <c r="H2286" s="483">
        <v>45646</v>
      </c>
    </row>
    <row r="2287" spans="3:8" x14ac:dyDescent="0.25">
      <c r="C2287" s="481">
        <v>3</v>
      </c>
      <c r="D2287" s="481">
        <v>96</v>
      </c>
      <c r="E2287" s="482">
        <v>26</v>
      </c>
      <c r="F2287" s="4">
        <f t="shared" si="38"/>
        <v>1.5624999999999944E-2</v>
      </c>
      <c r="G2287" s="37">
        <v>27</v>
      </c>
      <c r="H2287" s="483">
        <v>45646</v>
      </c>
    </row>
    <row r="2288" spans="3:8" x14ac:dyDescent="0.25">
      <c r="C2288" s="481">
        <v>4</v>
      </c>
      <c r="D2288" s="481">
        <v>91</v>
      </c>
      <c r="E2288" s="482">
        <v>20.8</v>
      </c>
      <c r="F2288" s="4">
        <f t="shared" si="38"/>
        <v>-1.886792452830182E-2</v>
      </c>
      <c r="G2288" s="37">
        <v>27</v>
      </c>
      <c r="H2288" s="483">
        <v>45646</v>
      </c>
    </row>
    <row r="2289" spans="3:8" x14ac:dyDescent="0.25">
      <c r="C2289" s="481">
        <v>5</v>
      </c>
      <c r="D2289" s="481">
        <v>93</v>
      </c>
      <c r="E2289" s="482">
        <v>32</v>
      </c>
      <c r="F2289" s="4">
        <f t="shared" si="38"/>
        <v>-3.6144578313253094E-2</v>
      </c>
      <c r="G2289" s="37">
        <v>27</v>
      </c>
      <c r="H2289" s="483">
        <v>45646</v>
      </c>
    </row>
    <row r="2290" spans="3:8" x14ac:dyDescent="0.25">
      <c r="C2290" s="481">
        <v>6</v>
      </c>
      <c r="D2290" s="481">
        <v>0</v>
      </c>
      <c r="E2290" s="482"/>
      <c r="F2290" s="4" t="str">
        <f t="shared" si="38"/>
        <v/>
      </c>
      <c r="G2290" s="37">
        <v>27</v>
      </c>
      <c r="H2290" s="483">
        <v>45646</v>
      </c>
    </row>
    <row r="2291" spans="3:8" x14ac:dyDescent="0.25">
      <c r="C2291" s="481">
        <v>7</v>
      </c>
      <c r="D2291" s="481">
        <v>72</v>
      </c>
      <c r="E2291" s="482">
        <v>23</v>
      </c>
      <c r="F2291" s="4">
        <f t="shared" si="38"/>
        <v>0</v>
      </c>
      <c r="G2291" s="37">
        <v>27</v>
      </c>
      <c r="H2291" s="483">
        <v>45646</v>
      </c>
    </row>
    <row r="2292" spans="3:8" x14ac:dyDescent="0.25">
      <c r="C2292" s="481">
        <v>8</v>
      </c>
      <c r="D2292" s="481">
        <v>66</v>
      </c>
      <c r="E2292" s="482">
        <v>17.7</v>
      </c>
      <c r="F2292" s="4">
        <f t="shared" si="38"/>
        <v>0</v>
      </c>
      <c r="G2292" s="37">
        <v>27</v>
      </c>
      <c r="H2292" s="483">
        <v>45646</v>
      </c>
    </row>
    <row r="2293" spans="3:8" x14ac:dyDescent="0.25">
      <c r="C2293" s="481">
        <v>9</v>
      </c>
      <c r="D2293" s="481">
        <v>0</v>
      </c>
      <c r="E2293" s="482"/>
      <c r="F2293" s="4" t="str">
        <f t="shared" si="38"/>
        <v/>
      </c>
      <c r="G2293" s="37">
        <v>27</v>
      </c>
      <c r="H2293" s="483">
        <v>45646</v>
      </c>
    </row>
    <row r="2294" spans="3:8" x14ac:dyDescent="0.25">
      <c r="C2294" s="481">
        <v>10</v>
      </c>
      <c r="D2294" s="481">
        <v>30</v>
      </c>
      <c r="E2294" s="482">
        <v>22.7</v>
      </c>
      <c r="F2294" s="4">
        <f t="shared" si="38"/>
        <v>0.39263803680981585</v>
      </c>
      <c r="G2294" s="37">
        <v>27</v>
      </c>
      <c r="H2294" s="483">
        <v>45646</v>
      </c>
    </row>
    <row r="2295" spans="3:8" x14ac:dyDescent="0.25">
      <c r="C2295" s="481">
        <v>18</v>
      </c>
      <c r="D2295" s="481">
        <v>6</v>
      </c>
      <c r="E2295" s="482">
        <v>17</v>
      </c>
      <c r="F2295" s="4">
        <f t="shared" si="38"/>
        <v>0.25000000000000006</v>
      </c>
      <c r="G2295" s="37">
        <v>27</v>
      </c>
      <c r="H2295" s="483">
        <v>45646</v>
      </c>
    </row>
    <row r="2296" spans="3:8" x14ac:dyDescent="0.25">
      <c r="C2296" s="481">
        <v>19</v>
      </c>
      <c r="D2296" s="481">
        <v>11</v>
      </c>
      <c r="E2296" s="482">
        <v>19.5</v>
      </c>
      <c r="F2296" s="4">
        <f t="shared" si="38"/>
        <v>0.46616541353383451</v>
      </c>
      <c r="G2296" s="37">
        <v>27</v>
      </c>
      <c r="H2296" s="483">
        <v>45646</v>
      </c>
    </row>
    <row r="2297" spans="3:8" x14ac:dyDescent="0.25">
      <c r="C2297" s="484" t="s">
        <v>0</v>
      </c>
      <c r="D2297" s="484" t="s">
        <v>7</v>
      </c>
      <c r="E2297" s="485" t="s">
        <v>4</v>
      </c>
      <c r="F2297" s="4" t="str">
        <f t="shared" si="38"/>
        <v/>
      </c>
      <c r="G2297" s="37">
        <v>27</v>
      </c>
      <c r="H2297" s="483">
        <v>45647</v>
      </c>
    </row>
    <row r="2298" spans="3:8" x14ac:dyDescent="0.25">
      <c r="C2298" s="484">
        <v>1</v>
      </c>
      <c r="D2298" s="484">
        <v>34</v>
      </c>
      <c r="E2298" s="485">
        <v>25.7</v>
      </c>
      <c r="F2298" s="4">
        <f t="shared" si="38"/>
        <v>-1.9083969465648856E-2</v>
      </c>
      <c r="G2298" s="37">
        <v>27</v>
      </c>
      <c r="H2298" s="483">
        <v>45647</v>
      </c>
    </row>
    <row r="2299" spans="3:8" x14ac:dyDescent="0.25">
      <c r="C2299" s="484">
        <v>2</v>
      </c>
      <c r="D2299" s="484">
        <v>60</v>
      </c>
      <c r="E2299" s="485">
        <v>32.700000000000003</v>
      </c>
      <c r="F2299" s="4">
        <f t="shared" si="38"/>
        <v>1.2383900928792747E-2</v>
      </c>
      <c r="G2299" s="37">
        <v>27</v>
      </c>
      <c r="H2299" s="483">
        <v>45647</v>
      </c>
    </row>
    <row r="2300" spans="3:8" x14ac:dyDescent="0.25">
      <c r="C2300" s="484">
        <v>3</v>
      </c>
      <c r="D2300" s="484">
        <v>99</v>
      </c>
      <c r="E2300" s="485">
        <v>25.6</v>
      </c>
      <c r="F2300" s="4">
        <f t="shared" si="38"/>
        <v>-1.538461538461533E-2</v>
      </c>
      <c r="G2300" s="37">
        <v>27</v>
      </c>
      <c r="H2300" s="483">
        <v>45647</v>
      </c>
    </row>
    <row r="2301" spans="3:8" x14ac:dyDescent="0.25">
      <c r="C2301" s="484">
        <v>4</v>
      </c>
      <c r="D2301" s="484">
        <v>98</v>
      </c>
      <c r="E2301" s="485">
        <v>22.6</v>
      </c>
      <c r="F2301" s="4">
        <f t="shared" si="38"/>
        <v>8.6538461538461564E-2</v>
      </c>
      <c r="G2301" s="37">
        <v>27</v>
      </c>
      <c r="H2301" s="483">
        <v>45647</v>
      </c>
    </row>
    <row r="2302" spans="3:8" x14ac:dyDescent="0.25">
      <c r="C2302" s="484">
        <v>5</v>
      </c>
      <c r="D2302" s="484">
        <v>74</v>
      </c>
      <c r="E2302" s="485">
        <v>33.200000000000003</v>
      </c>
      <c r="F2302" s="4">
        <f t="shared" si="38"/>
        <v>3.7500000000000089E-2</v>
      </c>
      <c r="G2302" s="37">
        <v>27</v>
      </c>
      <c r="H2302" s="483">
        <v>45647</v>
      </c>
    </row>
    <row r="2303" spans="3:8" x14ac:dyDescent="0.25">
      <c r="C2303" s="484">
        <v>6</v>
      </c>
      <c r="D2303" s="484">
        <v>0</v>
      </c>
      <c r="E2303" s="485"/>
      <c r="F2303" s="4" t="str">
        <f t="shared" si="38"/>
        <v/>
      </c>
      <c r="G2303" s="37">
        <v>27</v>
      </c>
      <c r="H2303" s="483">
        <v>45647</v>
      </c>
    </row>
    <row r="2304" spans="3:8" x14ac:dyDescent="0.25">
      <c r="C2304" s="484">
        <v>7</v>
      </c>
      <c r="D2304" s="484">
        <v>80</v>
      </c>
      <c r="E2304" s="485">
        <v>23.3</v>
      </c>
      <c r="F2304" s="4">
        <f t="shared" si="38"/>
        <v>1.3043478260869596E-2</v>
      </c>
      <c r="G2304" s="37">
        <v>27</v>
      </c>
      <c r="H2304" s="483">
        <v>45647</v>
      </c>
    </row>
    <row r="2305" spans="3:8" x14ac:dyDescent="0.25">
      <c r="C2305" s="484">
        <v>8</v>
      </c>
      <c r="D2305" s="484">
        <v>81</v>
      </c>
      <c r="E2305" s="485">
        <v>19.2</v>
      </c>
      <c r="F2305" s="4">
        <f t="shared" si="38"/>
        <v>8.4745762711864417E-2</v>
      </c>
      <c r="G2305" s="37">
        <v>27</v>
      </c>
      <c r="H2305" s="483">
        <v>45647</v>
      </c>
    </row>
    <row r="2306" spans="3:8" x14ac:dyDescent="0.25">
      <c r="C2306" s="484">
        <v>9</v>
      </c>
      <c r="D2306" s="484">
        <v>0</v>
      </c>
      <c r="E2306" s="485"/>
      <c r="F2306" s="4" t="str">
        <f t="shared" si="38"/>
        <v/>
      </c>
      <c r="G2306" s="37">
        <v>27</v>
      </c>
      <c r="H2306" s="483">
        <v>45647</v>
      </c>
    </row>
    <row r="2307" spans="3:8" x14ac:dyDescent="0.25">
      <c r="C2307" s="484">
        <v>10</v>
      </c>
      <c r="D2307" s="484">
        <v>24</v>
      </c>
      <c r="E2307" s="485">
        <v>24.4</v>
      </c>
      <c r="F2307" s="4">
        <f t="shared" si="38"/>
        <v>7.4889867841409663E-2</v>
      </c>
      <c r="G2307" s="37">
        <v>27</v>
      </c>
      <c r="H2307" s="483">
        <v>45647</v>
      </c>
    </row>
    <row r="2308" spans="3:8" x14ac:dyDescent="0.25">
      <c r="C2308" s="484">
        <v>18</v>
      </c>
      <c r="D2308" s="484">
        <v>15</v>
      </c>
      <c r="E2308" s="485">
        <v>9.6999999999999993</v>
      </c>
      <c r="F2308" s="4">
        <f t="shared" si="38"/>
        <v>-0.42941176470588238</v>
      </c>
      <c r="G2308" s="37">
        <v>27</v>
      </c>
      <c r="H2308" s="483">
        <v>45647</v>
      </c>
    </row>
    <row r="2309" spans="3:8" x14ac:dyDescent="0.25">
      <c r="C2309" s="484">
        <v>19</v>
      </c>
      <c r="D2309" s="484">
        <v>8</v>
      </c>
      <c r="E2309" s="485">
        <v>24.2</v>
      </c>
      <c r="F2309" s="4">
        <f t="shared" si="38"/>
        <v>0.241025641025641</v>
      </c>
      <c r="G2309" s="37">
        <v>27</v>
      </c>
      <c r="H2309" s="483">
        <v>45647</v>
      </c>
    </row>
    <row r="2310" spans="3:8" x14ac:dyDescent="0.25">
      <c r="C2310" s="486" t="s">
        <v>0</v>
      </c>
      <c r="D2310" s="486" t="s">
        <v>7</v>
      </c>
      <c r="E2310" s="487" t="s">
        <v>4</v>
      </c>
      <c r="F2310" s="4" t="str">
        <f t="shared" si="38"/>
        <v/>
      </c>
      <c r="G2310" s="37">
        <v>27.5</v>
      </c>
      <c r="H2310" s="488">
        <v>45648</v>
      </c>
    </row>
    <row r="2311" spans="3:8" x14ac:dyDescent="0.25">
      <c r="C2311" s="486">
        <v>1</v>
      </c>
      <c r="D2311" s="486">
        <v>36</v>
      </c>
      <c r="E2311" s="487">
        <v>22.9</v>
      </c>
      <c r="F2311" s="4">
        <f t="shared" ref="F2311:F2375" si="39">IFERROR((E2311-E2298)/E2298,"")</f>
        <v>-0.10894941634241248</v>
      </c>
      <c r="G2311" s="37">
        <v>27.5</v>
      </c>
      <c r="H2311" s="488">
        <v>45648</v>
      </c>
    </row>
    <row r="2312" spans="3:8" x14ac:dyDescent="0.25">
      <c r="C2312" s="486">
        <v>2</v>
      </c>
      <c r="D2312" s="486">
        <v>60</v>
      </c>
      <c r="E2312" s="487">
        <v>32.6</v>
      </c>
      <c r="F2312" s="4">
        <f t="shared" si="39"/>
        <v>-3.0581039755352116E-3</v>
      </c>
      <c r="G2312" s="37">
        <v>27.5</v>
      </c>
      <c r="H2312" s="488">
        <v>45648</v>
      </c>
    </row>
    <row r="2313" spans="3:8" x14ac:dyDescent="0.25">
      <c r="C2313" s="486">
        <v>3</v>
      </c>
      <c r="D2313" s="486">
        <v>99</v>
      </c>
      <c r="E2313" s="487">
        <v>26</v>
      </c>
      <c r="F2313" s="4">
        <f t="shared" si="39"/>
        <v>1.5624999999999944E-2</v>
      </c>
      <c r="G2313" s="37">
        <v>27.5</v>
      </c>
      <c r="H2313" s="488">
        <v>45648</v>
      </c>
    </row>
    <row r="2314" spans="3:8" x14ac:dyDescent="0.25">
      <c r="C2314" s="486">
        <v>4</v>
      </c>
      <c r="D2314" s="486">
        <v>98</v>
      </c>
      <c r="E2314" s="487">
        <v>22.5</v>
      </c>
      <c r="F2314" s="4">
        <f t="shared" si="39"/>
        <v>-4.4247787610620093E-3</v>
      </c>
      <c r="G2314" s="37">
        <v>27.5</v>
      </c>
      <c r="H2314" s="488">
        <v>45648</v>
      </c>
    </row>
    <row r="2315" spans="3:8" x14ac:dyDescent="0.25">
      <c r="C2315" s="486">
        <v>5</v>
      </c>
      <c r="D2315" s="486">
        <v>74</v>
      </c>
      <c r="E2315" s="487">
        <v>36</v>
      </c>
      <c r="F2315" s="4">
        <f t="shared" si="39"/>
        <v>8.4337349397590272E-2</v>
      </c>
      <c r="G2315" s="37">
        <v>27.5</v>
      </c>
      <c r="H2315" s="488">
        <v>45648</v>
      </c>
    </row>
    <row r="2316" spans="3:8" x14ac:dyDescent="0.25">
      <c r="C2316" s="486">
        <v>6</v>
      </c>
      <c r="D2316" s="486">
        <v>0</v>
      </c>
      <c r="E2316" s="487"/>
      <c r="F2316" s="4" t="str">
        <f t="shared" si="39"/>
        <v/>
      </c>
      <c r="G2316" s="37">
        <v>27.5</v>
      </c>
      <c r="H2316" s="488">
        <v>45648</v>
      </c>
    </row>
    <row r="2317" spans="3:8" x14ac:dyDescent="0.25">
      <c r="C2317" s="486">
        <v>7</v>
      </c>
      <c r="D2317" s="486">
        <v>80</v>
      </c>
      <c r="E2317" s="487">
        <v>24.5</v>
      </c>
      <c r="F2317" s="4">
        <f t="shared" si="39"/>
        <v>5.1502145922746746E-2</v>
      </c>
      <c r="G2317" s="37">
        <v>27.5</v>
      </c>
      <c r="H2317" s="488">
        <v>45648</v>
      </c>
    </row>
    <row r="2318" spans="3:8" x14ac:dyDescent="0.25">
      <c r="C2318" s="486">
        <v>8</v>
      </c>
      <c r="D2318" s="486">
        <v>81</v>
      </c>
      <c r="E2318" s="487">
        <v>19.8</v>
      </c>
      <c r="F2318" s="4">
        <f t="shared" si="39"/>
        <v>3.1250000000000076E-2</v>
      </c>
      <c r="G2318" s="37">
        <v>27.5</v>
      </c>
      <c r="H2318" s="488">
        <v>45648</v>
      </c>
    </row>
    <row r="2319" spans="3:8" x14ac:dyDescent="0.25">
      <c r="C2319" s="486">
        <v>9</v>
      </c>
      <c r="D2319" s="486">
        <v>0</v>
      </c>
      <c r="E2319" s="487"/>
      <c r="F2319" s="4" t="str">
        <f t="shared" si="39"/>
        <v/>
      </c>
      <c r="G2319" s="37">
        <v>27.5</v>
      </c>
      <c r="H2319" s="488">
        <v>45648</v>
      </c>
    </row>
    <row r="2320" spans="3:8" x14ac:dyDescent="0.25">
      <c r="C2320" s="486">
        <v>10</v>
      </c>
      <c r="D2320" s="486">
        <v>24</v>
      </c>
      <c r="E2320" s="487">
        <v>21.9</v>
      </c>
      <c r="F2320" s="4">
        <f t="shared" si="39"/>
        <v>-0.10245901639344263</v>
      </c>
      <c r="G2320" s="37">
        <v>27.5</v>
      </c>
      <c r="H2320" s="488">
        <v>45648</v>
      </c>
    </row>
    <row r="2321" spans="3:8" x14ac:dyDescent="0.25">
      <c r="C2321" s="486">
        <v>18</v>
      </c>
      <c r="D2321" s="486">
        <v>15</v>
      </c>
      <c r="E2321" s="487">
        <v>14.5</v>
      </c>
      <c r="F2321" s="4">
        <f t="shared" si="39"/>
        <v>0.4948453608247424</v>
      </c>
      <c r="G2321" s="37">
        <v>27.5</v>
      </c>
      <c r="H2321" s="488">
        <v>45648</v>
      </c>
    </row>
    <row r="2322" spans="3:8" x14ac:dyDescent="0.25">
      <c r="C2322" s="486">
        <v>19</v>
      </c>
      <c r="D2322" s="486">
        <v>8</v>
      </c>
      <c r="E2322" s="487">
        <v>21.4</v>
      </c>
      <c r="F2322" s="4">
        <f t="shared" si="39"/>
        <v>-0.11570247933884301</v>
      </c>
      <c r="G2322" s="37">
        <v>27.5</v>
      </c>
      <c r="H2322" s="488">
        <v>45648</v>
      </c>
    </row>
    <row r="2323" spans="3:8" x14ac:dyDescent="0.25">
      <c r="C2323" s="489" t="s">
        <v>0</v>
      </c>
      <c r="D2323" s="489" t="s">
        <v>7</v>
      </c>
      <c r="E2323" s="490" t="s">
        <v>4</v>
      </c>
      <c r="F2323" s="4" t="str">
        <f t="shared" si="39"/>
        <v/>
      </c>
      <c r="G2323" s="37">
        <v>27.6</v>
      </c>
      <c r="H2323" s="491">
        <v>45649</v>
      </c>
    </row>
    <row r="2324" spans="3:8" x14ac:dyDescent="0.25">
      <c r="C2324" s="489">
        <v>1</v>
      </c>
      <c r="D2324" s="489">
        <v>34</v>
      </c>
      <c r="E2324" s="490">
        <v>27.4</v>
      </c>
      <c r="F2324" s="4">
        <f t="shared" si="39"/>
        <v>0.19650655021834063</v>
      </c>
      <c r="G2324" s="37">
        <v>27.6</v>
      </c>
      <c r="H2324" s="491">
        <v>45649</v>
      </c>
    </row>
    <row r="2325" spans="3:8" x14ac:dyDescent="0.25">
      <c r="C2325" s="489">
        <v>2</v>
      </c>
      <c r="D2325" s="489">
        <v>60</v>
      </c>
      <c r="E2325" s="490">
        <v>33.1</v>
      </c>
      <c r="F2325" s="4">
        <f t="shared" si="39"/>
        <v>1.5337423312883436E-2</v>
      </c>
      <c r="G2325" s="37">
        <v>27.6</v>
      </c>
      <c r="H2325" s="491">
        <v>45649</v>
      </c>
    </row>
    <row r="2326" spans="3:8" x14ac:dyDescent="0.25">
      <c r="C2326" s="489">
        <v>3</v>
      </c>
      <c r="D2326" s="489">
        <v>99</v>
      </c>
      <c r="E2326" s="490">
        <v>27.1</v>
      </c>
      <c r="F2326" s="4">
        <f t="shared" si="39"/>
        <v>4.2307692307692366E-2</v>
      </c>
      <c r="G2326" s="37">
        <v>27.6</v>
      </c>
      <c r="H2326" s="491">
        <v>45649</v>
      </c>
    </row>
    <row r="2327" spans="3:8" x14ac:dyDescent="0.25">
      <c r="C2327" s="489">
        <v>4</v>
      </c>
      <c r="D2327" s="489">
        <v>98</v>
      </c>
      <c r="E2327" s="490">
        <v>21.7</v>
      </c>
      <c r="F2327" s="4">
        <f t="shared" si="39"/>
        <v>-3.555555555555559E-2</v>
      </c>
      <c r="G2327" s="37">
        <v>27.6</v>
      </c>
      <c r="H2327" s="491">
        <v>45649</v>
      </c>
    </row>
    <row r="2328" spans="3:8" x14ac:dyDescent="0.25">
      <c r="C2328" s="489">
        <v>5</v>
      </c>
      <c r="D2328" s="489">
        <v>72</v>
      </c>
      <c r="E2328" s="490">
        <v>36.700000000000003</v>
      </c>
      <c r="F2328" s="4">
        <f t="shared" si="39"/>
        <v>1.9444444444444525E-2</v>
      </c>
      <c r="G2328" s="37">
        <v>27.6</v>
      </c>
      <c r="H2328" s="491">
        <v>45649</v>
      </c>
    </row>
    <row r="2329" spans="3:8" x14ac:dyDescent="0.25">
      <c r="C2329" s="489">
        <v>6</v>
      </c>
      <c r="D2329" s="489">
        <v>0</v>
      </c>
      <c r="E2329" s="490"/>
      <c r="F2329" s="4" t="str">
        <f t="shared" si="39"/>
        <v/>
      </c>
      <c r="G2329" s="37">
        <v>27.6</v>
      </c>
      <c r="H2329" s="491">
        <v>45649</v>
      </c>
    </row>
    <row r="2330" spans="3:8" x14ac:dyDescent="0.25">
      <c r="C2330" s="489">
        <v>7</v>
      </c>
      <c r="D2330" s="489">
        <v>80</v>
      </c>
      <c r="E2330" s="490">
        <v>24.1</v>
      </c>
      <c r="F2330" s="4">
        <f t="shared" si="39"/>
        <v>-1.632653061224484E-2</v>
      </c>
      <c r="G2330" s="37">
        <v>27.6</v>
      </c>
      <c r="H2330" s="491">
        <v>45649</v>
      </c>
    </row>
    <row r="2331" spans="3:8" x14ac:dyDescent="0.25">
      <c r="C2331" s="489">
        <v>8</v>
      </c>
      <c r="D2331" s="489">
        <v>81</v>
      </c>
      <c r="E2331" s="490">
        <v>19.8</v>
      </c>
      <c r="F2331" s="4">
        <f t="shared" si="39"/>
        <v>0</v>
      </c>
      <c r="G2331" s="37">
        <v>27.6</v>
      </c>
      <c r="H2331" s="491">
        <v>45649</v>
      </c>
    </row>
    <row r="2332" spans="3:8" x14ac:dyDescent="0.25">
      <c r="C2332" s="489">
        <v>9</v>
      </c>
      <c r="D2332" s="489">
        <v>0</v>
      </c>
      <c r="E2332" s="490"/>
      <c r="F2332" s="4" t="str">
        <f t="shared" si="39"/>
        <v/>
      </c>
      <c r="G2332" s="37">
        <v>27.6</v>
      </c>
      <c r="H2332" s="491">
        <v>45649</v>
      </c>
    </row>
    <row r="2333" spans="3:8" x14ac:dyDescent="0.25">
      <c r="C2333" s="489">
        <v>10</v>
      </c>
      <c r="D2333" s="489">
        <v>24</v>
      </c>
      <c r="E2333" s="490">
        <v>21.3</v>
      </c>
      <c r="F2333" s="4">
        <f t="shared" si="39"/>
        <v>-2.7397260273972508E-2</v>
      </c>
      <c r="G2333" s="37">
        <v>27.6</v>
      </c>
      <c r="H2333" s="491">
        <v>45649</v>
      </c>
    </row>
    <row r="2334" spans="3:8" x14ac:dyDescent="0.25">
      <c r="C2334" s="489">
        <v>18</v>
      </c>
      <c r="D2334" s="489">
        <v>13</v>
      </c>
      <c r="E2334" s="490">
        <v>14.3</v>
      </c>
      <c r="F2334" s="4">
        <f t="shared" si="39"/>
        <v>-1.3793103448275813E-2</v>
      </c>
      <c r="G2334" s="37">
        <v>27.6</v>
      </c>
      <c r="H2334" s="491">
        <v>45649</v>
      </c>
    </row>
    <row r="2335" spans="3:8" x14ac:dyDescent="0.25">
      <c r="C2335" s="489">
        <v>19</v>
      </c>
      <c r="D2335" s="489">
        <v>11</v>
      </c>
      <c r="E2335" s="490">
        <v>17.7</v>
      </c>
      <c r="F2335" s="4">
        <f t="shared" si="39"/>
        <v>-0.17289719626168223</v>
      </c>
      <c r="G2335" s="37">
        <v>27.6</v>
      </c>
      <c r="H2335" s="491">
        <v>45649</v>
      </c>
    </row>
    <row r="2336" spans="3:8" x14ac:dyDescent="0.25">
      <c r="C2336" s="492" t="s">
        <v>0</v>
      </c>
      <c r="D2336" s="492" t="s">
        <v>7</v>
      </c>
      <c r="E2336" s="493" t="s">
        <v>4</v>
      </c>
      <c r="F2336" s="4" t="str">
        <f t="shared" si="39"/>
        <v/>
      </c>
      <c r="G2336" s="37">
        <v>26.9</v>
      </c>
      <c r="H2336" s="494">
        <v>45650</v>
      </c>
    </row>
    <row r="2337" spans="3:8" x14ac:dyDescent="0.25">
      <c r="C2337" s="492">
        <v>1</v>
      </c>
      <c r="D2337" s="492">
        <v>38</v>
      </c>
      <c r="E2337" s="493">
        <v>25.9</v>
      </c>
      <c r="F2337" s="4">
        <f t="shared" si="39"/>
        <v>-5.4744525547445258E-2</v>
      </c>
      <c r="G2337" s="37">
        <v>26.9</v>
      </c>
      <c r="H2337" s="494">
        <v>45650</v>
      </c>
    </row>
    <row r="2338" spans="3:8" x14ac:dyDescent="0.25">
      <c r="C2338" s="492">
        <v>2</v>
      </c>
      <c r="D2338" s="492">
        <v>63</v>
      </c>
      <c r="E2338" s="493">
        <v>32.700000000000003</v>
      </c>
      <c r="F2338" s="4">
        <f t="shared" si="39"/>
        <v>-1.2084592145015062E-2</v>
      </c>
      <c r="G2338" s="37">
        <v>26.9</v>
      </c>
      <c r="H2338" s="494">
        <v>45650</v>
      </c>
    </row>
    <row r="2339" spans="3:8" x14ac:dyDescent="0.25">
      <c r="C2339" s="492">
        <v>3</v>
      </c>
      <c r="D2339" s="492">
        <v>101</v>
      </c>
      <c r="E2339" s="493">
        <v>26.7</v>
      </c>
      <c r="F2339" s="4">
        <f t="shared" si="39"/>
        <v>-1.4760147601476092E-2</v>
      </c>
      <c r="G2339" s="37">
        <v>26.9</v>
      </c>
      <c r="H2339" s="494">
        <v>45650</v>
      </c>
    </row>
    <row r="2340" spans="3:8" x14ac:dyDescent="0.25">
      <c r="C2340" s="492">
        <v>4</v>
      </c>
      <c r="D2340" s="492">
        <v>99</v>
      </c>
      <c r="E2340" s="493">
        <v>22</v>
      </c>
      <c r="F2340" s="4">
        <f t="shared" si="39"/>
        <v>1.3824884792626762E-2</v>
      </c>
      <c r="G2340" s="37">
        <v>26.9</v>
      </c>
      <c r="H2340" s="494">
        <v>45650</v>
      </c>
    </row>
    <row r="2341" spans="3:8" x14ac:dyDescent="0.25">
      <c r="C2341" s="492">
        <v>5</v>
      </c>
      <c r="D2341" s="492">
        <v>72</v>
      </c>
      <c r="E2341" s="493">
        <v>34.4</v>
      </c>
      <c r="F2341" s="4">
        <f t="shared" si="39"/>
        <v>-6.2670299727520543E-2</v>
      </c>
      <c r="G2341" s="37">
        <v>26.9</v>
      </c>
      <c r="H2341" s="494">
        <v>45650</v>
      </c>
    </row>
    <row r="2342" spans="3:8" x14ac:dyDescent="0.25">
      <c r="C2342" s="492">
        <v>6</v>
      </c>
      <c r="D2342" s="492">
        <v>0</v>
      </c>
      <c r="E2342" s="493"/>
      <c r="F2342" s="4" t="str">
        <f t="shared" si="39"/>
        <v/>
      </c>
      <c r="G2342" s="37">
        <v>26.9</v>
      </c>
      <c r="H2342" s="494">
        <v>45650</v>
      </c>
    </row>
    <row r="2343" spans="3:8" x14ac:dyDescent="0.25">
      <c r="C2343" s="492">
        <v>7</v>
      </c>
      <c r="D2343" s="492">
        <v>80</v>
      </c>
      <c r="E2343" s="493">
        <v>25.1</v>
      </c>
      <c r="F2343" s="4">
        <f t="shared" si="39"/>
        <v>4.1493775933609957E-2</v>
      </c>
      <c r="G2343" s="37">
        <v>26.9</v>
      </c>
      <c r="H2343" s="494">
        <v>45650</v>
      </c>
    </row>
    <row r="2344" spans="3:8" x14ac:dyDescent="0.25">
      <c r="C2344" s="492">
        <v>8</v>
      </c>
      <c r="D2344" s="492">
        <v>81</v>
      </c>
      <c r="E2344" s="493">
        <v>20.100000000000001</v>
      </c>
      <c r="F2344" s="4">
        <f t="shared" si="39"/>
        <v>1.5151515151515187E-2</v>
      </c>
      <c r="G2344" s="37">
        <v>26.9</v>
      </c>
      <c r="H2344" s="494">
        <v>45650</v>
      </c>
    </row>
    <row r="2345" spans="3:8" x14ac:dyDescent="0.25">
      <c r="C2345" s="492">
        <v>9</v>
      </c>
      <c r="D2345" s="492">
        <v>0</v>
      </c>
      <c r="E2345" s="493"/>
      <c r="F2345" s="4" t="str">
        <f t="shared" si="39"/>
        <v/>
      </c>
      <c r="G2345" s="37">
        <v>26.9</v>
      </c>
      <c r="H2345" s="494">
        <v>45650</v>
      </c>
    </row>
    <row r="2346" spans="3:8" x14ac:dyDescent="0.25">
      <c r="C2346" s="492">
        <v>10</v>
      </c>
      <c r="D2346" s="492">
        <v>25</v>
      </c>
      <c r="E2346" s="493">
        <v>21.7</v>
      </c>
      <c r="F2346" s="4">
        <f t="shared" si="39"/>
        <v>1.8779342723004626E-2</v>
      </c>
      <c r="G2346" s="37">
        <v>26.9</v>
      </c>
      <c r="H2346" s="494">
        <v>45650</v>
      </c>
    </row>
    <row r="2347" spans="3:8" x14ac:dyDescent="0.25">
      <c r="C2347" s="492">
        <v>18</v>
      </c>
      <c r="D2347" s="492">
        <v>12</v>
      </c>
      <c r="E2347" s="493">
        <v>15.8</v>
      </c>
      <c r="F2347" s="4">
        <f t="shared" si="39"/>
        <v>0.1048951048951049</v>
      </c>
      <c r="G2347" s="37">
        <v>26.9</v>
      </c>
      <c r="H2347" s="494">
        <v>45650</v>
      </c>
    </row>
    <row r="2348" spans="3:8" x14ac:dyDescent="0.25">
      <c r="C2348" s="492">
        <v>19</v>
      </c>
      <c r="D2348" s="492">
        <v>7</v>
      </c>
      <c r="E2348" s="493">
        <v>23.3</v>
      </c>
      <c r="F2348" s="4">
        <f t="shared" si="39"/>
        <v>0.31638418079096053</v>
      </c>
      <c r="G2348" s="37">
        <v>26.9</v>
      </c>
      <c r="H2348" s="494">
        <v>45650</v>
      </c>
    </row>
    <row r="2349" spans="3:8" x14ac:dyDescent="0.25">
      <c r="C2349" s="495" t="s">
        <v>0</v>
      </c>
      <c r="D2349" s="495" t="s">
        <v>7</v>
      </c>
      <c r="E2349" s="496" t="s">
        <v>4</v>
      </c>
      <c r="F2349" s="4" t="str">
        <f t="shared" si="39"/>
        <v/>
      </c>
      <c r="G2349" s="37">
        <v>27.4</v>
      </c>
      <c r="H2349" s="494">
        <v>45651</v>
      </c>
    </row>
    <row r="2350" spans="3:8" x14ac:dyDescent="0.25">
      <c r="C2350" s="495">
        <v>1</v>
      </c>
      <c r="D2350" s="495">
        <v>38</v>
      </c>
      <c r="E2350" s="496">
        <v>26.3</v>
      </c>
      <c r="F2350" s="4">
        <f t="shared" si="39"/>
        <v>1.5444015444015528E-2</v>
      </c>
      <c r="G2350" s="37">
        <v>27.4</v>
      </c>
      <c r="H2350" s="494">
        <v>45651</v>
      </c>
    </row>
    <row r="2351" spans="3:8" x14ac:dyDescent="0.25">
      <c r="C2351" s="495">
        <v>2</v>
      </c>
      <c r="D2351" s="495">
        <v>63</v>
      </c>
      <c r="E2351" s="496">
        <v>33</v>
      </c>
      <c r="F2351" s="4">
        <f t="shared" si="39"/>
        <v>9.1743119266054166E-3</v>
      </c>
      <c r="G2351" s="37">
        <v>27.4</v>
      </c>
      <c r="H2351" s="494">
        <v>45651</v>
      </c>
    </row>
    <row r="2352" spans="3:8" x14ac:dyDescent="0.25">
      <c r="C2352" s="495">
        <v>3</v>
      </c>
      <c r="D2352" s="495">
        <v>101</v>
      </c>
      <c r="E2352" s="496">
        <v>27.2</v>
      </c>
      <c r="F2352" s="4">
        <f t="shared" si="39"/>
        <v>1.8726591760299626E-2</v>
      </c>
      <c r="G2352" s="37">
        <v>27.4</v>
      </c>
      <c r="H2352" s="494">
        <v>45651</v>
      </c>
    </row>
    <row r="2353" spans="3:8" x14ac:dyDescent="0.25">
      <c r="C2353" s="495">
        <v>4</v>
      </c>
      <c r="D2353" s="495">
        <v>99</v>
      </c>
      <c r="E2353" s="496">
        <v>22.7</v>
      </c>
      <c r="F2353" s="4">
        <f t="shared" si="39"/>
        <v>3.1818181818181787E-2</v>
      </c>
      <c r="G2353" s="37">
        <v>27.4</v>
      </c>
      <c r="H2353" s="494">
        <v>45651</v>
      </c>
    </row>
    <row r="2354" spans="3:8" x14ac:dyDescent="0.25">
      <c r="C2354" s="495">
        <v>5</v>
      </c>
      <c r="D2354" s="495">
        <v>72</v>
      </c>
      <c r="E2354" s="496">
        <v>35.9</v>
      </c>
      <c r="F2354" s="4">
        <f t="shared" si="39"/>
        <v>4.3604651162790699E-2</v>
      </c>
      <c r="G2354" s="37">
        <v>27.4</v>
      </c>
      <c r="H2354" s="494">
        <v>45651</v>
      </c>
    </row>
    <row r="2355" spans="3:8" x14ac:dyDescent="0.25">
      <c r="C2355" s="495">
        <v>6</v>
      </c>
      <c r="D2355" s="495">
        <v>0</v>
      </c>
      <c r="E2355" s="496"/>
      <c r="F2355" s="4" t="str">
        <f t="shared" si="39"/>
        <v/>
      </c>
      <c r="G2355" s="37">
        <v>27.4</v>
      </c>
      <c r="H2355" s="494">
        <v>45651</v>
      </c>
    </row>
    <row r="2356" spans="3:8" x14ac:dyDescent="0.25">
      <c r="C2356" s="495">
        <v>7</v>
      </c>
      <c r="D2356" s="495">
        <v>79</v>
      </c>
      <c r="E2356" s="496">
        <v>25.3</v>
      </c>
      <c r="F2356" s="4">
        <f t="shared" si="39"/>
        <v>7.9681274900398127E-3</v>
      </c>
      <c r="G2356" s="37">
        <v>27.4</v>
      </c>
      <c r="H2356" s="494">
        <v>45651</v>
      </c>
    </row>
    <row r="2357" spans="3:8" x14ac:dyDescent="0.25">
      <c r="C2357" s="495">
        <v>8</v>
      </c>
      <c r="D2357" s="495">
        <v>81</v>
      </c>
      <c r="E2357" s="496">
        <v>20.100000000000001</v>
      </c>
      <c r="F2357" s="4">
        <f t="shared" si="39"/>
        <v>0</v>
      </c>
      <c r="G2357" s="37">
        <v>27.4</v>
      </c>
      <c r="H2357" s="494">
        <v>45651</v>
      </c>
    </row>
    <row r="2358" spans="3:8" x14ac:dyDescent="0.25">
      <c r="C2358" s="495">
        <v>9</v>
      </c>
      <c r="D2358" s="495">
        <v>0</v>
      </c>
      <c r="E2358" s="496"/>
      <c r="F2358" s="4" t="str">
        <f t="shared" si="39"/>
        <v/>
      </c>
      <c r="G2358" s="37">
        <v>27.4</v>
      </c>
      <c r="H2358" s="494">
        <v>45651</v>
      </c>
    </row>
    <row r="2359" spans="3:8" x14ac:dyDescent="0.25">
      <c r="C2359" s="495">
        <v>10</v>
      </c>
      <c r="D2359" s="495">
        <v>25</v>
      </c>
      <c r="E2359" s="496">
        <v>20.6</v>
      </c>
      <c r="F2359" s="4">
        <f t="shared" si="39"/>
        <v>-5.0691244239631242E-2</v>
      </c>
      <c r="G2359" s="37">
        <v>27.4</v>
      </c>
      <c r="H2359" s="494">
        <v>45651</v>
      </c>
    </row>
    <row r="2360" spans="3:8" x14ac:dyDescent="0.25">
      <c r="C2360" s="495">
        <v>18</v>
      </c>
      <c r="D2360" s="495">
        <v>11</v>
      </c>
      <c r="E2360" s="496">
        <v>27.7</v>
      </c>
      <c r="F2360" s="4">
        <f t="shared" si="39"/>
        <v>0.75316455696202522</v>
      </c>
      <c r="G2360" s="37">
        <v>27.4</v>
      </c>
      <c r="H2360" s="494">
        <v>45651</v>
      </c>
    </row>
    <row r="2361" spans="3:8" x14ac:dyDescent="0.25">
      <c r="C2361" s="495">
        <v>19</v>
      </c>
      <c r="D2361" s="495">
        <v>10</v>
      </c>
      <c r="E2361" s="496">
        <v>21.1</v>
      </c>
      <c r="F2361" s="4">
        <f t="shared" si="39"/>
        <v>-9.4420600858369064E-2</v>
      </c>
      <c r="G2361" s="37">
        <v>27.4</v>
      </c>
      <c r="H2361" s="494">
        <v>45651</v>
      </c>
    </row>
    <row r="2362" spans="3:8" x14ac:dyDescent="0.25">
      <c r="C2362" s="497" t="s">
        <v>0</v>
      </c>
      <c r="D2362" s="497" t="s">
        <v>7</v>
      </c>
      <c r="E2362" s="498" t="s">
        <v>4</v>
      </c>
      <c r="F2362" s="4" t="str">
        <f t="shared" si="39"/>
        <v/>
      </c>
      <c r="G2362" s="37">
        <v>27.4</v>
      </c>
      <c r="H2362" s="499">
        <v>45652</v>
      </c>
    </row>
    <row r="2363" spans="3:8" x14ac:dyDescent="0.25">
      <c r="C2363" s="497">
        <v>1</v>
      </c>
      <c r="D2363" s="497">
        <v>40</v>
      </c>
      <c r="E2363" s="498">
        <v>30.1</v>
      </c>
      <c r="F2363" s="4">
        <f t="shared" si="39"/>
        <v>0.14448669201520914</v>
      </c>
      <c r="G2363" s="37">
        <v>27.4</v>
      </c>
      <c r="H2363" s="499">
        <v>45652</v>
      </c>
    </row>
    <row r="2364" spans="3:8" x14ac:dyDescent="0.25">
      <c r="C2364" s="497">
        <v>2</v>
      </c>
      <c r="D2364" s="497">
        <v>63</v>
      </c>
      <c r="E2364" s="498">
        <v>32.799999999999997</v>
      </c>
      <c r="F2364" s="4">
        <f t="shared" si="39"/>
        <v>-6.0606060606061465E-3</v>
      </c>
      <c r="G2364" s="37">
        <v>27.4</v>
      </c>
      <c r="H2364" s="499">
        <v>45652</v>
      </c>
    </row>
    <row r="2365" spans="3:8" x14ac:dyDescent="0.25">
      <c r="C2365" s="497">
        <v>3</v>
      </c>
      <c r="D2365" s="497">
        <v>101</v>
      </c>
      <c r="E2365" s="498">
        <v>26.7</v>
      </c>
      <c r="F2365" s="4">
        <f t="shared" si="39"/>
        <v>-1.8382352941176471E-2</v>
      </c>
      <c r="G2365" s="37">
        <v>27.4</v>
      </c>
      <c r="H2365" s="499">
        <v>45652</v>
      </c>
    </row>
    <row r="2366" spans="3:8" x14ac:dyDescent="0.25">
      <c r="C2366" s="497">
        <v>4</v>
      </c>
      <c r="D2366" s="497">
        <v>97</v>
      </c>
      <c r="E2366" s="498">
        <v>22.3</v>
      </c>
      <c r="F2366" s="4">
        <f t="shared" si="39"/>
        <v>-1.7621145374449278E-2</v>
      </c>
      <c r="G2366" s="37">
        <v>27.4</v>
      </c>
      <c r="H2366" s="499">
        <v>45652</v>
      </c>
    </row>
    <row r="2367" spans="3:8" x14ac:dyDescent="0.25">
      <c r="C2367" s="497">
        <v>5</v>
      </c>
      <c r="D2367" s="497">
        <v>72</v>
      </c>
      <c r="E2367" s="498">
        <v>34.9</v>
      </c>
      <c r="F2367" s="4">
        <f t="shared" si="39"/>
        <v>-2.7855153203342621E-2</v>
      </c>
      <c r="G2367" s="37">
        <v>27.4</v>
      </c>
      <c r="H2367" s="499">
        <v>45652</v>
      </c>
    </row>
    <row r="2368" spans="3:8" x14ac:dyDescent="0.25">
      <c r="C2368" s="497">
        <v>6</v>
      </c>
      <c r="D2368" s="497">
        <v>0</v>
      </c>
      <c r="E2368" s="498"/>
      <c r="F2368" s="4" t="str">
        <f t="shared" si="39"/>
        <v/>
      </c>
      <c r="G2368" s="37">
        <v>27.4</v>
      </c>
      <c r="H2368" s="499">
        <v>45652</v>
      </c>
    </row>
    <row r="2369" spans="3:8" x14ac:dyDescent="0.25">
      <c r="C2369" s="497">
        <v>7</v>
      </c>
      <c r="D2369" s="497">
        <v>79</v>
      </c>
      <c r="E2369" s="498">
        <v>24.8</v>
      </c>
      <c r="F2369" s="4">
        <f t="shared" si="39"/>
        <v>-1.9762845849802372E-2</v>
      </c>
      <c r="G2369" s="37">
        <v>27.4</v>
      </c>
      <c r="H2369" s="499">
        <v>45652</v>
      </c>
    </row>
    <row r="2370" spans="3:8" x14ac:dyDescent="0.25">
      <c r="C2370" s="497">
        <v>8</v>
      </c>
      <c r="D2370" s="497">
        <v>78</v>
      </c>
      <c r="E2370" s="498">
        <v>19</v>
      </c>
      <c r="F2370" s="4">
        <f t="shared" si="39"/>
        <v>-5.472636815920405E-2</v>
      </c>
      <c r="G2370" s="37">
        <v>27.4</v>
      </c>
      <c r="H2370" s="499">
        <v>45652</v>
      </c>
    </row>
    <row r="2371" spans="3:8" x14ac:dyDescent="0.25">
      <c r="C2371" s="497">
        <v>9</v>
      </c>
      <c r="D2371" s="497">
        <v>0</v>
      </c>
      <c r="E2371" s="498"/>
      <c r="F2371" s="4" t="str">
        <f t="shared" si="39"/>
        <v/>
      </c>
      <c r="G2371" s="37">
        <v>27.4</v>
      </c>
      <c r="H2371" s="499">
        <v>45652</v>
      </c>
    </row>
    <row r="2372" spans="3:8" x14ac:dyDescent="0.25">
      <c r="C2372" s="497">
        <v>10</v>
      </c>
      <c r="D2372" s="497">
        <v>25</v>
      </c>
      <c r="E2372" s="498">
        <v>20.3</v>
      </c>
      <c r="F2372" s="4">
        <f t="shared" si="39"/>
        <v>-1.4563106796116538E-2</v>
      </c>
      <c r="G2372" s="37">
        <v>27.4</v>
      </c>
      <c r="H2372" s="499">
        <v>45652</v>
      </c>
    </row>
    <row r="2373" spans="3:8" x14ac:dyDescent="0.25">
      <c r="C2373" s="497">
        <v>18</v>
      </c>
      <c r="D2373" s="497">
        <v>10</v>
      </c>
      <c r="E2373" s="498">
        <v>9.9</v>
      </c>
      <c r="F2373" s="4">
        <f t="shared" si="39"/>
        <v>-0.64259927797833927</v>
      </c>
      <c r="G2373" s="37">
        <v>27.4</v>
      </c>
      <c r="H2373" s="499">
        <v>45652</v>
      </c>
    </row>
    <row r="2374" spans="3:8" x14ac:dyDescent="0.25">
      <c r="C2374" s="497">
        <v>19</v>
      </c>
      <c r="D2374" s="497">
        <v>11</v>
      </c>
      <c r="E2374" s="498">
        <v>24.1</v>
      </c>
      <c r="F2374" s="4">
        <f t="shared" si="39"/>
        <v>0.14218009478672985</v>
      </c>
      <c r="G2374" s="37">
        <v>27.4</v>
      </c>
      <c r="H2374" s="499">
        <v>45652</v>
      </c>
    </row>
    <row r="2375" spans="3:8" x14ac:dyDescent="0.25">
      <c r="C2375" s="500" t="s">
        <v>0</v>
      </c>
      <c r="D2375" s="500" t="s">
        <v>7</v>
      </c>
      <c r="E2375" s="501" t="s">
        <v>4</v>
      </c>
      <c r="F2375" s="4" t="str">
        <f t="shared" si="39"/>
        <v/>
      </c>
      <c r="G2375" s="37">
        <v>27.6</v>
      </c>
      <c r="H2375" s="499">
        <v>45653</v>
      </c>
    </row>
    <row r="2376" spans="3:8" x14ac:dyDescent="0.25">
      <c r="C2376" s="500">
        <v>1</v>
      </c>
      <c r="D2376" s="500">
        <v>40</v>
      </c>
      <c r="E2376" s="501">
        <v>30.3</v>
      </c>
      <c r="F2376" s="4">
        <f t="shared" ref="F2376:F2440" si="40">IFERROR((E2376-E2363)/E2363,"")</f>
        <v>6.644518272425225E-3</v>
      </c>
      <c r="G2376" s="37">
        <v>27.6</v>
      </c>
      <c r="H2376" s="499">
        <v>45653</v>
      </c>
    </row>
    <row r="2377" spans="3:8" x14ac:dyDescent="0.25">
      <c r="C2377" s="500">
        <v>2</v>
      </c>
      <c r="D2377" s="500">
        <v>63</v>
      </c>
      <c r="E2377" s="501">
        <v>32.299999999999997</v>
      </c>
      <c r="F2377" s="4">
        <f t="shared" si="40"/>
        <v>-1.5243902439024392E-2</v>
      </c>
      <c r="G2377" s="37">
        <v>27.6</v>
      </c>
      <c r="H2377" s="499">
        <v>45653</v>
      </c>
    </row>
    <row r="2378" spans="3:8" x14ac:dyDescent="0.25">
      <c r="C2378" s="500">
        <v>3</v>
      </c>
      <c r="D2378" s="500">
        <v>100</v>
      </c>
      <c r="E2378" s="501">
        <v>24.7</v>
      </c>
      <c r="F2378" s="4">
        <f t="shared" si="40"/>
        <v>-7.4906367041198504E-2</v>
      </c>
      <c r="G2378" s="37">
        <v>27.6</v>
      </c>
      <c r="H2378" s="499">
        <v>45653</v>
      </c>
    </row>
    <row r="2379" spans="3:8" x14ac:dyDescent="0.25">
      <c r="C2379" s="500">
        <v>4</v>
      </c>
      <c r="D2379" s="500">
        <v>97</v>
      </c>
      <c r="E2379" s="501">
        <v>22.7</v>
      </c>
      <c r="F2379" s="4">
        <f t="shared" si="40"/>
        <v>1.7937219730941641E-2</v>
      </c>
      <c r="G2379" s="37">
        <v>27.6</v>
      </c>
      <c r="H2379" s="499">
        <v>45653</v>
      </c>
    </row>
    <row r="2380" spans="3:8" x14ac:dyDescent="0.25">
      <c r="C2380" s="500">
        <v>5</v>
      </c>
      <c r="D2380" s="500">
        <v>72</v>
      </c>
      <c r="E2380" s="501">
        <v>34.6</v>
      </c>
      <c r="F2380" s="4">
        <f t="shared" si="40"/>
        <v>-8.5959885386818671E-3</v>
      </c>
      <c r="G2380" s="37">
        <v>27.6</v>
      </c>
      <c r="H2380" s="499">
        <v>45653</v>
      </c>
    </row>
    <row r="2381" spans="3:8" x14ac:dyDescent="0.25">
      <c r="C2381" s="500">
        <v>6</v>
      </c>
      <c r="D2381" s="500">
        <v>0</v>
      </c>
      <c r="E2381" s="501"/>
      <c r="F2381" s="4" t="str">
        <f t="shared" si="40"/>
        <v/>
      </c>
      <c r="G2381" s="37">
        <v>27.6</v>
      </c>
      <c r="H2381" s="499">
        <v>45653</v>
      </c>
    </row>
    <row r="2382" spans="3:8" x14ac:dyDescent="0.25">
      <c r="C2382" s="500">
        <v>7</v>
      </c>
      <c r="D2382" s="500">
        <v>79</v>
      </c>
      <c r="E2382" s="501">
        <v>25.2</v>
      </c>
      <c r="F2382" s="4">
        <f t="shared" si="40"/>
        <v>1.6129032258064457E-2</v>
      </c>
      <c r="G2382" s="37">
        <v>27.6</v>
      </c>
      <c r="H2382" s="499">
        <v>45653</v>
      </c>
    </row>
    <row r="2383" spans="3:8" x14ac:dyDescent="0.25">
      <c r="C2383" s="500">
        <v>8</v>
      </c>
      <c r="D2383" s="500">
        <v>78</v>
      </c>
      <c r="E2383" s="501">
        <v>19.899999999999999</v>
      </c>
      <c r="F2383" s="4">
        <f t="shared" si="40"/>
        <v>4.7368421052631504E-2</v>
      </c>
      <c r="G2383" s="37">
        <v>27.6</v>
      </c>
      <c r="H2383" s="499">
        <v>45653</v>
      </c>
    </row>
    <row r="2384" spans="3:8" x14ac:dyDescent="0.25">
      <c r="C2384" s="500">
        <v>9</v>
      </c>
      <c r="D2384" s="500">
        <v>0</v>
      </c>
      <c r="E2384" s="501"/>
      <c r="F2384" s="4" t="str">
        <f t="shared" si="40"/>
        <v/>
      </c>
      <c r="G2384" s="37">
        <v>27.6</v>
      </c>
      <c r="H2384" s="499">
        <v>45653</v>
      </c>
    </row>
    <row r="2385" spans="3:8" x14ac:dyDescent="0.25">
      <c r="C2385" s="500">
        <v>10</v>
      </c>
      <c r="D2385" s="500">
        <v>25</v>
      </c>
      <c r="E2385" s="501">
        <v>21.5</v>
      </c>
      <c r="F2385" s="4">
        <f t="shared" si="40"/>
        <v>5.91133004926108E-2</v>
      </c>
      <c r="G2385" s="37">
        <v>27.6</v>
      </c>
      <c r="H2385" s="499">
        <v>45653</v>
      </c>
    </row>
    <row r="2386" spans="3:8" x14ac:dyDescent="0.25">
      <c r="C2386" s="500">
        <v>18</v>
      </c>
      <c r="D2386" s="500">
        <v>8</v>
      </c>
      <c r="E2386" s="501">
        <v>5.8</v>
      </c>
      <c r="F2386" s="4">
        <f t="shared" si="40"/>
        <v>-0.4141414141414142</v>
      </c>
      <c r="G2386" s="37">
        <v>27.6</v>
      </c>
      <c r="H2386" s="499">
        <v>45653</v>
      </c>
    </row>
    <row r="2387" spans="3:8" x14ac:dyDescent="0.25">
      <c r="C2387" s="500">
        <v>19</v>
      </c>
      <c r="D2387" s="500">
        <v>12</v>
      </c>
      <c r="E2387" s="501">
        <v>20.3</v>
      </c>
      <c r="F2387" s="4">
        <f t="shared" si="40"/>
        <v>-0.15767634854771787</v>
      </c>
      <c r="G2387" s="37">
        <v>27.6</v>
      </c>
      <c r="H2387" s="499">
        <v>45653</v>
      </c>
    </row>
    <row r="2388" spans="3:8" x14ac:dyDescent="0.25">
      <c r="C2388" s="502" t="s">
        <v>0</v>
      </c>
      <c r="D2388" s="502" t="s">
        <v>7</v>
      </c>
      <c r="E2388" s="503" t="s">
        <v>4</v>
      </c>
      <c r="F2388" s="4" t="str">
        <f t="shared" si="40"/>
        <v/>
      </c>
      <c r="G2388" s="37">
        <v>27.4</v>
      </c>
      <c r="H2388" s="504">
        <v>45654</v>
      </c>
    </row>
    <row r="2389" spans="3:8" x14ac:dyDescent="0.25">
      <c r="C2389" s="502">
        <v>1</v>
      </c>
      <c r="D2389" s="502">
        <v>23</v>
      </c>
      <c r="E2389" s="503">
        <v>31.7</v>
      </c>
      <c r="F2389" s="4">
        <f t="shared" si="40"/>
        <v>4.620462046204616E-2</v>
      </c>
      <c r="G2389" s="37">
        <v>27.4</v>
      </c>
      <c r="H2389" s="504">
        <v>45654</v>
      </c>
    </row>
    <row r="2390" spans="3:8" x14ac:dyDescent="0.25">
      <c r="C2390" s="502">
        <v>2</v>
      </c>
      <c r="D2390" s="502">
        <v>69</v>
      </c>
      <c r="E2390" s="503">
        <v>32.6</v>
      </c>
      <c r="F2390" s="4">
        <f t="shared" si="40"/>
        <v>9.2879256965945605E-3</v>
      </c>
      <c r="G2390" s="37">
        <v>27.4</v>
      </c>
      <c r="H2390" s="504">
        <v>45654</v>
      </c>
    </row>
    <row r="2391" spans="3:8" x14ac:dyDescent="0.25">
      <c r="C2391" s="502">
        <v>3</v>
      </c>
      <c r="D2391" s="502">
        <v>99</v>
      </c>
      <c r="E2391" s="503">
        <v>27.2</v>
      </c>
      <c r="F2391" s="4">
        <f t="shared" si="40"/>
        <v>0.10121457489878542</v>
      </c>
      <c r="G2391" s="37">
        <v>27.4</v>
      </c>
      <c r="H2391" s="504">
        <v>45654</v>
      </c>
    </row>
    <row r="2392" spans="3:8" x14ac:dyDescent="0.25">
      <c r="C2392" s="502">
        <v>4</v>
      </c>
      <c r="D2392" s="502">
        <v>100</v>
      </c>
      <c r="E2392" s="503">
        <v>23</v>
      </c>
      <c r="F2392" s="4">
        <f t="shared" si="40"/>
        <v>1.3215859030837036E-2</v>
      </c>
      <c r="G2392" s="37">
        <v>27.4</v>
      </c>
      <c r="H2392" s="504">
        <v>45654</v>
      </c>
    </row>
    <row r="2393" spans="3:8" x14ac:dyDescent="0.25">
      <c r="C2393" s="502">
        <v>5</v>
      </c>
      <c r="D2393" s="502">
        <v>75</v>
      </c>
      <c r="E2393" s="503">
        <v>33.700000000000003</v>
      </c>
      <c r="F2393" s="4">
        <f t="shared" si="40"/>
        <v>-2.6011560693641578E-2</v>
      </c>
      <c r="G2393" s="37">
        <v>27.4</v>
      </c>
      <c r="H2393" s="504">
        <v>45654</v>
      </c>
    </row>
    <row r="2394" spans="3:8" x14ac:dyDescent="0.25">
      <c r="C2394" s="502">
        <v>6</v>
      </c>
      <c r="D2394" s="502">
        <v>0</v>
      </c>
      <c r="E2394" s="503"/>
      <c r="F2394" s="4" t="str">
        <f t="shared" si="40"/>
        <v/>
      </c>
      <c r="G2394" s="37">
        <v>27.4</v>
      </c>
      <c r="H2394" s="504">
        <v>45654</v>
      </c>
    </row>
    <row r="2395" spans="3:8" x14ac:dyDescent="0.25">
      <c r="C2395" s="502">
        <v>7</v>
      </c>
      <c r="D2395" s="502">
        <v>82</v>
      </c>
      <c r="E2395" s="503">
        <v>23.6</v>
      </c>
      <c r="F2395" s="4">
        <f t="shared" si="40"/>
        <v>-6.3492063492063405E-2</v>
      </c>
      <c r="G2395" s="37">
        <v>27.4</v>
      </c>
      <c r="H2395" s="504">
        <v>45654</v>
      </c>
    </row>
    <row r="2396" spans="3:8" x14ac:dyDescent="0.25">
      <c r="C2396" s="502">
        <v>8</v>
      </c>
      <c r="D2396" s="502">
        <v>82</v>
      </c>
      <c r="E2396" s="503">
        <v>19.600000000000001</v>
      </c>
      <c r="F2396" s="4">
        <f t="shared" si="40"/>
        <v>-1.5075376884421969E-2</v>
      </c>
      <c r="G2396" s="37">
        <v>27.4</v>
      </c>
      <c r="H2396" s="504">
        <v>45654</v>
      </c>
    </row>
    <row r="2397" spans="3:8" x14ac:dyDescent="0.25">
      <c r="C2397" s="502">
        <v>9</v>
      </c>
      <c r="D2397" s="502">
        <v>0</v>
      </c>
      <c r="E2397" s="503"/>
      <c r="F2397" s="4" t="str">
        <f t="shared" si="40"/>
        <v/>
      </c>
      <c r="G2397" s="37">
        <v>27.4</v>
      </c>
      <c r="H2397" s="504">
        <v>45654</v>
      </c>
    </row>
    <row r="2398" spans="3:8" x14ac:dyDescent="0.25">
      <c r="C2398" s="502">
        <v>10</v>
      </c>
      <c r="D2398" s="502">
        <v>25</v>
      </c>
      <c r="E2398" s="503">
        <v>18.7</v>
      </c>
      <c r="F2398" s="4">
        <f t="shared" si="40"/>
        <v>-0.13023255813953491</v>
      </c>
      <c r="G2398" s="37">
        <v>27.4</v>
      </c>
      <c r="H2398" s="504">
        <v>45654</v>
      </c>
    </row>
    <row r="2399" spans="3:8" x14ac:dyDescent="0.25">
      <c r="C2399" s="502">
        <v>18</v>
      </c>
      <c r="D2399" s="502">
        <v>9</v>
      </c>
      <c r="E2399" s="503">
        <v>8.1</v>
      </c>
      <c r="F2399" s="4">
        <f t="shared" si="40"/>
        <v>0.39655172413793099</v>
      </c>
      <c r="G2399" s="37">
        <v>27.4</v>
      </c>
      <c r="H2399" s="504">
        <v>45654</v>
      </c>
    </row>
    <row r="2400" spans="3:8" x14ac:dyDescent="0.25">
      <c r="C2400" s="502">
        <v>19</v>
      </c>
      <c r="D2400" s="502">
        <v>11</v>
      </c>
      <c r="E2400" s="503">
        <v>25</v>
      </c>
      <c r="F2400" s="4">
        <f t="shared" si="40"/>
        <v>0.23152709359605908</v>
      </c>
      <c r="G2400" s="37">
        <v>27.4</v>
      </c>
      <c r="H2400" s="504">
        <v>45654</v>
      </c>
    </row>
    <row r="2401" spans="3:8" x14ac:dyDescent="0.25">
      <c r="C2401" s="505" t="s">
        <v>0</v>
      </c>
      <c r="D2401" s="505" t="s">
        <v>7</v>
      </c>
      <c r="E2401" s="506" t="s">
        <v>4</v>
      </c>
      <c r="F2401" s="4" t="str">
        <f t="shared" si="40"/>
        <v/>
      </c>
      <c r="G2401" s="37">
        <v>26.5</v>
      </c>
      <c r="H2401" s="507">
        <v>45655</v>
      </c>
    </row>
    <row r="2402" spans="3:8" x14ac:dyDescent="0.25">
      <c r="C2402" s="505">
        <v>1</v>
      </c>
      <c r="D2402" s="505">
        <v>20</v>
      </c>
      <c r="E2402" s="506">
        <v>25.1</v>
      </c>
      <c r="F2402" s="4">
        <f t="shared" si="40"/>
        <v>-0.20820189274447942</v>
      </c>
      <c r="G2402" s="37">
        <v>26.5</v>
      </c>
      <c r="H2402" s="507">
        <v>45655</v>
      </c>
    </row>
    <row r="2403" spans="3:8" x14ac:dyDescent="0.25">
      <c r="C2403" s="505">
        <v>2</v>
      </c>
      <c r="D2403" s="505">
        <v>68</v>
      </c>
      <c r="E2403" s="506">
        <v>31.5</v>
      </c>
      <c r="F2403" s="4">
        <f t="shared" si="40"/>
        <v>-3.3742331288343599E-2</v>
      </c>
      <c r="G2403" s="37">
        <v>26.5</v>
      </c>
      <c r="H2403" s="507">
        <v>45655</v>
      </c>
    </row>
    <row r="2404" spans="3:8" x14ac:dyDescent="0.25">
      <c r="C2404" s="505">
        <v>3</v>
      </c>
      <c r="D2404" s="505">
        <v>99</v>
      </c>
      <c r="E2404" s="506">
        <v>25.5</v>
      </c>
      <c r="F2404" s="4">
        <f t="shared" si="40"/>
        <v>-6.2499999999999972E-2</v>
      </c>
      <c r="G2404" s="37">
        <v>26.5</v>
      </c>
      <c r="H2404" s="507">
        <v>45655</v>
      </c>
    </row>
    <row r="2405" spans="3:8" x14ac:dyDescent="0.25">
      <c r="C2405" s="505">
        <v>4</v>
      </c>
      <c r="D2405" s="505">
        <v>100</v>
      </c>
      <c r="E2405" s="506">
        <v>21.4</v>
      </c>
      <c r="F2405" s="4">
        <f t="shared" si="40"/>
        <v>-6.9565217391304404E-2</v>
      </c>
      <c r="G2405" s="37">
        <v>26.5</v>
      </c>
      <c r="H2405" s="507">
        <v>45655</v>
      </c>
    </row>
    <row r="2406" spans="3:8" x14ac:dyDescent="0.25">
      <c r="C2406" s="505">
        <v>5</v>
      </c>
      <c r="D2406" s="505">
        <v>75</v>
      </c>
      <c r="E2406" s="506">
        <v>35.200000000000003</v>
      </c>
      <c r="F2406" s="4">
        <f t="shared" si="40"/>
        <v>4.4510385756676554E-2</v>
      </c>
      <c r="G2406" s="37">
        <v>26.5</v>
      </c>
      <c r="H2406" s="507">
        <v>45655</v>
      </c>
    </row>
    <row r="2407" spans="3:8" x14ac:dyDescent="0.25">
      <c r="C2407" s="505">
        <v>6</v>
      </c>
      <c r="D2407" s="505">
        <v>0</v>
      </c>
      <c r="E2407" s="506"/>
      <c r="F2407" s="4" t="str">
        <f t="shared" si="40"/>
        <v/>
      </c>
      <c r="G2407" s="37">
        <v>26.5</v>
      </c>
      <c r="H2407" s="507">
        <v>45655</v>
      </c>
    </row>
    <row r="2408" spans="3:8" x14ac:dyDescent="0.25">
      <c r="C2408" s="505">
        <v>7</v>
      </c>
      <c r="D2408" s="505">
        <v>82</v>
      </c>
      <c r="E2408" s="506">
        <v>23.5</v>
      </c>
      <c r="F2408" s="4">
        <f t="shared" si="40"/>
        <v>-4.2372881355932802E-3</v>
      </c>
      <c r="G2408" s="37">
        <v>26.5</v>
      </c>
      <c r="H2408" s="507">
        <v>45655</v>
      </c>
    </row>
    <row r="2409" spans="3:8" x14ac:dyDescent="0.25">
      <c r="C2409" s="505">
        <v>8</v>
      </c>
      <c r="D2409" s="505">
        <v>81</v>
      </c>
      <c r="E2409" s="506">
        <v>19.3</v>
      </c>
      <c r="F2409" s="4">
        <f t="shared" si="40"/>
        <v>-1.5306122448979626E-2</v>
      </c>
      <c r="G2409" s="37">
        <v>26.5</v>
      </c>
      <c r="H2409" s="507">
        <v>45655</v>
      </c>
    </row>
    <row r="2410" spans="3:8" x14ac:dyDescent="0.25">
      <c r="C2410" s="505">
        <v>9</v>
      </c>
      <c r="D2410" s="505">
        <v>0</v>
      </c>
      <c r="E2410" s="506"/>
      <c r="F2410" s="4" t="str">
        <f t="shared" si="40"/>
        <v/>
      </c>
      <c r="G2410" s="37">
        <v>26.5</v>
      </c>
      <c r="H2410" s="507">
        <v>45655</v>
      </c>
    </row>
    <row r="2411" spans="3:8" x14ac:dyDescent="0.25">
      <c r="C2411" s="505">
        <v>10</v>
      </c>
      <c r="D2411" s="505">
        <v>25</v>
      </c>
      <c r="E2411" s="506">
        <v>19.8</v>
      </c>
      <c r="F2411" s="4">
        <f t="shared" si="40"/>
        <v>5.8823529411764781E-2</v>
      </c>
      <c r="G2411" s="37">
        <v>26.5</v>
      </c>
      <c r="H2411" s="507">
        <v>45655</v>
      </c>
    </row>
    <row r="2412" spans="3:8" x14ac:dyDescent="0.25">
      <c r="C2412" s="505">
        <v>18</v>
      </c>
      <c r="D2412" s="505">
        <v>11</v>
      </c>
      <c r="E2412" s="506">
        <v>11.3</v>
      </c>
      <c r="F2412" s="4">
        <f t="shared" si="40"/>
        <v>0.39506172839506187</v>
      </c>
      <c r="G2412" s="37">
        <v>26.5</v>
      </c>
      <c r="H2412" s="507">
        <v>45655</v>
      </c>
    </row>
    <row r="2413" spans="3:8" x14ac:dyDescent="0.25">
      <c r="C2413" s="505">
        <v>19</v>
      </c>
      <c r="D2413" s="505">
        <v>11</v>
      </c>
      <c r="E2413" s="506">
        <v>22.6</v>
      </c>
      <c r="F2413" s="4">
        <f t="shared" si="40"/>
        <v>-9.5999999999999946E-2</v>
      </c>
      <c r="G2413" s="37">
        <v>26.5</v>
      </c>
      <c r="H2413" s="507">
        <v>45655</v>
      </c>
    </row>
    <row r="2414" spans="3:8" x14ac:dyDescent="0.25">
      <c r="C2414" s="508" t="s">
        <v>0</v>
      </c>
      <c r="D2414" s="508" t="s">
        <v>7</v>
      </c>
      <c r="E2414" s="509" t="s">
        <v>4</v>
      </c>
      <c r="F2414" s="4" t="str">
        <f t="shared" si="40"/>
        <v/>
      </c>
      <c r="G2414" s="37">
        <v>27.5</v>
      </c>
      <c r="H2414" s="510">
        <v>45656</v>
      </c>
    </row>
    <row r="2415" spans="3:8" x14ac:dyDescent="0.25">
      <c r="C2415" s="508">
        <v>1</v>
      </c>
      <c r="D2415" s="508">
        <v>19</v>
      </c>
      <c r="E2415" s="509">
        <v>23</v>
      </c>
      <c r="F2415" s="4">
        <f t="shared" si="40"/>
        <v>-8.3665338645418377E-2</v>
      </c>
      <c r="G2415" s="37">
        <v>27.5</v>
      </c>
      <c r="H2415" s="510">
        <v>45656</v>
      </c>
    </row>
    <row r="2416" spans="3:8" x14ac:dyDescent="0.25">
      <c r="C2416" s="508">
        <v>2</v>
      </c>
      <c r="D2416" s="508">
        <v>68</v>
      </c>
      <c r="E2416" s="509">
        <v>32.799999999999997</v>
      </c>
      <c r="F2416" s="4">
        <f t="shared" si="40"/>
        <v>4.1269841269841179E-2</v>
      </c>
      <c r="G2416" s="37">
        <v>27.5</v>
      </c>
      <c r="H2416" s="510">
        <v>45656</v>
      </c>
    </row>
    <row r="2417" spans="3:8" x14ac:dyDescent="0.25">
      <c r="C2417" s="508">
        <v>3</v>
      </c>
      <c r="D2417" s="508">
        <v>97</v>
      </c>
      <c r="E2417" s="509">
        <v>26.8</v>
      </c>
      <c r="F2417" s="4">
        <f t="shared" si="40"/>
        <v>5.0980392156862772E-2</v>
      </c>
      <c r="G2417" s="37">
        <v>27.5</v>
      </c>
      <c r="H2417" s="510">
        <v>45656</v>
      </c>
    </row>
    <row r="2418" spans="3:8" x14ac:dyDescent="0.25">
      <c r="C2418" s="508">
        <v>4</v>
      </c>
      <c r="D2418" s="508">
        <v>99</v>
      </c>
      <c r="E2418" s="509">
        <v>21.8</v>
      </c>
      <c r="F2418" s="4">
        <f t="shared" si="40"/>
        <v>1.8691588785046828E-2</v>
      </c>
      <c r="G2418" s="37">
        <v>27.5</v>
      </c>
      <c r="H2418" s="510">
        <v>45656</v>
      </c>
    </row>
    <row r="2419" spans="3:8" x14ac:dyDescent="0.25">
      <c r="C2419" s="508">
        <v>5</v>
      </c>
      <c r="D2419" s="508">
        <v>76</v>
      </c>
      <c r="E2419" s="509">
        <v>36.1</v>
      </c>
      <c r="F2419" s="4">
        <f t="shared" si="40"/>
        <v>2.5568181818181775E-2</v>
      </c>
      <c r="G2419" s="37">
        <v>27.5</v>
      </c>
      <c r="H2419" s="510">
        <v>45656</v>
      </c>
    </row>
    <row r="2420" spans="3:8" x14ac:dyDescent="0.25">
      <c r="C2420" s="508">
        <v>6</v>
      </c>
      <c r="D2420" s="508">
        <v>0</v>
      </c>
      <c r="E2420" s="509"/>
      <c r="F2420" s="4" t="str">
        <f t="shared" si="40"/>
        <v/>
      </c>
      <c r="G2420" s="37">
        <v>27.5</v>
      </c>
      <c r="H2420" s="510">
        <v>45656</v>
      </c>
    </row>
    <row r="2421" spans="3:8" x14ac:dyDescent="0.25">
      <c r="C2421" s="508">
        <v>7</v>
      </c>
      <c r="D2421" s="508">
        <v>82</v>
      </c>
      <c r="E2421" s="509">
        <v>24.8</v>
      </c>
      <c r="F2421" s="4">
        <f t="shared" si="40"/>
        <v>5.5319148936170244E-2</v>
      </c>
      <c r="G2421" s="37">
        <v>27.5</v>
      </c>
      <c r="H2421" s="510">
        <v>45656</v>
      </c>
    </row>
    <row r="2422" spans="3:8" x14ac:dyDescent="0.25">
      <c r="C2422" s="508">
        <v>8</v>
      </c>
      <c r="D2422" s="508">
        <v>82</v>
      </c>
      <c r="E2422" s="509">
        <v>20.5</v>
      </c>
      <c r="F2422" s="4">
        <f t="shared" si="40"/>
        <v>6.2176165803108772E-2</v>
      </c>
      <c r="G2422" s="37">
        <v>27.5</v>
      </c>
      <c r="H2422" s="510">
        <v>45656</v>
      </c>
    </row>
    <row r="2423" spans="3:8" x14ac:dyDescent="0.25">
      <c r="C2423" s="508">
        <v>9</v>
      </c>
      <c r="D2423" s="508">
        <v>0</v>
      </c>
      <c r="E2423" s="509"/>
      <c r="F2423" s="4" t="str">
        <f t="shared" si="40"/>
        <v/>
      </c>
      <c r="G2423" s="37">
        <v>27.5</v>
      </c>
      <c r="H2423" s="510">
        <v>45656</v>
      </c>
    </row>
    <row r="2424" spans="3:8" x14ac:dyDescent="0.25">
      <c r="C2424" s="508">
        <v>10</v>
      </c>
      <c r="D2424" s="508">
        <v>25</v>
      </c>
      <c r="E2424" s="509">
        <v>19.600000000000001</v>
      </c>
      <c r="F2424" s="4">
        <f t="shared" si="40"/>
        <v>-1.0101010101010065E-2</v>
      </c>
      <c r="G2424" s="37">
        <v>27.5</v>
      </c>
      <c r="H2424" s="510">
        <v>45656</v>
      </c>
    </row>
    <row r="2425" spans="3:8" x14ac:dyDescent="0.25">
      <c r="C2425" s="508">
        <v>18</v>
      </c>
      <c r="D2425" s="508">
        <v>11</v>
      </c>
      <c r="E2425" s="509">
        <v>6.5</v>
      </c>
      <c r="F2425" s="4">
        <f t="shared" si="40"/>
        <v>-0.42477876106194695</v>
      </c>
      <c r="G2425" s="37">
        <v>27.5</v>
      </c>
      <c r="H2425" s="510">
        <v>45656</v>
      </c>
    </row>
    <row r="2426" spans="3:8" x14ac:dyDescent="0.25">
      <c r="C2426" s="508">
        <v>19</v>
      </c>
      <c r="D2426" s="508">
        <v>12</v>
      </c>
      <c r="E2426" s="509">
        <v>27</v>
      </c>
      <c r="F2426" s="4">
        <f t="shared" si="40"/>
        <v>0.19469026548672558</v>
      </c>
      <c r="G2426" s="37">
        <v>27.5</v>
      </c>
      <c r="H2426" s="510">
        <v>45656</v>
      </c>
    </row>
    <row r="2427" spans="3:8" x14ac:dyDescent="0.25">
      <c r="C2427" s="511" t="s">
        <v>0</v>
      </c>
      <c r="D2427" s="511" t="s">
        <v>7</v>
      </c>
      <c r="E2427" s="512" t="s">
        <v>4</v>
      </c>
      <c r="F2427" s="4" t="str">
        <f t="shared" si="40"/>
        <v/>
      </c>
      <c r="G2427" s="37">
        <v>27.2</v>
      </c>
      <c r="H2427" s="513">
        <v>45657</v>
      </c>
    </row>
    <row r="2428" spans="3:8" x14ac:dyDescent="0.25">
      <c r="C2428" s="511">
        <v>1</v>
      </c>
      <c r="D2428" s="511">
        <v>23</v>
      </c>
      <c r="E2428" s="512">
        <v>28.3</v>
      </c>
      <c r="F2428" s="4">
        <f t="shared" si="40"/>
        <v>0.23043478260869568</v>
      </c>
      <c r="G2428" s="37">
        <v>27.2</v>
      </c>
      <c r="H2428" s="513">
        <v>45657</v>
      </c>
    </row>
    <row r="2429" spans="3:8" x14ac:dyDescent="0.25">
      <c r="C2429" s="511">
        <v>2</v>
      </c>
      <c r="D2429" s="511">
        <v>69</v>
      </c>
      <c r="E2429" s="512">
        <v>29.9</v>
      </c>
      <c r="F2429" s="4">
        <f t="shared" si="40"/>
        <v>-8.8414634146341431E-2</v>
      </c>
      <c r="G2429" s="37">
        <v>27.2</v>
      </c>
      <c r="H2429" s="513">
        <v>45657</v>
      </c>
    </row>
    <row r="2430" spans="3:8" x14ac:dyDescent="0.25">
      <c r="C2430" s="511">
        <v>3</v>
      </c>
      <c r="D2430" s="511">
        <v>97</v>
      </c>
      <c r="E2430" s="512">
        <v>27.5</v>
      </c>
      <c r="F2430" s="4">
        <f t="shared" si="40"/>
        <v>2.6119402985074598E-2</v>
      </c>
      <c r="G2430" s="37">
        <v>27.2</v>
      </c>
      <c r="H2430" s="513">
        <v>45657</v>
      </c>
    </row>
    <row r="2431" spans="3:8" x14ac:dyDescent="0.25">
      <c r="C2431" s="511">
        <v>4</v>
      </c>
      <c r="D2431" s="511">
        <v>99</v>
      </c>
      <c r="E2431" s="512">
        <v>22.6</v>
      </c>
      <c r="F2431" s="4">
        <f t="shared" si="40"/>
        <v>3.6697247706422048E-2</v>
      </c>
      <c r="G2431" s="37">
        <v>27.2</v>
      </c>
      <c r="H2431" s="513">
        <v>45657</v>
      </c>
    </row>
    <row r="2432" spans="3:8" x14ac:dyDescent="0.25">
      <c r="C2432" s="511">
        <v>5</v>
      </c>
      <c r="D2432" s="511">
        <v>78</v>
      </c>
      <c r="E2432" s="512">
        <v>36.6</v>
      </c>
      <c r="F2432" s="4">
        <f t="shared" si="40"/>
        <v>1.3850415512465374E-2</v>
      </c>
      <c r="G2432" s="37">
        <v>27.2</v>
      </c>
      <c r="H2432" s="513">
        <v>45657</v>
      </c>
    </row>
    <row r="2433" spans="3:8" x14ac:dyDescent="0.25">
      <c r="C2433" s="511">
        <v>6</v>
      </c>
      <c r="D2433" s="511">
        <v>0</v>
      </c>
      <c r="E2433" s="512"/>
      <c r="F2433" s="4" t="str">
        <f t="shared" si="40"/>
        <v/>
      </c>
      <c r="G2433" s="37">
        <v>27.2</v>
      </c>
      <c r="H2433" s="513">
        <v>45657</v>
      </c>
    </row>
    <row r="2434" spans="3:8" x14ac:dyDescent="0.25">
      <c r="C2434" s="511">
        <v>7</v>
      </c>
      <c r="D2434" s="511">
        <v>82</v>
      </c>
      <c r="E2434" s="512">
        <v>23</v>
      </c>
      <c r="F2434" s="4">
        <f t="shared" si="40"/>
        <v>-7.2580645161290355E-2</v>
      </c>
      <c r="G2434" s="37">
        <v>27.2</v>
      </c>
      <c r="H2434" s="513">
        <v>45657</v>
      </c>
    </row>
    <row r="2435" spans="3:8" x14ac:dyDescent="0.25">
      <c r="C2435" s="511">
        <v>8</v>
      </c>
      <c r="D2435" s="511">
        <v>85</v>
      </c>
      <c r="E2435" s="512">
        <v>19.399999999999999</v>
      </c>
      <c r="F2435" s="4">
        <f t="shared" si="40"/>
        <v>-5.3658536585365922E-2</v>
      </c>
      <c r="G2435" s="37">
        <v>27.2</v>
      </c>
      <c r="H2435" s="513">
        <v>45657</v>
      </c>
    </row>
    <row r="2436" spans="3:8" x14ac:dyDescent="0.25">
      <c r="C2436" s="511">
        <v>9</v>
      </c>
      <c r="D2436" s="511">
        <v>0</v>
      </c>
      <c r="E2436" s="512"/>
      <c r="F2436" s="4" t="str">
        <f t="shared" si="40"/>
        <v/>
      </c>
      <c r="G2436" s="37">
        <v>27.2</v>
      </c>
      <c r="H2436" s="513">
        <v>45657</v>
      </c>
    </row>
    <row r="2437" spans="3:8" x14ac:dyDescent="0.25">
      <c r="C2437" s="511">
        <v>10</v>
      </c>
      <c r="D2437" s="511">
        <v>25</v>
      </c>
      <c r="E2437" s="512">
        <v>20.2</v>
      </c>
      <c r="F2437" s="4">
        <f t="shared" si="40"/>
        <v>3.0612244897959072E-2</v>
      </c>
      <c r="G2437" s="37">
        <v>27.2</v>
      </c>
      <c r="H2437" s="513">
        <v>45657</v>
      </c>
    </row>
    <row r="2438" spans="3:8" x14ac:dyDescent="0.25">
      <c r="C2438" s="511">
        <v>18</v>
      </c>
      <c r="D2438" s="511">
        <v>11</v>
      </c>
      <c r="E2438" s="512">
        <v>16.8</v>
      </c>
      <c r="F2438" s="4">
        <f t="shared" si="40"/>
        <v>1.5846153846153848</v>
      </c>
      <c r="G2438" s="37">
        <v>27.2</v>
      </c>
      <c r="H2438" s="513">
        <v>45657</v>
      </c>
    </row>
    <row r="2439" spans="3:8" x14ac:dyDescent="0.25">
      <c r="C2439" s="511">
        <v>19</v>
      </c>
      <c r="D2439" s="511">
        <v>8</v>
      </c>
      <c r="E2439" s="512">
        <v>24.5</v>
      </c>
      <c r="F2439" s="4">
        <f t="shared" si="40"/>
        <v>-9.2592592592592587E-2</v>
      </c>
      <c r="G2439" s="37">
        <v>27.2</v>
      </c>
      <c r="H2439" s="513">
        <v>45657</v>
      </c>
    </row>
    <row r="2440" spans="3:8" x14ac:dyDescent="0.25">
      <c r="C2440" s="514" t="s">
        <v>0</v>
      </c>
      <c r="D2440" s="514" t="s">
        <v>7</v>
      </c>
      <c r="E2440" s="515" t="s">
        <v>4</v>
      </c>
      <c r="F2440" s="4" t="str">
        <f t="shared" si="40"/>
        <v/>
      </c>
      <c r="G2440" s="37">
        <v>27.4</v>
      </c>
      <c r="H2440" s="516">
        <v>45658</v>
      </c>
    </row>
    <row r="2441" spans="3:8" x14ac:dyDescent="0.25">
      <c r="C2441" s="514">
        <v>1</v>
      </c>
      <c r="D2441" s="514">
        <v>22</v>
      </c>
      <c r="E2441" s="515">
        <v>27</v>
      </c>
      <c r="F2441" s="4">
        <f t="shared" ref="F2441:F2505" si="41">IFERROR((E2441-E2428)/E2428,"")</f>
        <v>-4.5936395759717336E-2</v>
      </c>
      <c r="G2441" s="37">
        <v>27.4</v>
      </c>
      <c r="H2441" s="516">
        <v>45658</v>
      </c>
    </row>
    <row r="2442" spans="3:8" x14ac:dyDescent="0.25">
      <c r="C2442" s="514">
        <v>2</v>
      </c>
      <c r="D2442" s="514">
        <v>69</v>
      </c>
      <c r="E2442" s="515">
        <v>30.9</v>
      </c>
      <c r="F2442" s="4">
        <f t="shared" si="41"/>
        <v>3.3444816053511704E-2</v>
      </c>
      <c r="G2442" s="37">
        <v>27.4</v>
      </c>
      <c r="H2442" s="516">
        <v>45658</v>
      </c>
    </row>
    <row r="2443" spans="3:8" x14ac:dyDescent="0.25">
      <c r="C2443" s="514">
        <v>3</v>
      </c>
      <c r="D2443" s="514">
        <v>97</v>
      </c>
      <c r="E2443" s="515">
        <v>27.9</v>
      </c>
      <c r="F2443" s="4">
        <f t="shared" si="41"/>
        <v>1.4545454545454493E-2</v>
      </c>
      <c r="G2443" s="37">
        <v>27.4</v>
      </c>
      <c r="H2443" s="516">
        <v>45658</v>
      </c>
    </row>
    <row r="2444" spans="3:8" x14ac:dyDescent="0.25">
      <c r="C2444" s="514">
        <v>4</v>
      </c>
      <c r="D2444" s="514">
        <v>99</v>
      </c>
      <c r="E2444" s="515">
        <v>22.6</v>
      </c>
      <c r="F2444" s="4">
        <f t="shared" si="41"/>
        <v>0</v>
      </c>
      <c r="G2444" s="37">
        <v>27.4</v>
      </c>
      <c r="H2444" s="516">
        <v>45658</v>
      </c>
    </row>
    <row r="2445" spans="3:8" x14ac:dyDescent="0.25">
      <c r="C2445" s="514">
        <v>5</v>
      </c>
      <c r="D2445" s="514">
        <v>77</v>
      </c>
      <c r="E2445" s="515">
        <v>35.4</v>
      </c>
      <c r="F2445" s="4">
        <f t="shared" si="41"/>
        <v>-3.2786885245901717E-2</v>
      </c>
      <c r="G2445" s="37">
        <v>27.4</v>
      </c>
      <c r="H2445" s="516">
        <v>45658</v>
      </c>
    </row>
    <row r="2446" spans="3:8" x14ac:dyDescent="0.25">
      <c r="C2446" s="514">
        <v>6</v>
      </c>
      <c r="D2446" s="514">
        <v>0</v>
      </c>
      <c r="E2446" s="515"/>
      <c r="F2446" s="4" t="str">
        <f t="shared" si="41"/>
        <v/>
      </c>
      <c r="G2446" s="37">
        <v>27.4</v>
      </c>
      <c r="H2446" s="516">
        <v>45658</v>
      </c>
    </row>
    <row r="2447" spans="3:8" x14ac:dyDescent="0.25">
      <c r="C2447" s="514">
        <v>7</v>
      </c>
      <c r="D2447" s="514">
        <v>80</v>
      </c>
      <c r="E2447" s="515">
        <v>23.3</v>
      </c>
      <c r="F2447" s="4">
        <f t="shared" si="41"/>
        <v>1.3043478260869596E-2</v>
      </c>
      <c r="G2447" s="37">
        <v>27.4</v>
      </c>
      <c r="H2447" s="516">
        <v>45658</v>
      </c>
    </row>
    <row r="2448" spans="3:8" x14ac:dyDescent="0.25">
      <c r="C2448" s="514">
        <v>8</v>
      </c>
      <c r="D2448" s="514">
        <v>85</v>
      </c>
      <c r="E2448" s="515">
        <v>19.8</v>
      </c>
      <c r="F2448" s="4">
        <f t="shared" si="41"/>
        <v>2.0618556701031038E-2</v>
      </c>
      <c r="G2448" s="37">
        <v>27.4</v>
      </c>
      <c r="H2448" s="516">
        <v>45658</v>
      </c>
    </row>
    <row r="2449" spans="3:8" x14ac:dyDescent="0.25">
      <c r="C2449" s="514">
        <v>9</v>
      </c>
      <c r="D2449" s="514">
        <v>0</v>
      </c>
      <c r="E2449" s="515"/>
      <c r="F2449" s="4" t="str">
        <f t="shared" si="41"/>
        <v/>
      </c>
      <c r="G2449" s="37">
        <v>27.4</v>
      </c>
      <c r="H2449" s="516">
        <v>45658</v>
      </c>
    </row>
    <row r="2450" spans="3:8" x14ac:dyDescent="0.25">
      <c r="C2450" s="514">
        <v>10</v>
      </c>
      <c r="D2450" s="514">
        <v>25</v>
      </c>
      <c r="E2450" s="515">
        <v>21.1</v>
      </c>
      <c r="F2450" s="4">
        <f t="shared" si="41"/>
        <v>4.4554455445544663E-2</v>
      </c>
      <c r="G2450" s="37">
        <v>27.4</v>
      </c>
      <c r="H2450" s="516">
        <v>45658</v>
      </c>
    </row>
    <row r="2451" spans="3:8" x14ac:dyDescent="0.25">
      <c r="C2451" s="514">
        <v>18</v>
      </c>
      <c r="D2451" s="514">
        <v>12</v>
      </c>
      <c r="E2451" s="515">
        <v>5.5</v>
      </c>
      <c r="F2451" s="4">
        <f t="shared" si="41"/>
        <v>-0.67261904761904767</v>
      </c>
      <c r="G2451" s="37">
        <v>27.4</v>
      </c>
      <c r="H2451" s="516">
        <v>45658</v>
      </c>
    </row>
    <row r="2452" spans="3:8" x14ac:dyDescent="0.25">
      <c r="C2452" s="514">
        <v>19</v>
      </c>
      <c r="D2452" s="514">
        <v>13</v>
      </c>
      <c r="E2452" s="515">
        <v>28.1</v>
      </c>
      <c r="F2452" s="4">
        <f t="shared" si="41"/>
        <v>0.14693877551020415</v>
      </c>
      <c r="G2452" s="37">
        <v>27.4</v>
      </c>
      <c r="H2452" s="516">
        <v>45658</v>
      </c>
    </row>
    <row r="2453" spans="3:8" x14ac:dyDescent="0.25">
      <c r="C2453" s="517" t="s">
        <v>0</v>
      </c>
      <c r="D2453" s="517" t="s">
        <v>7</v>
      </c>
      <c r="E2453" s="518" t="s">
        <v>4</v>
      </c>
      <c r="F2453" s="4" t="str">
        <f t="shared" si="41"/>
        <v/>
      </c>
      <c r="G2453" s="37">
        <v>26.9</v>
      </c>
      <c r="H2453" s="519">
        <v>45659</v>
      </c>
    </row>
    <row r="2454" spans="3:8" x14ac:dyDescent="0.25">
      <c r="C2454" s="517">
        <v>1</v>
      </c>
      <c r="D2454" s="517">
        <v>22</v>
      </c>
      <c r="E2454" s="518">
        <v>28.5</v>
      </c>
      <c r="F2454" s="4">
        <f t="shared" si="41"/>
        <v>5.5555555555555552E-2</v>
      </c>
      <c r="G2454" s="37">
        <v>26.9</v>
      </c>
      <c r="H2454" s="519">
        <v>45659</v>
      </c>
    </row>
    <row r="2455" spans="3:8" x14ac:dyDescent="0.25">
      <c r="C2455" s="517">
        <v>2</v>
      </c>
      <c r="D2455" s="517">
        <v>70</v>
      </c>
      <c r="E2455" s="518">
        <v>31.2</v>
      </c>
      <c r="F2455" s="4">
        <f t="shared" si="41"/>
        <v>9.7087378640776933E-3</v>
      </c>
      <c r="G2455" s="37">
        <v>26.9</v>
      </c>
      <c r="H2455" s="519">
        <v>45659</v>
      </c>
    </row>
    <row r="2456" spans="3:8" x14ac:dyDescent="0.25">
      <c r="C2456" s="517">
        <v>3</v>
      </c>
      <c r="D2456" s="517">
        <v>97</v>
      </c>
      <c r="E2456" s="518">
        <v>26.1</v>
      </c>
      <c r="F2456" s="4">
        <f t="shared" si="41"/>
        <v>-6.4516129032257966E-2</v>
      </c>
      <c r="G2456" s="37">
        <v>26.9</v>
      </c>
      <c r="H2456" s="519">
        <v>45659</v>
      </c>
    </row>
    <row r="2457" spans="3:8" x14ac:dyDescent="0.25">
      <c r="C2457" s="517">
        <v>4</v>
      </c>
      <c r="D2457" s="517">
        <v>91</v>
      </c>
      <c r="E2457" s="518">
        <v>20.8</v>
      </c>
      <c r="F2457" s="4">
        <f t="shared" si="41"/>
        <v>-7.9646017699115071E-2</v>
      </c>
      <c r="G2457" s="37">
        <v>26.9</v>
      </c>
      <c r="H2457" s="519">
        <v>45659</v>
      </c>
    </row>
    <row r="2458" spans="3:8" x14ac:dyDescent="0.25">
      <c r="C2458" s="517">
        <v>5</v>
      </c>
      <c r="D2458" s="517">
        <v>79</v>
      </c>
      <c r="E2458" s="518">
        <v>35</v>
      </c>
      <c r="F2458" s="4">
        <f t="shared" si="41"/>
        <v>-1.1299435028248548E-2</v>
      </c>
      <c r="G2458" s="37">
        <v>26.9</v>
      </c>
      <c r="H2458" s="519">
        <v>45659</v>
      </c>
    </row>
    <row r="2459" spans="3:8" x14ac:dyDescent="0.25">
      <c r="C2459" s="517">
        <v>6</v>
      </c>
      <c r="D2459" s="517">
        <v>0</v>
      </c>
      <c r="E2459" s="518"/>
      <c r="F2459" s="4" t="str">
        <f t="shared" si="41"/>
        <v/>
      </c>
      <c r="G2459" s="37">
        <v>26.9</v>
      </c>
      <c r="H2459" s="519">
        <v>45659</v>
      </c>
    </row>
    <row r="2460" spans="3:8" x14ac:dyDescent="0.25">
      <c r="C2460" s="517">
        <v>7</v>
      </c>
      <c r="D2460" s="517">
        <v>80</v>
      </c>
      <c r="E2460" s="518">
        <v>23.3</v>
      </c>
      <c r="F2460" s="4">
        <f t="shared" si="41"/>
        <v>0</v>
      </c>
      <c r="G2460" s="37">
        <v>26.9</v>
      </c>
      <c r="H2460" s="519">
        <v>45659</v>
      </c>
    </row>
    <row r="2461" spans="3:8" x14ac:dyDescent="0.25">
      <c r="C2461" s="517">
        <v>8</v>
      </c>
      <c r="D2461" s="517">
        <v>80</v>
      </c>
      <c r="E2461" s="518">
        <v>19.2</v>
      </c>
      <c r="F2461" s="4">
        <f t="shared" si="41"/>
        <v>-3.0303030303030373E-2</v>
      </c>
      <c r="G2461" s="37">
        <v>26.9</v>
      </c>
      <c r="H2461" s="519">
        <v>45659</v>
      </c>
    </row>
    <row r="2462" spans="3:8" x14ac:dyDescent="0.25">
      <c r="C2462" s="517">
        <v>9</v>
      </c>
      <c r="D2462" s="517">
        <v>0</v>
      </c>
      <c r="E2462" s="518"/>
      <c r="F2462" s="4" t="str">
        <f t="shared" si="41"/>
        <v/>
      </c>
      <c r="G2462" s="37">
        <v>26.9</v>
      </c>
      <c r="H2462" s="519">
        <v>45659</v>
      </c>
    </row>
    <row r="2463" spans="3:8" x14ac:dyDescent="0.25">
      <c r="C2463" s="517">
        <v>10</v>
      </c>
      <c r="D2463" s="517">
        <v>38</v>
      </c>
      <c r="E2463" s="518">
        <v>18.600000000000001</v>
      </c>
      <c r="F2463" s="4">
        <f t="shared" si="41"/>
        <v>-0.11848341232227487</v>
      </c>
      <c r="G2463" s="37">
        <v>26.9</v>
      </c>
      <c r="H2463" s="519">
        <v>45659</v>
      </c>
    </row>
    <row r="2464" spans="3:8" x14ac:dyDescent="0.25">
      <c r="C2464" s="517">
        <v>18</v>
      </c>
      <c r="D2464" s="517">
        <v>7</v>
      </c>
      <c r="E2464" s="518">
        <v>12.7</v>
      </c>
      <c r="F2464" s="4">
        <f t="shared" si="41"/>
        <v>1.3090909090909089</v>
      </c>
      <c r="G2464" s="37">
        <v>26.9</v>
      </c>
      <c r="H2464" s="519">
        <v>45659</v>
      </c>
    </row>
    <row r="2465" spans="3:8" x14ac:dyDescent="0.25">
      <c r="C2465" s="517">
        <v>19</v>
      </c>
      <c r="D2465" s="517">
        <v>12</v>
      </c>
      <c r="E2465" s="518">
        <v>22.4</v>
      </c>
      <c r="F2465" s="4">
        <f t="shared" si="41"/>
        <v>-0.20284697508896807</v>
      </c>
      <c r="G2465" s="37">
        <v>26.9</v>
      </c>
      <c r="H2465" s="519">
        <v>45659</v>
      </c>
    </row>
    <row r="2466" spans="3:8" x14ac:dyDescent="0.25">
      <c r="C2466" s="520" t="s">
        <v>0</v>
      </c>
      <c r="D2466" s="520" t="s">
        <v>7</v>
      </c>
      <c r="E2466" s="521" t="s">
        <v>4</v>
      </c>
      <c r="F2466" s="4" t="str">
        <f t="shared" si="41"/>
        <v/>
      </c>
      <c r="G2466" s="37">
        <v>26.7</v>
      </c>
      <c r="H2466" s="522">
        <v>45660</v>
      </c>
    </row>
    <row r="2467" spans="3:8" x14ac:dyDescent="0.25">
      <c r="C2467" s="520">
        <v>1</v>
      </c>
      <c r="D2467" s="520">
        <v>22</v>
      </c>
      <c r="E2467" s="521">
        <v>27.5</v>
      </c>
      <c r="F2467" s="4">
        <f t="shared" si="41"/>
        <v>-3.5087719298245612E-2</v>
      </c>
      <c r="G2467" s="37">
        <v>26.7</v>
      </c>
      <c r="H2467" s="522">
        <v>45660</v>
      </c>
    </row>
    <row r="2468" spans="3:8" x14ac:dyDescent="0.25">
      <c r="C2468" s="520">
        <v>2</v>
      </c>
      <c r="D2468" s="520">
        <v>69</v>
      </c>
      <c r="E2468" s="521">
        <v>30.4</v>
      </c>
      <c r="F2468" s="4">
        <f t="shared" si="41"/>
        <v>-2.5641025641025664E-2</v>
      </c>
      <c r="G2468" s="37">
        <v>26.7</v>
      </c>
      <c r="H2468" s="522">
        <v>45660</v>
      </c>
    </row>
    <row r="2469" spans="3:8" x14ac:dyDescent="0.25">
      <c r="C2469" s="520">
        <v>3</v>
      </c>
      <c r="D2469" s="520">
        <v>97</v>
      </c>
      <c r="E2469" s="521">
        <v>23.8</v>
      </c>
      <c r="F2469" s="4">
        <f t="shared" si="41"/>
        <v>-8.8122605363984696E-2</v>
      </c>
      <c r="G2469" s="37">
        <v>26.7</v>
      </c>
      <c r="H2469" s="522">
        <v>45660</v>
      </c>
    </row>
    <row r="2470" spans="3:8" x14ac:dyDescent="0.25">
      <c r="C2470" s="520">
        <v>4</v>
      </c>
      <c r="D2470" s="520">
        <v>91</v>
      </c>
      <c r="E2470" s="521">
        <v>22.1</v>
      </c>
      <c r="F2470" s="4">
        <f t="shared" si="41"/>
        <v>6.2500000000000028E-2</v>
      </c>
      <c r="G2470" s="37">
        <v>26.7</v>
      </c>
      <c r="H2470" s="522">
        <v>45660</v>
      </c>
    </row>
    <row r="2471" spans="3:8" x14ac:dyDescent="0.25">
      <c r="C2471" s="520">
        <v>5</v>
      </c>
      <c r="D2471" s="520">
        <v>79</v>
      </c>
      <c r="E2471" s="521">
        <v>35.299999999999997</v>
      </c>
      <c r="F2471" s="4">
        <f t="shared" si="41"/>
        <v>8.5714285714284903E-3</v>
      </c>
      <c r="G2471" s="37">
        <v>26.7</v>
      </c>
      <c r="H2471" s="522">
        <v>45660</v>
      </c>
    </row>
    <row r="2472" spans="3:8" x14ac:dyDescent="0.25">
      <c r="C2472" s="520">
        <v>6</v>
      </c>
      <c r="D2472" s="520">
        <v>0</v>
      </c>
      <c r="E2472" s="521"/>
      <c r="F2472" s="4" t="str">
        <f t="shared" si="41"/>
        <v/>
      </c>
      <c r="G2472" s="37">
        <v>26.7</v>
      </c>
      <c r="H2472" s="522">
        <v>45660</v>
      </c>
    </row>
    <row r="2473" spans="3:8" x14ac:dyDescent="0.25">
      <c r="C2473" s="520">
        <v>7</v>
      </c>
      <c r="D2473" s="520">
        <v>80</v>
      </c>
      <c r="E2473" s="521">
        <v>23.4</v>
      </c>
      <c r="F2473" s="4">
        <f t="shared" si="41"/>
        <v>4.2918454935621398E-3</v>
      </c>
      <c r="G2473" s="37">
        <v>26.7</v>
      </c>
      <c r="H2473" s="522">
        <v>45660</v>
      </c>
    </row>
    <row r="2474" spans="3:8" x14ac:dyDescent="0.25">
      <c r="C2474" s="520">
        <v>8</v>
      </c>
      <c r="D2474" s="520">
        <v>78</v>
      </c>
      <c r="E2474" s="521">
        <v>19</v>
      </c>
      <c r="F2474" s="4">
        <f t="shared" si="41"/>
        <v>-1.041666666666663E-2</v>
      </c>
      <c r="G2474" s="37">
        <v>26.7</v>
      </c>
      <c r="H2474" s="522">
        <v>45660</v>
      </c>
    </row>
    <row r="2475" spans="3:8" x14ac:dyDescent="0.25">
      <c r="C2475" s="520">
        <v>9</v>
      </c>
      <c r="D2475" s="520">
        <v>0</v>
      </c>
      <c r="E2475" s="521"/>
      <c r="F2475" s="4" t="str">
        <f t="shared" si="41"/>
        <v/>
      </c>
      <c r="G2475" s="37">
        <v>26.7</v>
      </c>
      <c r="H2475" s="522">
        <v>45660</v>
      </c>
    </row>
    <row r="2476" spans="3:8" x14ac:dyDescent="0.25">
      <c r="C2476" s="520">
        <v>10</v>
      </c>
      <c r="D2476" s="520">
        <v>25</v>
      </c>
      <c r="E2476" s="521">
        <v>14.7</v>
      </c>
      <c r="F2476" s="4">
        <f t="shared" si="41"/>
        <v>-0.2096774193548388</v>
      </c>
      <c r="G2476" s="37">
        <v>26.7</v>
      </c>
      <c r="H2476" s="522">
        <v>45660</v>
      </c>
    </row>
    <row r="2477" spans="3:8" x14ac:dyDescent="0.25">
      <c r="C2477" s="520">
        <v>18</v>
      </c>
      <c r="D2477" s="520">
        <v>9</v>
      </c>
      <c r="E2477" s="521">
        <v>19.600000000000001</v>
      </c>
      <c r="F2477" s="4">
        <f t="shared" si="41"/>
        <v>0.54330708661417337</v>
      </c>
      <c r="G2477" s="37">
        <v>26.7</v>
      </c>
      <c r="H2477" s="522">
        <v>45660</v>
      </c>
    </row>
    <row r="2478" spans="3:8" x14ac:dyDescent="0.25">
      <c r="C2478" s="520">
        <v>19</v>
      </c>
      <c r="D2478" s="520">
        <v>13</v>
      </c>
      <c r="E2478" s="521">
        <v>20</v>
      </c>
      <c r="F2478" s="4">
        <f t="shared" si="41"/>
        <v>-0.10714285714285708</v>
      </c>
      <c r="G2478" s="37">
        <v>26.7</v>
      </c>
      <c r="H2478" s="522">
        <v>45660</v>
      </c>
    </row>
    <row r="2479" spans="3:8" x14ac:dyDescent="0.25">
      <c r="C2479" s="523" t="s">
        <v>0</v>
      </c>
      <c r="D2479" s="523" t="s">
        <v>7</v>
      </c>
      <c r="E2479" s="524" t="s">
        <v>4</v>
      </c>
      <c r="F2479" s="4" t="str">
        <f t="shared" si="41"/>
        <v/>
      </c>
      <c r="G2479" s="37">
        <v>27.5</v>
      </c>
      <c r="H2479" s="525">
        <v>45661</v>
      </c>
    </row>
    <row r="2480" spans="3:8" x14ac:dyDescent="0.25">
      <c r="C2480" s="523">
        <v>1</v>
      </c>
      <c r="D2480" s="523">
        <v>22</v>
      </c>
      <c r="E2480" s="524">
        <v>28.6</v>
      </c>
      <c r="F2480" s="4">
        <f t="shared" si="41"/>
        <v>4.0000000000000049E-2</v>
      </c>
      <c r="G2480" s="37">
        <v>27.5</v>
      </c>
      <c r="H2480" s="525">
        <v>45661</v>
      </c>
    </row>
    <row r="2481" spans="3:8" x14ac:dyDescent="0.25">
      <c r="C2481" s="523">
        <v>2</v>
      </c>
      <c r="D2481" s="523">
        <v>62</v>
      </c>
      <c r="E2481" s="524">
        <v>30.3</v>
      </c>
      <c r="F2481" s="4">
        <f t="shared" si="41"/>
        <v>-3.2894736842104563E-3</v>
      </c>
      <c r="G2481" s="37">
        <v>27.5</v>
      </c>
      <c r="H2481" s="525">
        <v>45661</v>
      </c>
    </row>
    <row r="2482" spans="3:8" x14ac:dyDescent="0.25">
      <c r="C2482" s="523">
        <v>3</v>
      </c>
      <c r="D2482" s="523">
        <v>96</v>
      </c>
      <c r="E2482" s="524">
        <v>27.6</v>
      </c>
      <c r="F2482" s="4">
        <f t="shared" si="41"/>
        <v>0.1596638655462185</v>
      </c>
      <c r="G2482" s="37">
        <v>27.5</v>
      </c>
      <c r="H2482" s="525">
        <v>45661</v>
      </c>
    </row>
    <row r="2483" spans="3:8" x14ac:dyDescent="0.25">
      <c r="C2483" s="523">
        <v>4</v>
      </c>
      <c r="D2483" s="523">
        <v>99</v>
      </c>
      <c r="E2483" s="524">
        <v>22.9</v>
      </c>
      <c r="F2483" s="4">
        <f t="shared" si="41"/>
        <v>3.6199095022624306E-2</v>
      </c>
      <c r="G2483" s="37">
        <v>27.5</v>
      </c>
      <c r="H2483" s="525">
        <v>45661</v>
      </c>
    </row>
    <row r="2484" spans="3:8" x14ac:dyDescent="0.25">
      <c r="C2484" s="523">
        <v>5</v>
      </c>
      <c r="D2484" s="523">
        <v>71</v>
      </c>
      <c r="E2484" s="524">
        <v>34.799999999999997</v>
      </c>
      <c r="F2484" s="4">
        <f t="shared" si="41"/>
        <v>-1.4164305949008501E-2</v>
      </c>
      <c r="G2484" s="37">
        <v>27.5</v>
      </c>
      <c r="H2484" s="525">
        <v>45661</v>
      </c>
    </row>
    <row r="2485" spans="3:8" x14ac:dyDescent="0.25">
      <c r="C2485" s="523">
        <v>6</v>
      </c>
      <c r="D2485" s="523">
        <v>0</v>
      </c>
      <c r="E2485" s="524"/>
      <c r="F2485" s="4" t="str">
        <f t="shared" si="41"/>
        <v/>
      </c>
      <c r="G2485" s="37">
        <v>27.5</v>
      </c>
      <c r="H2485" s="525">
        <v>45661</v>
      </c>
    </row>
    <row r="2486" spans="3:8" x14ac:dyDescent="0.25">
      <c r="C2486" s="523">
        <v>7</v>
      </c>
      <c r="D2486" s="523">
        <v>85</v>
      </c>
      <c r="E2486" s="524">
        <v>23.7</v>
      </c>
      <c r="F2486" s="4">
        <f t="shared" si="41"/>
        <v>1.2820512820512851E-2</v>
      </c>
      <c r="G2486" s="37">
        <v>27.5</v>
      </c>
      <c r="H2486" s="525">
        <v>45661</v>
      </c>
    </row>
    <row r="2487" spans="3:8" x14ac:dyDescent="0.25">
      <c r="C2487" s="523">
        <v>8</v>
      </c>
      <c r="D2487" s="523">
        <v>82</v>
      </c>
      <c r="E2487" s="524">
        <v>20.2</v>
      </c>
      <c r="F2487" s="4">
        <f t="shared" si="41"/>
        <v>6.3157894736842066E-2</v>
      </c>
      <c r="G2487" s="37">
        <v>27.5</v>
      </c>
      <c r="H2487" s="525">
        <v>45661</v>
      </c>
    </row>
    <row r="2488" spans="3:8" x14ac:dyDescent="0.25">
      <c r="C2488" s="523">
        <v>9</v>
      </c>
      <c r="D2488" s="523">
        <v>0</v>
      </c>
      <c r="E2488" s="524"/>
      <c r="F2488" s="4" t="str">
        <f t="shared" si="41"/>
        <v/>
      </c>
      <c r="G2488" s="37">
        <v>27.5</v>
      </c>
      <c r="H2488" s="525">
        <v>45661</v>
      </c>
    </row>
    <row r="2489" spans="3:8" x14ac:dyDescent="0.25">
      <c r="C2489" s="523">
        <v>10</v>
      </c>
      <c r="D2489" s="523">
        <v>25</v>
      </c>
      <c r="E2489" s="524">
        <v>20.5</v>
      </c>
      <c r="F2489" s="4">
        <f t="shared" si="41"/>
        <v>0.39455782312925175</v>
      </c>
      <c r="G2489" s="37">
        <v>27.5</v>
      </c>
      <c r="H2489" s="525">
        <v>45661</v>
      </c>
    </row>
    <row r="2490" spans="3:8" x14ac:dyDescent="0.25">
      <c r="C2490" s="523">
        <v>18</v>
      </c>
      <c r="D2490" s="523">
        <v>9</v>
      </c>
      <c r="E2490" s="524">
        <v>12.1</v>
      </c>
      <c r="F2490" s="4">
        <f t="shared" si="41"/>
        <v>-0.38265306122448983</v>
      </c>
      <c r="G2490" s="37">
        <v>27.5</v>
      </c>
      <c r="H2490" s="525">
        <v>45661</v>
      </c>
    </row>
    <row r="2491" spans="3:8" x14ac:dyDescent="0.25">
      <c r="C2491" s="523">
        <v>19</v>
      </c>
      <c r="D2491" s="523">
        <v>12</v>
      </c>
      <c r="E2491" s="524">
        <v>19.3</v>
      </c>
      <c r="F2491" s="4">
        <f t="shared" si="41"/>
        <v>-3.4999999999999962E-2</v>
      </c>
      <c r="G2491" s="37">
        <v>27.5</v>
      </c>
      <c r="H2491" s="525">
        <v>45661</v>
      </c>
    </row>
    <row r="2492" spans="3:8" x14ac:dyDescent="0.25">
      <c r="C2492" s="526" t="s">
        <v>0</v>
      </c>
      <c r="D2492" s="526" t="s">
        <v>7</v>
      </c>
      <c r="E2492" s="527" t="s">
        <v>4</v>
      </c>
      <c r="F2492" s="4" t="str">
        <f t="shared" si="41"/>
        <v/>
      </c>
      <c r="G2492" s="37">
        <v>26.8</v>
      </c>
      <c r="H2492" s="525">
        <v>45662</v>
      </c>
    </row>
    <row r="2493" spans="3:8" x14ac:dyDescent="0.25">
      <c r="C2493" s="526">
        <v>1</v>
      </c>
      <c r="D2493" s="526">
        <v>23</v>
      </c>
      <c r="E2493" s="527">
        <v>27</v>
      </c>
      <c r="F2493" s="4">
        <f t="shared" si="41"/>
        <v>-5.5944055944055993E-2</v>
      </c>
      <c r="G2493" s="37">
        <v>26.8</v>
      </c>
      <c r="H2493" s="525">
        <v>45662</v>
      </c>
    </row>
    <row r="2494" spans="3:8" x14ac:dyDescent="0.25">
      <c r="C2494" s="526">
        <v>2</v>
      </c>
      <c r="D2494" s="526">
        <v>63</v>
      </c>
      <c r="E2494" s="527">
        <v>30.7</v>
      </c>
      <c r="F2494" s="4">
        <f t="shared" si="41"/>
        <v>1.3201320132013155E-2</v>
      </c>
      <c r="G2494" s="37">
        <v>26.8</v>
      </c>
      <c r="H2494" s="525">
        <v>45662</v>
      </c>
    </row>
    <row r="2495" spans="3:8" x14ac:dyDescent="0.25">
      <c r="C2495" s="526">
        <v>3</v>
      </c>
      <c r="D2495" s="526">
        <v>97</v>
      </c>
      <c r="E2495" s="527">
        <v>27.1</v>
      </c>
      <c r="F2495" s="4">
        <f t="shared" si="41"/>
        <v>-1.8115942028985508E-2</v>
      </c>
      <c r="G2495" s="37">
        <v>26.8</v>
      </c>
      <c r="H2495" s="525">
        <v>45662</v>
      </c>
    </row>
    <row r="2496" spans="3:8" x14ac:dyDescent="0.25">
      <c r="C2496" s="526">
        <v>4</v>
      </c>
      <c r="D2496" s="526">
        <v>99</v>
      </c>
      <c r="E2496" s="527">
        <v>21.5</v>
      </c>
      <c r="F2496" s="4">
        <f t="shared" si="41"/>
        <v>-6.1135371179039243E-2</v>
      </c>
      <c r="G2496" s="37">
        <v>26.8</v>
      </c>
      <c r="H2496" s="525">
        <v>45662</v>
      </c>
    </row>
    <row r="2497" spans="3:8" x14ac:dyDescent="0.25">
      <c r="C2497" s="526">
        <v>5</v>
      </c>
      <c r="D2497" s="526">
        <v>70</v>
      </c>
      <c r="E2497" s="527">
        <v>35.5</v>
      </c>
      <c r="F2497" s="4">
        <f t="shared" si="41"/>
        <v>2.0114942528735715E-2</v>
      </c>
      <c r="G2497" s="37">
        <v>26.8</v>
      </c>
      <c r="H2497" s="525">
        <v>45662</v>
      </c>
    </row>
    <row r="2498" spans="3:8" x14ac:dyDescent="0.25">
      <c r="C2498" s="526">
        <v>6</v>
      </c>
      <c r="D2498" s="526">
        <v>0</v>
      </c>
      <c r="E2498" s="527"/>
      <c r="F2498" s="4" t="str">
        <f t="shared" si="41"/>
        <v/>
      </c>
      <c r="G2498" s="37">
        <v>26.8</v>
      </c>
      <c r="H2498" s="525">
        <v>45662</v>
      </c>
    </row>
    <row r="2499" spans="3:8" x14ac:dyDescent="0.25">
      <c r="C2499" s="526">
        <v>7</v>
      </c>
      <c r="D2499" s="526">
        <v>85</v>
      </c>
      <c r="E2499" s="527">
        <v>23.7</v>
      </c>
      <c r="F2499" s="4">
        <f t="shared" si="41"/>
        <v>0</v>
      </c>
      <c r="G2499" s="37">
        <v>26.8</v>
      </c>
      <c r="H2499" s="525">
        <v>45662</v>
      </c>
    </row>
    <row r="2500" spans="3:8" x14ac:dyDescent="0.25">
      <c r="C2500" s="526">
        <v>8</v>
      </c>
      <c r="D2500" s="526">
        <v>82</v>
      </c>
      <c r="E2500" s="527">
        <v>19.5</v>
      </c>
      <c r="F2500" s="4">
        <f t="shared" si="41"/>
        <v>-3.4653465346534622E-2</v>
      </c>
      <c r="G2500" s="37">
        <v>26.8</v>
      </c>
      <c r="H2500" s="525">
        <v>45662</v>
      </c>
    </row>
    <row r="2501" spans="3:8" x14ac:dyDescent="0.25">
      <c r="C2501" s="526">
        <v>9</v>
      </c>
      <c r="D2501" s="526">
        <v>0</v>
      </c>
      <c r="E2501" s="527"/>
      <c r="F2501" s="4" t="str">
        <f t="shared" si="41"/>
        <v/>
      </c>
      <c r="G2501" s="37">
        <v>26.8</v>
      </c>
      <c r="H2501" s="525">
        <v>45662</v>
      </c>
    </row>
    <row r="2502" spans="3:8" x14ac:dyDescent="0.25">
      <c r="C2502" s="526">
        <v>10</v>
      </c>
      <c r="D2502" s="526">
        <v>25</v>
      </c>
      <c r="E2502" s="527">
        <v>19.2</v>
      </c>
      <c r="F2502" s="4">
        <f t="shared" si="41"/>
        <v>-6.3414634146341492E-2</v>
      </c>
      <c r="G2502" s="37">
        <v>26.8</v>
      </c>
      <c r="H2502" s="525">
        <v>45662</v>
      </c>
    </row>
    <row r="2503" spans="3:8" x14ac:dyDescent="0.25">
      <c r="C2503" s="526">
        <v>18</v>
      </c>
      <c r="D2503" s="526">
        <v>10</v>
      </c>
      <c r="E2503" s="527">
        <v>10.1</v>
      </c>
      <c r="F2503" s="4">
        <f t="shared" si="41"/>
        <v>-0.16528925619834711</v>
      </c>
      <c r="G2503" s="37">
        <v>26.8</v>
      </c>
      <c r="H2503" s="525">
        <v>45662</v>
      </c>
    </row>
    <row r="2504" spans="3:8" x14ac:dyDescent="0.25">
      <c r="C2504" s="526">
        <v>19</v>
      </c>
      <c r="D2504" s="526">
        <v>12</v>
      </c>
      <c r="E2504" s="527">
        <v>12</v>
      </c>
      <c r="F2504" s="4">
        <f t="shared" si="41"/>
        <v>-0.37823834196891193</v>
      </c>
      <c r="G2504" s="37">
        <v>26.8</v>
      </c>
      <c r="H2504" s="525">
        <v>45662</v>
      </c>
    </row>
    <row r="2505" spans="3:8" x14ac:dyDescent="0.25">
      <c r="C2505" s="528" t="s">
        <v>0</v>
      </c>
      <c r="D2505" s="528" t="s">
        <v>7</v>
      </c>
      <c r="E2505" s="529" t="s">
        <v>4</v>
      </c>
      <c r="F2505" s="4" t="str">
        <f t="shared" si="41"/>
        <v/>
      </c>
      <c r="G2505" s="37">
        <v>27.5</v>
      </c>
      <c r="H2505" s="530">
        <v>45663</v>
      </c>
    </row>
    <row r="2506" spans="3:8" x14ac:dyDescent="0.25">
      <c r="C2506" s="528">
        <v>1</v>
      </c>
      <c r="D2506" s="528">
        <v>24</v>
      </c>
      <c r="E2506" s="529">
        <v>27.5</v>
      </c>
      <c r="F2506" s="4">
        <f t="shared" ref="F2506:F2569" si="42">IFERROR((E2506-E2493)/E2493,"")</f>
        <v>1.8518518518518517E-2</v>
      </c>
      <c r="G2506" s="37">
        <v>27.5</v>
      </c>
      <c r="H2506" s="530">
        <v>45663</v>
      </c>
    </row>
    <row r="2507" spans="3:8" x14ac:dyDescent="0.25">
      <c r="C2507" s="528">
        <v>2</v>
      </c>
      <c r="D2507" s="528">
        <v>63</v>
      </c>
      <c r="E2507" s="529">
        <v>33</v>
      </c>
      <c r="F2507" s="4">
        <f t="shared" si="42"/>
        <v>7.4918566775244319E-2</v>
      </c>
      <c r="G2507" s="37">
        <v>27.5</v>
      </c>
      <c r="H2507" s="530">
        <v>45663</v>
      </c>
    </row>
    <row r="2508" spans="3:8" x14ac:dyDescent="0.25">
      <c r="C2508" s="528">
        <v>3</v>
      </c>
      <c r="D2508" s="528">
        <v>97</v>
      </c>
      <c r="E2508" s="529">
        <v>28.4</v>
      </c>
      <c r="F2508" s="4">
        <f t="shared" si="42"/>
        <v>4.7970479704796939E-2</v>
      </c>
      <c r="G2508" s="37">
        <v>27.5</v>
      </c>
      <c r="H2508" s="530">
        <v>45663</v>
      </c>
    </row>
    <row r="2509" spans="3:8" x14ac:dyDescent="0.25">
      <c r="C2509" s="528">
        <v>4</v>
      </c>
      <c r="D2509" s="528">
        <v>99</v>
      </c>
      <c r="E2509" s="529">
        <v>21.9</v>
      </c>
      <c r="F2509" s="4">
        <f t="shared" si="42"/>
        <v>1.8604651162790631E-2</v>
      </c>
      <c r="G2509" s="37">
        <v>27.5</v>
      </c>
      <c r="H2509" s="530">
        <v>45663</v>
      </c>
    </row>
    <row r="2510" spans="3:8" x14ac:dyDescent="0.25">
      <c r="C2510" s="528">
        <v>5</v>
      </c>
      <c r="D2510" s="528">
        <v>70</v>
      </c>
      <c r="E2510" s="529">
        <v>36.799999999999997</v>
      </c>
      <c r="F2510" s="4">
        <f t="shared" si="42"/>
        <v>3.6619718309859071E-2</v>
      </c>
      <c r="G2510" s="37">
        <v>27.5</v>
      </c>
      <c r="H2510" s="530">
        <v>45663</v>
      </c>
    </row>
    <row r="2511" spans="3:8" x14ac:dyDescent="0.25">
      <c r="C2511" s="528">
        <v>6</v>
      </c>
      <c r="D2511" s="528">
        <v>0</v>
      </c>
      <c r="E2511" s="529"/>
      <c r="F2511" s="4" t="str">
        <f t="shared" si="42"/>
        <v/>
      </c>
      <c r="G2511" s="37">
        <v>27.5</v>
      </c>
      <c r="H2511" s="530">
        <v>45663</v>
      </c>
    </row>
    <row r="2512" spans="3:8" x14ac:dyDescent="0.25">
      <c r="C2512" s="528">
        <v>7</v>
      </c>
      <c r="D2512" s="528">
        <v>86</v>
      </c>
      <c r="E2512" s="529">
        <v>24.9</v>
      </c>
      <c r="F2512" s="4">
        <f t="shared" si="42"/>
        <v>5.0632911392405035E-2</v>
      </c>
      <c r="G2512" s="37">
        <v>27.5</v>
      </c>
      <c r="H2512" s="530">
        <v>45663</v>
      </c>
    </row>
    <row r="2513" spans="3:8" x14ac:dyDescent="0.25">
      <c r="C2513" s="528">
        <v>8</v>
      </c>
      <c r="D2513" s="528">
        <v>82</v>
      </c>
      <c r="E2513" s="529">
        <v>19.8</v>
      </c>
      <c r="F2513" s="4">
        <f t="shared" si="42"/>
        <v>1.5384615384615422E-2</v>
      </c>
      <c r="G2513" s="37">
        <v>27.5</v>
      </c>
      <c r="H2513" s="530">
        <v>45663</v>
      </c>
    </row>
    <row r="2514" spans="3:8" x14ac:dyDescent="0.25">
      <c r="C2514" s="528">
        <v>9</v>
      </c>
      <c r="D2514" s="528">
        <v>0</v>
      </c>
      <c r="E2514" s="529"/>
      <c r="F2514" s="4" t="str">
        <f t="shared" si="42"/>
        <v/>
      </c>
      <c r="G2514" s="37">
        <v>27.5</v>
      </c>
      <c r="H2514" s="530">
        <v>45663</v>
      </c>
    </row>
    <row r="2515" spans="3:8" x14ac:dyDescent="0.25">
      <c r="C2515" s="528">
        <v>10</v>
      </c>
      <c r="D2515" s="528">
        <v>25</v>
      </c>
      <c r="E2515" s="529">
        <v>19.100000000000001</v>
      </c>
      <c r="F2515" s="4">
        <f t="shared" si="42"/>
        <v>-5.2083333333332229E-3</v>
      </c>
      <c r="G2515" s="37">
        <v>27.5</v>
      </c>
      <c r="H2515" s="530">
        <v>45663</v>
      </c>
    </row>
    <row r="2516" spans="3:8" x14ac:dyDescent="0.25">
      <c r="C2516" s="528">
        <v>18</v>
      </c>
      <c r="D2516" s="528">
        <v>11</v>
      </c>
      <c r="E2516" s="529">
        <v>6.4</v>
      </c>
      <c r="F2516" s="4">
        <f t="shared" si="42"/>
        <v>-0.36633663366336627</v>
      </c>
      <c r="G2516" s="37">
        <v>27.5</v>
      </c>
      <c r="H2516" s="530">
        <v>45663</v>
      </c>
    </row>
    <row r="2517" spans="3:8" x14ac:dyDescent="0.25">
      <c r="C2517" s="528">
        <v>19</v>
      </c>
      <c r="D2517" s="528">
        <v>11</v>
      </c>
      <c r="E2517" s="529">
        <v>15.1</v>
      </c>
      <c r="F2517" s="4">
        <f t="shared" si="42"/>
        <v>0.2583333333333333</v>
      </c>
      <c r="G2517" s="37">
        <v>27.5</v>
      </c>
      <c r="H2517" s="530">
        <v>45663</v>
      </c>
    </row>
    <row r="2518" spans="3:8" x14ac:dyDescent="0.25">
      <c r="C2518" s="531" t="s">
        <v>0</v>
      </c>
      <c r="D2518" s="531" t="s">
        <v>7</v>
      </c>
      <c r="E2518" s="532" t="s">
        <v>4</v>
      </c>
      <c r="F2518" s="4" t="str">
        <f t="shared" si="42"/>
        <v/>
      </c>
      <c r="G2518" s="37">
        <v>26.4</v>
      </c>
      <c r="H2518" s="533">
        <v>45664</v>
      </c>
    </row>
    <row r="2519" spans="3:8" x14ac:dyDescent="0.25">
      <c r="C2519" s="531">
        <v>1</v>
      </c>
      <c r="D2519" s="531">
        <v>23</v>
      </c>
      <c r="E2519" s="532">
        <v>27.6</v>
      </c>
      <c r="F2519" s="4">
        <f t="shared" si="42"/>
        <v>3.636363636363688E-3</v>
      </c>
      <c r="G2519" s="37">
        <v>26.4</v>
      </c>
      <c r="H2519" s="533">
        <v>45664</v>
      </c>
    </row>
    <row r="2520" spans="3:8" x14ac:dyDescent="0.25">
      <c r="C2520" s="531">
        <v>2</v>
      </c>
      <c r="D2520" s="531">
        <v>63</v>
      </c>
      <c r="E2520" s="532">
        <v>31.6</v>
      </c>
      <c r="F2520" s="4">
        <f t="shared" si="42"/>
        <v>-4.2424242424242378E-2</v>
      </c>
      <c r="G2520" s="37">
        <v>26.4</v>
      </c>
      <c r="H2520" s="533">
        <v>45664</v>
      </c>
    </row>
    <row r="2521" spans="3:8" x14ac:dyDescent="0.25">
      <c r="C2521" s="531">
        <v>3</v>
      </c>
      <c r="D2521" s="531">
        <v>97</v>
      </c>
      <c r="E2521" s="532">
        <v>26.6</v>
      </c>
      <c r="F2521" s="4">
        <f t="shared" si="42"/>
        <v>-6.3380281690140747E-2</v>
      </c>
      <c r="G2521" s="37">
        <v>26.4</v>
      </c>
      <c r="H2521" s="533">
        <v>45664</v>
      </c>
    </row>
    <row r="2522" spans="3:8" x14ac:dyDescent="0.25">
      <c r="C2522" s="531">
        <v>4</v>
      </c>
      <c r="D2522" s="531">
        <v>99</v>
      </c>
      <c r="E2522" s="532">
        <v>22</v>
      </c>
      <c r="F2522" s="4">
        <f t="shared" si="42"/>
        <v>4.5662100456621653E-3</v>
      </c>
      <c r="G2522" s="37">
        <v>26.4</v>
      </c>
      <c r="H2522" s="533">
        <v>45664</v>
      </c>
    </row>
    <row r="2523" spans="3:8" x14ac:dyDescent="0.25">
      <c r="C2523" s="531">
        <v>5</v>
      </c>
      <c r="D2523" s="531">
        <v>69</v>
      </c>
      <c r="E2523" s="532">
        <v>34.200000000000003</v>
      </c>
      <c r="F2523" s="4">
        <f t="shared" si="42"/>
        <v>-7.0652173913043334E-2</v>
      </c>
      <c r="G2523" s="37">
        <v>26.4</v>
      </c>
      <c r="H2523" s="533">
        <v>45664</v>
      </c>
    </row>
    <row r="2524" spans="3:8" x14ac:dyDescent="0.25">
      <c r="C2524" s="531">
        <v>6</v>
      </c>
      <c r="D2524" s="531">
        <v>0</v>
      </c>
      <c r="E2524" s="532"/>
      <c r="F2524" s="4" t="str">
        <f t="shared" si="42"/>
        <v/>
      </c>
      <c r="G2524" s="37">
        <v>26.4</v>
      </c>
      <c r="H2524" s="533">
        <v>45664</v>
      </c>
    </row>
    <row r="2525" spans="3:8" x14ac:dyDescent="0.25">
      <c r="C2525" s="531">
        <v>7</v>
      </c>
      <c r="D2525" s="531">
        <v>85</v>
      </c>
      <c r="E2525" s="532">
        <v>24.3</v>
      </c>
      <c r="F2525" s="4">
        <f t="shared" si="42"/>
        <v>-2.4096385542168589E-2</v>
      </c>
      <c r="G2525" s="37">
        <v>26.4</v>
      </c>
      <c r="H2525" s="533">
        <v>45664</v>
      </c>
    </row>
    <row r="2526" spans="3:8" x14ac:dyDescent="0.25">
      <c r="C2526" s="531">
        <v>8</v>
      </c>
      <c r="D2526" s="531">
        <v>82</v>
      </c>
      <c r="E2526" s="532">
        <v>18.600000000000001</v>
      </c>
      <c r="F2526" s="4">
        <f t="shared" si="42"/>
        <v>-6.0606060606060566E-2</v>
      </c>
      <c r="G2526" s="37">
        <v>26.4</v>
      </c>
      <c r="H2526" s="533">
        <v>45664</v>
      </c>
    </row>
    <row r="2527" spans="3:8" x14ac:dyDescent="0.25">
      <c r="C2527" s="531">
        <v>9</v>
      </c>
      <c r="D2527" s="531">
        <v>0</v>
      </c>
      <c r="E2527" s="532"/>
      <c r="F2527" s="4" t="str">
        <f t="shared" si="42"/>
        <v/>
      </c>
      <c r="G2527" s="37">
        <v>26.4</v>
      </c>
      <c r="H2527" s="533">
        <v>45664</v>
      </c>
    </row>
    <row r="2528" spans="3:8" x14ac:dyDescent="0.25">
      <c r="C2528" s="531">
        <v>10</v>
      </c>
      <c r="D2528" s="531">
        <v>24</v>
      </c>
      <c r="E2528" s="532">
        <v>20</v>
      </c>
      <c r="F2528" s="4">
        <f t="shared" si="42"/>
        <v>4.7120418848167464E-2</v>
      </c>
      <c r="G2528" s="37">
        <v>26.4</v>
      </c>
      <c r="H2528" s="533">
        <v>45664</v>
      </c>
    </row>
    <row r="2529" spans="3:8" x14ac:dyDescent="0.25">
      <c r="C2529" s="531">
        <v>18</v>
      </c>
      <c r="D2529" s="531">
        <v>10</v>
      </c>
      <c r="E2529" s="532">
        <v>4.7</v>
      </c>
      <c r="F2529" s="4">
        <f t="shared" si="42"/>
        <v>-0.265625</v>
      </c>
      <c r="G2529" s="37">
        <v>26.4</v>
      </c>
      <c r="H2529" s="533">
        <v>45664</v>
      </c>
    </row>
    <row r="2530" spans="3:8" x14ac:dyDescent="0.25">
      <c r="C2530" s="531">
        <v>19</v>
      </c>
      <c r="D2530" s="531">
        <v>14</v>
      </c>
      <c r="E2530" s="532">
        <v>19.2</v>
      </c>
      <c r="F2530" s="4">
        <f t="shared" si="42"/>
        <v>0.27152317880794702</v>
      </c>
      <c r="G2530" s="37">
        <v>26.4</v>
      </c>
      <c r="H2530" s="533">
        <v>45664</v>
      </c>
    </row>
    <row r="2531" spans="3:8" x14ac:dyDescent="0.25">
      <c r="C2531" s="534" t="s">
        <v>0</v>
      </c>
      <c r="D2531" s="534" t="s">
        <v>7</v>
      </c>
      <c r="E2531" s="535" t="s">
        <v>4</v>
      </c>
      <c r="F2531" s="4" t="str">
        <f t="shared" si="42"/>
        <v/>
      </c>
      <c r="G2531" s="37">
        <v>27.2</v>
      </c>
      <c r="H2531" s="536">
        <v>45665</v>
      </c>
    </row>
    <row r="2532" spans="3:8" x14ac:dyDescent="0.25">
      <c r="C2532" s="534">
        <v>1</v>
      </c>
      <c r="D2532" s="534">
        <v>30</v>
      </c>
      <c r="E2532" s="535">
        <v>29.4</v>
      </c>
      <c r="F2532" s="4">
        <f t="shared" si="42"/>
        <v>6.5217391304347713E-2</v>
      </c>
      <c r="G2532" s="37">
        <v>27.2</v>
      </c>
      <c r="H2532" s="536">
        <v>45665</v>
      </c>
    </row>
    <row r="2533" spans="3:8" x14ac:dyDescent="0.25">
      <c r="C2533" s="534">
        <v>2</v>
      </c>
      <c r="D2533" s="534">
        <v>63</v>
      </c>
      <c r="E2533" s="535">
        <v>31.4</v>
      </c>
      <c r="F2533" s="4">
        <f t="shared" si="42"/>
        <v>-6.3291139240507222E-3</v>
      </c>
      <c r="G2533" s="37">
        <v>27.2</v>
      </c>
      <c r="H2533" s="536">
        <v>45665</v>
      </c>
    </row>
    <row r="2534" spans="3:8" x14ac:dyDescent="0.25">
      <c r="C2534" s="534">
        <v>3</v>
      </c>
      <c r="D2534" s="534">
        <v>97</v>
      </c>
      <c r="E2534" s="535">
        <v>28.2</v>
      </c>
      <c r="F2534" s="4">
        <f t="shared" si="42"/>
        <v>6.0150375939849537E-2</v>
      </c>
      <c r="G2534" s="37">
        <v>27.2</v>
      </c>
      <c r="H2534" s="536">
        <v>45665</v>
      </c>
    </row>
    <row r="2535" spans="3:8" x14ac:dyDescent="0.25">
      <c r="C2535" s="534">
        <v>4</v>
      </c>
      <c r="D2535" s="534">
        <v>99</v>
      </c>
      <c r="E2535" s="535">
        <v>21.4</v>
      </c>
      <c r="F2535" s="4">
        <f t="shared" si="42"/>
        <v>-2.7272727272727337E-2</v>
      </c>
      <c r="G2535" s="37">
        <v>27.2</v>
      </c>
      <c r="H2535" s="536">
        <v>45665</v>
      </c>
    </row>
    <row r="2536" spans="3:8" x14ac:dyDescent="0.25">
      <c r="C2536" s="534">
        <v>5</v>
      </c>
      <c r="D2536" s="534">
        <v>70</v>
      </c>
      <c r="E2536" s="535">
        <v>35.700000000000003</v>
      </c>
      <c r="F2536" s="4">
        <f t="shared" si="42"/>
        <v>4.3859649122807015E-2</v>
      </c>
      <c r="G2536" s="37">
        <v>27.2</v>
      </c>
      <c r="H2536" s="536">
        <v>45665</v>
      </c>
    </row>
    <row r="2537" spans="3:8" x14ac:dyDescent="0.25">
      <c r="C2537" s="534">
        <v>6</v>
      </c>
      <c r="D2537" s="534">
        <v>0</v>
      </c>
      <c r="E2537" s="535"/>
      <c r="F2537" s="4" t="str">
        <f t="shared" si="42"/>
        <v/>
      </c>
      <c r="G2537" s="37">
        <v>27.2</v>
      </c>
      <c r="H2537" s="536">
        <v>45665</v>
      </c>
    </row>
    <row r="2538" spans="3:8" x14ac:dyDescent="0.25">
      <c r="C2538" s="534">
        <v>7</v>
      </c>
      <c r="D2538" s="534">
        <v>85</v>
      </c>
      <c r="E2538" s="535">
        <v>24.5</v>
      </c>
      <c r="F2538" s="4">
        <f t="shared" si="42"/>
        <v>8.2304526748970906E-3</v>
      </c>
      <c r="G2538" s="37">
        <v>27.2</v>
      </c>
      <c r="H2538" s="536">
        <v>45665</v>
      </c>
    </row>
    <row r="2539" spans="3:8" x14ac:dyDescent="0.25">
      <c r="C2539" s="534">
        <v>8</v>
      </c>
      <c r="D2539" s="534">
        <v>83</v>
      </c>
      <c r="E2539" s="535">
        <v>20.2</v>
      </c>
      <c r="F2539" s="4">
        <f t="shared" si="42"/>
        <v>8.6021505376343968E-2</v>
      </c>
      <c r="G2539" s="37">
        <v>27.2</v>
      </c>
      <c r="H2539" s="536">
        <v>45665</v>
      </c>
    </row>
    <row r="2540" spans="3:8" x14ac:dyDescent="0.25">
      <c r="C2540" s="534">
        <v>9</v>
      </c>
      <c r="D2540" s="534">
        <v>0</v>
      </c>
      <c r="E2540" s="535"/>
      <c r="F2540" s="4" t="str">
        <f t="shared" si="42"/>
        <v/>
      </c>
      <c r="G2540" s="37">
        <v>27.2</v>
      </c>
      <c r="H2540" s="536">
        <v>45665</v>
      </c>
    </row>
    <row r="2541" spans="3:8" x14ac:dyDescent="0.25">
      <c r="C2541" s="534">
        <v>10</v>
      </c>
      <c r="D2541" s="534">
        <v>24</v>
      </c>
      <c r="E2541" s="535">
        <v>19.399999999999999</v>
      </c>
      <c r="F2541" s="4">
        <f t="shared" si="42"/>
        <v>-3.0000000000000072E-2</v>
      </c>
      <c r="G2541" s="37">
        <v>27.2</v>
      </c>
      <c r="H2541" s="536">
        <v>45665</v>
      </c>
    </row>
    <row r="2542" spans="3:8" x14ac:dyDescent="0.25">
      <c r="C2542" s="537" t="s">
        <v>0</v>
      </c>
      <c r="D2542" s="537" t="s">
        <v>7</v>
      </c>
      <c r="E2542" s="538" t="s">
        <v>4</v>
      </c>
      <c r="F2542" s="4" t="str">
        <f t="shared" si="42"/>
        <v/>
      </c>
      <c r="G2542" s="37">
        <v>26.8</v>
      </c>
      <c r="H2542" s="539">
        <v>45666</v>
      </c>
    </row>
    <row r="2543" spans="3:8" x14ac:dyDescent="0.25">
      <c r="C2543" s="537">
        <v>1</v>
      </c>
      <c r="D2543" s="537">
        <v>33</v>
      </c>
      <c r="E2543" s="538">
        <v>28.4</v>
      </c>
      <c r="F2543" s="4">
        <f t="shared" si="42"/>
        <v>0.47916666666666663</v>
      </c>
      <c r="G2543" s="37">
        <v>26.8</v>
      </c>
      <c r="H2543" s="539">
        <v>45666</v>
      </c>
    </row>
    <row r="2544" spans="3:8" x14ac:dyDescent="0.25">
      <c r="C2544" s="537">
        <v>2</v>
      </c>
      <c r="D2544" s="537">
        <v>62</v>
      </c>
      <c r="E2544" s="538">
        <v>31.1</v>
      </c>
      <c r="F2544" s="4" t="str">
        <f t="shared" si="42"/>
        <v/>
      </c>
      <c r="G2544" s="37">
        <v>26.8</v>
      </c>
      <c r="H2544" s="539">
        <v>45666</v>
      </c>
    </row>
    <row r="2545" spans="3:8" x14ac:dyDescent="0.25">
      <c r="C2545" s="537">
        <v>3</v>
      </c>
      <c r="D2545" s="537">
        <v>97</v>
      </c>
      <c r="E2545" s="538">
        <v>26.8</v>
      </c>
      <c r="F2545" s="4">
        <f t="shared" si="42"/>
        <v>-8.8435374149659796E-2</v>
      </c>
      <c r="G2545" s="37">
        <v>26.8</v>
      </c>
      <c r="H2545" s="539">
        <v>45666</v>
      </c>
    </row>
    <row r="2546" spans="3:8" x14ac:dyDescent="0.25">
      <c r="C2546" s="537">
        <v>4</v>
      </c>
      <c r="D2546" s="537">
        <v>97</v>
      </c>
      <c r="E2546" s="538">
        <v>21</v>
      </c>
      <c r="F2546" s="4">
        <f t="shared" si="42"/>
        <v>-0.33121019108280253</v>
      </c>
      <c r="G2546" s="37">
        <v>26.8</v>
      </c>
      <c r="H2546" s="539">
        <v>45666</v>
      </c>
    </row>
    <row r="2547" spans="3:8" x14ac:dyDescent="0.25">
      <c r="C2547" s="537">
        <v>5</v>
      </c>
      <c r="D2547" s="537">
        <v>69</v>
      </c>
      <c r="E2547" s="538">
        <v>36</v>
      </c>
      <c r="F2547" s="4">
        <f t="shared" si="42"/>
        <v>0.27659574468085107</v>
      </c>
      <c r="G2547" s="37">
        <v>26.8</v>
      </c>
      <c r="H2547" s="539">
        <v>45666</v>
      </c>
    </row>
    <row r="2548" spans="3:8" x14ac:dyDescent="0.25">
      <c r="C2548" s="537">
        <v>6</v>
      </c>
      <c r="D2548" s="537">
        <v>0</v>
      </c>
      <c r="E2548" s="538"/>
      <c r="F2548" s="4">
        <f t="shared" si="42"/>
        <v>-1</v>
      </c>
      <c r="G2548" s="37">
        <v>26.8</v>
      </c>
      <c r="H2548" s="539">
        <v>45666</v>
      </c>
    </row>
    <row r="2549" spans="3:8" x14ac:dyDescent="0.25">
      <c r="C2549" s="537">
        <v>7</v>
      </c>
      <c r="D2549" s="537">
        <v>85</v>
      </c>
      <c r="E2549" s="538">
        <v>24.4</v>
      </c>
      <c r="F2549" s="4">
        <f t="shared" si="42"/>
        <v>-0.3165266106442578</v>
      </c>
      <c r="G2549" s="37">
        <v>26.8</v>
      </c>
      <c r="H2549" s="539">
        <v>45666</v>
      </c>
    </row>
    <row r="2550" spans="3:8" x14ac:dyDescent="0.25">
      <c r="C2550" s="537">
        <v>8</v>
      </c>
      <c r="D2550" s="537">
        <v>83</v>
      </c>
      <c r="E2550" s="538">
        <v>19.2</v>
      </c>
      <c r="F2550" s="4" t="str">
        <f t="shared" si="42"/>
        <v/>
      </c>
      <c r="G2550" s="37">
        <v>26.8</v>
      </c>
      <c r="H2550" s="539">
        <v>45666</v>
      </c>
    </row>
    <row r="2551" spans="3:8" x14ac:dyDescent="0.25">
      <c r="C2551" s="537">
        <v>9</v>
      </c>
      <c r="D2551" s="537">
        <v>0</v>
      </c>
      <c r="E2551" s="538"/>
      <c r="F2551" s="4">
        <f t="shared" si="42"/>
        <v>-1</v>
      </c>
      <c r="G2551" s="37">
        <v>26.8</v>
      </c>
      <c r="H2551" s="539">
        <v>45666</v>
      </c>
    </row>
    <row r="2552" spans="3:8" x14ac:dyDescent="0.25">
      <c r="C2552" s="537">
        <v>10</v>
      </c>
      <c r="D2552" s="537">
        <v>24</v>
      </c>
      <c r="E2552" s="538">
        <v>16.3</v>
      </c>
      <c r="F2552" s="4">
        <f t="shared" si="42"/>
        <v>-0.19306930693069302</v>
      </c>
      <c r="G2552" s="37">
        <v>26.8</v>
      </c>
      <c r="H2552" s="539">
        <v>45666</v>
      </c>
    </row>
    <row r="2553" spans="3:8" x14ac:dyDescent="0.25">
      <c r="C2553" s="540" t="s">
        <v>0</v>
      </c>
      <c r="D2553" s="540" t="s">
        <v>7</v>
      </c>
      <c r="E2553" s="541" t="s">
        <v>4</v>
      </c>
      <c r="F2553" s="4" t="str">
        <f t="shared" si="42"/>
        <v/>
      </c>
      <c r="G2553" s="37">
        <v>27.6</v>
      </c>
      <c r="H2553" s="542">
        <v>45667</v>
      </c>
    </row>
    <row r="2554" spans="3:8" x14ac:dyDescent="0.25">
      <c r="C2554" s="540">
        <v>1</v>
      </c>
      <c r="D2554" s="540">
        <v>32</v>
      </c>
      <c r="E2554" s="541">
        <v>28.1</v>
      </c>
      <c r="F2554" s="4">
        <f t="shared" si="42"/>
        <v>0.44845360824742286</v>
      </c>
      <c r="G2554" s="37">
        <v>27.6</v>
      </c>
      <c r="H2554" s="542">
        <v>45667</v>
      </c>
    </row>
    <row r="2555" spans="3:8" x14ac:dyDescent="0.25">
      <c r="C2555" s="540">
        <v>2</v>
      </c>
      <c r="D2555" s="540">
        <v>62</v>
      </c>
      <c r="E2555" s="541">
        <v>32.6</v>
      </c>
      <c r="F2555" s="4" t="str">
        <f t="shared" si="42"/>
        <v/>
      </c>
      <c r="G2555" s="37">
        <v>27.6</v>
      </c>
      <c r="H2555" s="542">
        <v>45667</v>
      </c>
    </row>
    <row r="2556" spans="3:8" x14ac:dyDescent="0.25">
      <c r="C2556" s="540">
        <v>3</v>
      </c>
      <c r="D2556" s="540">
        <v>96</v>
      </c>
      <c r="E2556" s="541">
        <v>26.5</v>
      </c>
      <c r="F2556" s="4">
        <f t="shared" si="42"/>
        <v>-6.6901408450704178E-2</v>
      </c>
      <c r="G2556" s="37">
        <v>27.6</v>
      </c>
      <c r="H2556" s="542">
        <v>45667</v>
      </c>
    </row>
    <row r="2557" spans="3:8" x14ac:dyDescent="0.25">
      <c r="C2557" s="540">
        <v>4</v>
      </c>
      <c r="D2557" s="540">
        <v>93</v>
      </c>
      <c r="E2557" s="541">
        <v>21.3</v>
      </c>
      <c r="F2557" s="4">
        <f t="shared" si="42"/>
        <v>-0.31511254019292606</v>
      </c>
      <c r="G2557" s="37">
        <v>27.6</v>
      </c>
      <c r="H2557" s="542">
        <v>45667</v>
      </c>
    </row>
    <row r="2558" spans="3:8" x14ac:dyDescent="0.25">
      <c r="C2558" s="540">
        <v>5</v>
      </c>
      <c r="D2558" s="540">
        <v>70</v>
      </c>
      <c r="E2558" s="541">
        <v>37.200000000000003</v>
      </c>
      <c r="F2558" s="4">
        <f t="shared" si="42"/>
        <v>0.38805970149253738</v>
      </c>
      <c r="G2558" s="37">
        <v>27.6</v>
      </c>
      <c r="H2558" s="542">
        <v>45667</v>
      </c>
    </row>
    <row r="2559" spans="3:8" x14ac:dyDescent="0.25">
      <c r="C2559" s="540">
        <v>6</v>
      </c>
      <c r="D2559" s="540">
        <v>0</v>
      </c>
      <c r="E2559" s="541"/>
      <c r="F2559" s="4">
        <f t="shared" si="42"/>
        <v>-1</v>
      </c>
      <c r="G2559" s="37">
        <v>27.6</v>
      </c>
      <c r="H2559" s="542">
        <v>45667</v>
      </c>
    </row>
    <row r="2560" spans="3:8" x14ac:dyDescent="0.25">
      <c r="C2560" s="540">
        <v>7</v>
      </c>
      <c r="D2560" s="540">
        <v>86</v>
      </c>
      <c r="E2560" s="541">
        <v>23.8</v>
      </c>
      <c r="F2560" s="4">
        <f t="shared" si="42"/>
        <v>-0.33888888888888885</v>
      </c>
      <c r="G2560" s="37">
        <v>27.6</v>
      </c>
      <c r="H2560" s="542">
        <v>45667</v>
      </c>
    </row>
    <row r="2561" spans="3:8" x14ac:dyDescent="0.25">
      <c r="C2561" s="540">
        <v>8</v>
      </c>
      <c r="D2561" s="540">
        <v>77</v>
      </c>
      <c r="E2561" s="541">
        <v>18</v>
      </c>
      <c r="F2561" s="4" t="str">
        <f t="shared" si="42"/>
        <v/>
      </c>
      <c r="G2561" s="37">
        <v>27.6</v>
      </c>
      <c r="H2561" s="542">
        <v>45667</v>
      </c>
    </row>
    <row r="2562" spans="3:8" x14ac:dyDescent="0.25">
      <c r="C2562" s="540">
        <v>9</v>
      </c>
      <c r="D2562" s="540">
        <v>0</v>
      </c>
      <c r="E2562" s="541"/>
      <c r="F2562" s="4">
        <f t="shared" si="42"/>
        <v>-1</v>
      </c>
      <c r="G2562" s="37">
        <v>27.6</v>
      </c>
      <c r="H2562" s="542">
        <v>45667</v>
      </c>
    </row>
    <row r="2563" spans="3:8" x14ac:dyDescent="0.25">
      <c r="C2563" s="540">
        <v>10</v>
      </c>
      <c r="D2563" s="540">
        <v>21</v>
      </c>
      <c r="E2563" s="541">
        <v>18.5</v>
      </c>
      <c r="F2563" s="4">
        <f t="shared" si="42"/>
        <v>-3.6458333333333301E-2</v>
      </c>
      <c r="G2563" s="37">
        <v>27.6</v>
      </c>
      <c r="H2563" s="542">
        <v>45667</v>
      </c>
    </row>
    <row r="2564" spans="3:8" x14ac:dyDescent="0.25">
      <c r="C2564" s="543" t="s">
        <v>0</v>
      </c>
      <c r="D2564" s="543" t="s">
        <v>7</v>
      </c>
      <c r="E2564" s="544" t="s">
        <v>4</v>
      </c>
      <c r="F2564" s="4" t="str">
        <f t="shared" si="42"/>
        <v/>
      </c>
      <c r="G2564" s="37">
        <v>27.5</v>
      </c>
      <c r="H2564" s="542">
        <v>45668</v>
      </c>
    </row>
    <row r="2565" spans="3:8" x14ac:dyDescent="0.25">
      <c r="C2565" s="543">
        <v>1</v>
      </c>
      <c r="D2565" s="543">
        <v>24</v>
      </c>
      <c r="E2565" s="544">
        <v>30.4</v>
      </c>
      <c r="F2565" s="4">
        <f t="shared" si="42"/>
        <v>0.86503067484662555</v>
      </c>
      <c r="G2565" s="37">
        <v>27.5</v>
      </c>
      <c r="H2565" s="542">
        <v>45668</v>
      </c>
    </row>
    <row r="2566" spans="3:8" x14ac:dyDescent="0.25">
      <c r="C2566" s="543">
        <v>2</v>
      </c>
      <c r="D2566" s="543">
        <v>62</v>
      </c>
      <c r="E2566" s="544">
        <v>31.9</v>
      </c>
      <c r="F2566" s="4" t="str">
        <f t="shared" si="42"/>
        <v/>
      </c>
      <c r="G2566" s="37">
        <v>27.5</v>
      </c>
      <c r="H2566" s="542">
        <v>45668</v>
      </c>
    </row>
    <row r="2567" spans="3:8" x14ac:dyDescent="0.25">
      <c r="C2567" s="543">
        <v>3</v>
      </c>
      <c r="D2567" s="543">
        <v>96</v>
      </c>
      <c r="E2567" s="544">
        <v>27.8</v>
      </c>
      <c r="F2567" s="4">
        <f t="shared" si="42"/>
        <v>-1.0676156583629918E-2</v>
      </c>
      <c r="G2567" s="37">
        <v>27.5</v>
      </c>
      <c r="H2567" s="542">
        <v>45668</v>
      </c>
    </row>
    <row r="2568" spans="3:8" x14ac:dyDescent="0.25">
      <c r="C2568" s="543">
        <v>4</v>
      </c>
      <c r="D2568" s="543">
        <v>98</v>
      </c>
      <c r="E2568" s="544">
        <v>20.6</v>
      </c>
      <c r="F2568" s="4">
        <f t="shared" si="42"/>
        <v>-0.36809815950920244</v>
      </c>
      <c r="G2568" s="37">
        <v>27.5</v>
      </c>
      <c r="H2568" s="542">
        <v>45668</v>
      </c>
    </row>
    <row r="2569" spans="3:8" x14ac:dyDescent="0.25">
      <c r="C2569" s="543">
        <v>5</v>
      </c>
      <c r="D2569" s="543">
        <v>76</v>
      </c>
      <c r="E2569" s="544">
        <v>38.4</v>
      </c>
      <c r="F2569" s="4">
        <f t="shared" si="42"/>
        <v>0.44905660377358486</v>
      </c>
      <c r="G2569" s="37">
        <v>27.5</v>
      </c>
      <c r="H2569" s="542">
        <v>45668</v>
      </c>
    </row>
    <row r="2570" spans="3:8" x14ac:dyDescent="0.25">
      <c r="C2570" s="543">
        <v>6</v>
      </c>
      <c r="D2570" s="543">
        <v>0</v>
      </c>
      <c r="E2570" s="544"/>
      <c r="F2570" s="4">
        <f t="shared" ref="F2570:F2619" si="43">IFERROR((E2570-E2557)/E2557,"")</f>
        <v>-1</v>
      </c>
      <c r="G2570" s="37">
        <v>27.5</v>
      </c>
      <c r="H2570" s="542">
        <v>45668</v>
      </c>
    </row>
    <row r="2571" spans="3:8" x14ac:dyDescent="0.25">
      <c r="C2571" s="543">
        <v>7</v>
      </c>
      <c r="D2571" s="543">
        <v>86</v>
      </c>
      <c r="E2571" s="544">
        <v>24.1</v>
      </c>
      <c r="F2571" s="4">
        <f t="shared" si="43"/>
        <v>-0.35215053763440862</v>
      </c>
      <c r="G2571" s="37">
        <v>27.5</v>
      </c>
      <c r="H2571" s="542">
        <v>45668</v>
      </c>
    </row>
    <row r="2572" spans="3:8" x14ac:dyDescent="0.25">
      <c r="C2572" s="543">
        <v>8</v>
      </c>
      <c r="D2572" s="543">
        <v>77</v>
      </c>
      <c r="E2572" s="544">
        <v>19.3</v>
      </c>
      <c r="F2572" s="4" t="str">
        <f t="shared" si="43"/>
        <v/>
      </c>
      <c r="G2572" s="37">
        <v>27.5</v>
      </c>
      <c r="H2572" s="542">
        <v>45668</v>
      </c>
    </row>
    <row r="2573" spans="3:8" x14ac:dyDescent="0.25">
      <c r="C2573" s="543">
        <v>9</v>
      </c>
      <c r="D2573" s="543">
        <v>0</v>
      </c>
      <c r="E2573" s="544"/>
      <c r="F2573" s="4">
        <f t="shared" si="43"/>
        <v>-1</v>
      </c>
      <c r="G2573" s="37">
        <v>27.5</v>
      </c>
      <c r="H2573" s="542">
        <v>45668</v>
      </c>
    </row>
    <row r="2574" spans="3:8" x14ac:dyDescent="0.25">
      <c r="C2574" s="543">
        <v>10</v>
      </c>
      <c r="D2574" s="543">
        <v>21</v>
      </c>
      <c r="E2574" s="544">
        <v>18.600000000000001</v>
      </c>
      <c r="F2574" s="4">
        <f t="shared" si="43"/>
        <v>3.3333333333333409E-2</v>
      </c>
      <c r="G2574" s="37">
        <v>27.5</v>
      </c>
      <c r="H2574" s="542">
        <v>45668</v>
      </c>
    </row>
    <row r="2575" spans="3:8" x14ac:dyDescent="0.25">
      <c r="C2575" s="545" t="s">
        <v>0</v>
      </c>
      <c r="D2575" s="545" t="s">
        <v>7</v>
      </c>
      <c r="E2575" s="546" t="s">
        <v>4</v>
      </c>
      <c r="F2575" s="4" t="str">
        <f t="shared" si="43"/>
        <v/>
      </c>
      <c r="G2575" s="37">
        <v>26.9</v>
      </c>
      <c r="H2575" s="547">
        <v>45669</v>
      </c>
    </row>
    <row r="2576" spans="3:8" x14ac:dyDescent="0.25">
      <c r="C2576" s="545">
        <v>1</v>
      </c>
      <c r="D2576" s="545">
        <v>26</v>
      </c>
      <c r="E2576" s="546">
        <v>21.6</v>
      </c>
      <c r="F2576" s="4">
        <f t="shared" si="43"/>
        <v>0.16756756756756763</v>
      </c>
      <c r="G2576" s="37">
        <v>26.9</v>
      </c>
      <c r="H2576" s="547">
        <v>45669</v>
      </c>
    </row>
    <row r="2577" spans="3:8" x14ac:dyDescent="0.25">
      <c r="C2577" s="545">
        <v>2</v>
      </c>
      <c r="D2577" s="545">
        <v>59</v>
      </c>
      <c r="E2577" s="546">
        <v>32.1</v>
      </c>
      <c r="F2577" s="4" t="str">
        <f t="shared" si="43"/>
        <v/>
      </c>
      <c r="G2577" s="37">
        <v>26.9</v>
      </c>
      <c r="H2577" s="547">
        <v>45669</v>
      </c>
    </row>
    <row r="2578" spans="3:8" x14ac:dyDescent="0.25">
      <c r="C2578" s="545">
        <v>3</v>
      </c>
      <c r="D2578" s="545">
        <v>96</v>
      </c>
      <c r="E2578" s="546">
        <v>27.2</v>
      </c>
      <c r="F2578" s="4">
        <f t="shared" si="43"/>
        <v>-0.10526315789473682</v>
      </c>
      <c r="G2578" s="37">
        <v>26.9</v>
      </c>
      <c r="H2578" s="547">
        <v>45669</v>
      </c>
    </row>
    <row r="2579" spans="3:8" x14ac:dyDescent="0.25">
      <c r="C2579" s="545">
        <v>4</v>
      </c>
      <c r="D2579" s="545">
        <v>98</v>
      </c>
      <c r="E2579" s="546">
        <v>21.2</v>
      </c>
      <c r="F2579" s="4">
        <f t="shared" si="43"/>
        <v>-0.33542319749216298</v>
      </c>
      <c r="G2579" s="37">
        <v>26.9</v>
      </c>
      <c r="H2579" s="547">
        <v>45669</v>
      </c>
    </row>
    <row r="2580" spans="3:8" x14ac:dyDescent="0.25">
      <c r="C2580" s="545">
        <v>5</v>
      </c>
      <c r="D2580" s="545">
        <v>76</v>
      </c>
      <c r="E2580" s="546">
        <v>37.4</v>
      </c>
      <c r="F2580" s="4">
        <f t="shared" si="43"/>
        <v>0.34532374100719415</v>
      </c>
      <c r="G2580" s="37">
        <v>26.9</v>
      </c>
      <c r="H2580" s="547">
        <v>45669</v>
      </c>
    </row>
    <row r="2581" spans="3:8" x14ac:dyDescent="0.25">
      <c r="C2581" s="545">
        <v>6</v>
      </c>
      <c r="D2581" s="545">
        <v>0</v>
      </c>
      <c r="E2581" s="546"/>
      <c r="F2581" s="4">
        <f t="shared" si="43"/>
        <v>-1</v>
      </c>
      <c r="G2581" s="37">
        <v>26.9</v>
      </c>
      <c r="H2581" s="547">
        <v>45669</v>
      </c>
    </row>
    <row r="2582" spans="3:8" x14ac:dyDescent="0.25">
      <c r="C2582" s="545">
        <v>7</v>
      </c>
      <c r="D2582" s="545">
        <v>86</v>
      </c>
      <c r="E2582" s="546">
        <v>23.5</v>
      </c>
      <c r="F2582" s="4">
        <f t="shared" si="43"/>
        <v>-0.38802083333333331</v>
      </c>
      <c r="G2582" s="37">
        <v>26.9</v>
      </c>
      <c r="H2582" s="547">
        <v>45669</v>
      </c>
    </row>
    <row r="2583" spans="3:8" x14ac:dyDescent="0.25">
      <c r="C2583" s="545">
        <v>8</v>
      </c>
      <c r="D2583" s="545">
        <v>77</v>
      </c>
      <c r="E2583" s="546">
        <v>19</v>
      </c>
      <c r="F2583" s="4" t="str">
        <f t="shared" si="43"/>
        <v/>
      </c>
      <c r="G2583" s="37">
        <v>26.9</v>
      </c>
      <c r="H2583" s="547">
        <v>45669</v>
      </c>
    </row>
    <row r="2584" spans="3:8" x14ac:dyDescent="0.25">
      <c r="C2584" s="545">
        <v>9</v>
      </c>
      <c r="D2584" s="545">
        <v>0</v>
      </c>
      <c r="E2584" s="546"/>
      <c r="F2584" s="4">
        <f t="shared" si="43"/>
        <v>-1</v>
      </c>
      <c r="G2584" s="37">
        <v>26.9</v>
      </c>
      <c r="H2584" s="547">
        <v>45669</v>
      </c>
    </row>
    <row r="2585" spans="3:8" x14ac:dyDescent="0.25">
      <c r="C2585" s="545">
        <v>10</v>
      </c>
      <c r="D2585" s="545">
        <v>21</v>
      </c>
      <c r="E2585" s="546">
        <v>16.399999999999999</v>
      </c>
      <c r="F2585" s="4">
        <f t="shared" si="43"/>
        <v>-0.15025906735751307</v>
      </c>
      <c r="G2585" s="37">
        <v>26.9</v>
      </c>
      <c r="H2585" s="547">
        <v>45669</v>
      </c>
    </row>
    <row r="2586" spans="3:8" x14ac:dyDescent="0.25">
      <c r="C2586" s="548" t="s">
        <v>0</v>
      </c>
      <c r="D2586" s="548" t="s">
        <v>7</v>
      </c>
      <c r="E2586" s="549" t="s">
        <v>4</v>
      </c>
      <c r="F2586" s="4" t="str">
        <f t="shared" si="43"/>
        <v/>
      </c>
      <c r="G2586" s="37">
        <v>26.4</v>
      </c>
      <c r="H2586" s="550">
        <v>45670</v>
      </c>
    </row>
    <row r="2587" spans="3:8" x14ac:dyDescent="0.25">
      <c r="C2587" s="548">
        <v>1</v>
      </c>
      <c r="D2587" s="548">
        <v>26</v>
      </c>
      <c r="E2587" s="549">
        <v>20.9</v>
      </c>
      <c r="F2587" s="4">
        <f t="shared" si="43"/>
        <v>0.12365591397849446</v>
      </c>
      <c r="G2587" s="37">
        <v>26.4</v>
      </c>
      <c r="H2587" s="550">
        <v>45670</v>
      </c>
    </row>
    <row r="2588" spans="3:8" x14ac:dyDescent="0.25">
      <c r="C2588" s="548">
        <v>2</v>
      </c>
      <c r="D2588" s="548">
        <v>59</v>
      </c>
      <c r="E2588" s="549">
        <v>32.5</v>
      </c>
      <c r="F2588" s="4" t="str">
        <f t="shared" si="43"/>
        <v/>
      </c>
      <c r="G2588" s="37">
        <v>26.4</v>
      </c>
      <c r="H2588" s="550">
        <v>45670</v>
      </c>
    </row>
    <row r="2589" spans="3:8" x14ac:dyDescent="0.25">
      <c r="C2589" s="548">
        <v>3</v>
      </c>
      <c r="D2589" s="548">
        <v>95</v>
      </c>
      <c r="E2589" s="549">
        <v>26.2</v>
      </c>
      <c r="F2589" s="4">
        <f t="shared" si="43"/>
        <v>0.21296296296296285</v>
      </c>
      <c r="G2589" s="37">
        <v>26.4</v>
      </c>
      <c r="H2589" s="550">
        <v>45670</v>
      </c>
    </row>
    <row r="2590" spans="3:8" x14ac:dyDescent="0.25">
      <c r="C2590" s="548">
        <v>4</v>
      </c>
      <c r="D2590" s="548">
        <v>98</v>
      </c>
      <c r="E2590" s="549">
        <v>21.4</v>
      </c>
      <c r="F2590" s="4">
        <f t="shared" si="43"/>
        <v>-0.33333333333333343</v>
      </c>
      <c r="G2590" s="37">
        <v>26.4</v>
      </c>
      <c r="H2590" s="550">
        <v>45670</v>
      </c>
    </row>
    <row r="2591" spans="3:8" x14ac:dyDescent="0.25">
      <c r="C2591" s="548">
        <v>5</v>
      </c>
      <c r="D2591" s="548">
        <v>74</v>
      </c>
      <c r="E2591" s="549">
        <v>34.1</v>
      </c>
      <c r="F2591" s="4">
        <f t="shared" si="43"/>
        <v>0.25367647058823539</v>
      </c>
      <c r="G2591" s="37">
        <v>26.4</v>
      </c>
      <c r="H2591" s="550">
        <v>45670</v>
      </c>
    </row>
    <row r="2592" spans="3:8" x14ac:dyDescent="0.25">
      <c r="C2592" s="548">
        <v>6</v>
      </c>
      <c r="D2592" s="548">
        <v>0</v>
      </c>
      <c r="E2592" s="549"/>
      <c r="F2592" s="4">
        <f t="shared" si="43"/>
        <v>-1</v>
      </c>
      <c r="G2592" s="37">
        <v>26.4</v>
      </c>
      <c r="H2592" s="550">
        <v>45670</v>
      </c>
    </row>
    <row r="2593" spans="3:8" x14ac:dyDescent="0.25">
      <c r="C2593" s="548">
        <v>7</v>
      </c>
      <c r="D2593" s="548">
        <v>88</v>
      </c>
      <c r="E2593" s="549">
        <v>23.6</v>
      </c>
      <c r="F2593" s="4">
        <f t="shared" si="43"/>
        <v>-0.36898395721925126</v>
      </c>
      <c r="G2593" s="37">
        <v>26.4</v>
      </c>
      <c r="H2593" s="550">
        <v>45670</v>
      </c>
    </row>
    <row r="2594" spans="3:8" x14ac:dyDescent="0.25">
      <c r="C2594" s="548">
        <v>8</v>
      </c>
      <c r="D2594" s="548">
        <v>75</v>
      </c>
      <c r="E2594" s="549">
        <v>18</v>
      </c>
      <c r="F2594" s="4" t="str">
        <f t="shared" si="43"/>
        <v/>
      </c>
      <c r="G2594" s="37">
        <v>26.4</v>
      </c>
      <c r="H2594" s="550">
        <v>45670</v>
      </c>
    </row>
    <row r="2595" spans="3:8" x14ac:dyDescent="0.25">
      <c r="C2595" s="548">
        <v>9</v>
      </c>
      <c r="D2595" s="548">
        <v>0</v>
      </c>
      <c r="E2595" s="549"/>
      <c r="F2595" s="4">
        <f t="shared" si="43"/>
        <v>-1</v>
      </c>
      <c r="G2595" s="37">
        <v>26.4</v>
      </c>
      <c r="H2595" s="550">
        <v>45670</v>
      </c>
    </row>
    <row r="2596" spans="3:8" x14ac:dyDescent="0.25">
      <c r="C2596" s="548">
        <v>10</v>
      </c>
      <c r="D2596" s="548">
        <v>21</v>
      </c>
      <c r="E2596" s="549">
        <v>17.5</v>
      </c>
      <c r="F2596" s="4">
        <f t="shared" si="43"/>
        <v>-7.8947368421052627E-2</v>
      </c>
      <c r="G2596" s="37">
        <v>26.4</v>
      </c>
      <c r="H2596" s="550">
        <v>45670</v>
      </c>
    </row>
    <row r="2597" spans="3:8" x14ac:dyDescent="0.25">
      <c r="C2597" s="551" t="s">
        <v>0</v>
      </c>
      <c r="D2597" s="551" t="s">
        <v>7</v>
      </c>
      <c r="E2597" s="552" t="s">
        <v>4</v>
      </c>
      <c r="F2597" s="4" t="str">
        <f t="shared" si="43"/>
        <v/>
      </c>
      <c r="G2597" s="37">
        <v>27</v>
      </c>
      <c r="H2597" s="553">
        <v>45671</v>
      </c>
    </row>
    <row r="2598" spans="3:8" x14ac:dyDescent="0.25">
      <c r="C2598" s="551">
        <v>1</v>
      </c>
      <c r="D2598" s="551">
        <v>30</v>
      </c>
      <c r="E2598" s="552">
        <v>25.5</v>
      </c>
      <c r="F2598" s="4">
        <f t="shared" si="43"/>
        <v>0.55487804878048796</v>
      </c>
      <c r="G2598" s="37">
        <v>27</v>
      </c>
      <c r="H2598" s="553">
        <v>45671</v>
      </c>
    </row>
    <row r="2599" spans="3:8" x14ac:dyDescent="0.25">
      <c r="C2599" s="551">
        <v>2</v>
      </c>
      <c r="D2599" s="551">
        <v>59</v>
      </c>
      <c r="E2599" s="552">
        <v>32.299999999999997</v>
      </c>
      <c r="F2599" s="4" t="str">
        <f t="shared" si="43"/>
        <v/>
      </c>
      <c r="G2599" s="37">
        <v>27</v>
      </c>
      <c r="H2599" s="553">
        <v>45671</v>
      </c>
    </row>
    <row r="2600" spans="3:8" x14ac:dyDescent="0.25">
      <c r="C2600" s="551">
        <v>3</v>
      </c>
      <c r="D2600" s="551">
        <v>95</v>
      </c>
      <c r="E2600" s="552">
        <v>27.4</v>
      </c>
      <c r="F2600" s="4">
        <f t="shared" si="43"/>
        <v>0.31100478468899523</v>
      </c>
      <c r="G2600" s="37">
        <v>27</v>
      </c>
      <c r="H2600" s="553">
        <v>45671</v>
      </c>
    </row>
    <row r="2601" spans="3:8" x14ac:dyDescent="0.25">
      <c r="C2601" s="551">
        <v>4</v>
      </c>
      <c r="D2601" s="551">
        <v>97</v>
      </c>
      <c r="E2601" s="552">
        <v>21</v>
      </c>
      <c r="F2601" s="4">
        <f t="shared" si="43"/>
        <v>-0.35384615384615387</v>
      </c>
      <c r="G2601" s="37">
        <v>27</v>
      </c>
      <c r="H2601" s="553">
        <v>45671</v>
      </c>
    </row>
    <row r="2602" spans="3:8" x14ac:dyDescent="0.25">
      <c r="C2602" s="551">
        <v>5</v>
      </c>
      <c r="D2602" s="551">
        <v>76</v>
      </c>
      <c r="E2602" s="552">
        <v>36.4</v>
      </c>
      <c r="F2602" s="4">
        <f t="shared" si="43"/>
        <v>0.38931297709923662</v>
      </c>
      <c r="G2602" s="37">
        <v>27</v>
      </c>
      <c r="H2602" s="553">
        <v>45671</v>
      </c>
    </row>
    <row r="2603" spans="3:8" x14ac:dyDescent="0.25">
      <c r="C2603" s="551">
        <v>6</v>
      </c>
      <c r="D2603" s="551">
        <v>0</v>
      </c>
      <c r="E2603" s="552"/>
      <c r="F2603" s="4">
        <f t="shared" si="43"/>
        <v>-1</v>
      </c>
      <c r="G2603" s="37">
        <v>27</v>
      </c>
      <c r="H2603" s="553">
        <v>45671</v>
      </c>
    </row>
    <row r="2604" spans="3:8" x14ac:dyDescent="0.25">
      <c r="C2604" s="551">
        <v>7</v>
      </c>
      <c r="D2604" s="551">
        <v>88</v>
      </c>
      <c r="E2604" s="552">
        <v>23.4</v>
      </c>
      <c r="F2604" s="4">
        <f t="shared" si="43"/>
        <v>-0.3137829912023461</v>
      </c>
      <c r="G2604" s="37">
        <v>27</v>
      </c>
      <c r="H2604" s="553">
        <v>45671</v>
      </c>
    </row>
    <row r="2605" spans="3:8" x14ac:dyDescent="0.25">
      <c r="C2605" s="551">
        <v>8</v>
      </c>
      <c r="D2605" s="551">
        <v>75</v>
      </c>
      <c r="E2605" s="552">
        <v>17.5</v>
      </c>
      <c r="F2605" s="4" t="str">
        <f t="shared" si="43"/>
        <v/>
      </c>
      <c r="G2605" s="37">
        <v>27</v>
      </c>
      <c r="H2605" s="553">
        <v>45671</v>
      </c>
    </row>
    <row r="2606" spans="3:8" x14ac:dyDescent="0.25">
      <c r="C2606" s="551">
        <v>9</v>
      </c>
      <c r="D2606" s="551">
        <v>0</v>
      </c>
      <c r="E2606" s="552"/>
      <c r="F2606" s="4">
        <f t="shared" si="43"/>
        <v>-1</v>
      </c>
      <c r="G2606" s="37">
        <v>27</v>
      </c>
      <c r="H2606" s="553">
        <v>45671</v>
      </c>
    </row>
    <row r="2607" spans="3:8" x14ac:dyDescent="0.25">
      <c r="C2607" s="551">
        <v>10</v>
      </c>
      <c r="D2607" s="551">
        <v>21</v>
      </c>
      <c r="E2607" s="552">
        <v>20.5</v>
      </c>
      <c r="F2607" s="4">
        <f t="shared" si="43"/>
        <v>0.1388888888888889</v>
      </c>
      <c r="G2607" s="37">
        <v>27</v>
      </c>
      <c r="H2607" s="553">
        <v>45671</v>
      </c>
    </row>
    <row r="2608" spans="3:8" x14ac:dyDescent="0.25">
      <c r="C2608" s="554" t="s">
        <v>0</v>
      </c>
      <c r="D2608" s="554" t="s">
        <v>7</v>
      </c>
      <c r="E2608" s="555" t="s">
        <v>4</v>
      </c>
      <c r="F2608" s="4" t="str">
        <f t="shared" si="43"/>
        <v/>
      </c>
      <c r="G2608" s="37">
        <v>28.3</v>
      </c>
      <c r="H2608" s="556">
        <v>45672</v>
      </c>
    </row>
    <row r="2609" spans="3:8" x14ac:dyDescent="0.25">
      <c r="C2609" s="554">
        <v>1</v>
      </c>
      <c r="D2609" s="554">
        <v>28</v>
      </c>
      <c r="E2609" s="555">
        <v>25.3</v>
      </c>
      <c r="F2609" s="4">
        <f t="shared" si="43"/>
        <v>0.44571428571428573</v>
      </c>
      <c r="G2609" s="37">
        <v>28.3</v>
      </c>
      <c r="H2609" s="556">
        <v>45672</v>
      </c>
    </row>
    <row r="2610" spans="3:8" x14ac:dyDescent="0.25">
      <c r="C2610" s="554">
        <v>2</v>
      </c>
      <c r="D2610" s="554">
        <v>59</v>
      </c>
      <c r="E2610" s="555">
        <v>33.799999999999997</v>
      </c>
      <c r="F2610" s="4" t="str">
        <f t="shared" si="43"/>
        <v/>
      </c>
      <c r="G2610" s="37">
        <v>28.3</v>
      </c>
      <c r="H2610" s="556">
        <v>45672</v>
      </c>
    </row>
    <row r="2611" spans="3:8" x14ac:dyDescent="0.25">
      <c r="C2611" s="554">
        <v>3</v>
      </c>
      <c r="D2611" s="554">
        <v>95</v>
      </c>
      <c r="E2611" s="555">
        <v>27.8</v>
      </c>
      <c r="F2611" s="4">
        <f t="shared" si="43"/>
        <v>9.0196078431372576E-2</v>
      </c>
      <c r="G2611" s="37">
        <v>28.3</v>
      </c>
      <c r="H2611" s="556">
        <v>45672</v>
      </c>
    </row>
    <row r="2612" spans="3:8" x14ac:dyDescent="0.25">
      <c r="C2612" s="554">
        <v>4</v>
      </c>
      <c r="D2612" s="554">
        <v>97</v>
      </c>
      <c r="E2612" s="555">
        <v>22</v>
      </c>
      <c r="F2612" s="4">
        <f t="shared" si="43"/>
        <v>-0.31888544891640863</v>
      </c>
      <c r="G2612" s="37">
        <v>28.3</v>
      </c>
      <c r="H2612" s="556">
        <v>45672</v>
      </c>
    </row>
    <row r="2613" spans="3:8" x14ac:dyDescent="0.25">
      <c r="C2613" s="554">
        <v>5</v>
      </c>
      <c r="D2613" s="554">
        <v>76</v>
      </c>
      <c r="E2613" s="555">
        <v>37.6</v>
      </c>
      <c r="F2613" s="4">
        <f t="shared" si="43"/>
        <v>0.37226277372262784</v>
      </c>
      <c r="G2613" s="37">
        <v>28.3</v>
      </c>
      <c r="H2613" s="556">
        <v>45672</v>
      </c>
    </row>
    <row r="2614" spans="3:8" x14ac:dyDescent="0.25">
      <c r="C2614" s="554">
        <v>6</v>
      </c>
      <c r="D2614" s="554">
        <v>0</v>
      </c>
      <c r="E2614" s="555"/>
      <c r="F2614" s="4">
        <f t="shared" si="43"/>
        <v>-1</v>
      </c>
      <c r="G2614" s="37">
        <v>28.3</v>
      </c>
      <c r="H2614" s="556">
        <v>45672</v>
      </c>
    </row>
    <row r="2615" spans="3:8" x14ac:dyDescent="0.25">
      <c r="C2615" s="554">
        <v>7</v>
      </c>
      <c r="D2615" s="554">
        <v>88</v>
      </c>
      <c r="E2615" s="555">
        <v>24.1</v>
      </c>
      <c r="F2615" s="4">
        <f t="shared" si="43"/>
        <v>-0.33791208791208782</v>
      </c>
      <c r="G2615" s="37">
        <v>28.3</v>
      </c>
      <c r="H2615" s="556">
        <v>45672</v>
      </c>
    </row>
    <row r="2616" spans="3:8" x14ac:dyDescent="0.25">
      <c r="C2616" s="554">
        <v>8</v>
      </c>
      <c r="D2616" s="554">
        <v>75</v>
      </c>
      <c r="E2616" s="555">
        <v>19</v>
      </c>
      <c r="F2616" s="4" t="str">
        <f t="shared" si="43"/>
        <v/>
      </c>
      <c r="G2616" s="37">
        <v>28.3</v>
      </c>
      <c r="H2616" s="556">
        <v>45672</v>
      </c>
    </row>
    <row r="2617" spans="3:8" x14ac:dyDescent="0.25">
      <c r="C2617" s="554">
        <v>9</v>
      </c>
      <c r="D2617" s="554">
        <v>0</v>
      </c>
      <c r="E2617" s="555"/>
      <c r="F2617" s="4">
        <f t="shared" si="43"/>
        <v>-1</v>
      </c>
      <c r="G2617" s="37">
        <v>28.3</v>
      </c>
      <c r="H2617" s="556">
        <v>45672</v>
      </c>
    </row>
    <row r="2618" spans="3:8" x14ac:dyDescent="0.25">
      <c r="C2618" s="554">
        <v>10</v>
      </c>
      <c r="D2618" s="554">
        <v>20</v>
      </c>
      <c r="E2618" s="555">
        <v>18.8</v>
      </c>
      <c r="F2618" s="4">
        <f t="shared" si="43"/>
        <v>7.428571428571433E-2</v>
      </c>
      <c r="G2618" s="37">
        <v>28.3</v>
      </c>
      <c r="H2618" s="556">
        <v>45672</v>
      </c>
    </row>
    <row r="2619" spans="3:8" x14ac:dyDescent="0.25">
      <c r="C2619" s="557" t="s">
        <v>0</v>
      </c>
      <c r="D2619" s="557" t="s">
        <v>7</v>
      </c>
      <c r="E2619" s="558" t="s">
        <v>4</v>
      </c>
      <c r="F2619" s="4" t="str">
        <f t="shared" si="43"/>
        <v/>
      </c>
      <c r="G2619" s="37">
        <v>27.6</v>
      </c>
      <c r="H2619" s="559">
        <v>45673</v>
      </c>
    </row>
    <row r="2620" spans="3:8" x14ac:dyDescent="0.25">
      <c r="C2620" s="557">
        <v>1</v>
      </c>
      <c r="D2620" s="557">
        <v>29</v>
      </c>
      <c r="E2620" s="558">
        <v>28</v>
      </c>
      <c r="F2620" s="4">
        <f>IFERROR((E2620-E2609)/E2609,"")</f>
        <v>0.10671936758893277</v>
      </c>
      <c r="G2620" s="37">
        <v>27.6</v>
      </c>
      <c r="H2620" s="559">
        <v>45673</v>
      </c>
    </row>
    <row r="2621" spans="3:8" x14ac:dyDescent="0.25">
      <c r="C2621" s="557">
        <v>2</v>
      </c>
      <c r="D2621" s="557">
        <v>59</v>
      </c>
      <c r="E2621" s="558">
        <v>33.799999999999997</v>
      </c>
      <c r="F2621" s="4">
        <f t="shared" ref="F2621:F2684" si="44">IFERROR((E2621-E2610)/E2610,"")</f>
        <v>0</v>
      </c>
      <c r="G2621" s="37">
        <v>27.6</v>
      </c>
      <c r="H2621" s="559">
        <v>45673</v>
      </c>
    </row>
    <row r="2622" spans="3:8" x14ac:dyDescent="0.25">
      <c r="C2622" s="557">
        <v>3</v>
      </c>
      <c r="D2622" s="557">
        <v>89</v>
      </c>
      <c r="E2622" s="558">
        <v>27.1</v>
      </c>
      <c r="F2622" s="4">
        <f t="shared" si="44"/>
        <v>-2.5179856115107889E-2</v>
      </c>
      <c r="G2622" s="37">
        <v>27.6</v>
      </c>
      <c r="H2622" s="559">
        <v>45673</v>
      </c>
    </row>
    <row r="2623" spans="3:8" x14ac:dyDescent="0.25">
      <c r="C2623" s="557">
        <v>4</v>
      </c>
      <c r="D2623" s="557">
        <v>96</v>
      </c>
      <c r="E2623" s="558">
        <v>21.7</v>
      </c>
      <c r="F2623" s="4">
        <f t="shared" si="44"/>
        <v>-1.3636363636363669E-2</v>
      </c>
      <c r="G2623" s="37">
        <v>27.6</v>
      </c>
      <c r="H2623" s="559">
        <v>45673</v>
      </c>
    </row>
    <row r="2624" spans="3:8" x14ac:dyDescent="0.25">
      <c r="C2624" s="557">
        <v>5</v>
      </c>
      <c r="D2624" s="557">
        <v>75</v>
      </c>
      <c r="E2624" s="558">
        <v>34.9</v>
      </c>
      <c r="F2624" s="4">
        <f t="shared" si="44"/>
        <v>-7.1808510638297948E-2</v>
      </c>
      <c r="G2624" s="37">
        <v>27.6</v>
      </c>
      <c r="H2624" s="559">
        <v>45673</v>
      </c>
    </row>
    <row r="2625" spans="3:8" x14ac:dyDescent="0.25">
      <c r="C2625" s="557">
        <v>6</v>
      </c>
      <c r="D2625" s="557">
        <v>0</v>
      </c>
      <c r="E2625" s="558"/>
      <c r="F2625" s="4" t="str">
        <f t="shared" si="44"/>
        <v/>
      </c>
      <c r="G2625" s="37">
        <v>27.6</v>
      </c>
      <c r="H2625" s="559">
        <v>45673</v>
      </c>
    </row>
    <row r="2626" spans="3:8" x14ac:dyDescent="0.25">
      <c r="C2626" s="557">
        <v>7</v>
      </c>
      <c r="D2626" s="557">
        <v>73</v>
      </c>
      <c r="E2626" s="558">
        <v>24.4</v>
      </c>
      <c r="F2626" s="4">
        <f t="shared" si="44"/>
        <v>1.2448132780082869E-2</v>
      </c>
      <c r="G2626" s="37">
        <v>27.6</v>
      </c>
      <c r="H2626" s="559">
        <v>45673</v>
      </c>
    </row>
    <row r="2627" spans="3:8" x14ac:dyDescent="0.25">
      <c r="C2627" s="557">
        <v>8</v>
      </c>
      <c r="D2627" s="557">
        <v>73</v>
      </c>
      <c r="E2627" s="558">
        <v>19.3</v>
      </c>
      <c r="F2627" s="4">
        <f t="shared" si="44"/>
        <v>1.5789473684210565E-2</v>
      </c>
      <c r="G2627" s="37">
        <v>27.6</v>
      </c>
      <c r="H2627" s="559">
        <v>45673</v>
      </c>
    </row>
    <row r="2628" spans="3:8" x14ac:dyDescent="0.25">
      <c r="C2628" s="557">
        <v>9</v>
      </c>
      <c r="D2628" s="557">
        <v>0</v>
      </c>
      <c r="E2628" s="558"/>
      <c r="F2628" s="4" t="str">
        <f t="shared" si="44"/>
        <v/>
      </c>
      <c r="G2628" s="37">
        <v>27.6</v>
      </c>
      <c r="H2628" s="559">
        <v>45673</v>
      </c>
    </row>
    <row r="2629" spans="3:8" x14ac:dyDescent="0.25">
      <c r="C2629" s="557">
        <v>10</v>
      </c>
      <c r="D2629" s="557">
        <v>10</v>
      </c>
      <c r="E2629" s="558">
        <v>16.8</v>
      </c>
      <c r="F2629" s="4">
        <f t="shared" si="44"/>
        <v>-0.10638297872340426</v>
      </c>
      <c r="G2629" s="37">
        <v>27.6</v>
      </c>
      <c r="H2629" s="559">
        <v>45673</v>
      </c>
    </row>
    <row r="2630" spans="3:8" x14ac:dyDescent="0.25">
      <c r="C2630" s="560" t="s">
        <v>0</v>
      </c>
      <c r="D2630" s="560" t="s">
        <v>7</v>
      </c>
      <c r="E2630" s="561" t="s">
        <v>4</v>
      </c>
      <c r="F2630" s="4" t="str">
        <f t="shared" si="44"/>
        <v/>
      </c>
      <c r="G2630" s="37">
        <v>30.6</v>
      </c>
      <c r="H2630" s="562">
        <v>45674</v>
      </c>
    </row>
    <row r="2631" spans="3:8" x14ac:dyDescent="0.25">
      <c r="C2631" s="560">
        <v>1</v>
      </c>
      <c r="D2631" s="560">
        <v>27</v>
      </c>
      <c r="E2631" s="561">
        <v>28.5</v>
      </c>
      <c r="F2631" s="4">
        <f t="shared" si="44"/>
        <v>1.7857142857142856E-2</v>
      </c>
      <c r="G2631" s="37">
        <v>30.6</v>
      </c>
      <c r="H2631" s="562">
        <v>45674</v>
      </c>
    </row>
    <row r="2632" spans="3:8" x14ac:dyDescent="0.25">
      <c r="C2632" s="560">
        <v>2</v>
      </c>
      <c r="D2632" s="560">
        <v>59</v>
      </c>
      <c r="E2632" s="561">
        <v>34.5</v>
      </c>
      <c r="F2632" s="4">
        <f t="shared" si="44"/>
        <v>2.0710059171597718E-2</v>
      </c>
      <c r="G2632" s="37">
        <v>30.6</v>
      </c>
      <c r="H2632" s="562">
        <v>45674</v>
      </c>
    </row>
    <row r="2633" spans="3:8" x14ac:dyDescent="0.25">
      <c r="C2633" s="560">
        <v>3</v>
      </c>
      <c r="D2633" s="560">
        <v>89</v>
      </c>
      <c r="E2633" s="561">
        <v>30</v>
      </c>
      <c r="F2633" s="4">
        <f t="shared" si="44"/>
        <v>0.10701107011070105</v>
      </c>
      <c r="G2633" s="37">
        <v>30.6</v>
      </c>
      <c r="H2633" s="562">
        <v>45674</v>
      </c>
    </row>
    <row r="2634" spans="3:8" x14ac:dyDescent="0.25">
      <c r="C2634" s="560">
        <v>4</v>
      </c>
      <c r="D2634" s="560">
        <v>93</v>
      </c>
      <c r="E2634" s="561">
        <v>23.3</v>
      </c>
      <c r="F2634" s="4">
        <f t="shared" si="44"/>
        <v>7.3732718894009286E-2</v>
      </c>
      <c r="G2634" s="37">
        <v>30.6</v>
      </c>
      <c r="H2634" s="562">
        <v>45674</v>
      </c>
    </row>
    <row r="2635" spans="3:8" x14ac:dyDescent="0.25">
      <c r="C2635" s="560">
        <v>5</v>
      </c>
      <c r="D2635" s="560">
        <v>75</v>
      </c>
      <c r="E2635" s="561">
        <v>40.700000000000003</v>
      </c>
      <c r="F2635" s="4">
        <f t="shared" si="44"/>
        <v>0.16618911174785114</v>
      </c>
      <c r="G2635" s="37">
        <v>30.6</v>
      </c>
      <c r="H2635" s="562">
        <v>45674</v>
      </c>
    </row>
    <row r="2636" spans="3:8" x14ac:dyDescent="0.25">
      <c r="C2636" s="560">
        <v>6</v>
      </c>
      <c r="D2636" s="560">
        <v>0</v>
      </c>
      <c r="E2636" s="561"/>
      <c r="F2636" s="4" t="str">
        <f t="shared" si="44"/>
        <v/>
      </c>
      <c r="G2636" s="37">
        <v>30.6</v>
      </c>
      <c r="H2636" s="562">
        <v>45674</v>
      </c>
    </row>
    <row r="2637" spans="3:8" x14ac:dyDescent="0.25">
      <c r="C2637" s="560">
        <v>7</v>
      </c>
      <c r="D2637" s="560">
        <v>73</v>
      </c>
      <c r="E2637" s="561">
        <v>24.7</v>
      </c>
      <c r="F2637" s="4">
        <f t="shared" si="44"/>
        <v>1.2295081967213144E-2</v>
      </c>
      <c r="G2637" s="37">
        <v>30.6</v>
      </c>
      <c r="H2637" s="562">
        <v>45674</v>
      </c>
    </row>
    <row r="2638" spans="3:8" x14ac:dyDescent="0.25">
      <c r="C2638" s="560">
        <v>8</v>
      </c>
      <c r="D2638" s="560">
        <v>70</v>
      </c>
      <c r="E2638" s="561">
        <v>21.4</v>
      </c>
      <c r="F2638" s="4">
        <f t="shared" si="44"/>
        <v>0.1088082901554403</v>
      </c>
      <c r="G2638" s="37">
        <v>30.6</v>
      </c>
      <c r="H2638" s="562">
        <v>45674</v>
      </c>
    </row>
    <row r="2639" spans="3:8" x14ac:dyDescent="0.25">
      <c r="C2639" s="560">
        <v>9</v>
      </c>
      <c r="D2639" s="560">
        <v>90</v>
      </c>
      <c r="E2639" s="561"/>
      <c r="F2639" s="4" t="str">
        <f t="shared" si="44"/>
        <v/>
      </c>
      <c r="G2639" s="37">
        <v>30.6</v>
      </c>
      <c r="H2639" s="562">
        <v>45674</v>
      </c>
    </row>
    <row r="2640" spans="3:8" x14ac:dyDescent="0.25">
      <c r="C2640" s="560">
        <v>10</v>
      </c>
      <c r="D2640" s="560">
        <v>10</v>
      </c>
      <c r="E2640" s="561">
        <v>17</v>
      </c>
      <c r="F2640" s="4">
        <f t="shared" si="44"/>
        <v>1.1904761904761862E-2</v>
      </c>
      <c r="G2640" s="37">
        <v>30.6</v>
      </c>
      <c r="H2640" s="562">
        <v>45674</v>
      </c>
    </row>
    <row r="2641" spans="3:8" x14ac:dyDescent="0.25">
      <c r="C2641" s="563" t="s">
        <v>0</v>
      </c>
      <c r="D2641" s="563" t="s">
        <v>7</v>
      </c>
      <c r="E2641" s="564" t="s">
        <v>4</v>
      </c>
      <c r="F2641" s="4" t="str">
        <f t="shared" si="44"/>
        <v/>
      </c>
      <c r="G2641" s="37">
        <v>30.2</v>
      </c>
      <c r="H2641" s="565">
        <v>45675</v>
      </c>
    </row>
    <row r="2642" spans="3:8" x14ac:dyDescent="0.25">
      <c r="C2642" s="563">
        <v>1</v>
      </c>
      <c r="D2642" s="563">
        <v>30</v>
      </c>
      <c r="E2642" s="564">
        <v>30.3</v>
      </c>
      <c r="F2642" s="4">
        <f t="shared" si="44"/>
        <v>6.3157894736842135E-2</v>
      </c>
      <c r="G2642" s="37">
        <v>30.2</v>
      </c>
      <c r="H2642" s="565">
        <v>45675</v>
      </c>
    </row>
    <row r="2643" spans="3:8" x14ac:dyDescent="0.25">
      <c r="C2643" s="563">
        <v>2</v>
      </c>
      <c r="D2643" s="563">
        <v>60</v>
      </c>
      <c r="E2643" s="564">
        <v>34.200000000000003</v>
      </c>
      <c r="F2643" s="4">
        <f t="shared" si="44"/>
        <v>-8.6956521739129603E-3</v>
      </c>
      <c r="G2643" s="37">
        <v>30.2</v>
      </c>
      <c r="H2643" s="565">
        <v>45675</v>
      </c>
    </row>
    <row r="2644" spans="3:8" x14ac:dyDescent="0.25">
      <c r="C2644" s="563">
        <v>3</v>
      </c>
      <c r="D2644" s="563">
        <v>89</v>
      </c>
      <c r="E2644" s="564">
        <v>29.6</v>
      </c>
      <c r="F2644" s="4">
        <f t="shared" si="44"/>
        <v>-1.3333333333333286E-2</v>
      </c>
      <c r="G2644" s="37">
        <v>30.2</v>
      </c>
      <c r="H2644" s="565">
        <v>45675</v>
      </c>
    </row>
    <row r="2645" spans="3:8" x14ac:dyDescent="0.25">
      <c r="C2645" s="563">
        <v>4</v>
      </c>
      <c r="D2645" s="563">
        <v>94</v>
      </c>
      <c r="E2645" s="564">
        <v>22.9</v>
      </c>
      <c r="F2645" s="4">
        <f t="shared" si="44"/>
        <v>-1.7167381974249017E-2</v>
      </c>
      <c r="G2645" s="37">
        <v>30.2</v>
      </c>
      <c r="H2645" s="565">
        <v>45675</v>
      </c>
    </row>
    <row r="2646" spans="3:8" x14ac:dyDescent="0.25">
      <c r="C2646" s="563">
        <v>5</v>
      </c>
      <c r="D2646" s="563">
        <v>75</v>
      </c>
      <c r="E2646" s="564">
        <v>39.5</v>
      </c>
      <c r="F2646" s="4">
        <f t="shared" si="44"/>
        <v>-2.9484029484029551E-2</v>
      </c>
      <c r="G2646" s="37">
        <v>30.2</v>
      </c>
      <c r="H2646" s="565">
        <v>45675</v>
      </c>
    </row>
    <row r="2647" spans="3:8" x14ac:dyDescent="0.25">
      <c r="C2647" s="563">
        <v>6</v>
      </c>
      <c r="D2647" s="563">
        <v>0</v>
      </c>
      <c r="E2647" s="564"/>
      <c r="F2647" s="4" t="str">
        <f t="shared" si="44"/>
        <v/>
      </c>
      <c r="G2647" s="37">
        <v>30.2</v>
      </c>
      <c r="H2647" s="565">
        <v>45675</v>
      </c>
    </row>
    <row r="2648" spans="3:8" x14ac:dyDescent="0.25">
      <c r="C2648" s="563">
        <v>7</v>
      </c>
      <c r="D2648" s="563">
        <v>75</v>
      </c>
      <c r="E2648" s="564">
        <v>24.6</v>
      </c>
      <c r="F2648" s="4">
        <f t="shared" si="44"/>
        <v>-4.0485829959513312E-3</v>
      </c>
      <c r="G2648" s="37">
        <v>30.2</v>
      </c>
      <c r="H2648" s="565">
        <v>45675</v>
      </c>
    </row>
    <row r="2649" spans="3:8" x14ac:dyDescent="0.25">
      <c r="C2649" s="563">
        <v>8</v>
      </c>
      <c r="D2649" s="563">
        <v>79</v>
      </c>
      <c r="E2649" s="564">
        <v>23.2</v>
      </c>
      <c r="F2649" s="4">
        <f t="shared" si="44"/>
        <v>8.4112149532710317E-2</v>
      </c>
      <c r="G2649" s="37">
        <v>30.2</v>
      </c>
      <c r="H2649" s="565">
        <v>45675</v>
      </c>
    </row>
    <row r="2650" spans="3:8" x14ac:dyDescent="0.25">
      <c r="C2650" s="563">
        <v>9</v>
      </c>
      <c r="D2650" s="563">
        <v>90</v>
      </c>
      <c r="E2650" s="564">
        <v>32.4</v>
      </c>
      <c r="F2650" s="4" t="str">
        <f t="shared" si="44"/>
        <v/>
      </c>
      <c r="G2650" s="37">
        <v>30.2</v>
      </c>
      <c r="H2650" s="565">
        <v>45675</v>
      </c>
    </row>
    <row r="2651" spans="3:8" x14ac:dyDescent="0.25">
      <c r="C2651" s="563">
        <v>10</v>
      </c>
      <c r="D2651" s="563">
        <v>0</v>
      </c>
      <c r="E2651" s="564">
        <v>18.399999999999999</v>
      </c>
      <c r="F2651" s="4">
        <f t="shared" si="44"/>
        <v>8.2352941176470504E-2</v>
      </c>
      <c r="G2651" s="37">
        <v>30.2</v>
      </c>
      <c r="H2651" s="565">
        <v>45675</v>
      </c>
    </row>
    <row r="2652" spans="3:8" x14ac:dyDescent="0.25">
      <c r="C2652" s="566" t="s">
        <v>0</v>
      </c>
      <c r="D2652" s="566" t="s">
        <v>7</v>
      </c>
      <c r="E2652" s="567" t="s">
        <v>4</v>
      </c>
      <c r="F2652" s="4" t="str">
        <f t="shared" si="44"/>
        <v/>
      </c>
      <c r="G2652" s="37">
        <v>28.7</v>
      </c>
      <c r="H2652" s="568">
        <v>45676</v>
      </c>
    </row>
    <row r="2653" spans="3:8" x14ac:dyDescent="0.25">
      <c r="C2653" s="566">
        <v>1</v>
      </c>
      <c r="D2653" s="566">
        <v>23</v>
      </c>
      <c r="E2653" s="567">
        <v>29</v>
      </c>
      <c r="F2653" s="4">
        <f t="shared" si="44"/>
        <v>-4.2904290429042924E-2</v>
      </c>
      <c r="G2653" s="37">
        <v>28.7</v>
      </c>
      <c r="H2653" s="568">
        <v>45676</v>
      </c>
    </row>
    <row r="2654" spans="3:8" x14ac:dyDescent="0.25">
      <c r="C2654" s="566">
        <v>2</v>
      </c>
      <c r="D2654" s="566">
        <v>59</v>
      </c>
      <c r="E2654" s="567">
        <v>33.6</v>
      </c>
      <c r="F2654" s="4">
        <f t="shared" si="44"/>
        <v>-1.7543859649122848E-2</v>
      </c>
      <c r="G2654" s="37">
        <v>28.7</v>
      </c>
      <c r="H2654" s="568">
        <v>45676</v>
      </c>
    </row>
    <row r="2655" spans="3:8" x14ac:dyDescent="0.25">
      <c r="C2655" s="566">
        <v>3</v>
      </c>
      <c r="D2655" s="566">
        <v>90</v>
      </c>
      <c r="E2655" s="567">
        <v>27.1</v>
      </c>
      <c r="F2655" s="4">
        <f t="shared" si="44"/>
        <v>-8.4459459459459457E-2</v>
      </c>
      <c r="G2655" s="37">
        <v>28.7</v>
      </c>
      <c r="H2655" s="568">
        <v>45676</v>
      </c>
    </row>
    <row r="2656" spans="3:8" x14ac:dyDescent="0.25">
      <c r="C2656" s="566">
        <v>4</v>
      </c>
      <c r="D2656" s="566">
        <v>99</v>
      </c>
      <c r="E2656" s="567">
        <v>22</v>
      </c>
      <c r="F2656" s="4">
        <f t="shared" si="44"/>
        <v>-3.9301310043668061E-2</v>
      </c>
      <c r="G2656" s="37">
        <v>28.7</v>
      </c>
      <c r="H2656" s="568">
        <v>45676</v>
      </c>
    </row>
    <row r="2657" spans="3:8" x14ac:dyDescent="0.25">
      <c r="C2657" s="566">
        <v>5</v>
      </c>
      <c r="D2657" s="566">
        <v>73</v>
      </c>
      <c r="E2657" s="567">
        <v>35.200000000000003</v>
      </c>
      <c r="F2657" s="4">
        <f t="shared" si="44"/>
        <v>-0.10886075949367081</v>
      </c>
      <c r="G2657" s="37">
        <v>28.7</v>
      </c>
      <c r="H2657" s="568">
        <v>45676</v>
      </c>
    </row>
    <row r="2658" spans="3:8" x14ac:dyDescent="0.25">
      <c r="C2658" s="566">
        <v>6</v>
      </c>
      <c r="D2658" s="566">
        <v>0</v>
      </c>
      <c r="E2658" s="567"/>
      <c r="F2658" s="4" t="str">
        <f t="shared" si="44"/>
        <v/>
      </c>
      <c r="G2658" s="37">
        <v>28.7</v>
      </c>
      <c r="H2658" s="568">
        <v>45676</v>
      </c>
    </row>
    <row r="2659" spans="3:8" x14ac:dyDescent="0.25">
      <c r="C2659" s="566">
        <v>7</v>
      </c>
      <c r="D2659" s="566">
        <v>76</v>
      </c>
      <c r="E2659" s="567">
        <v>24.4</v>
      </c>
      <c r="F2659" s="4">
        <f t="shared" si="44"/>
        <v>-8.1300813008131235E-3</v>
      </c>
      <c r="G2659" s="37">
        <v>28.7</v>
      </c>
      <c r="H2659" s="568">
        <v>45676</v>
      </c>
    </row>
    <row r="2660" spans="3:8" x14ac:dyDescent="0.25">
      <c r="C2660" s="566">
        <v>8</v>
      </c>
      <c r="D2660" s="566">
        <v>84</v>
      </c>
      <c r="E2660" s="567">
        <v>18.3</v>
      </c>
      <c r="F2660" s="4">
        <f t="shared" si="44"/>
        <v>-0.21120689655172409</v>
      </c>
      <c r="G2660" s="37">
        <v>28.7</v>
      </c>
      <c r="H2660" s="568">
        <v>45676</v>
      </c>
    </row>
    <row r="2661" spans="3:8" x14ac:dyDescent="0.25">
      <c r="C2661" s="566">
        <v>9</v>
      </c>
      <c r="D2661" s="566">
        <v>90</v>
      </c>
      <c r="E2661" s="567">
        <v>34.700000000000003</v>
      </c>
      <c r="F2661" s="4">
        <f t="shared" si="44"/>
        <v>7.0987654320987789E-2</v>
      </c>
      <c r="G2661" s="37">
        <v>28.7</v>
      </c>
      <c r="H2661" s="568">
        <v>45676</v>
      </c>
    </row>
    <row r="2662" spans="3:8" x14ac:dyDescent="0.25">
      <c r="C2662" s="566">
        <v>10</v>
      </c>
      <c r="D2662" s="566">
        <v>0</v>
      </c>
      <c r="E2662" s="567"/>
      <c r="F2662" s="4">
        <f t="shared" si="44"/>
        <v>-1</v>
      </c>
      <c r="G2662" s="37">
        <v>28.7</v>
      </c>
      <c r="H2662" s="568">
        <v>45676</v>
      </c>
    </row>
    <row r="2663" spans="3:8" x14ac:dyDescent="0.25">
      <c r="C2663" s="569" t="s">
        <v>0</v>
      </c>
      <c r="D2663" s="569" t="s">
        <v>7</v>
      </c>
      <c r="E2663" s="570" t="s">
        <v>4</v>
      </c>
      <c r="F2663" s="4" t="str">
        <f t="shared" si="44"/>
        <v/>
      </c>
      <c r="G2663" s="37">
        <v>30.5</v>
      </c>
      <c r="H2663" s="571">
        <v>45677</v>
      </c>
    </row>
    <row r="2664" spans="3:8" x14ac:dyDescent="0.25">
      <c r="C2664" s="569">
        <v>1</v>
      </c>
      <c r="D2664" s="569">
        <v>23</v>
      </c>
      <c r="E2664" s="570">
        <v>29.1</v>
      </c>
      <c r="F2664" s="4">
        <f t="shared" si="44"/>
        <v>3.4482758620690145E-3</v>
      </c>
      <c r="G2664" s="37">
        <v>30.5</v>
      </c>
      <c r="H2664" s="571">
        <v>45677</v>
      </c>
    </row>
    <row r="2665" spans="3:8" x14ac:dyDescent="0.25">
      <c r="C2665" s="569">
        <v>2</v>
      </c>
      <c r="D2665" s="569">
        <v>59</v>
      </c>
      <c r="E2665" s="570">
        <v>35</v>
      </c>
      <c r="F2665" s="4">
        <f t="shared" si="44"/>
        <v>4.1666666666666623E-2</v>
      </c>
      <c r="G2665" s="37">
        <v>30.5</v>
      </c>
      <c r="H2665" s="571">
        <v>45677</v>
      </c>
    </row>
    <row r="2666" spans="3:8" x14ac:dyDescent="0.25">
      <c r="C2666" s="569">
        <v>3</v>
      </c>
      <c r="D2666" s="569">
        <v>92</v>
      </c>
      <c r="E2666" s="570">
        <v>28.9</v>
      </c>
      <c r="F2666" s="4">
        <f t="shared" si="44"/>
        <v>6.6420664206641958E-2</v>
      </c>
      <c r="G2666" s="37">
        <v>30.5</v>
      </c>
      <c r="H2666" s="571">
        <v>45677</v>
      </c>
    </row>
    <row r="2667" spans="3:8" x14ac:dyDescent="0.25">
      <c r="C2667" s="569">
        <v>4</v>
      </c>
      <c r="D2667" s="569">
        <v>99</v>
      </c>
      <c r="E2667" s="570">
        <v>22</v>
      </c>
      <c r="F2667" s="4">
        <f t="shared" si="44"/>
        <v>0</v>
      </c>
      <c r="G2667" s="37">
        <v>30.5</v>
      </c>
      <c r="H2667" s="571">
        <v>45677</v>
      </c>
    </row>
    <row r="2668" spans="3:8" x14ac:dyDescent="0.25">
      <c r="C2668" s="569">
        <v>5</v>
      </c>
      <c r="D2668" s="569">
        <v>73</v>
      </c>
      <c r="E2668" s="570">
        <v>40.4</v>
      </c>
      <c r="F2668" s="4">
        <f t="shared" si="44"/>
        <v>0.1477272727272726</v>
      </c>
      <c r="G2668" s="37">
        <v>30.5</v>
      </c>
      <c r="H2668" s="571">
        <v>45677</v>
      </c>
    </row>
    <row r="2669" spans="3:8" x14ac:dyDescent="0.25">
      <c r="C2669" s="569">
        <v>6</v>
      </c>
      <c r="D2669" s="569">
        <v>0</v>
      </c>
      <c r="E2669" s="570"/>
      <c r="F2669" s="4" t="str">
        <f t="shared" si="44"/>
        <v/>
      </c>
      <c r="G2669" s="37">
        <v>30.5</v>
      </c>
      <c r="H2669" s="571">
        <v>45677</v>
      </c>
    </row>
    <row r="2670" spans="3:8" x14ac:dyDescent="0.25">
      <c r="C2670" s="569">
        <v>7</v>
      </c>
      <c r="D2670" s="569">
        <v>76</v>
      </c>
      <c r="E2670" s="570">
        <v>26.8</v>
      </c>
      <c r="F2670" s="4">
        <f t="shared" si="44"/>
        <v>9.8360655737705013E-2</v>
      </c>
      <c r="G2670" s="37">
        <v>30.5</v>
      </c>
      <c r="H2670" s="571">
        <v>45677</v>
      </c>
    </row>
    <row r="2671" spans="3:8" x14ac:dyDescent="0.25">
      <c r="C2671" s="569">
        <v>8</v>
      </c>
      <c r="D2671" s="569">
        <v>84</v>
      </c>
      <c r="E2671" s="570">
        <v>18</v>
      </c>
      <c r="F2671" s="4">
        <f t="shared" si="44"/>
        <v>-1.6393442622950859E-2</v>
      </c>
      <c r="G2671" s="37">
        <v>30.5</v>
      </c>
      <c r="H2671" s="571">
        <v>45677</v>
      </c>
    </row>
    <row r="2672" spans="3:8" x14ac:dyDescent="0.25">
      <c r="C2672" s="569">
        <v>9</v>
      </c>
      <c r="D2672" s="569">
        <v>90</v>
      </c>
      <c r="E2672" s="570">
        <v>37.5</v>
      </c>
      <c r="F2672" s="4">
        <f t="shared" si="44"/>
        <v>8.0691642651296747E-2</v>
      </c>
      <c r="G2672" s="37">
        <v>30.5</v>
      </c>
      <c r="H2672" s="571">
        <v>45677</v>
      </c>
    </row>
    <row r="2673" spans="3:8" x14ac:dyDescent="0.25">
      <c r="C2673" s="569">
        <v>10</v>
      </c>
      <c r="D2673" s="569">
        <v>0</v>
      </c>
      <c r="E2673" s="570"/>
      <c r="F2673" s="4" t="str">
        <f t="shared" si="44"/>
        <v/>
      </c>
      <c r="G2673" s="37">
        <v>30.5</v>
      </c>
      <c r="H2673" s="571">
        <v>45677</v>
      </c>
    </row>
    <row r="2674" spans="3:8" x14ac:dyDescent="0.25">
      <c r="C2674" s="572" t="s">
        <v>0</v>
      </c>
      <c r="D2674" s="572" t="s">
        <v>7</v>
      </c>
      <c r="E2674" s="573" t="s">
        <v>4</v>
      </c>
      <c r="F2674" s="4" t="str">
        <f t="shared" si="44"/>
        <v/>
      </c>
      <c r="G2674" s="37">
        <v>30.5</v>
      </c>
      <c r="H2674" s="571">
        <v>45678</v>
      </c>
    </row>
    <row r="2675" spans="3:8" x14ac:dyDescent="0.25">
      <c r="C2675" s="572">
        <v>1</v>
      </c>
      <c r="D2675" s="572">
        <v>21</v>
      </c>
      <c r="E2675" s="573">
        <v>27.2</v>
      </c>
      <c r="F2675" s="4">
        <f t="shared" si="44"/>
        <v>-6.5292096219931345E-2</v>
      </c>
      <c r="G2675" s="37">
        <v>30.5</v>
      </c>
      <c r="H2675" s="571">
        <v>45678</v>
      </c>
    </row>
    <row r="2676" spans="3:8" x14ac:dyDescent="0.25">
      <c r="C2676" s="572">
        <v>2</v>
      </c>
      <c r="D2676" s="572">
        <v>59</v>
      </c>
      <c r="E2676" s="573">
        <v>33.1</v>
      </c>
      <c r="F2676" s="4">
        <f t="shared" si="44"/>
        <v>-5.4285714285714243E-2</v>
      </c>
      <c r="G2676" s="37">
        <v>30.5</v>
      </c>
      <c r="H2676" s="571">
        <v>45678</v>
      </c>
    </row>
    <row r="2677" spans="3:8" x14ac:dyDescent="0.25">
      <c r="C2677" s="572">
        <v>3</v>
      </c>
      <c r="D2677" s="572">
        <v>92</v>
      </c>
      <c r="E2677" s="573">
        <v>31.1</v>
      </c>
      <c r="F2677" s="4">
        <f t="shared" si="44"/>
        <v>7.6124567474048541E-2</v>
      </c>
      <c r="G2677" s="37">
        <v>30.5</v>
      </c>
      <c r="H2677" s="571">
        <v>45678</v>
      </c>
    </row>
    <row r="2678" spans="3:8" x14ac:dyDescent="0.25">
      <c r="C2678" s="572">
        <v>4</v>
      </c>
      <c r="D2678" s="572">
        <v>97</v>
      </c>
      <c r="E2678" s="573">
        <v>21.6</v>
      </c>
      <c r="F2678" s="4">
        <f t="shared" si="44"/>
        <v>-1.8181818181818118E-2</v>
      </c>
      <c r="G2678" s="37">
        <v>30.5</v>
      </c>
      <c r="H2678" s="571">
        <v>45678</v>
      </c>
    </row>
    <row r="2679" spans="3:8" x14ac:dyDescent="0.25">
      <c r="C2679" s="572">
        <v>5</v>
      </c>
      <c r="D2679" s="572">
        <v>73</v>
      </c>
      <c r="E2679" s="573">
        <v>35.299999999999997</v>
      </c>
      <c r="F2679" s="4">
        <f t="shared" si="44"/>
        <v>-0.12623762376237627</v>
      </c>
      <c r="G2679" s="37">
        <v>30.5</v>
      </c>
      <c r="H2679" s="571">
        <v>45678</v>
      </c>
    </row>
    <row r="2680" spans="3:8" x14ac:dyDescent="0.25">
      <c r="C2680" s="572">
        <v>6</v>
      </c>
      <c r="D2680" s="572">
        <v>0</v>
      </c>
      <c r="E2680" s="573"/>
      <c r="F2680" s="4" t="str">
        <f t="shared" si="44"/>
        <v/>
      </c>
      <c r="G2680" s="37">
        <v>30.5</v>
      </c>
      <c r="H2680" s="571">
        <v>45678</v>
      </c>
    </row>
    <row r="2681" spans="3:8" x14ac:dyDescent="0.25">
      <c r="C2681" s="572">
        <v>7</v>
      </c>
      <c r="D2681" s="572">
        <v>75</v>
      </c>
      <c r="E2681" s="573">
        <v>28.4</v>
      </c>
      <c r="F2681" s="4">
        <f t="shared" si="44"/>
        <v>5.9701492537313348E-2</v>
      </c>
      <c r="G2681" s="37">
        <v>30.5</v>
      </c>
      <c r="H2681" s="571">
        <v>45678</v>
      </c>
    </row>
    <row r="2682" spans="3:8" x14ac:dyDescent="0.25">
      <c r="C2682" s="572">
        <v>8</v>
      </c>
      <c r="D2682" s="572">
        <v>84</v>
      </c>
      <c r="E2682" s="573">
        <v>16.399999999999999</v>
      </c>
      <c r="F2682" s="4">
        <f t="shared" si="44"/>
        <v>-8.8888888888888962E-2</v>
      </c>
      <c r="G2682" s="37">
        <v>30.5</v>
      </c>
      <c r="H2682" s="571">
        <v>45678</v>
      </c>
    </row>
    <row r="2683" spans="3:8" x14ac:dyDescent="0.25">
      <c r="C2683" s="572">
        <v>9</v>
      </c>
      <c r="D2683" s="572">
        <v>90</v>
      </c>
      <c r="E2683" s="573">
        <v>37.1</v>
      </c>
      <c r="F2683" s="4">
        <f t="shared" si="44"/>
        <v>-1.0666666666666628E-2</v>
      </c>
      <c r="G2683" s="37">
        <v>30.5</v>
      </c>
      <c r="H2683" s="571">
        <v>45678</v>
      </c>
    </row>
    <row r="2684" spans="3:8" x14ac:dyDescent="0.25">
      <c r="C2684" s="572">
        <v>10</v>
      </c>
      <c r="D2684" s="572">
        <v>0</v>
      </c>
      <c r="E2684" s="573"/>
      <c r="F2684" s="4" t="str">
        <f t="shared" si="44"/>
        <v/>
      </c>
      <c r="G2684" s="37">
        <v>30.5</v>
      </c>
      <c r="H2684" s="571">
        <v>45678</v>
      </c>
    </row>
    <row r="2685" spans="3:8" x14ac:dyDescent="0.25">
      <c r="C2685" s="574" t="s">
        <v>0</v>
      </c>
      <c r="D2685" s="574" t="s">
        <v>7</v>
      </c>
      <c r="E2685" s="575" t="s">
        <v>4</v>
      </c>
      <c r="F2685" s="4" t="str">
        <f t="shared" ref="F2685:F2748" si="45">IFERROR((E2685-E2674)/E2674,"")</f>
        <v/>
      </c>
      <c r="G2685" s="37">
        <v>29.5</v>
      </c>
      <c r="H2685" s="576">
        <v>45679</v>
      </c>
    </row>
    <row r="2686" spans="3:8" x14ac:dyDescent="0.25">
      <c r="C2686" s="574">
        <v>1</v>
      </c>
      <c r="D2686" s="574">
        <v>23</v>
      </c>
      <c r="E2686" s="575">
        <v>30.1</v>
      </c>
      <c r="F2686" s="4">
        <f t="shared" si="45"/>
        <v>0.10661764705882361</v>
      </c>
      <c r="G2686" s="37">
        <v>29.5</v>
      </c>
      <c r="H2686" s="576">
        <v>45679</v>
      </c>
    </row>
    <row r="2687" spans="3:8" x14ac:dyDescent="0.25">
      <c r="C2687" s="574">
        <v>2</v>
      </c>
      <c r="D2687" s="574">
        <v>59</v>
      </c>
      <c r="E2687" s="575">
        <v>33.1</v>
      </c>
      <c r="F2687" s="4">
        <f t="shared" si="45"/>
        <v>0</v>
      </c>
      <c r="G2687" s="37">
        <v>29.5</v>
      </c>
      <c r="H2687" s="576">
        <v>45679</v>
      </c>
    </row>
    <row r="2688" spans="3:8" x14ac:dyDescent="0.25">
      <c r="C2688" s="574">
        <v>3</v>
      </c>
      <c r="D2688" s="574">
        <v>92</v>
      </c>
      <c r="E2688" s="575">
        <v>29.4</v>
      </c>
      <c r="F2688" s="4">
        <f t="shared" si="45"/>
        <v>-5.4662379421221957E-2</v>
      </c>
      <c r="G2688" s="37">
        <v>29.5</v>
      </c>
      <c r="H2688" s="576">
        <v>45679</v>
      </c>
    </row>
    <row r="2689" spans="3:8" x14ac:dyDescent="0.25">
      <c r="C2689" s="574">
        <v>4</v>
      </c>
      <c r="D2689" s="574">
        <v>97</v>
      </c>
      <c r="E2689" s="575">
        <v>21.8</v>
      </c>
      <c r="F2689" s="4">
        <f t="shared" si="45"/>
        <v>9.2592592592592258E-3</v>
      </c>
      <c r="G2689" s="37">
        <v>29.5</v>
      </c>
      <c r="H2689" s="576">
        <v>45679</v>
      </c>
    </row>
    <row r="2690" spans="3:8" x14ac:dyDescent="0.25">
      <c r="C2690" s="574">
        <v>5</v>
      </c>
      <c r="D2690" s="574">
        <v>73</v>
      </c>
      <c r="E2690" s="575">
        <v>38.799999999999997</v>
      </c>
      <c r="F2690" s="4">
        <f t="shared" si="45"/>
        <v>9.9150141643059492E-2</v>
      </c>
      <c r="G2690" s="37">
        <v>29.5</v>
      </c>
      <c r="H2690" s="576">
        <v>45679</v>
      </c>
    </row>
    <row r="2691" spans="3:8" x14ac:dyDescent="0.25">
      <c r="C2691" s="574">
        <v>6</v>
      </c>
      <c r="D2691" s="574">
        <v>0</v>
      </c>
      <c r="E2691" s="575"/>
      <c r="F2691" s="4" t="str">
        <f t="shared" si="45"/>
        <v/>
      </c>
      <c r="G2691" s="37">
        <v>29.5</v>
      </c>
      <c r="H2691" s="576">
        <v>45679</v>
      </c>
    </row>
    <row r="2692" spans="3:8" x14ac:dyDescent="0.25">
      <c r="C2692" s="574">
        <v>7</v>
      </c>
      <c r="D2692" s="574">
        <v>75</v>
      </c>
      <c r="E2692" s="575">
        <v>25.6</v>
      </c>
      <c r="F2692" s="4">
        <f t="shared" si="45"/>
        <v>-9.8591549295774558E-2</v>
      </c>
      <c r="G2692" s="37">
        <v>29.5</v>
      </c>
      <c r="H2692" s="576">
        <v>45679</v>
      </c>
    </row>
    <row r="2693" spans="3:8" x14ac:dyDescent="0.25">
      <c r="C2693" s="574">
        <v>8</v>
      </c>
      <c r="D2693" s="574">
        <v>84</v>
      </c>
      <c r="E2693" s="575">
        <v>20</v>
      </c>
      <c r="F2693" s="4">
        <f t="shared" si="45"/>
        <v>0.21951219512195133</v>
      </c>
      <c r="G2693" s="37">
        <v>29.5</v>
      </c>
      <c r="H2693" s="576">
        <v>45679</v>
      </c>
    </row>
    <row r="2694" spans="3:8" x14ac:dyDescent="0.25">
      <c r="C2694" s="574">
        <v>9</v>
      </c>
      <c r="D2694" s="574">
        <v>90</v>
      </c>
      <c r="E2694" s="575">
        <v>36.4</v>
      </c>
      <c r="F2694" s="4">
        <f t="shared" si="45"/>
        <v>-1.8867924528301962E-2</v>
      </c>
      <c r="G2694" s="37">
        <v>29.5</v>
      </c>
      <c r="H2694" s="576">
        <v>45679</v>
      </c>
    </row>
    <row r="2695" spans="3:8" x14ac:dyDescent="0.25">
      <c r="C2695" s="574">
        <v>10</v>
      </c>
      <c r="D2695" s="574">
        <v>0</v>
      </c>
      <c r="E2695" s="575"/>
      <c r="F2695" s="4" t="str">
        <f t="shared" si="45"/>
        <v/>
      </c>
      <c r="G2695" s="37">
        <v>29.5</v>
      </c>
      <c r="H2695" s="576">
        <v>45679</v>
      </c>
    </row>
    <row r="2696" spans="3:8" x14ac:dyDescent="0.25">
      <c r="C2696" s="577" t="s">
        <v>0</v>
      </c>
      <c r="D2696" s="577" t="s">
        <v>7</v>
      </c>
      <c r="E2696" s="578" t="s">
        <v>4</v>
      </c>
      <c r="F2696" s="4" t="str">
        <f t="shared" si="45"/>
        <v/>
      </c>
      <c r="G2696" s="37">
        <v>29.4</v>
      </c>
      <c r="H2696" s="579">
        <v>45680</v>
      </c>
    </row>
    <row r="2697" spans="3:8" x14ac:dyDescent="0.25">
      <c r="C2697" s="577">
        <v>1</v>
      </c>
      <c r="D2697" s="577">
        <v>21</v>
      </c>
      <c r="E2697" s="578">
        <v>28.4</v>
      </c>
      <c r="F2697" s="4">
        <f t="shared" si="45"/>
        <v>-5.647840531561471E-2</v>
      </c>
      <c r="G2697" s="37">
        <v>29.4</v>
      </c>
      <c r="H2697" s="579">
        <v>45680</v>
      </c>
    </row>
    <row r="2698" spans="3:8" x14ac:dyDescent="0.25">
      <c r="C2698" s="577">
        <v>2</v>
      </c>
      <c r="D2698" s="577">
        <v>59</v>
      </c>
      <c r="E2698" s="578">
        <v>33.6</v>
      </c>
      <c r="F2698" s="4">
        <f t="shared" si="45"/>
        <v>1.5105740181268881E-2</v>
      </c>
      <c r="G2698" s="37">
        <v>29.4</v>
      </c>
      <c r="H2698" s="579">
        <v>45680</v>
      </c>
    </row>
    <row r="2699" spans="3:8" x14ac:dyDescent="0.25">
      <c r="C2699" s="577">
        <v>3</v>
      </c>
      <c r="D2699" s="577">
        <v>92</v>
      </c>
      <c r="E2699" s="578">
        <v>27.8</v>
      </c>
      <c r="F2699" s="4">
        <f t="shared" si="45"/>
        <v>-5.4421768707482922E-2</v>
      </c>
      <c r="G2699" s="37">
        <v>29.4</v>
      </c>
      <c r="H2699" s="579">
        <v>45680</v>
      </c>
    </row>
    <row r="2700" spans="3:8" x14ac:dyDescent="0.25">
      <c r="C2700" s="577">
        <v>4</v>
      </c>
      <c r="D2700" s="577">
        <v>97</v>
      </c>
      <c r="E2700" s="578">
        <v>21.5</v>
      </c>
      <c r="F2700" s="4">
        <f t="shared" si="45"/>
        <v>-1.3761467889908289E-2</v>
      </c>
      <c r="G2700" s="37">
        <v>29.4</v>
      </c>
      <c r="H2700" s="579">
        <v>45680</v>
      </c>
    </row>
    <row r="2701" spans="3:8" x14ac:dyDescent="0.25">
      <c r="C2701" s="577">
        <v>5</v>
      </c>
      <c r="D2701" s="577">
        <v>72</v>
      </c>
      <c r="E2701" s="578">
        <v>35.4</v>
      </c>
      <c r="F2701" s="4">
        <f t="shared" si="45"/>
        <v>-8.762886597938141E-2</v>
      </c>
      <c r="G2701" s="37">
        <v>29.4</v>
      </c>
      <c r="H2701" s="579">
        <v>45680</v>
      </c>
    </row>
    <row r="2702" spans="3:8" x14ac:dyDescent="0.25">
      <c r="C2702" s="577">
        <v>6</v>
      </c>
      <c r="D2702" s="577">
        <v>0</v>
      </c>
      <c r="E2702" s="578"/>
      <c r="F2702" s="4" t="str">
        <f t="shared" si="45"/>
        <v/>
      </c>
      <c r="G2702" s="37">
        <v>29.4</v>
      </c>
      <c r="H2702" s="579">
        <v>45680</v>
      </c>
    </row>
    <row r="2703" spans="3:8" x14ac:dyDescent="0.25">
      <c r="C2703" s="577">
        <v>7</v>
      </c>
      <c r="D2703" s="577">
        <v>74</v>
      </c>
      <c r="E2703" s="578">
        <v>25.8</v>
      </c>
      <c r="F2703" s="4">
        <f t="shared" si="45"/>
        <v>7.8124999999999722E-3</v>
      </c>
      <c r="G2703" s="37">
        <v>29.4</v>
      </c>
      <c r="H2703" s="579">
        <v>45680</v>
      </c>
    </row>
    <row r="2704" spans="3:8" x14ac:dyDescent="0.25">
      <c r="C2704" s="577">
        <v>8</v>
      </c>
      <c r="D2704" s="577">
        <v>84</v>
      </c>
      <c r="E2704" s="578">
        <v>19.399999999999999</v>
      </c>
      <c r="F2704" s="4">
        <f t="shared" si="45"/>
        <v>-3.0000000000000072E-2</v>
      </c>
      <c r="G2704" s="37">
        <v>29.4</v>
      </c>
      <c r="H2704" s="579">
        <v>45680</v>
      </c>
    </row>
    <row r="2705" spans="3:8" x14ac:dyDescent="0.25">
      <c r="C2705" s="577">
        <v>9</v>
      </c>
      <c r="D2705" s="577">
        <v>90</v>
      </c>
      <c r="E2705" s="578">
        <v>38</v>
      </c>
      <c r="F2705" s="4">
        <f t="shared" si="45"/>
        <v>4.3956043956043994E-2</v>
      </c>
      <c r="G2705" s="37">
        <v>29.4</v>
      </c>
      <c r="H2705" s="579">
        <v>45680</v>
      </c>
    </row>
    <row r="2706" spans="3:8" x14ac:dyDescent="0.25">
      <c r="C2706" s="577">
        <v>10</v>
      </c>
      <c r="D2706" s="577">
        <v>0</v>
      </c>
      <c r="E2706" s="578"/>
      <c r="F2706" s="4" t="str">
        <f t="shared" si="45"/>
        <v/>
      </c>
      <c r="G2706" s="37">
        <v>29.4</v>
      </c>
      <c r="H2706" s="579">
        <v>45680</v>
      </c>
    </row>
    <row r="2707" spans="3:8" x14ac:dyDescent="0.25">
      <c r="C2707" s="580" t="s">
        <v>0</v>
      </c>
      <c r="D2707" s="580" t="s">
        <v>7</v>
      </c>
      <c r="E2707" s="581" t="s">
        <v>4</v>
      </c>
      <c r="F2707" s="4" t="str">
        <f t="shared" si="45"/>
        <v/>
      </c>
      <c r="G2707" s="37">
        <v>29.8</v>
      </c>
      <c r="H2707" s="582">
        <v>45681</v>
      </c>
    </row>
    <row r="2708" spans="3:8" x14ac:dyDescent="0.25">
      <c r="C2708" s="580">
        <v>1</v>
      </c>
      <c r="D2708" s="580">
        <v>22</v>
      </c>
      <c r="E2708" s="581">
        <v>28.6</v>
      </c>
      <c r="F2708" s="4">
        <f t="shared" si="45"/>
        <v>7.0422535211268613E-3</v>
      </c>
      <c r="G2708" s="37">
        <v>29.8</v>
      </c>
      <c r="H2708" s="582">
        <v>45681</v>
      </c>
    </row>
    <row r="2709" spans="3:8" x14ac:dyDescent="0.25">
      <c r="C2709" s="580">
        <v>2</v>
      </c>
      <c r="D2709" s="580">
        <v>59</v>
      </c>
      <c r="E2709" s="581">
        <v>34.299999999999997</v>
      </c>
      <c r="F2709" s="4">
        <f t="shared" si="45"/>
        <v>2.0833333333333207E-2</v>
      </c>
      <c r="G2709" s="37">
        <v>29.8</v>
      </c>
      <c r="H2709" s="582">
        <v>45681</v>
      </c>
    </row>
    <row r="2710" spans="3:8" x14ac:dyDescent="0.25">
      <c r="C2710" s="580">
        <v>3</v>
      </c>
      <c r="D2710" s="580">
        <v>91</v>
      </c>
      <c r="E2710" s="581">
        <v>28.7</v>
      </c>
      <c r="F2710" s="4">
        <f t="shared" si="45"/>
        <v>3.2374100719424412E-2</v>
      </c>
      <c r="G2710" s="37">
        <v>29.8</v>
      </c>
      <c r="H2710" s="582">
        <v>45681</v>
      </c>
    </row>
    <row r="2711" spans="3:8" x14ac:dyDescent="0.25">
      <c r="C2711" s="580">
        <v>4</v>
      </c>
      <c r="D2711" s="580">
        <v>96</v>
      </c>
      <c r="E2711" s="581">
        <v>21.9</v>
      </c>
      <c r="F2711" s="4">
        <f t="shared" si="45"/>
        <v>1.8604651162790631E-2</v>
      </c>
      <c r="G2711" s="37">
        <v>29.8</v>
      </c>
      <c r="H2711" s="582">
        <v>45681</v>
      </c>
    </row>
    <row r="2712" spans="3:8" x14ac:dyDescent="0.25">
      <c r="C2712" s="580">
        <v>5</v>
      </c>
      <c r="D2712" s="580">
        <v>72</v>
      </c>
      <c r="E2712" s="581">
        <v>39.1</v>
      </c>
      <c r="F2712" s="4">
        <f t="shared" si="45"/>
        <v>0.10451977401129951</v>
      </c>
      <c r="G2712" s="37">
        <v>29.8</v>
      </c>
      <c r="H2712" s="582">
        <v>45681</v>
      </c>
    </row>
    <row r="2713" spans="3:8" x14ac:dyDescent="0.25">
      <c r="C2713" s="580">
        <v>6</v>
      </c>
      <c r="D2713" s="580">
        <v>0</v>
      </c>
      <c r="E2713" s="581"/>
      <c r="F2713" s="4" t="str">
        <f t="shared" si="45"/>
        <v/>
      </c>
      <c r="G2713" s="37">
        <v>29.8</v>
      </c>
      <c r="H2713" s="582">
        <v>45681</v>
      </c>
    </row>
    <row r="2714" spans="3:8" x14ac:dyDescent="0.25">
      <c r="C2714" s="580">
        <v>7</v>
      </c>
      <c r="D2714" s="580">
        <v>73</v>
      </c>
      <c r="E2714" s="581">
        <v>25.7</v>
      </c>
      <c r="F2714" s="4">
        <f t="shared" si="45"/>
        <v>-3.875968992248117E-3</v>
      </c>
      <c r="G2714" s="37">
        <v>29.8</v>
      </c>
      <c r="H2714" s="582">
        <v>45681</v>
      </c>
    </row>
    <row r="2715" spans="3:8" x14ac:dyDescent="0.25">
      <c r="C2715" s="580">
        <v>8</v>
      </c>
      <c r="D2715" s="580">
        <v>85</v>
      </c>
      <c r="E2715" s="581">
        <v>18.5</v>
      </c>
      <c r="F2715" s="4">
        <f t="shared" si="45"/>
        <v>-4.639175257731952E-2</v>
      </c>
      <c r="G2715" s="37">
        <v>29.8</v>
      </c>
      <c r="H2715" s="582">
        <v>45681</v>
      </c>
    </row>
    <row r="2716" spans="3:8" x14ac:dyDescent="0.25">
      <c r="C2716" s="580">
        <v>9</v>
      </c>
      <c r="D2716" s="580">
        <v>90</v>
      </c>
      <c r="E2716" s="581">
        <v>37.700000000000003</v>
      </c>
      <c r="F2716" s="4">
        <f t="shared" si="45"/>
        <v>-7.8947368421051888E-3</v>
      </c>
      <c r="G2716" s="37">
        <v>29.8</v>
      </c>
      <c r="H2716" s="582">
        <v>45681</v>
      </c>
    </row>
    <row r="2717" spans="3:8" x14ac:dyDescent="0.25">
      <c r="C2717" s="580">
        <v>10</v>
      </c>
      <c r="D2717" s="580">
        <v>0</v>
      </c>
      <c r="E2717" s="581"/>
      <c r="F2717" s="4" t="str">
        <f t="shared" si="45"/>
        <v/>
      </c>
      <c r="G2717" s="37">
        <v>29.8</v>
      </c>
      <c r="H2717" s="582">
        <v>45681</v>
      </c>
    </row>
    <row r="2718" spans="3:8" x14ac:dyDescent="0.25">
      <c r="C2718" s="583" t="s">
        <v>0</v>
      </c>
      <c r="D2718" s="583" t="s">
        <v>7</v>
      </c>
      <c r="E2718" s="584" t="s">
        <v>4</v>
      </c>
      <c r="F2718" s="4" t="str">
        <f t="shared" si="45"/>
        <v/>
      </c>
      <c r="G2718" s="37">
        <v>30.5</v>
      </c>
      <c r="H2718" s="585">
        <v>45682</v>
      </c>
    </row>
    <row r="2719" spans="3:8" x14ac:dyDescent="0.25">
      <c r="C2719" s="583">
        <v>1</v>
      </c>
      <c r="D2719" s="583">
        <v>22</v>
      </c>
      <c r="E2719" s="584">
        <v>30.6</v>
      </c>
      <c r="F2719" s="4">
        <f t="shared" si="45"/>
        <v>6.9930069930069921E-2</v>
      </c>
      <c r="G2719" s="37">
        <v>30.5</v>
      </c>
      <c r="H2719" s="585">
        <v>45682</v>
      </c>
    </row>
    <row r="2720" spans="3:8" x14ac:dyDescent="0.25">
      <c r="C2720" s="583">
        <v>2</v>
      </c>
      <c r="D2720" s="583">
        <v>59</v>
      </c>
      <c r="E2720" s="584">
        <v>35.6</v>
      </c>
      <c r="F2720" s="4">
        <f t="shared" si="45"/>
        <v>3.790087463556864E-2</v>
      </c>
      <c r="G2720" s="37">
        <v>30.5</v>
      </c>
      <c r="H2720" s="585">
        <v>45682</v>
      </c>
    </row>
    <row r="2721" spans="3:8" x14ac:dyDescent="0.25">
      <c r="C2721" s="583">
        <v>3</v>
      </c>
      <c r="D2721" s="583">
        <v>91</v>
      </c>
      <c r="E2721" s="584">
        <v>30.5</v>
      </c>
      <c r="F2721" s="4">
        <f t="shared" si="45"/>
        <v>6.2717770034843232E-2</v>
      </c>
      <c r="G2721" s="37">
        <v>30.5</v>
      </c>
      <c r="H2721" s="585">
        <v>45682</v>
      </c>
    </row>
    <row r="2722" spans="3:8" x14ac:dyDescent="0.25">
      <c r="C2722" s="583">
        <v>4</v>
      </c>
      <c r="D2722" s="583">
        <v>97</v>
      </c>
      <c r="E2722" s="584">
        <v>22.3</v>
      </c>
      <c r="F2722" s="4">
        <f t="shared" si="45"/>
        <v>1.8264840182648501E-2</v>
      </c>
      <c r="G2722" s="37">
        <v>30.5</v>
      </c>
      <c r="H2722" s="585">
        <v>45682</v>
      </c>
    </row>
    <row r="2723" spans="3:8" x14ac:dyDescent="0.25">
      <c r="C2723" s="583">
        <v>5</v>
      </c>
      <c r="D2723" s="583">
        <v>72</v>
      </c>
      <c r="E2723" s="584">
        <v>40.200000000000003</v>
      </c>
      <c r="F2723" s="4">
        <f t="shared" si="45"/>
        <v>2.8132992327365765E-2</v>
      </c>
      <c r="G2723" s="37">
        <v>30.5</v>
      </c>
      <c r="H2723" s="585">
        <v>45682</v>
      </c>
    </row>
    <row r="2724" spans="3:8" x14ac:dyDescent="0.25">
      <c r="C2724" s="583">
        <v>6</v>
      </c>
      <c r="D2724" s="583">
        <v>0</v>
      </c>
      <c r="E2724" s="584"/>
      <c r="F2724" s="4" t="str">
        <f t="shared" si="45"/>
        <v/>
      </c>
      <c r="G2724" s="37">
        <v>30.5</v>
      </c>
      <c r="H2724" s="585">
        <v>45682</v>
      </c>
    </row>
    <row r="2725" spans="3:8" x14ac:dyDescent="0.25">
      <c r="C2725" s="583">
        <v>7</v>
      </c>
      <c r="D2725" s="583">
        <v>74</v>
      </c>
      <c r="E2725" s="584">
        <v>26.8</v>
      </c>
      <c r="F2725" s="4">
        <f t="shared" si="45"/>
        <v>4.2801556420233519E-2</v>
      </c>
      <c r="G2725" s="37">
        <v>30.5</v>
      </c>
      <c r="H2725" s="585">
        <v>45682</v>
      </c>
    </row>
    <row r="2726" spans="3:8" x14ac:dyDescent="0.25">
      <c r="C2726" s="583">
        <v>8</v>
      </c>
      <c r="D2726" s="583">
        <v>85</v>
      </c>
      <c r="E2726" s="584">
        <v>20.2</v>
      </c>
      <c r="F2726" s="4">
        <f t="shared" si="45"/>
        <v>9.1891891891891855E-2</v>
      </c>
      <c r="G2726" s="37">
        <v>30.5</v>
      </c>
      <c r="H2726" s="585">
        <v>45682</v>
      </c>
    </row>
    <row r="2727" spans="3:8" x14ac:dyDescent="0.25">
      <c r="C2727" s="583">
        <v>9</v>
      </c>
      <c r="D2727" s="583">
        <v>90</v>
      </c>
      <c r="E2727" s="584">
        <v>37.1</v>
      </c>
      <c r="F2727" s="4">
        <f t="shared" si="45"/>
        <v>-1.5915119363395264E-2</v>
      </c>
      <c r="G2727" s="37">
        <v>30.5</v>
      </c>
      <c r="H2727" s="585">
        <v>45682</v>
      </c>
    </row>
    <row r="2728" spans="3:8" x14ac:dyDescent="0.25">
      <c r="C2728" s="583">
        <v>10</v>
      </c>
      <c r="D2728" s="583">
        <v>0</v>
      </c>
      <c r="E2728" s="584"/>
      <c r="F2728" s="4" t="str">
        <f t="shared" si="45"/>
        <v/>
      </c>
      <c r="G2728" s="37">
        <v>30.5</v>
      </c>
      <c r="H2728" s="585">
        <v>45682</v>
      </c>
    </row>
    <row r="2729" spans="3:8" x14ac:dyDescent="0.25">
      <c r="C2729" s="586" t="s">
        <v>0</v>
      </c>
      <c r="D2729" s="586" t="s">
        <v>7</v>
      </c>
      <c r="E2729" s="587" t="s">
        <v>4</v>
      </c>
      <c r="F2729" s="4" t="str">
        <f t="shared" si="45"/>
        <v/>
      </c>
      <c r="G2729" s="37">
        <v>29.6</v>
      </c>
      <c r="H2729" s="585">
        <v>45683</v>
      </c>
    </row>
    <row r="2730" spans="3:8" x14ac:dyDescent="0.25">
      <c r="C2730" s="586">
        <v>1</v>
      </c>
      <c r="D2730" s="586">
        <v>21</v>
      </c>
      <c r="E2730" s="587">
        <v>28.8</v>
      </c>
      <c r="F2730" s="4">
        <f t="shared" si="45"/>
        <v>-5.8823529411764726E-2</v>
      </c>
      <c r="G2730" s="37">
        <v>29.6</v>
      </c>
      <c r="H2730" s="585">
        <v>45683</v>
      </c>
    </row>
    <row r="2731" spans="3:8" x14ac:dyDescent="0.25">
      <c r="C2731" s="586">
        <v>2</v>
      </c>
      <c r="D2731" s="586">
        <v>59</v>
      </c>
      <c r="E2731" s="587">
        <v>33.9</v>
      </c>
      <c r="F2731" s="4">
        <f t="shared" si="45"/>
        <v>-4.775280898876412E-2</v>
      </c>
      <c r="G2731" s="37">
        <v>29.6</v>
      </c>
      <c r="H2731" s="585">
        <v>45683</v>
      </c>
    </row>
    <row r="2732" spans="3:8" x14ac:dyDescent="0.25">
      <c r="C2732" s="586">
        <v>3</v>
      </c>
      <c r="D2732" s="586">
        <v>90</v>
      </c>
      <c r="E2732" s="587">
        <v>27.9</v>
      </c>
      <c r="F2732" s="4">
        <f t="shared" si="45"/>
        <v>-8.5245901639344313E-2</v>
      </c>
      <c r="G2732" s="37">
        <v>29.6</v>
      </c>
      <c r="H2732" s="585">
        <v>45683</v>
      </c>
    </row>
    <row r="2733" spans="3:8" x14ac:dyDescent="0.25">
      <c r="C2733" s="586">
        <v>4</v>
      </c>
      <c r="D2733" s="586">
        <v>98</v>
      </c>
      <c r="E2733" s="587">
        <v>22.5</v>
      </c>
      <c r="F2733" s="4">
        <f t="shared" si="45"/>
        <v>8.9686098654708207E-3</v>
      </c>
      <c r="G2733" s="37">
        <v>29.6</v>
      </c>
      <c r="H2733" s="585">
        <v>45683</v>
      </c>
    </row>
    <row r="2734" spans="3:8" x14ac:dyDescent="0.25">
      <c r="C2734" s="586">
        <v>5</v>
      </c>
      <c r="D2734" s="586">
        <v>72</v>
      </c>
      <c r="E2734" s="587">
        <v>38.1</v>
      </c>
      <c r="F2734" s="4">
        <f t="shared" si="45"/>
        <v>-5.2238805970149287E-2</v>
      </c>
      <c r="G2734" s="37">
        <v>29.6</v>
      </c>
      <c r="H2734" s="585">
        <v>45683</v>
      </c>
    </row>
    <row r="2735" spans="3:8" x14ac:dyDescent="0.25">
      <c r="C2735" s="586">
        <v>6</v>
      </c>
      <c r="D2735" s="586">
        <v>0</v>
      </c>
      <c r="E2735" s="587"/>
      <c r="F2735" s="4" t="str">
        <f t="shared" si="45"/>
        <v/>
      </c>
      <c r="G2735" s="37">
        <v>29.6</v>
      </c>
      <c r="H2735" s="585">
        <v>45683</v>
      </c>
    </row>
    <row r="2736" spans="3:8" x14ac:dyDescent="0.25">
      <c r="C2736" s="586">
        <v>7</v>
      </c>
      <c r="D2736" s="586">
        <v>73</v>
      </c>
      <c r="E2736" s="587">
        <v>25.4</v>
      </c>
      <c r="F2736" s="4">
        <f t="shared" si="45"/>
        <v>-5.2238805970149335E-2</v>
      </c>
      <c r="G2736" s="37">
        <v>29.6</v>
      </c>
      <c r="H2736" s="585">
        <v>45683</v>
      </c>
    </row>
    <row r="2737" spans="3:8" x14ac:dyDescent="0.25">
      <c r="C2737" s="586">
        <v>8</v>
      </c>
      <c r="D2737" s="586">
        <v>85</v>
      </c>
      <c r="E2737" s="587">
        <v>18.3</v>
      </c>
      <c r="F2737" s="4">
        <f t="shared" si="45"/>
        <v>-9.405940594059399E-2</v>
      </c>
      <c r="G2737" s="37">
        <v>29.6</v>
      </c>
      <c r="H2737" s="585">
        <v>45683</v>
      </c>
    </row>
    <row r="2738" spans="3:8" x14ac:dyDescent="0.25">
      <c r="C2738" s="586">
        <v>9</v>
      </c>
      <c r="D2738" s="586">
        <v>90</v>
      </c>
      <c r="E2738" s="587">
        <v>37.799999999999997</v>
      </c>
      <c r="F2738" s="4">
        <f t="shared" si="45"/>
        <v>1.8867924528301772E-2</v>
      </c>
      <c r="G2738" s="37">
        <v>29.6</v>
      </c>
      <c r="H2738" s="585">
        <v>45683</v>
      </c>
    </row>
    <row r="2739" spans="3:8" x14ac:dyDescent="0.25">
      <c r="C2739" s="586">
        <v>10</v>
      </c>
      <c r="D2739" s="586">
        <v>0</v>
      </c>
      <c r="E2739" s="587"/>
      <c r="F2739" s="4" t="str">
        <f t="shared" si="45"/>
        <v/>
      </c>
      <c r="G2739" s="37">
        <v>29.6</v>
      </c>
      <c r="H2739" s="585">
        <v>45683</v>
      </c>
    </row>
    <row r="2740" spans="3:8" x14ac:dyDescent="0.25">
      <c r="C2740" s="588" t="s">
        <v>0</v>
      </c>
      <c r="D2740" s="588" t="s">
        <v>7</v>
      </c>
      <c r="E2740" s="589" t="s">
        <v>4</v>
      </c>
      <c r="F2740" s="4" t="str">
        <f t="shared" si="45"/>
        <v/>
      </c>
      <c r="G2740" s="37">
        <v>29.6</v>
      </c>
      <c r="H2740" s="590">
        <v>45684</v>
      </c>
    </row>
    <row r="2741" spans="3:8" x14ac:dyDescent="0.25">
      <c r="C2741" s="588">
        <v>1</v>
      </c>
      <c r="D2741" s="588">
        <v>20</v>
      </c>
      <c r="E2741" s="589">
        <v>30.6</v>
      </c>
      <c r="F2741" s="4">
        <f t="shared" si="45"/>
        <v>6.2500000000000028E-2</v>
      </c>
      <c r="G2741" s="37">
        <v>29.6</v>
      </c>
      <c r="H2741" s="590">
        <v>45684</v>
      </c>
    </row>
    <row r="2742" spans="3:8" x14ac:dyDescent="0.25">
      <c r="C2742" s="588">
        <v>2</v>
      </c>
      <c r="D2742" s="588">
        <v>56</v>
      </c>
      <c r="E2742" s="589">
        <v>35.6</v>
      </c>
      <c r="F2742" s="4">
        <f t="shared" si="45"/>
        <v>5.0147492625368814E-2</v>
      </c>
      <c r="G2742" s="37">
        <v>29.6</v>
      </c>
      <c r="H2742" s="590">
        <v>45684</v>
      </c>
    </row>
    <row r="2743" spans="3:8" x14ac:dyDescent="0.25">
      <c r="C2743" s="588">
        <v>3</v>
      </c>
      <c r="D2743" s="588">
        <v>97</v>
      </c>
      <c r="E2743" s="589">
        <v>28.1</v>
      </c>
      <c r="F2743" s="4">
        <f t="shared" si="45"/>
        <v>7.1684587813621095E-3</v>
      </c>
      <c r="G2743" s="37">
        <v>29.6</v>
      </c>
      <c r="H2743" s="590">
        <v>45684</v>
      </c>
    </row>
    <row r="2744" spans="3:8" x14ac:dyDescent="0.25">
      <c r="C2744" s="588">
        <v>4</v>
      </c>
      <c r="D2744" s="588">
        <v>98</v>
      </c>
      <c r="E2744" s="589">
        <v>21.5</v>
      </c>
      <c r="F2744" s="4">
        <f t="shared" si="45"/>
        <v>-4.4444444444444446E-2</v>
      </c>
      <c r="G2744" s="37">
        <v>29.6</v>
      </c>
      <c r="H2744" s="590">
        <v>45684</v>
      </c>
    </row>
    <row r="2745" spans="3:8" x14ac:dyDescent="0.25">
      <c r="C2745" s="588">
        <v>5</v>
      </c>
      <c r="D2745" s="588">
        <v>64</v>
      </c>
      <c r="E2745" s="589">
        <v>36.299999999999997</v>
      </c>
      <c r="F2745" s="4">
        <f t="shared" si="45"/>
        <v>-4.7244094488189087E-2</v>
      </c>
      <c r="G2745" s="37">
        <v>29.6</v>
      </c>
      <c r="H2745" s="590">
        <v>45684</v>
      </c>
    </row>
    <row r="2746" spans="3:8" x14ac:dyDescent="0.25">
      <c r="C2746" s="588">
        <v>6</v>
      </c>
      <c r="D2746" s="588">
        <v>0</v>
      </c>
      <c r="E2746" s="589"/>
      <c r="F2746" s="4" t="str">
        <f t="shared" si="45"/>
        <v/>
      </c>
      <c r="G2746" s="37">
        <v>29.6</v>
      </c>
      <c r="H2746" s="590">
        <v>45684</v>
      </c>
    </row>
    <row r="2747" spans="3:8" x14ac:dyDescent="0.25">
      <c r="C2747" s="588">
        <v>7</v>
      </c>
      <c r="D2747" s="588">
        <v>76</v>
      </c>
      <c r="E2747" s="589">
        <v>25</v>
      </c>
      <c r="F2747" s="4">
        <f t="shared" si="45"/>
        <v>-1.5748031496062936E-2</v>
      </c>
      <c r="G2747" s="37">
        <v>29.6</v>
      </c>
      <c r="H2747" s="590">
        <v>45684</v>
      </c>
    </row>
    <row r="2748" spans="3:8" x14ac:dyDescent="0.25">
      <c r="C2748" s="588">
        <v>8</v>
      </c>
      <c r="D2748" s="588">
        <v>91</v>
      </c>
      <c r="E2748" s="589">
        <v>18.399999999999999</v>
      </c>
      <c r="F2748" s="4">
        <f t="shared" si="45"/>
        <v>5.4644808743168228E-3</v>
      </c>
      <c r="G2748" s="37">
        <v>29.6</v>
      </c>
      <c r="H2748" s="590">
        <v>45684</v>
      </c>
    </row>
    <row r="2749" spans="3:8" x14ac:dyDescent="0.25">
      <c r="C2749" s="588">
        <v>9</v>
      </c>
      <c r="D2749" s="588">
        <v>90</v>
      </c>
      <c r="E2749" s="589">
        <v>39.299999999999997</v>
      </c>
      <c r="F2749" s="4">
        <f t="shared" ref="F2749:F2812" si="46">IFERROR((E2749-E2738)/E2738,"")</f>
        <v>3.9682539682539687E-2</v>
      </c>
      <c r="G2749" s="37">
        <v>29.6</v>
      </c>
      <c r="H2749" s="590">
        <v>45684</v>
      </c>
    </row>
    <row r="2750" spans="3:8" x14ac:dyDescent="0.25">
      <c r="C2750" s="588">
        <v>10</v>
      </c>
      <c r="D2750" s="588">
        <v>0</v>
      </c>
      <c r="E2750" s="589"/>
      <c r="F2750" s="4" t="str">
        <f t="shared" si="46"/>
        <v/>
      </c>
      <c r="G2750" s="37">
        <v>29.6</v>
      </c>
      <c r="H2750" s="590">
        <v>45684</v>
      </c>
    </row>
    <row r="2751" spans="3:8" x14ac:dyDescent="0.25">
      <c r="C2751" s="591" t="s">
        <v>0</v>
      </c>
      <c r="D2751" s="591" t="s">
        <v>7</v>
      </c>
      <c r="E2751" s="592" t="s">
        <v>4</v>
      </c>
      <c r="F2751" s="4" t="str">
        <f t="shared" si="46"/>
        <v/>
      </c>
      <c r="G2751" s="37">
        <v>29.7</v>
      </c>
      <c r="H2751" s="593">
        <v>45685</v>
      </c>
    </row>
    <row r="2752" spans="3:8" x14ac:dyDescent="0.25">
      <c r="C2752" s="591">
        <v>1</v>
      </c>
      <c r="D2752" s="591">
        <v>22</v>
      </c>
      <c r="E2752" s="592">
        <v>30.1</v>
      </c>
      <c r="F2752" s="4">
        <f t="shared" si="46"/>
        <v>-1.6339869281045753E-2</v>
      </c>
      <c r="G2752" s="37">
        <v>29.7</v>
      </c>
      <c r="H2752" s="593">
        <v>45685</v>
      </c>
    </row>
    <row r="2753" spans="3:8" x14ac:dyDescent="0.25">
      <c r="C2753" s="591">
        <v>2</v>
      </c>
      <c r="D2753" s="591">
        <v>56</v>
      </c>
      <c r="E2753" s="592">
        <v>34.299999999999997</v>
      </c>
      <c r="F2753" s="4">
        <f t="shared" si="46"/>
        <v>-3.6516853932584387E-2</v>
      </c>
      <c r="G2753" s="37">
        <v>29.7</v>
      </c>
      <c r="H2753" s="593">
        <v>45685</v>
      </c>
    </row>
    <row r="2754" spans="3:8" x14ac:dyDescent="0.25">
      <c r="C2754" s="591">
        <v>3</v>
      </c>
      <c r="D2754" s="591">
        <v>97</v>
      </c>
      <c r="E2754" s="592">
        <v>27.8</v>
      </c>
      <c r="F2754" s="4">
        <f t="shared" si="46"/>
        <v>-1.0676156583629918E-2</v>
      </c>
      <c r="G2754" s="37">
        <v>29.7</v>
      </c>
      <c r="H2754" s="593">
        <v>45685</v>
      </c>
    </row>
    <row r="2755" spans="3:8" x14ac:dyDescent="0.25">
      <c r="C2755" s="591">
        <v>4</v>
      </c>
      <c r="D2755" s="591">
        <v>98</v>
      </c>
      <c r="E2755" s="592">
        <v>20.8</v>
      </c>
      <c r="F2755" s="4">
        <f t="shared" si="46"/>
        <v>-3.2558139534883686E-2</v>
      </c>
      <c r="G2755" s="37">
        <v>29.7</v>
      </c>
      <c r="H2755" s="593">
        <v>45685</v>
      </c>
    </row>
    <row r="2756" spans="3:8" x14ac:dyDescent="0.25">
      <c r="C2756" s="591">
        <v>5</v>
      </c>
      <c r="D2756" s="591">
        <v>64</v>
      </c>
      <c r="E2756" s="592">
        <v>38.299999999999997</v>
      </c>
      <c r="F2756" s="4">
        <f t="shared" si="46"/>
        <v>5.5096418732782371E-2</v>
      </c>
      <c r="G2756" s="37">
        <v>29.7</v>
      </c>
      <c r="H2756" s="593">
        <v>45685</v>
      </c>
    </row>
    <row r="2757" spans="3:8" x14ac:dyDescent="0.25">
      <c r="C2757" s="591">
        <v>6</v>
      </c>
      <c r="D2757" s="591">
        <v>0</v>
      </c>
      <c r="E2757" s="592"/>
      <c r="F2757" s="4" t="str">
        <f t="shared" si="46"/>
        <v/>
      </c>
      <c r="G2757" s="37">
        <v>29.7</v>
      </c>
      <c r="H2757" s="593">
        <v>45685</v>
      </c>
    </row>
    <row r="2758" spans="3:8" x14ac:dyDescent="0.25">
      <c r="C2758" s="591">
        <v>7</v>
      </c>
      <c r="D2758" s="591">
        <v>76</v>
      </c>
      <c r="E2758" s="592">
        <v>30</v>
      </c>
      <c r="F2758" s="4">
        <f t="shared" si="46"/>
        <v>0.2</v>
      </c>
      <c r="G2758" s="37">
        <v>29.7</v>
      </c>
      <c r="H2758" s="593">
        <v>45685</v>
      </c>
    </row>
    <row r="2759" spans="3:8" x14ac:dyDescent="0.25">
      <c r="C2759" s="591">
        <v>8</v>
      </c>
      <c r="D2759" s="591">
        <v>91</v>
      </c>
      <c r="E2759" s="592">
        <v>18.7</v>
      </c>
      <c r="F2759" s="4">
        <f t="shared" si="46"/>
        <v>1.6304347826086998E-2</v>
      </c>
      <c r="G2759" s="37">
        <v>29.7</v>
      </c>
      <c r="H2759" s="593">
        <v>45685</v>
      </c>
    </row>
    <row r="2760" spans="3:8" x14ac:dyDescent="0.25">
      <c r="C2760" s="591">
        <v>9</v>
      </c>
      <c r="D2760" s="591">
        <v>90</v>
      </c>
      <c r="E2760" s="592">
        <v>38.200000000000003</v>
      </c>
      <c r="F2760" s="4">
        <f t="shared" si="46"/>
        <v>-2.7989821882951512E-2</v>
      </c>
      <c r="G2760" s="37">
        <v>29.7</v>
      </c>
      <c r="H2760" s="593">
        <v>45685</v>
      </c>
    </row>
    <row r="2761" spans="3:8" x14ac:dyDescent="0.25">
      <c r="C2761" s="591">
        <v>10</v>
      </c>
      <c r="D2761" s="591">
        <v>0</v>
      </c>
      <c r="E2761" s="592"/>
      <c r="F2761" s="4" t="str">
        <f t="shared" si="46"/>
        <v/>
      </c>
      <c r="G2761" s="37">
        <v>29.7</v>
      </c>
      <c r="H2761" s="593">
        <v>45685</v>
      </c>
    </row>
    <row r="2762" spans="3:8" x14ac:dyDescent="0.25">
      <c r="C2762" s="594" t="s">
        <v>0</v>
      </c>
      <c r="D2762" s="594" t="s">
        <v>7</v>
      </c>
      <c r="E2762" s="595" t="s">
        <v>4</v>
      </c>
      <c r="F2762" s="4" t="str">
        <f t="shared" si="46"/>
        <v/>
      </c>
      <c r="G2762" s="37">
        <v>29.8</v>
      </c>
      <c r="H2762" s="596">
        <v>45686</v>
      </c>
    </row>
    <row r="2763" spans="3:8" x14ac:dyDescent="0.25">
      <c r="C2763" s="594">
        <v>1</v>
      </c>
      <c r="D2763" s="594">
        <v>24</v>
      </c>
      <c r="E2763" s="595">
        <v>29.2</v>
      </c>
      <c r="F2763" s="4">
        <f t="shared" si="46"/>
        <v>-2.9900332225913692E-2</v>
      </c>
      <c r="G2763" s="37">
        <v>29.8</v>
      </c>
      <c r="H2763" s="596">
        <v>45686</v>
      </c>
    </row>
    <row r="2764" spans="3:8" x14ac:dyDescent="0.25">
      <c r="C2764" s="594">
        <v>2</v>
      </c>
      <c r="D2764" s="594">
        <v>56</v>
      </c>
      <c r="E2764" s="595">
        <v>30.5</v>
      </c>
      <c r="F2764" s="4">
        <f t="shared" si="46"/>
        <v>-0.11078717201166173</v>
      </c>
      <c r="G2764" s="37">
        <v>29.8</v>
      </c>
      <c r="H2764" s="596">
        <v>45686</v>
      </c>
    </row>
    <row r="2765" spans="3:8" x14ac:dyDescent="0.25">
      <c r="C2765" s="594">
        <v>3</v>
      </c>
      <c r="D2765" s="594">
        <v>97</v>
      </c>
      <c r="E2765" s="595">
        <v>30.5</v>
      </c>
      <c r="F2765" s="4">
        <f t="shared" si="46"/>
        <v>9.7122302158273346E-2</v>
      </c>
      <c r="G2765" s="37">
        <v>29.8</v>
      </c>
      <c r="H2765" s="596">
        <v>45686</v>
      </c>
    </row>
    <row r="2766" spans="3:8" x14ac:dyDescent="0.25">
      <c r="C2766" s="594">
        <v>4</v>
      </c>
      <c r="D2766" s="594">
        <v>98</v>
      </c>
      <c r="E2766" s="595">
        <v>21.9</v>
      </c>
      <c r="F2766" s="4">
        <f t="shared" si="46"/>
        <v>5.288461538461528E-2</v>
      </c>
      <c r="G2766" s="37">
        <v>29.8</v>
      </c>
      <c r="H2766" s="596">
        <v>45686</v>
      </c>
    </row>
    <row r="2767" spans="3:8" x14ac:dyDescent="0.25">
      <c r="C2767" s="594">
        <v>5</v>
      </c>
      <c r="D2767" s="594">
        <v>65</v>
      </c>
      <c r="E2767" s="595">
        <v>39.6</v>
      </c>
      <c r="F2767" s="4">
        <f t="shared" si="46"/>
        <v>3.3942558746736406E-2</v>
      </c>
      <c r="G2767" s="37">
        <v>29.8</v>
      </c>
      <c r="H2767" s="596">
        <v>45686</v>
      </c>
    </row>
    <row r="2768" spans="3:8" x14ac:dyDescent="0.25">
      <c r="C2768" s="594">
        <v>6</v>
      </c>
      <c r="D2768" s="594">
        <v>0</v>
      </c>
      <c r="E2768" s="595"/>
      <c r="F2768" s="4" t="str">
        <f t="shared" si="46"/>
        <v/>
      </c>
      <c r="G2768" s="37">
        <v>29.8</v>
      </c>
      <c r="H2768" s="596">
        <v>45686</v>
      </c>
    </row>
    <row r="2769" spans="3:8" x14ac:dyDescent="0.25">
      <c r="C2769" s="594">
        <v>7</v>
      </c>
      <c r="D2769" s="594">
        <v>76</v>
      </c>
      <c r="E2769" s="595">
        <v>27</v>
      </c>
      <c r="F2769" s="4">
        <f t="shared" si="46"/>
        <v>-0.1</v>
      </c>
      <c r="G2769" s="37">
        <v>29.8</v>
      </c>
      <c r="H2769" s="596">
        <v>45686</v>
      </c>
    </row>
    <row r="2770" spans="3:8" x14ac:dyDescent="0.25">
      <c r="C2770" s="594">
        <v>8</v>
      </c>
      <c r="D2770" s="594">
        <v>91</v>
      </c>
      <c r="E2770" s="595">
        <v>19.3</v>
      </c>
      <c r="F2770" s="4">
        <f t="shared" si="46"/>
        <v>3.2085561497326283E-2</v>
      </c>
      <c r="G2770" s="37">
        <v>29.8</v>
      </c>
      <c r="H2770" s="596">
        <v>45686</v>
      </c>
    </row>
    <row r="2771" spans="3:8" x14ac:dyDescent="0.25">
      <c r="C2771" s="594">
        <v>9</v>
      </c>
      <c r="D2771" s="594">
        <v>90</v>
      </c>
      <c r="E2771" s="595">
        <v>37.1</v>
      </c>
      <c r="F2771" s="4">
        <f t="shared" si="46"/>
        <v>-2.8795811518324641E-2</v>
      </c>
      <c r="G2771" s="37">
        <v>29.8</v>
      </c>
      <c r="H2771" s="596">
        <v>45686</v>
      </c>
    </row>
    <row r="2772" spans="3:8" x14ac:dyDescent="0.25">
      <c r="C2772" s="594">
        <v>10</v>
      </c>
      <c r="D2772" s="594">
        <v>0</v>
      </c>
      <c r="E2772" s="595"/>
      <c r="F2772" s="4" t="str">
        <f t="shared" si="46"/>
        <v/>
      </c>
      <c r="G2772" s="37">
        <v>29.8</v>
      </c>
      <c r="H2772" s="596">
        <v>45686</v>
      </c>
    </row>
    <row r="2773" spans="3:8" x14ac:dyDescent="0.25">
      <c r="C2773" s="597" t="s">
        <v>0</v>
      </c>
      <c r="D2773" s="597" t="s">
        <v>7</v>
      </c>
      <c r="E2773" s="598" t="s">
        <v>4</v>
      </c>
      <c r="F2773" s="4" t="str">
        <f t="shared" si="46"/>
        <v/>
      </c>
      <c r="G2773" s="37">
        <v>29.4</v>
      </c>
      <c r="H2773" s="596">
        <v>45687</v>
      </c>
    </row>
    <row r="2774" spans="3:8" x14ac:dyDescent="0.25">
      <c r="C2774" s="597">
        <v>1</v>
      </c>
      <c r="D2774" s="597">
        <v>24</v>
      </c>
      <c r="E2774" s="598">
        <v>29.4</v>
      </c>
      <c r="F2774" s="4">
        <f t="shared" si="46"/>
        <v>6.8493150684931269E-3</v>
      </c>
      <c r="G2774" s="37">
        <v>29.4</v>
      </c>
      <c r="H2774" s="596">
        <v>45687</v>
      </c>
    </row>
    <row r="2775" spans="3:8" x14ac:dyDescent="0.25">
      <c r="C2775" s="597">
        <v>2</v>
      </c>
      <c r="D2775" s="597">
        <v>57</v>
      </c>
      <c r="E2775" s="598">
        <v>33.1</v>
      </c>
      <c r="F2775" s="4">
        <f t="shared" si="46"/>
        <v>8.5245901639344313E-2</v>
      </c>
      <c r="G2775" s="37">
        <v>29.4</v>
      </c>
      <c r="H2775" s="596">
        <v>45687</v>
      </c>
    </row>
    <row r="2776" spans="3:8" x14ac:dyDescent="0.25">
      <c r="C2776" s="597">
        <v>3</v>
      </c>
      <c r="D2776" s="597">
        <v>97</v>
      </c>
      <c r="E2776" s="598">
        <v>27.7</v>
      </c>
      <c r="F2776" s="4">
        <f t="shared" si="46"/>
        <v>-9.1803278688524614E-2</v>
      </c>
      <c r="G2776" s="37">
        <v>29.4</v>
      </c>
      <c r="H2776" s="596">
        <v>45687</v>
      </c>
    </row>
    <row r="2777" spans="3:8" x14ac:dyDescent="0.25">
      <c r="C2777" s="597">
        <v>4</v>
      </c>
      <c r="D2777" s="597">
        <v>97</v>
      </c>
      <c r="E2777" s="598">
        <v>20.2</v>
      </c>
      <c r="F2777" s="4">
        <f t="shared" si="46"/>
        <v>-7.7625570776255676E-2</v>
      </c>
      <c r="G2777" s="37">
        <v>29.4</v>
      </c>
      <c r="H2777" s="596">
        <v>45687</v>
      </c>
    </row>
    <row r="2778" spans="3:8" x14ac:dyDescent="0.25">
      <c r="C2778" s="597">
        <v>5</v>
      </c>
      <c r="D2778" s="597">
        <v>65</v>
      </c>
      <c r="E2778" s="598">
        <v>38.299999999999997</v>
      </c>
      <c r="F2778" s="4">
        <f t="shared" si="46"/>
        <v>-3.2828282828282936E-2</v>
      </c>
      <c r="G2778" s="37">
        <v>29.4</v>
      </c>
      <c r="H2778" s="596">
        <v>45687</v>
      </c>
    </row>
    <row r="2779" spans="3:8" x14ac:dyDescent="0.25">
      <c r="C2779" s="597">
        <v>6</v>
      </c>
      <c r="D2779" s="597">
        <v>0</v>
      </c>
      <c r="E2779" s="598"/>
      <c r="F2779" s="4" t="str">
        <f t="shared" si="46"/>
        <v/>
      </c>
      <c r="G2779" s="37">
        <v>29.4</v>
      </c>
      <c r="H2779" s="596">
        <v>45687</v>
      </c>
    </row>
    <row r="2780" spans="3:8" x14ac:dyDescent="0.25">
      <c r="C2780" s="597">
        <v>7</v>
      </c>
      <c r="D2780" s="597">
        <v>76</v>
      </c>
      <c r="E2780" s="598">
        <v>24.8</v>
      </c>
      <c r="F2780" s="4">
        <f t="shared" si="46"/>
        <v>-8.148148148148146E-2</v>
      </c>
      <c r="G2780" s="37">
        <v>29.4</v>
      </c>
      <c r="H2780" s="596">
        <v>45687</v>
      </c>
    </row>
    <row r="2781" spans="3:8" x14ac:dyDescent="0.25">
      <c r="C2781" s="597">
        <v>8</v>
      </c>
      <c r="D2781" s="597">
        <v>90</v>
      </c>
      <c r="E2781" s="598">
        <v>18.2</v>
      </c>
      <c r="F2781" s="4">
        <f t="shared" si="46"/>
        <v>-5.6994818652849812E-2</v>
      </c>
      <c r="G2781" s="37">
        <v>29.4</v>
      </c>
      <c r="H2781" s="596">
        <v>45687</v>
      </c>
    </row>
    <row r="2782" spans="3:8" x14ac:dyDescent="0.25">
      <c r="C2782" s="597">
        <v>9</v>
      </c>
      <c r="D2782" s="597">
        <v>90</v>
      </c>
      <c r="E2782" s="598">
        <v>37.5</v>
      </c>
      <c r="F2782" s="4">
        <f t="shared" si="46"/>
        <v>1.078167115902961E-2</v>
      </c>
      <c r="G2782" s="37">
        <v>29.4</v>
      </c>
      <c r="H2782" s="596">
        <v>45687</v>
      </c>
    </row>
    <row r="2783" spans="3:8" x14ac:dyDescent="0.25">
      <c r="C2783" s="597">
        <v>10</v>
      </c>
      <c r="D2783" s="597">
        <v>0</v>
      </c>
      <c r="E2783" s="598"/>
      <c r="F2783" s="4" t="str">
        <f t="shared" si="46"/>
        <v/>
      </c>
      <c r="G2783" s="37">
        <v>29.4</v>
      </c>
      <c r="H2783" s="596">
        <v>45687</v>
      </c>
    </row>
    <row r="2784" spans="3:8" x14ac:dyDescent="0.25">
      <c r="C2784" s="599" t="s">
        <v>0</v>
      </c>
      <c r="D2784" s="599" t="s">
        <v>7</v>
      </c>
      <c r="E2784" s="600" t="s">
        <v>4</v>
      </c>
      <c r="F2784" s="4" t="str">
        <f t="shared" si="46"/>
        <v/>
      </c>
      <c r="G2784" s="37">
        <v>29.4</v>
      </c>
      <c r="H2784" s="601">
        <v>45688</v>
      </c>
    </row>
    <row r="2785" spans="3:8" x14ac:dyDescent="0.25">
      <c r="C2785" s="599">
        <v>1</v>
      </c>
      <c r="D2785" s="599">
        <v>25</v>
      </c>
      <c r="E2785" s="600">
        <v>30</v>
      </c>
      <c r="F2785" s="4">
        <f t="shared" si="46"/>
        <v>2.0408163265306173E-2</v>
      </c>
      <c r="G2785" s="37">
        <v>29.4</v>
      </c>
      <c r="H2785" s="601">
        <v>45688</v>
      </c>
    </row>
    <row r="2786" spans="3:8" x14ac:dyDescent="0.25">
      <c r="C2786" s="599">
        <v>2</v>
      </c>
      <c r="D2786" s="599">
        <v>57</v>
      </c>
      <c r="E2786" s="600">
        <v>32.9</v>
      </c>
      <c r="F2786" s="4">
        <f t="shared" si="46"/>
        <v>-6.0422960725076387E-3</v>
      </c>
      <c r="G2786" s="37">
        <v>29.4</v>
      </c>
      <c r="H2786" s="601">
        <v>45688</v>
      </c>
    </row>
    <row r="2787" spans="3:8" x14ac:dyDescent="0.25">
      <c r="C2787" s="599">
        <v>3</v>
      </c>
      <c r="D2787" s="599">
        <v>97</v>
      </c>
      <c r="E2787" s="600">
        <v>27.7</v>
      </c>
      <c r="F2787" s="4">
        <f t="shared" si="46"/>
        <v>0</v>
      </c>
      <c r="G2787" s="37">
        <v>29.4</v>
      </c>
      <c r="H2787" s="601">
        <v>45688</v>
      </c>
    </row>
    <row r="2788" spans="3:8" x14ac:dyDescent="0.25">
      <c r="C2788" s="599">
        <v>4</v>
      </c>
      <c r="D2788" s="599">
        <v>92</v>
      </c>
      <c r="E2788" s="600">
        <v>20.2</v>
      </c>
      <c r="F2788" s="4">
        <f t="shared" si="46"/>
        <v>0</v>
      </c>
      <c r="G2788" s="37">
        <v>29.4</v>
      </c>
      <c r="H2788" s="601">
        <v>45688</v>
      </c>
    </row>
    <row r="2789" spans="3:8" x14ac:dyDescent="0.25">
      <c r="C2789" s="599">
        <v>5</v>
      </c>
      <c r="D2789" s="599">
        <v>65</v>
      </c>
      <c r="E2789" s="600">
        <v>34.799999999999997</v>
      </c>
      <c r="F2789" s="4">
        <f t="shared" si="46"/>
        <v>-9.1383812010443877E-2</v>
      </c>
      <c r="G2789" s="37">
        <v>29.4</v>
      </c>
      <c r="H2789" s="601">
        <v>45688</v>
      </c>
    </row>
    <row r="2790" spans="3:8" x14ac:dyDescent="0.25">
      <c r="C2790" s="599">
        <v>6</v>
      </c>
      <c r="D2790" s="599">
        <v>0</v>
      </c>
      <c r="E2790" s="600"/>
      <c r="F2790" s="4" t="str">
        <f t="shared" si="46"/>
        <v/>
      </c>
      <c r="G2790" s="37">
        <v>29.4</v>
      </c>
      <c r="H2790" s="601">
        <v>45688</v>
      </c>
    </row>
    <row r="2791" spans="3:8" x14ac:dyDescent="0.25">
      <c r="C2791" s="599">
        <v>7</v>
      </c>
      <c r="D2791" s="599">
        <v>76</v>
      </c>
      <c r="E2791" s="600">
        <v>26.3</v>
      </c>
      <c r="F2791" s="4">
        <f t="shared" si="46"/>
        <v>6.048387096774193E-2</v>
      </c>
      <c r="G2791" s="37">
        <v>29.4</v>
      </c>
      <c r="H2791" s="601">
        <v>45688</v>
      </c>
    </row>
    <row r="2792" spans="3:8" x14ac:dyDescent="0.25">
      <c r="C2792" s="599">
        <v>8</v>
      </c>
      <c r="D2792" s="599">
        <v>75</v>
      </c>
      <c r="E2792" s="600">
        <v>17.7</v>
      </c>
      <c r="F2792" s="4">
        <f t="shared" si="46"/>
        <v>-2.7472527472527472E-2</v>
      </c>
      <c r="G2792" s="37">
        <v>29.4</v>
      </c>
      <c r="H2792" s="601">
        <v>45688</v>
      </c>
    </row>
    <row r="2793" spans="3:8" x14ac:dyDescent="0.25">
      <c r="C2793" s="599">
        <v>9</v>
      </c>
      <c r="D2793" s="599">
        <v>89</v>
      </c>
      <c r="E2793" s="600">
        <v>37.4</v>
      </c>
      <c r="F2793" s="4">
        <f t="shared" si="46"/>
        <v>-2.6666666666667047E-3</v>
      </c>
      <c r="G2793" s="37">
        <v>29.4</v>
      </c>
      <c r="H2793" s="601">
        <v>45688</v>
      </c>
    </row>
    <row r="2794" spans="3:8" x14ac:dyDescent="0.25">
      <c r="C2794" s="599">
        <v>10</v>
      </c>
      <c r="D2794" s="599">
        <v>0</v>
      </c>
      <c r="E2794" s="600"/>
      <c r="F2794" s="4" t="str">
        <f t="shared" si="46"/>
        <v/>
      </c>
      <c r="G2794" s="37">
        <v>29.4</v>
      </c>
      <c r="H2794" s="601">
        <v>45688</v>
      </c>
    </row>
    <row r="2795" spans="3:8" x14ac:dyDescent="0.25">
      <c r="C2795" s="602" t="s">
        <v>0</v>
      </c>
      <c r="D2795" s="602" t="s">
        <v>7</v>
      </c>
      <c r="E2795" s="603" t="s">
        <v>4</v>
      </c>
      <c r="F2795" s="4" t="str">
        <f t="shared" si="46"/>
        <v/>
      </c>
      <c r="G2795" s="37">
        <v>30.1</v>
      </c>
      <c r="H2795" s="604">
        <v>45689</v>
      </c>
    </row>
    <row r="2796" spans="3:8" x14ac:dyDescent="0.25">
      <c r="C2796" s="602">
        <v>1</v>
      </c>
      <c r="D2796" s="602">
        <v>27</v>
      </c>
      <c r="E2796" s="603">
        <v>31.5</v>
      </c>
      <c r="F2796" s="4">
        <f t="shared" si="46"/>
        <v>0.05</v>
      </c>
      <c r="G2796" s="37">
        <v>30.1</v>
      </c>
      <c r="H2796" s="604">
        <v>45689</v>
      </c>
    </row>
    <row r="2797" spans="3:8" x14ac:dyDescent="0.25">
      <c r="C2797" s="602">
        <v>2</v>
      </c>
      <c r="D2797" s="602">
        <v>57</v>
      </c>
      <c r="E2797" s="603">
        <v>32.700000000000003</v>
      </c>
      <c r="F2797" s="4">
        <f t="shared" si="46"/>
        <v>-6.079027355622971E-3</v>
      </c>
      <c r="G2797" s="37">
        <v>30.1</v>
      </c>
      <c r="H2797" s="604">
        <v>45689</v>
      </c>
    </row>
    <row r="2798" spans="3:8" x14ac:dyDescent="0.25">
      <c r="C2798" s="602">
        <v>3</v>
      </c>
      <c r="D2798" s="602">
        <v>97</v>
      </c>
      <c r="E2798" s="603">
        <v>29</v>
      </c>
      <c r="F2798" s="4">
        <f t="shared" si="46"/>
        <v>4.6931407942238296E-2</v>
      </c>
      <c r="G2798" s="37">
        <v>30.1</v>
      </c>
      <c r="H2798" s="604">
        <v>45689</v>
      </c>
    </row>
    <row r="2799" spans="3:8" x14ac:dyDescent="0.25">
      <c r="C2799" s="602">
        <v>4</v>
      </c>
      <c r="D2799" s="602">
        <v>92</v>
      </c>
      <c r="E2799" s="603">
        <v>21.6</v>
      </c>
      <c r="F2799" s="4">
        <f t="shared" si="46"/>
        <v>6.930693069306941E-2</v>
      </c>
      <c r="G2799" s="37">
        <v>30.1</v>
      </c>
      <c r="H2799" s="604">
        <v>45689</v>
      </c>
    </row>
    <row r="2800" spans="3:8" x14ac:dyDescent="0.25">
      <c r="C2800" s="602">
        <v>5</v>
      </c>
      <c r="D2800" s="602">
        <v>65</v>
      </c>
      <c r="E2800" s="603">
        <v>38.200000000000003</v>
      </c>
      <c r="F2800" s="4">
        <f t="shared" si="46"/>
        <v>9.7701149425287528E-2</v>
      </c>
      <c r="G2800" s="37">
        <v>30.1</v>
      </c>
      <c r="H2800" s="604">
        <v>45689</v>
      </c>
    </row>
    <row r="2801" spans="3:8" x14ac:dyDescent="0.25">
      <c r="C2801" s="602">
        <v>6</v>
      </c>
      <c r="D2801" s="602">
        <v>0</v>
      </c>
      <c r="E2801" s="603"/>
      <c r="F2801" s="4" t="str">
        <f t="shared" si="46"/>
        <v/>
      </c>
      <c r="G2801" s="37">
        <v>30.1</v>
      </c>
      <c r="H2801" s="604">
        <v>45689</v>
      </c>
    </row>
    <row r="2802" spans="3:8" x14ac:dyDescent="0.25">
      <c r="C2802" s="602">
        <v>7</v>
      </c>
      <c r="D2802" s="602">
        <v>76</v>
      </c>
      <c r="E2802" s="603">
        <v>27.9</v>
      </c>
      <c r="F2802" s="4">
        <f t="shared" si="46"/>
        <v>6.0836501901140601E-2</v>
      </c>
      <c r="G2802" s="37">
        <v>30.1</v>
      </c>
      <c r="H2802" s="604">
        <v>45689</v>
      </c>
    </row>
    <row r="2803" spans="3:8" x14ac:dyDescent="0.25">
      <c r="C2803" s="602">
        <v>8</v>
      </c>
      <c r="D2803" s="602">
        <v>75</v>
      </c>
      <c r="E2803" s="603">
        <v>21.1</v>
      </c>
      <c r="F2803" s="4">
        <f t="shared" si="46"/>
        <v>0.19209039548022611</v>
      </c>
      <c r="G2803" s="37">
        <v>30.1</v>
      </c>
      <c r="H2803" s="604">
        <v>45689</v>
      </c>
    </row>
    <row r="2804" spans="3:8" x14ac:dyDescent="0.25">
      <c r="C2804" s="602">
        <v>9</v>
      </c>
      <c r="D2804" s="602">
        <v>89</v>
      </c>
      <c r="E2804" s="603">
        <v>33.9</v>
      </c>
      <c r="F2804" s="4">
        <f t="shared" si="46"/>
        <v>-9.3582887700534759E-2</v>
      </c>
      <c r="G2804" s="37">
        <v>30.1</v>
      </c>
      <c r="H2804" s="604">
        <v>45689</v>
      </c>
    </row>
    <row r="2805" spans="3:8" x14ac:dyDescent="0.25">
      <c r="C2805" s="602">
        <v>10</v>
      </c>
      <c r="D2805" s="602">
        <v>0</v>
      </c>
      <c r="E2805" s="603"/>
      <c r="F2805" s="4" t="str">
        <f t="shared" si="46"/>
        <v/>
      </c>
      <c r="G2805" s="37">
        <v>30.1</v>
      </c>
      <c r="H2805" s="604">
        <v>45689</v>
      </c>
    </row>
    <row r="2806" spans="3:8" x14ac:dyDescent="0.25">
      <c r="C2806" s="605" t="s">
        <v>0</v>
      </c>
      <c r="D2806" s="605" t="s">
        <v>7</v>
      </c>
      <c r="E2806" s="606" t="s">
        <v>4</v>
      </c>
      <c r="F2806" s="4" t="str">
        <f t="shared" si="46"/>
        <v/>
      </c>
      <c r="G2806" s="37">
        <v>29</v>
      </c>
      <c r="H2806" s="607">
        <v>45690</v>
      </c>
    </row>
    <row r="2807" spans="3:8" x14ac:dyDescent="0.25">
      <c r="C2807" s="605">
        <v>1</v>
      </c>
      <c r="D2807" s="605">
        <v>28</v>
      </c>
      <c r="E2807" s="606">
        <v>30.7</v>
      </c>
      <c r="F2807" s="4">
        <f t="shared" si="46"/>
        <v>-2.5396825396825421E-2</v>
      </c>
      <c r="G2807" s="37">
        <v>29</v>
      </c>
      <c r="H2807" s="607">
        <v>45690</v>
      </c>
    </row>
    <row r="2808" spans="3:8" x14ac:dyDescent="0.25">
      <c r="C2808" s="605">
        <v>2</v>
      </c>
      <c r="D2808" s="605">
        <v>56</v>
      </c>
      <c r="E2808" s="606">
        <v>32.5</v>
      </c>
      <c r="F2808" s="4">
        <f t="shared" si="46"/>
        <v>-6.1162079510704232E-3</v>
      </c>
      <c r="G2808" s="37">
        <v>29</v>
      </c>
      <c r="H2808" s="607">
        <v>45690</v>
      </c>
    </row>
    <row r="2809" spans="3:8" x14ac:dyDescent="0.25">
      <c r="C2809" s="605">
        <v>3</v>
      </c>
      <c r="D2809" s="605">
        <v>96</v>
      </c>
      <c r="E2809" s="606">
        <v>29.9</v>
      </c>
      <c r="F2809" s="4">
        <f t="shared" si="46"/>
        <v>3.1034482758620641E-2</v>
      </c>
      <c r="G2809" s="37">
        <v>29</v>
      </c>
      <c r="H2809" s="607">
        <v>45690</v>
      </c>
    </row>
    <row r="2810" spans="3:8" x14ac:dyDescent="0.25">
      <c r="C2810" s="605">
        <v>4</v>
      </c>
      <c r="D2810" s="605">
        <v>92</v>
      </c>
      <c r="E2810" s="606">
        <v>17.7</v>
      </c>
      <c r="F2810" s="4">
        <f t="shared" si="46"/>
        <v>-0.18055555555555564</v>
      </c>
      <c r="G2810" s="37">
        <v>29</v>
      </c>
      <c r="H2810" s="607">
        <v>45690</v>
      </c>
    </row>
    <row r="2811" spans="3:8" x14ac:dyDescent="0.25">
      <c r="C2811" s="605">
        <v>5</v>
      </c>
      <c r="D2811" s="605">
        <v>65</v>
      </c>
      <c r="E2811" s="606">
        <v>35.700000000000003</v>
      </c>
      <c r="F2811" s="4">
        <f t="shared" si="46"/>
        <v>-6.5445026178010471E-2</v>
      </c>
      <c r="G2811" s="37">
        <v>29</v>
      </c>
      <c r="H2811" s="607">
        <v>45690</v>
      </c>
    </row>
    <row r="2812" spans="3:8" x14ac:dyDescent="0.25">
      <c r="C2812" s="605">
        <v>6</v>
      </c>
      <c r="D2812" s="605">
        <v>0</v>
      </c>
      <c r="E2812" s="606"/>
      <c r="F2812" s="4" t="str">
        <f t="shared" si="46"/>
        <v/>
      </c>
      <c r="G2812" s="37">
        <v>29</v>
      </c>
      <c r="H2812" s="607">
        <v>45690</v>
      </c>
    </row>
    <row r="2813" spans="3:8" x14ac:dyDescent="0.25">
      <c r="C2813" s="605">
        <v>7</v>
      </c>
      <c r="D2813" s="605">
        <v>76</v>
      </c>
      <c r="E2813" s="606">
        <v>24.7</v>
      </c>
      <c r="F2813" s="4">
        <f t="shared" ref="F2813:F2876" si="47">IFERROR((E2813-E2802)/E2802,"")</f>
        <v>-0.1146953405017921</v>
      </c>
      <c r="G2813" s="37">
        <v>29</v>
      </c>
      <c r="H2813" s="607">
        <v>45690</v>
      </c>
    </row>
    <row r="2814" spans="3:8" x14ac:dyDescent="0.25">
      <c r="C2814" s="605">
        <v>8</v>
      </c>
      <c r="D2814" s="605">
        <v>75</v>
      </c>
      <c r="E2814" s="606">
        <v>16.5</v>
      </c>
      <c r="F2814" s="4">
        <f t="shared" si="47"/>
        <v>-0.21800947867298584</v>
      </c>
      <c r="G2814" s="37">
        <v>29</v>
      </c>
      <c r="H2814" s="607">
        <v>45690</v>
      </c>
    </row>
    <row r="2815" spans="3:8" x14ac:dyDescent="0.25">
      <c r="C2815" s="605">
        <v>9</v>
      </c>
      <c r="D2815" s="605">
        <v>89</v>
      </c>
      <c r="E2815" s="606">
        <v>36.4</v>
      </c>
      <c r="F2815" s="4">
        <f t="shared" si="47"/>
        <v>7.3746312684365781E-2</v>
      </c>
      <c r="G2815" s="37">
        <v>29</v>
      </c>
      <c r="H2815" s="607">
        <v>45690</v>
      </c>
    </row>
    <row r="2816" spans="3:8" x14ac:dyDescent="0.25">
      <c r="C2816" s="605">
        <v>10</v>
      </c>
      <c r="D2816" s="605">
        <v>0</v>
      </c>
      <c r="E2816" s="606"/>
      <c r="F2816" s="4" t="str">
        <f t="shared" si="47"/>
        <v/>
      </c>
      <c r="G2816" s="37">
        <v>29</v>
      </c>
      <c r="H2816" s="607">
        <v>45690</v>
      </c>
    </row>
    <row r="2817" spans="3:8" x14ac:dyDescent="0.25">
      <c r="C2817" s="608" t="s">
        <v>0</v>
      </c>
      <c r="D2817" s="608" t="s">
        <v>7</v>
      </c>
      <c r="E2817" s="609" t="s">
        <v>4</v>
      </c>
      <c r="F2817" s="4" t="str">
        <f t="shared" si="47"/>
        <v/>
      </c>
      <c r="G2817" s="37">
        <v>30.3</v>
      </c>
      <c r="H2817" s="607">
        <v>45691</v>
      </c>
    </row>
    <row r="2818" spans="3:8" x14ac:dyDescent="0.25">
      <c r="C2818" s="608">
        <v>1</v>
      </c>
      <c r="D2818" s="608">
        <v>30</v>
      </c>
      <c r="E2818" s="609">
        <v>24</v>
      </c>
      <c r="F2818" s="4">
        <f t="shared" si="47"/>
        <v>-0.21824104234527686</v>
      </c>
      <c r="G2818" s="37">
        <v>30.3</v>
      </c>
      <c r="H2818" s="607">
        <v>45691</v>
      </c>
    </row>
    <row r="2819" spans="3:8" x14ac:dyDescent="0.25">
      <c r="C2819" s="608">
        <v>2</v>
      </c>
      <c r="D2819" s="608">
        <v>54</v>
      </c>
      <c r="E2819" s="609">
        <v>31.5</v>
      </c>
      <c r="F2819" s="4">
        <f t="shared" si="47"/>
        <v>-3.0769230769230771E-2</v>
      </c>
      <c r="G2819" s="37">
        <v>30.3</v>
      </c>
      <c r="H2819" s="607">
        <v>45691</v>
      </c>
    </row>
    <row r="2820" spans="3:8" x14ac:dyDescent="0.25">
      <c r="C2820" s="608">
        <v>3</v>
      </c>
      <c r="D2820" s="608">
        <v>93</v>
      </c>
      <c r="E2820" s="609">
        <v>29.9</v>
      </c>
      <c r="F2820" s="4">
        <f t="shared" si="47"/>
        <v>0</v>
      </c>
      <c r="G2820" s="37">
        <v>30.3</v>
      </c>
      <c r="H2820" s="607">
        <v>45691</v>
      </c>
    </row>
    <row r="2821" spans="3:8" x14ac:dyDescent="0.25">
      <c r="C2821" s="608">
        <v>4</v>
      </c>
      <c r="D2821" s="608">
        <v>92</v>
      </c>
      <c r="E2821" s="609">
        <v>20.9</v>
      </c>
      <c r="F2821" s="4">
        <f t="shared" si="47"/>
        <v>0.18079096045197737</v>
      </c>
      <c r="G2821" s="37">
        <v>30.3</v>
      </c>
      <c r="H2821" s="607">
        <v>45691</v>
      </c>
    </row>
    <row r="2822" spans="3:8" x14ac:dyDescent="0.25">
      <c r="C2822" s="608">
        <v>5</v>
      </c>
      <c r="D2822" s="608">
        <v>65</v>
      </c>
      <c r="E2822" s="609">
        <v>37.700000000000003</v>
      </c>
      <c r="F2822" s="4">
        <f t="shared" si="47"/>
        <v>5.6022408963585429E-2</v>
      </c>
      <c r="G2822" s="37">
        <v>30.3</v>
      </c>
      <c r="H2822" s="607">
        <v>45691</v>
      </c>
    </row>
    <row r="2823" spans="3:8" x14ac:dyDescent="0.25">
      <c r="C2823" s="608">
        <v>6</v>
      </c>
      <c r="D2823" s="608">
        <v>0</v>
      </c>
      <c r="E2823" s="609"/>
      <c r="F2823" s="4" t="str">
        <f t="shared" si="47"/>
        <v/>
      </c>
      <c r="G2823" s="37">
        <v>30.3</v>
      </c>
      <c r="H2823" s="607">
        <v>45691</v>
      </c>
    </row>
    <row r="2824" spans="3:8" x14ac:dyDescent="0.25">
      <c r="C2824" s="608">
        <v>7</v>
      </c>
      <c r="D2824" s="608">
        <v>68</v>
      </c>
      <c r="E2824" s="609">
        <v>28.9</v>
      </c>
      <c r="F2824" s="4">
        <f t="shared" si="47"/>
        <v>0.17004048582995948</v>
      </c>
      <c r="G2824" s="37">
        <v>30.3</v>
      </c>
      <c r="H2824" s="607">
        <v>45691</v>
      </c>
    </row>
    <row r="2825" spans="3:8" x14ac:dyDescent="0.25">
      <c r="C2825" s="608">
        <v>8</v>
      </c>
      <c r="D2825" s="608">
        <v>75</v>
      </c>
      <c r="E2825" s="609">
        <v>20.5</v>
      </c>
      <c r="F2825" s="4">
        <f t="shared" si="47"/>
        <v>0.24242424242424243</v>
      </c>
      <c r="G2825" s="37">
        <v>30.3</v>
      </c>
      <c r="H2825" s="607">
        <v>45691</v>
      </c>
    </row>
    <row r="2826" spans="3:8" x14ac:dyDescent="0.25">
      <c r="C2826" s="608">
        <v>9</v>
      </c>
      <c r="D2826" s="608">
        <v>89</v>
      </c>
      <c r="E2826" s="609">
        <v>36.200000000000003</v>
      </c>
      <c r="F2826" s="4">
        <f t="shared" si="47"/>
        <v>-5.4945054945053778E-3</v>
      </c>
      <c r="G2826" s="37">
        <v>30.3</v>
      </c>
      <c r="H2826" s="607">
        <v>45691</v>
      </c>
    </row>
    <row r="2827" spans="3:8" x14ac:dyDescent="0.25">
      <c r="C2827" s="608">
        <v>10</v>
      </c>
      <c r="D2827" s="608">
        <v>0</v>
      </c>
      <c r="E2827" s="609"/>
      <c r="F2827" s="4" t="str">
        <f t="shared" si="47"/>
        <v/>
      </c>
      <c r="G2827" s="37">
        <v>30.3</v>
      </c>
      <c r="H2827" s="607">
        <v>45691</v>
      </c>
    </row>
    <row r="2828" spans="3:8" x14ac:dyDescent="0.25">
      <c r="C2828" s="610" t="s">
        <v>0</v>
      </c>
      <c r="D2828" s="610" t="s">
        <v>7</v>
      </c>
      <c r="E2828" s="611" t="s">
        <v>4</v>
      </c>
      <c r="F2828" s="4" t="str">
        <f t="shared" si="47"/>
        <v/>
      </c>
      <c r="G2828" s="37">
        <v>29.5</v>
      </c>
      <c r="H2828" s="612">
        <v>45692</v>
      </c>
    </row>
    <row r="2829" spans="3:8" x14ac:dyDescent="0.25">
      <c r="C2829" s="610">
        <v>1</v>
      </c>
      <c r="D2829" s="610">
        <v>33</v>
      </c>
      <c r="E2829" s="611">
        <v>31</v>
      </c>
      <c r="F2829" s="4">
        <f t="shared" si="47"/>
        <v>0.29166666666666669</v>
      </c>
      <c r="G2829" s="37">
        <v>29.5</v>
      </c>
      <c r="H2829" s="612">
        <v>45692</v>
      </c>
    </row>
    <row r="2830" spans="3:8" x14ac:dyDescent="0.25">
      <c r="C2830" s="610">
        <v>2</v>
      </c>
      <c r="D2830" s="610">
        <v>53</v>
      </c>
      <c r="E2830" s="611">
        <v>32.6</v>
      </c>
      <c r="F2830" s="4">
        <f t="shared" si="47"/>
        <v>3.4920634920634963E-2</v>
      </c>
      <c r="G2830" s="37">
        <v>29.5</v>
      </c>
      <c r="H2830" s="612">
        <v>45692</v>
      </c>
    </row>
    <row r="2831" spans="3:8" x14ac:dyDescent="0.25">
      <c r="C2831" s="610">
        <v>3</v>
      </c>
      <c r="D2831" s="610">
        <v>93</v>
      </c>
      <c r="E2831" s="611">
        <v>27.7</v>
      </c>
      <c r="F2831" s="4">
        <f t="shared" si="47"/>
        <v>-7.3578595317725731E-2</v>
      </c>
      <c r="G2831" s="37">
        <v>29.5</v>
      </c>
      <c r="H2831" s="612">
        <v>45692</v>
      </c>
    </row>
    <row r="2832" spans="3:8" x14ac:dyDescent="0.25">
      <c r="C2832" s="610">
        <v>4</v>
      </c>
      <c r="D2832" s="610">
        <v>92</v>
      </c>
      <c r="E2832" s="611">
        <v>20.6</v>
      </c>
      <c r="F2832" s="4">
        <f t="shared" si="47"/>
        <v>-1.4354066985645798E-2</v>
      </c>
      <c r="G2832" s="37">
        <v>29.5</v>
      </c>
      <c r="H2832" s="612">
        <v>45692</v>
      </c>
    </row>
    <row r="2833" spans="3:8" x14ac:dyDescent="0.25">
      <c r="C2833" s="610">
        <v>5</v>
      </c>
      <c r="D2833" s="610">
        <v>65</v>
      </c>
      <c r="E2833" s="611">
        <v>36.1</v>
      </c>
      <c r="F2833" s="4">
        <f t="shared" si="47"/>
        <v>-4.24403183023873E-2</v>
      </c>
      <c r="G2833" s="37">
        <v>29.5</v>
      </c>
      <c r="H2833" s="612">
        <v>45692</v>
      </c>
    </row>
    <row r="2834" spans="3:8" x14ac:dyDescent="0.25">
      <c r="C2834" s="610">
        <v>6</v>
      </c>
      <c r="D2834" s="610">
        <v>0</v>
      </c>
      <c r="E2834" s="611"/>
      <c r="F2834" s="4" t="str">
        <f t="shared" si="47"/>
        <v/>
      </c>
      <c r="G2834" s="37">
        <v>29.5</v>
      </c>
      <c r="H2834" s="612">
        <v>45692</v>
      </c>
    </row>
    <row r="2835" spans="3:8" x14ac:dyDescent="0.25">
      <c r="C2835" s="610">
        <v>7</v>
      </c>
      <c r="D2835" s="610">
        <v>67</v>
      </c>
      <c r="E2835" s="611">
        <v>29.8</v>
      </c>
      <c r="F2835" s="4">
        <f t="shared" si="47"/>
        <v>3.1141868512110801E-2</v>
      </c>
      <c r="G2835" s="37">
        <v>29.5</v>
      </c>
      <c r="H2835" s="612">
        <v>45692</v>
      </c>
    </row>
    <row r="2836" spans="3:8" x14ac:dyDescent="0.25">
      <c r="C2836" s="610">
        <v>8</v>
      </c>
      <c r="D2836" s="610">
        <v>75</v>
      </c>
      <c r="E2836" s="611">
        <v>19.100000000000001</v>
      </c>
      <c r="F2836" s="4">
        <f t="shared" si="47"/>
        <v>-6.8292682926829204E-2</v>
      </c>
      <c r="G2836" s="37">
        <v>29.5</v>
      </c>
      <c r="H2836" s="612">
        <v>45692</v>
      </c>
    </row>
    <row r="2837" spans="3:8" x14ac:dyDescent="0.25">
      <c r="C2837" s="610">
        <v>9</v>
      </c>
      <c r="D2837" s="610">
        <v>89</v>
      </c>
      <c r="E2837" s="611">
        <v>36.299999999999997</v>
      </c>
      <c r="F2837" s="4">
        <f t="shared" si="47"/>
        <v>2.7624309392263622E-3</v>
      </c>
      <c r="G2837" s="37">
        <v>29.5</v>
      </c>
      <c r="H2837" s="612">
        <v>45692</v>
      </c>
    </row>
    <row r="2838" spans="3:8" x14ac:dyDescent="0.25">
      <c r="C2838" s="610">
        <v>10</v>
      </c>
      <c r="D2838" s="610">
        <v>0</v>
      </c>
      <c r="E2838" s="611"/>
      <c r="F2838" s="4" t="str">
        <f t="shared" si="47"/>
        <v/>
      </c>
      <c r="G2838" s="37">
        <v>29.5</v>
      </c>
      <c r="H2838" s="612">
        <v>45692</v>
      </c>
    </row>
    <row r="2839" spans="3:8" x14ac:dyDescent="0.25">
      <c r="C2839" s="613" t="s">
        <v>0</v>
      </c>
      <c r="D2839" s="613" t="s">
        <v>7</v>
      </c>
      <c r="E2839" s="614" t="s">
        <v>4</v>
      </c>
      <c r="F2839" s="4" t="str">
        <f t="shared" si="47"/>
        <v/>
      </c>
      <c r="G2839" s="37">
        <v>30.1</v>
      </c>
      <c r="H2839" s="612">
        <v>45693</v>
      </c>
    </row>
    <row r="2840" spans="3:8" x14ac:dyDescent="0.25">
      <c r="C2840" s="613">
        <v>1</v>
      </c>
      <c r="D2840" s="613">
        <v>33</v>
      </c>
      <c r="E2840" s="614">
        <v>31.3</v>
      </c>
      <c r="F2840" s="4">
        <f t="shared" si="47"/>
        <v>9.6774193548387327E-3</v>
      </c>
      <c r="G2840" s="37">
        <v>30.1</v>
      </c>
      <c r="H2840" s="612">
        <v>45693</v>
      </c>
    </row>
    <row r="2841" spans="3:8" x14ac:dyDescent="0.25">
      <c r="C2841" s="613">
        <v>2</v>
      </c>
      <c r="D2841" s="613">
        <v>53</v>
      </c>
      <c r="E2841" s="614">
        <v>33.6</v>
      </c>
      <c r="F2841" s="4">
        <f t="shared" si="47"/>
        <v>3.0674846625766871E-2</v>
      </c>
      <c r="G2841" s="37">
        <v>30.1</v>
      </c>
      <c r="H2841" s="612">
        <v>45693</v>
      </c>
    </row>
    <row r="2842" spans="3:8" x14ac:dyDescent="0.25">
      <c r="C2842" s="613">
        <v>3</v>
      </c>
      <c r="D2842" s="613">
        <v>93</v>
      </c>
      <c r="E2842" s="614">
        <v>28.1</v>
      </c>
      <c r="F2842" s="4">
        <f t="shared" si="47"/>
        <v>1.4440433212996467E-2</v>
      </c>
      <c r="G2842" s="37">
        <v>30.1</v>
      </c>
      <c r="H2842" s="612">
        <v>45693</v>
      </c>
    </row>
    <row r="2843" spans="3:8" x14ac:dyDescent="0.25">
      <c r="C2843" s="613">
        <v>4</v>
      </c>
      <c r="D2843" s="613">
        <v>90</v>
      </c>
      <c r="E2843" s="614">
        <v>21.1</v>
      </c>
      <c r="F2843" s="4">
        <f t="shared" si="47"/>
        <v>2.4271844660194174E-2</v>
      </c>
      <c r="G2843" s="37">
        <v>30.1</v>
      </c>
      <c r="H2843" s="612">
        <v>45693</v>
      </c>
    </row>
    <row r="2844" spans="3:8" x14ac:dyDescent="0.25">
      <c r="C2844" s="613">
        <v>5</v>
      </c>
      <c r="D2844" s="613">
        <v>64</v>
      </c>
      <c r="E2844" s="614">
        <v>37.9</v>
      </c>
      <c r="F2844" s="4">
        <f t="shared" si="47"/>
        <v>4.9861495844875266E-2</v>
      </c>
      <c r="G2844" s="37">
        <v>30.1</v>
      </c>
      <c r="H2844" s="612">
        <v>45693</v>
      </c>
    </row>
    <row r="2845" spans="3:8" x14ac:dyDescent="0.25">
      <c r="C2845" s="613">
        <v>6</v>
      </c>
      <c r="D2845" s="613">
        <v>0</v>
      </c>
      <c r="E2845" s="614"/>
      <c r="F2845" s="4" t="str">
        <f t="shared" si="47"/>
        <v/>
      </c>
      <c r="G2845" s="37">
        <v>30.1</v>
      </c>
      <c r="H2845" s="612">
        <v>45693</v>
      </c>
    </row>
    <row r="2846" spans="3:8" x14ac:dyDescent="0.25">
      <c r="C2846" s="613">
        <v>7</v>
      </c>
      <c r="D2846" s="613">
        <v>67</v>
      </c>
      <c r="E2846" s="614">
        <v>27</v>
      </c>
      <c r="F2846" s="4">
        <f t="shared" si="47"/>
        <v>-9.3959731543624178E-2</v>
      </c>
      <c r="G2846" s="37">
        <v>30.1</v>
      </c>
      <c r="H2846" s="612">
        <v>45693</v>
      </c>
    </row>
    <row r="2847" spans="3:8" x14ac:dyDescent="0.25">
      <c r="C2847" s="613">
        <v>8</v>
      </c>
      <c r="D2847" s="613">
        <v>74</v>
      </c>
      <c r="E2847" s="614">
        <v>20.100000000000001</v>
      </c>
      <c r="F2847" s="4">
        <f t="shared" si="47"/>
        <v>5.235602094240837E-2</v>
      </c>
      <c r="G2847" s="37">
        <v>30.1</v>
      </c>
      <c r="H2847" s="612">
        <v>45693</v>
      </c>
    </row>
    <row r="2848" spans="3:8" x14ac:dyDescent="0.25">
      <c r="C2848" s="613">
        <v>9</v>
      </c>
      <c r="D2848" s="613">
        <v>87</v>
      </c>
      <c r="E2848" s="614">
        <v>35.9</v>
      </c>
      <c r="F2848" s="4">
        <f t="shared" si="47"/>
        <v>-1.1019283746556436E-2</v>
      </c>
      <c r="G2848" s="37">
        <v>30.1</v>
      </c>
      <c r="H2848" s="612">
        <v>45693</v>
      </c>
    </row>
    <row r="2849" spans="3:8" x14ac:dyDescent="0.25">
      <c r="C2849" s="613">
        <v>10</v>
      </c>
      <c r="D2849" s="613">
        <v>0</v>
      </c>
      <c r="E2849" s="614"/>
      <c r="F2849" s="4" t="str">
        <f t="shared" si="47"/>
        <v/>
      </c>
      <c r="G2849" s="37">
        <v>30.1</v>
      </c>
      <c r="H2849" s="612">
        <v>45693</v>
      </c>
    </row>
    <row r="2850" spans="3:8" x14ac:dyDescent="0.25">
      <c r="C2850" s="615" t="s">
        <v>0</v>
      </c>
      <c r="D2850" s="615" t="s">
        <v>7</v>
      </c>
      <c r="E2850" s="616" t="s">
        <v>4</v>
      </c>
      <c r="F2850" s="4" t="str">
        <f t="shared" si="47"/>
        <v/>
      </c>
      <c r="G2850" s="37">
        <v>30</v>
      </c>
      <c r="H2850" s="617">
        <v>45694</v>
      </c>
    </row>
    <row r="2851" spans="3:8" x14ac:dyDescent="0.25">
      <c r="C2851" s="615">
        <v>1</v>
      </c>
      <c r="D2851" s="615">
        <v>31</v>
      </c>
      <c r="E2851" s="616">
        <v>32.200000000000003</v>
      </c>
      <c r="F2851" s="4">
        <f t="shared" si="47"/>
        <v>2.875399361022371E-2</v>
      </c>
      <c r="G2851" s="37">
        <v>30</v>
      </c>
      <c r="H2851" s="617">
        <v>45694</v>
      </c>
    </row>
    <row r="2852" spans="3:8" x14ac:dyDescent="0.25">
      <c r="C2852" s="615">
        <v>2</v>
      </c>
      <c r="D2852" s="615">
        <v>57</v>
      </c>
      <c r="E2852" s="616">
        <v>33.799999999999997</v>
      </c>
      <c r="F2852" s="4">
        <f t="shared" si="47"/>
        <v>5.9523809523808254E-3</v>
      </c>
      <c r="G2852" s="37">
        <v>30</v>
      </c>
      <c r="H2852" s="617">
        <v>45694</v>
      </c>
    </row>
    <row r="2853" spans="3:8" x14ac:dyDescent="0.25">
      <c r="C2853" s="615">
        <v>3</v>
      </c>
      <c r="D2853" s="615">
        <v>93</v>
      </c>
      <c r="E2853" s="616">
        <v>28.7</v>
      </c>
      <c r="F2853" s="4">
        <f t="shared" si="47"/>
        <v>2.1352313167259711E-2</v>
      </c>
      <c r="G2853" s="37">
        <v>30</v>
      </c>
      <c r="H2853" s="617">
        <v>45694</v>
      </c>
    </row>
    <row r="2854" spans="3:8" x14ac:dyDescent="0.25">
      <c r="C2854" s="615">
        <v>4</v>
      </c>
      <c r="D2854" s="615">
        <v>90</v>
      </c>
      <c r="E2854" s="616">
        <v>20.399999999999999</v>
      </c>
      <c r="F2854" s="4">
        <f t="shared" si="47"/>
        <v>-3.3175355450237101E-2</v>
      </c>
      <c r="G2854" s="37">
        <v>30</v>
      </c>
      <c r="H2854" s="617">
        <v>45694</v>
      </c>
    </row>
    <row r="2855" spans="3:8" x14ac:dyDescent="0.25">
      <c r="C2855" s="615">
        <v>5</v>
      </c>
      <c r="D2855" s="615">
        <v>65</v>
      </c>
      <c r="E2855" s="616">
        <v>38.799999999999997</v>
      </c>
      <c r="F2855" s="4">
        <f t="shared" si="47"/>
        <v>2.3746701846965663E-2</v>
      </c>
      <c r="G2855" s="37">
        <v>30</v>
      </c>
      <c r="H2855" s="617">
        <v>45694</v>
      </c>
    </row>
    <row r="2856" spans="3:8" x14ac:dyDescent="0.25">
      <c r="C2856" s="615">
        <v>6</v>
      </c>
      <c r="D2856" s="615">
        <v>0</v>
      </c>
      <c r="E2856" s="616"/>
      <c r="F2856" s="4" t="str">
        <f t="shared" si="47"/>
        <v/>
      </c>
      <c r="G2856" s="37">
        <v>30</v>
      </c>
      <c r="H2856" s="617">
        <v>45694</v>
      </c>
    </row>
    <row r="2857" spans="3:8" x14ac:dyDescent="0.25">
      <c r="C2857" s="615">
        <v>7</v>
      </c>
      <c r="D2857" s="615">
        <v>67</v>
      </c>
      <c r="E2857" s="616">
        <v>26.2</v>
      </c>
      <c r="F2857" s="4">
        <f t="shared" si="47"/>
        <v>-2.9629629629629655E-2</v>
      </c>
      <c r="G2857" s="37">
        <v>30</v>
      </c>
      <c r="H2857" s="617">
        <v>45694</v>
      </c>
    </row>
    <row r="2858" spans="3:8" x14ac:dyDescent="0.25">
      <c r="C2858" s="615">
        <v>8</v>
      </c>
      <c r="D2858" s="615">
        <v>74</v>
      </c>
      <c r="E2858" s="616">
        <v>19.8</v>
      </c>
      <c r="F2858" s="4">
        <f t="shared" si="47"/>
        <v>-1.4925373134328393E-2</v>
      </c>
      <c r="G2858" s="37">
        <v>30</v>
      </c>
      <c r="H2858" s="617">
        <v>45694</v>
      </c>
    </row>
    <row r="2859" spans="3:8" x14ac:dyDescent="0.25">
      <c r="C2859" s="615">
        <v>9</v>
      </c>
      <c r="D2859" s="615">
        <v>87</v>
      </c>
      <c r="E2859" s="616">
        <v>38.9</v>
      </c>
      <c r="F2859" s="4">
        <f t="shared" si="47"/>
        <v>8.3565459610027856E-2</v>
      </c>
      <c r="G2859" s="37">
        <v>30</v>
      </c>
      <c r="H2859" s="617">
        <v>45694</v>
      </c>
    </row>
    <row r="2860" spans="3:8" x14ac:dyDescent="0.25">
      <c r="C2860" s="615">
        <v>10</v>
      </c>
      <c r="D2860" s="615">
        <v>0</v>
      </c>
      <c r="E2860" s="616"/>
      <c r="F2860" s="4" t="str">
        <f t="shared" si="47"/>
        <v/>
      </c>
      <c r="G2860" s="37">
        <v>30</v>
      </c>
      <c r="H2860" s="617">
        <v>45694</v>
      </c>
    </row>
    <row r="2861" spans="3:8" x14ac:dyDescent="0.25">
      <c r="C2861" s="618" t="s">
        <v>0</v>
      </c>
      <c r="D2861" s="618" t="s">
        <v>7</v>
      </c>
      <c r="E2861" s="619" t="s">
        <v>4</v>
      </c>
      <c r="F2861" s="4" t="str">
        <f t="shared" si="47"/>
        <v/>
      </c>
      <c r="G2861" s="37">
        <v>30</v>
      </c>
      <c r="H2861" s="620">
        <v>45695</v>
      </c>
    </row>
    <row r="2862" spans="3:8" x14ac:dyDescent="0.25">
      <c r="C2862" s="618">
        <v>1</v>
      </c>
      <c r="D2862" s="618">
        <v>32</v>
      </c>
      <c r="E2862" s="619">
        <v>31.1</v>
      </c>
      <c r="F2862" s="4">
        <f t="shared" si="47"/>
        <v>-3.4161490683229857E-2</v>
      </c>
      <c r="G2862" s="37">
        <v>30</v>
      </c>
      <c r="H2862" s="620">
        <v>45695</v>
      </c>
    </row>
    <row r="2863" spans="3:8" x14ac:dyDescent="0.25">
      <c r="C2863" s="618">
        <v>2</v>
      </c>
      <c r="D2863" s="618">
        <v>57</v>
      </c>
      <c r="E2863" s="619">
        <v>35.200000000000003</v>
      </c>
      <c r="F2863" s="4">
        <f t="shared" si="47"/>
        <v>4.1420118343195436E-2</v>
      </c>
      <c r="G2863" s="37">
        <v>30</v>
      </c>
      <c r="H2863" s="620">
        <v>45695</v>
      </c>
    </row>
    <row r="2864" spans="3:8" x14ac:dyDescent="0.25">
      <c r="C2864" s="618">
        <v>3</v>
      </c>
      <c r="D2864" s="618">
        <v>93</v>
      </c>
      <c r="E2864" s="619">
        <v>28</v>
      </c>
      <c r="F2864" s="4">
        <f t="shared" si="47"/>
        <v>-2.4390243902439001E-2</v>
      </c>
      <c r="G2864" s="37">
        <v>30</v>
      </c>
      <c r="H2864" s="620">
        <v>45695</v>
      </c>
    </row>
    <row r="2865" spans="3:8" x14ac:dyDescent="0.25">
      <c r="C2865" s="618">
        <v>4</v>
      </c>
      <c r="D2865" s="618">
        <v>89</v>
      </c>
      <c r="E2865" s="619">
        <v>20.7</v>
      </c>
      <c r="F2865" s="4">
        <f t="shared" si="47"/>
        <v>1.4705882352941213E-2</v>
      </c>
      <c r="G2865" s="37">
        <v>30</v>
      </c>
      <c r="H2865" s="620">
        <v>45695</v>
      </c>
    </row>
    <row r="2866" spans="3:8" x14ac:dyDescent="0.25">
      <c r="C2866" s="618">
        <v>5</v>
      </c>
      <c r="D2866" s="618">
        <v>65</v>
      </c>
      <c r="E2866" s="619">
        <v>38.4</v>
      </c>
      <c r="F2866" s="4">
        <f t="shared" si="47"/>
        <v>-1.0309278350515427E-2</v>
      </c>
      <c r="G2866" s="37">
        <v>30</v>
      </c>
      <c r="H2866" s="620">
        <v>45695</v>
      </c>
    </row>
    <row r="2867" spans="3:8" x14ac:dyDescent="0.25">
      <c r="C2867" s="618">
        <v>6</v>
      </c>
      <c r="D2867" s="618">
        <v>0</v>
      </c>
      <c r="E2867" s="619"/>
      <c r="F2867" s="4" t="str">
        <f t="shared" si="47"/>
        <v/>
      </c>
      <c r="G2867" s="37">
        <v>30</v>
      </c>
      <c r="H2867" s="620">
        <v>45695</v>
      </c>
    </row>
    <row r="2868" spans="3:8" x14ac:dyDescent="0.25">
      <c r="C2868" s="618">
        <v>7</v>
      </c>
      <c r="D2868" s="618">
        <v>67</v>
      </c>
      <c r="E2868" s="619">
        <v>28.8</v>
      </c>
      <c r="F2868" s="4">
        <f t="shared" si="47"/>
        <v>9.92366412213741E-2</v>
      </c>
      <c r="G2868" s="37">
        <v>30</v>
      </c>
      <c r="H2868" s="620">
        <v>45695</v>
      </c>
    </row>
    <row r="2869" spans="3:8" x14ac:dyDescent="0.25">
      <c r="C2869" s="618">
        <v>8</v>
      </c>
      <c r="D2869" s="618">
        <v>74</v>
      </c>
      <c r="E2869" s="619">
        <v>19.399999999999999</v>
      </c>
      <c r="F2869" s="4">
        <f t="shared" si="47"/>
        <v>-2.0202020202020308E-2</v>
      </c>
      <c r="G2869" s="37">
        <v>30</v>
      </c>
      <c r="H2869" s="620">
        <v>45695</v>
      </c>
    </row>
    <row r="2870" spans="3:8" x14ac:dyDescent="0.25">
      <c r="C2870" s="618">
        <v>9</v>
      </c>
      <c r="D2870" s="618">
        <v>88</v>
      </c>
      <c r="E2870" s="619">
        <v>39.700000000000003</v>
      </c>
      <c r="F2870" s="4">
        <f t="shared" si="47"/>
        <v>2.0565552699228901E-2</v>
      </c>
      <c r="G2870" s="37">
        <v>30</v>
      </c>
      <c r="H2870" s="620">
        <v>45695</v>
      </c>
    </row>
    <row r="2871" spans="3:8" x14ac:dyDescent="0.25">
      <c r="C2871" s="618">
        <v>10</v>
      </c>
      <c r="D2871" s="618">
        <v>0</v>
      </c>
      <c r="E2871" s="619"/>
      <c r="F2871" s="4" t="str">
        <f t="shared" si="47"/>
        <v/>
      </c>
      <c r="G2871" s="37">
        <v>30</v>
      </c>
      <c r="H2871" s="620">
        <v>45695</v>
      </c>
    </row>
    <row r="2872" spans="3:8" x14ac:dyDescent="0.25">
      <c r="C2872" s="621" t="s">
        <v>8</v>
      </c>
      <c r="D2872" s="621" t="s">
        <v>9</v>
      </c>
      <c r="E2872" s="622" t="s">
        <v>10</v>
      </c>
      <c r="F2872" s="4" t="str">
        <f t="shared" si="47"/>
        <v/>
      </c>
      <c r="G2872" s="37">
        <v>30.3</v>
      </c>
      <c r="H2872" s="620">
        <v>45696</v>
      </c>
    </row>
    <row r="2873" spans="3:8" x14ac:dyDescent="0.25">
      <c r="C2873" s="621">
        <v>1</v>
      </c>
      <c r="D2873" s="621">
        <v>30</v>
      </c>
      <c r="E2873" s="622">
        <v>30</v>
      </c>
      <c r="F2873" s="4">
        <f t="shared" si="47"/>
        <v>-3.536977491961419E-2</v>
      </c>
      <c r="G2873" s="37">
        <v>30.3</v>
      </c>
      <c r="H2873" s="620">
        <v>45696</v>
      </c>
    </row>
    <row r="2874" spans="3:8" x14ac:dyDescent="0.25">
      <c r="C2874" s="621">
        <v>2</v>
      </c>
      <c r="D2874" s="621">
        <v>57</v>
      </c>
      <c r="E2874" s="622">
        <v>34.700000000000003</v>
      </c>
      <c r="F2874" s="4">
        <f t="shared" si="47"/>
        <v>-1.4204545454545454E-2</v>
      </c>
      <c r="G2874" s="37">
        <v>30.3</v>
      </c>
      <c r="H2874" s="620">
        <v>45696</v>
      </c>
    </row>
    <row r="2875" spans="3:8" x14ac:dyDescent="0.25">
      <c r="C2875" s="621">
        <v>3</v>
      </c>
      <c r="D2875" s="621">
        <v>94</v>
      </c>
      <c r="E2875" s="622">
        <v>29.3</v>
      </c>
      <c r="F2875" s="4">
        <f t="shared" si="47"/>
        <v>4.6428571428571451E-2</v>
      </c>
      <c r="G2875" s="37">
        <v>30.3</v>
      </c>
      <c r="H2875" s="620">
        <v>45696</v>
      </c>
    </row>
    <row r="2876" spans="3:8" x14ac:dyDescent="0.25">
      <c r="C2876" s="621">
        <v>4</v>
      </c>
      <c r="D2876" s="621">
        <v>90</v>
      </c>
      <c r="E2876" s="622">
        <v>20.5</v>
      </c>
      <c r="F2876" s="4">
        <f t="shared" si="47"/>
        <v>-9.6618357487922371E-3</v>
      </c>
      <c r="G2876" s="37">
        <v>30.3</v>
      </c>
      <c r="H2876" s="620">
        <v>45696</v>
      </c>
    </row>
    <row r="2877" spans="3:8" x14ac:dyDescent="0.25">
      <c r="C2877" s="621">
        <v>5</v>
      </c>
      <c r="D2877" s="621">
        <v>66</v>
      </c>
      <c r="E2877" s="622">
        <v>39.9</v>
      </c>
      <c r="F2877" s="4">
        <f t="shared" ref="F2877:F2940" si="48">IFERROR((E2877-E2866)/E2866,"")</f>
        <v>3.90625E-2</v>
      </c>
      <c r="G2877" s="37">
        <v>30.3</v>
      </c>
      <c r="H2877" s="620">
        <v>45696</v>
      </c>
    </row>
    <row r="2878" spans="3:8" x14ac:dyDescent="0.25">
      <c r="C2878" s="621">
        <v>6</v>
      </c>
      <c r="D2878" s="621">
        <v>0</v>
      </c>
      <c r="E2878" s="622"/>
      <c r="F2878" s="4" t="str">
        <f t="shared" si="48"/>
        <v/>
      </c>
      <c r="G2878" s="37">
        <v>30.3</v>
      </c>
      <c r="H2878" s="620">
        <v>45696</v>
      </c>
    </row>
    <row r="2879" spans="3:8" x14ac:dyDescent="0.25">
      <c r="C2879" s="621">
        <v>7</v>
      </c>
      <c r="D2879" s="621">
        <v>67</v>
      </c>
      <c r="E2879" s="622">
        <v>27.5</v>
      </c>
      <c r="F2879" s="4">
        <f t="shared" si="48"/>
        <v>-4.5138888888888916E-2</v>
      </c>
      <c r="G2879" s="37">
        <v>30.3</v>
      </c>
      <c r="H2879" s="620">
        <v>45696</v>
      </c>
    </row>
    <row r="2880" spans="3:8" x14ac:dyDescent="0.25">
      <c r="C2880" s="621">
        <v>8</v>
      </c>
      <c r="D2880" s="621">
        <v>72</v>
      </c>
      <c r="E2880" s="622">
        <v>20.2</v>
      </c>
      <c r="F2880" s="4">
        <f t="shared" si="48"/>
        <v>4.1237113402061897E-2</v>
      </c>
      <c r="G2880" s="37">
        <v>30.3</v>
      </c>
      <c r="H2880" s="620">
        <v>45696</v>
      </c>
    </row>
    <row r="2881" spans="3:8" x14ac:dyDescent="0.25">
      <c r="C2881" s="621">
        <v>9</v>
      </c>
      <c r="D2881" s="621">
        <v>89</v>
      </c>
      <c r="E2881" s="622">
        <v>39</v>
      </c>
      <c r="F2881" s="4">
        <f t="shared" si="48"/>
        <v>-1.7632241813602085E-2</v>
      </c>
      <c r="G2881" s="37">
        <v>30.3</v>
      </c>
      <c r="H2881" s="620">
        <v>45696</v>
      </c>
    </row>
    <row r="2882" spans="3:8" x14ac:dyDescent="0.25">
      <c r="C2882" s="621">
        <v>10</v>
      </c>
      <c r="D2882" s="621">
        <v>0</v>
      </c>
      <c r="E2882" s="622"/>
      <c r="F2882" s="4" t="str">
        <f t="shared" si="48"/>
        <v/>
      </c>
      <c r="G2882" s="37">
        <v>30.3</v>
      </c>
      <c r="H2882" s="620">
        <v>45696</v>
      </c>
    </row>
    <row r="2883" spans="3:8" x14ac:dyDescent="0.25">
      <c r="C2883" s="623" t="s">
        <v>0</v>
      </c>
      <c r="D2883" s="623" t="s">
        <v>7</v>
      </c>
      <c r="E2883" s="624" t="s">
        <v>4</v>
      </c>
      <c r="F2883" s="4" t="str">
        <f t="shared" si="48"/>
        <v/>
      </c>
      <c r="G2883" s="37">
        <v>28.3</v>
      </c>
      <c r="H2883" s="625">
        <v>45697</v>
      </c>
    </row>
    <row r="2884" spans="3:8" x14ac:dyDescent="0.25">
      <c r="C2884" s="623">
        <v>1</v>
      </c>
      <c r="D2884" s="623">
        <v>27</v>
      </c>
      <c r="E2884" s="624">
        <v>29.4</v>
      </c>
      <c r="F2884" s="4">
        <f t="shared" si="48"/>
        <v>-2.0000000000000049E-2</v>
      </c>
      <c r="G2884" s="37">
        <v>28.3</v>
      </c>
      <c r="H2884" s="625">
        <v>45697</v>
      </c>
    </row>
    <row r="2885" spans="3:8" x14ac:dyDescent="0.25">
      <c r="C2885" s="623">
        <v>2</v>
      </c>
      <c r="D2885" s="623">
        <v>57</v>
      </c>
      <c r="E2885" s="624">
        <v>33.299999999999997</v>
      </c>
      <c r="F2885" s="4">
        <f t="shared" si="48"/>
        <v>-4.0345821325648575E-2</v>
      </c>
      <c r="G2885" s="37">
        <v>28.3</v>
      </c>
      <c r="H2885" s="625">
        <v>45697</v>
      </c>
    </row>
    <row r="2886" spans="3:8" x14ac:dyDescent="0.25">
      <c r="C2886" s="623">
        <v>3</v>
      </c>
      <c r="D2886" s="623">
        <v>94</v>
      </c>
      <c r="E2886" s="624">
        <v>26.8</v>
      </c>
      <c r="F2886" s="4">
        <f t="shared" si="48"/>
        <v>-8.5324232081911255E-2</v>
      </c>
      <c r="G2886" s="37">
        <v>28.3</v>
      </c>
      <c r="H2886" s="625">
        <v>45697</v>
      </c>
    </row>
    <row r="2887" spans="3:8" x14ac:dyDescent="0.25">
      <c r="C2887" s="623">
        <v>4</v>
      </c>
      <c r="D2887" s="623">
        <v>89</v>
      </c>
      <c r="E2887" s="624">
        <v>18.5</v>
      </c>
      <c r="F2887" s="4">
        <f t="shared" si="48"/>
        <v>-9.7560975609756101E-2</v>
      </c>
      <c r="G2887" s="37">
        <v>28.3</v>
      </c>
      <c r="H2887" s="625">
        <v>45697</v>
      </c>
    </row>
    <row r="2888" spans="3:8" x14ac:dyDescent="0.25">
      <c r="C2888" s="623">
        <v>5</v>
      </c>
      <c r="D2888" s="623">
        <v>66</v>
      </c>
      <c r="E2888" s="624">
        <v>37.1</v>
      </c>
      <c r="F2888" s="4">
        <f t="shared" si="48"/>
        <v>-7.0175438596491155E-2</v>
      </c>
      <c r="G2888" s="37">
        <v>28.3</v>
      </c>
      <c r="H2888" s="625">
        <v>45697</v>
      </c>
    </row>
    <row r="2889" spans="3:8" x14ac:dyDescent="0.25">
      <c r="C2889" s="623">
        <v>6</v>
      </c>
      <c r="D2889" s="623">
        <v>0</v>
      </c>
      <c r="E2889" s="624"/>
      <c r="F2889" s="4" t="str">
        <f t="shared" si="48"/>
        <v/>
      </c>
      <c r="G2889" s="37">
        <v>28.3</v>
      </c>
      <c r="H2889" s="625">
        <v>45697</v>
      </c>
    </row>
    <row r="2890" spans="3:8" x14ac:dyDescent="0.25">
      <c r="C2890" s="623">
        <v>7</v>
      </c>
      <c r="D2890" s="623">
        <v>67</v>
      </c>
      <c r="E2890" s="624">
        <v>26</v>
      </c>
      <c r="F2890" s="4">
        <f t="shared" si="48"/>
        <v>-5.4545454545454543E-2</v>
      </c>
      <c r="G2890" s="37">
        <v>28.3</v>
      </c>
      <c r="H2890" s="625">
        <v>45697</v>
      </c>
    </row>
    <row r="2891" spans="3:8" x14ac:dyDescent="0.25">
      <c r="C2891" s="623">
        <v>8</v>
      </c>
      <c r="D2891" s="623">
        <v>72</v>
      </c>
      <c r="E2891" s="624">
        <v>17.8</v>
      </c>
      <c r="F2891" s="4">
        <f t="shared" si="48"/>
        <v>-0.11881188118811875</v>
      </c>
      <c r="G2891" s="37">
        <v>28.3</v>
      </c>
      <c r="H2891" s="625">
        <v>45697</v>
      </c>
    </row>
    <row r="2892" spans="3:8" x14ac:dyDescent="0.25">
      <c r="C2892" s="623">
        <v>9</v>
      </c>
      <c r="D2892" s="623">
        <v>89</v>
      </c>
      <c r="E2892" s="624">
        <v>34.9</v>
      </c>
      <c r="F2892" s="4">
        <f t="shared" si="48"/>
        <v>-0.10512820512820517</v>
      </c>
      <c r="G2892" s="37">
        <v>28.3</v>
      </c>
      <c r="H2892" s="625">
        <v>45697</v>
      </c>
    </row>
    <row r="2893" spans="3:8" x14ac:dyDescent="0.25">
      <c r="C2893" s="623">
        <v>10</v>
      </c>
      <c r="D2893" s="623">
        <v>0</v>
      </c>
      <c r="E2893" s="624"/>
      <c r="F2893" s="4" t="str">
        <f t="shared" si="48"/>
        <v/>
      </c>
      <c r="G2893" s="37">
        <v>28.3</v>
      </c>
      <c r="H2893" s="625">
        <v>45697</v>
      </c>
    </row>
    <row r="2894" spans="3:8" x14ac:dyDescent="0.25">
      <c r="C2894" s="626" t="s">
        <v>0</v>
      </c>
      <c r="D2894" s="626" t="s">
        <v>7</v>
      </c>
      <c r="E2894" s="627" t="s">
        <v>4</v>
      </c>
      <c r="F2894" s="4" t="str">
        <f t="shared" si="48"/>
        <v/>
      </c>
      <c r="G2894" s="37">
        <v>30</v>
      </c>
      <c r="H2894" s="628">
        <v>45698</v>
      </c>
    </row>
    <row r="2895" spans="3:8" x14ac:dyDescent="0.25">
      <c r="C2895" s="626">
        <v>1</v>
      </c>
      <c r="D2895" s="626">
        <v>26</v>
      </c>
      <c r="E2895" s="627">
        <v>29.4</v>
      </c>
      <c r="F2895" s="4">
        <f t="shared" si="48"/>
        <v>0</v>
      </c>
      <c r="G2895" s="37">
        <v>30</v>
      </c>
      <c r="H2895" s="628">
        <v>45698</v>
      </c>
    </row>
    <row r="2896" spans="3:8" x14ac:dyDescent="0.25">
      <c r="C2896" s="626">
        <v>2</v>
      </c>
      <c r="D2896" s="626">
        <v>57</v>
      </c>
      <c r="E2896" s="627">
        <v>34.299999999999997</v>
      </c>
      <c r="F2896" s="4">
        <f t="shared" si="48"/>
        <v>3.0030030030030033E-2</v>
      </c>
      <c r="G2896" s="37">
        <v>30</v>
      </c>
      <c r="H2896" s="628">
        <v>45698</v>
      </c>
    </row>
    <row r="2897" spans="3:8" x14ac:dyDescent="0.25">
      <c r="C2897" s="626">
        <v>3</v>
      </c>
      <c r="D2897" s="626">
        <v>94</v>
      </c>
      <c r="E2897" s="627">
        <v>28.2</v>
      </c>
      <c r="F2897" s="4">
        <f t="shared" si="48"/>
        <v>5.2238805970149196E-2</v>
      </c>
      <c r="G2897" s="37">
        <v>30</v>
      </c>
      <c r="H2897" s="628">
        <v>45698</v>
      </c>
    </row>
    <row r="2898" spans="3:8" x14ac:dyDescent="0.25">
      <c r="C2898" s="626">
        <v>4</v>
      </c>
      <c r="D2898" s="626">
        <v>89</v>
      </c>
      <c r="E2898" s="627">
        <v>20.2</v>
      </c>
      <c r="F2898" s="4">
        <f t="shared" si="48"/>
        <v>9.1891891891891855E-2</v>
      </c>
      <c r="G2898" s="37">
        <v>30</v>
      </c>
      <c r="H2898" s="628">
        <v>45698</v>
      </c>
    </row>
    <row r="2899" spans="3:8" x14ac:dyDescent="0.25">
      <c r="C2899" s="626">
        <v>5</v>
      </c>
      <c r="D2899" s="626">
        <v>66</v>
      </c>
      <c r="E2899" s="627">
        <v>39.299999999999997</v>
      </c>
      <c r="F2899" s="4">
        <f t="shared" si="48"/>
        <v>5.9299191374662955E-2</v>
      </c>
      <c r="G2899" s="37">
        <v>30</v>
      </c>
      <c r="H2899" s="628">
        <v>45698</v>
      </c>
    </row>
    <row r="2900" spans="3:8" x14ac:dyDescent="0.25">
      <c r="C2900" s="626">
        <v>6</v>
      </c>
      <c r="D2900" s="626">
        <v>0</v>
      </c>
      <c r="E2900" s="627"/>
      <c r="F2900" s="4" t="str">
        <f t="shared" si="48"/>
        <v/>
      </c>
      <c r="G2900" s="37">
        <v>30</v>
      </c>
      <c r="H2900" s="628">
        <v>45698</v>
      </c>
    </row>
    <row r="2901" spans="3:8" x14ac:dyDescent="0.25">
      <c r="C2901" s="626">
        <v>7</v>
      </c>
      <c r="D2901" s="626">
        <v>67</v>
      </c>
      <c r="E2901" s="627">
        <v>27.8</v>
      </c>
      <c r="F2901" s="4">
        <f t="shared" si="48"/>
        <v>6.9230769230769262E-2</v>
      </c>
      <c r="G2901" s="37">
        <v>30</v>
      </c>
      <c r="H2901" s="628">
        <v>45698</v>
      </c>
    </row>
    <row r="2902" spans="3:8" x14ac:dyDescent="0.25">
      <c r="C2902" s="626">
        <v>8</v>
      </c>
      <c r="D2902" s="626">
        <v>71</v>
      </c>
      <c r="E2902" s="627">
        <v>19.7</v>
      </c>
      <c r="F2902" s="4">
        <f t="shared" si="48"/>
        <v>0.10674157303370778</v>
      </c>
      <c r="G2902" s="37">
        <v>30</v>
      </c>
      <c r="H2902" s="628">
        <v>45698</v>
      </c>
    </row>
    <row r="2903" spans="3:8" x14ac:dyDescent="0.25">
      <c r="C2903" s="626">
        <v>9</v>
      </c>
      <c r="D2903" s="626">
        <v>89</v>
      </c>
      <c r="E2903" s="627">
        <v>38.700000000000003</v>
      </c>
      <c r="F2903" s="4">
        <f t="shared" si="48"/>
        <v>0.10888252148997148</v>
      </c>
      <c r="G2903" s="37">
        <v>30</v>
      </c>
      <c r="H2903" s="628">
        <v>45698</v>
      </c>
    </row>
    <row r="2904" spans="3:8" x14ac:dyDescent="0.25">
      <c r="C2904" s="626">
        <v>10</v>
      </c>
      <c r="D2904" s="626">
        <v>0</v>
      </c>
      <c r="E2904" s="627"/>
      <c r="F2904" s="4" t="str">
        <f t="shared" si="48"/>
        <v/>
      </c>
      <c r="G2904" s="37">
        <v>30</v>
      </c>
      <c r="H2904" s="628">
        <v>45698</v>
      </c>
    </row>
    <row r="2905" spans="3:8" x14ac:dyDescent="0.25">
      <c r="C2905" s="629" t="s">
        <v>0</v>
      </c>
      <c r="D2905" s="629" t="s">
        <v>7</v>
      </c>
      <c r="E2905" s="630" t="s">
        <v>4</v>
      </c>
      <c r="F2905" s="4" t="str">
        <f t="shared" si="48"/>
        <v/>
      </c>
      <c r="G2905" s="37">
        <v>29.3</v>
      </c>
      <c r="H2905" s="631">
        <v>45699</v>
      </c>
    </row>
    <row r="2906" spans="3:8" x14ac:dyDescent="0.25">
      <c r="C2906" s="629">
        <v>1</v>
      </c>
      <c r="D2906" s="629">
        <v>19</v>
      </c>
      <c r="E2906" s="630">
        <v>33.799999999999997</v>
      </c>
      <c r="F2906" s="4">
        <f t="shared" si="48"/>
        <v>0.1496598639455782</v>
      </c>
      <c r="G2906" s="37">
        <v>29.3</v>
      </c>
      <c r="H2906" s="631">
        <v>45699</v>
      </c>
    </row>
    <row r="2907" spans="3:8" x14ac:dyDescent="0.25">
      <c r="C2907" s="629">
        <v>2</v>
      </c>
      <c r="D2907" s="629">
        <v>60</v>
      </c>
      <c r="E2907" s="630">
        <v>33.799999999999997</v>
      </c>
      <c r="F2907" s="4">
        <f t="shared" si="48"/>
        <v>-1.457725947521866E-2</v>
      </c>
      <c r="G2907" s="37">
        <v>29.3</v>
      </c>
      <c r="H2907" s="631">
        <v>45699</v>
      </c>
    </row>
    <row r="2908" spans="3:8" x14ac:dyDescent="0.25">
      <c r="C2908" s="629">
        <v>3</v>
      </c>
      <c r="D2908" s="629">
        <v>95</v>
      </c>
      <c r="E2908" s="630">
        <v>28</v>
      </c>
      <c r="F2908" s="4">
        <f t="shared" si="48"/>
        <v>-7.0921985815602584E-3</v>
      </c>
      <c r="G2908" s="37">
        <v>29.3</v>
      </c>
      <c r="H2908" s="631">
        <v>45699</v>
      </c>
    </row>
    <row r="2909" spans="3:8" x14ac:dyDescent="0.25">
      <c r="C2909" s="629">
        <v>4</v>
      </c>
      <c r="D2909" s="629">
        <v>88</v>
      </c>
      <c r="E2909" s="630">
        <v>19.399999999999999</v>
      </c>
      <c r="F2909" s="4">
        <f t="shared" si="48"/>
        <v>-3.9603960396039639E-2</v>
      </c>
      <c r="G2909" s="37">
        <v>29.3</v>
      </c>
      <c r="H2909" s="631">
        <v>45699</v>
      </c>
    </row>
    <row r="2910" spans="3:8" x14ac:dyDescent="0.25">
      <c r="C2910" s="629">
        <v>5</v>
      </c>
      <c r="D2910" s="629">
        <v>70</v>
      </c>
      <c r="E2910" s="630">
        <v>37.200000000000003</v>
      </c>
      <c r="F2910" s="4">
        <f t="shared" si="48"/>
        <v>-5.3435114503816654E-2</v>
      </c>
      <c r="G2910" s="37">
        <v>29.3</v>
      </c>
      <c r="H2910" s="631">
        <v>45699</v>
      </c>
    </row>
    <row r="2911" spans="3:8" x14ac:dyDescent="0.25">
      <c r="C2911" s="629">
        <v>6</v>
      </c>
      <c r="D2911" s="629">
        <v>0</v>
      </c>
      <c r="E2911" s="630"/>
      <c r="F2911" s="4" t="str">
        <f t="shared" si="48"/>
        <v/>
      </c>
      <c r="G2911" s="37">
        <v>29.3</v>
      </c>
      <c r="H2911" s="631">
        <v>45699</v>
      </c>
    </row>
    <row r="2912" spans="3:8" x14ac:dyDescent="0.25">
      <c r="C2912" s="629">
        <v>7</v>
      </c>
      <c r="D2912" s="629">
        <v>67</v>
      </c>
      <c r="E2912" s="630">
        <v>26.6</v>
      </c>
      <c r="F2912" s="4">
        <f t="shared" si="48"/>
        <v>-4.3165467625899255E-2</v>
      </c>
      <c r="G2912" s="37">
        <v>29.3</v>
      </c>
      <c r="H2912" s="631">
        <v>45699</v>
      </c>
    </row>
    <row r="2913" spans="3:8" x14ac:dyDescent="0.25">
      <c r="C2913" s="629">
        <v>8</v>
      </c>
      <c r="D2913" s="629">
        <v>71</v>
      </c>
      <c r="E2913" s="630">
        <v>18.100000000000001</v>
      </c>
      <c r="F2913" s="4">
        <f t="shared" si="48"/>
        <v>-8.1218274111675023E-2</v>
      </c>
      <c r="G2913" s="37">
        <v>29.3</v>
      </c>
      <c r="H2913" s="631">
        <v>45699</v>
      </c>
    </row>
    <row r="2914" spans="3:8" x14ac:dyDescent="0.25">
      <c r="C2914" s="629">
        <v>9</v>
      </c>
      <c r="D2914" s="629">
        <v>90</v>
      </c>
      <c r="E2914" s="630">
        <v>38.299999999999997</v>
      </c>
      <c r="F2914" s="4">
        <f t="shared" si="48"/>
        <v>-1.0335917312661645E-2</v>
      </c>
      <c r="G2914" s="37">
        <v>29.3</v>
      </c>
      <c r="H2914" s="631">
        <v>45699</v>
      </c>
    </row>
    <row r="2915" spans="3:8" x14ac:dyDescent="0.25">
      <c r="C2915" s="629">
        <v>10</v>
      </c>
      <c r="D2915" s="629">
        <v>0</v>
      </c>
      <c r="E2915" s="630"/>
      <c r="F2915" s="4" t="str">
        <f t="shared" si="48"/>
        <v/>
      </c>
      <c r="G2915" s="37">
        <v>29.3</v>
      </c>
      <c r="H2915" s="631">
        <v>45699</v>
      </c>
    </row>
    <row r="2916" spans="3:8" x14ac:dyDescent="0.25">
      <c r="C2916" s="632" t="s">
        <v>0</v>
      </c>
      <c r="D2916" s="632" t="s">
        <v>7</v>
      </c>
      <c r="E2916" s="633" t="s">
        <v>4</v>
      </c>
      <c r="F2916" s="4" t="str">
        <f t="shared" si="48"/>
        <v/>
      </c>
      <c r="G2916" s="37">
        <v>29.5</v>
      </c>
      <c r="H2916" s="634">
        <v>45700</v>
      </c>
    </row>
    <row r="2917" spans="3:8" x14ac:dyDescent="0.25">
      <c r="C2917" s="632">
        <v>1</v>
      </c>
      <c r="D2917" s="632">
        <v>17</v>
      </c>
      <c r="E2917" s="633">
        <v>32.1</v>
      </c>
      <c r="F2917" s="4">
        <f t="shared" si="48"/>
        <v>-5.0295857988165556E-2</v>
      </c>
      <c r="G2917" s="37">
        <v>29.5</v>
      </c>
      <c r="H2917" s="634">
        <v>45700</v>
      </c>
    </row>
    <row r="2918" spans="3:8" x14ac:dyDescent="0.25">
      <c r="C2918" s="632">
        <v>2</v>
      </c>
      <c r="D2918" s="632">
        <v>60</v>
      </c>
      <c r="E2918" s="633">
        <v>33.1</v>
      </c>
      <c r="F2918" s="4">
        <f t="shared" si="48"/>
        <v>-2.071005917159751E-2</v>
      </c>
      <c r="G2918" s="37">
        <v>29.5</v>
      </c>
      <c r="H2918" s="634">
        <v>45700</v>
      </c>
    </row>
    <row r="2919" spans="3:8" x14ac:dyDescent="0.25">
      <c r="C2919" s="632">
        <v>3</v>
      </c>
      <c r="D2919" s="632">
        <v>95</v>
      </c>
      <c r="E2919" s="633">
        <v>27.6</v>
      </c>
      <c r="F2919" s="4">
        <f t="shared" si="48"/>
        <v>-1.4285714285714235E-2</v>
      </c>
      <c r="G2919" s="37">
        <v>29.5</v>
      </c>
      <c r="H2919" s="634">
        <v>45700</v>
      </c>
    </row>
    <row r="2920" spans="3:8" x14ac:dyDescent="0.25">
      <c r="C2920" s="632">
        <v>4</v>
      </c>
      <c r="D2920" s="632">
        <v>88</v>
      </c>
      <c r="E2920" s="633">
        <v>19.600000000000001</v>
      </c>
      <c r="F2920" s="4">
        <f t="shared" si="48"/>
        <v>1.0309278350515611E-2</v>
      </c>
      <c r="G2920" s="37">
        <v>29.5</v>
      </c>
      <c r="H2920" s="634">
        <v>45700</v>
      </c>
    </row>
    <row r="2921" spans="3:8" x14ac:dyDescent="0.25">
      <c r="C2921" s="632">
        <v>5</v>
      </c>
      <c r="D2921" s="632">
        <v>71</v>
      </c>
      <c r="E2921" s="633">
        <v>37.799999999999997</v>
      </c>
      <c r="F2921" s="4">
        <f t="shared" si="48"/>
        <v>1.6129032258064363E-2</v>
      </c>
      <c r="G2921" s="37">
        <v>29.5</v>
      </c>
      <c r="H2921" s="634">
        <v>45700</v>
      </c>
    </row>
    <row r="2922" spans="3:8" x14ac:dyDescent="0.25">
      <c r="C2922" s="632">
        <v>6</v>
      </c>
      <c r="D2922" s="632">
        <v>0</v>
      </c>
      <c r="E2922" s="633"/>
      <c r="F2922" s="4" t="str">
        <f t="shared" si="48"/>
        <v/>
      </c>
      <c r="G2922" s="37">
        <v>29.5</v>
      </c>
      <c r="H2922" s="634">
        <v>45700</v>
      </c>
    </row>
    <row r="2923" spans="3:8" x14ac:dyDescent="0.25">
      <c r="C2923" s="632">
        <v>7</v>
      </c>
      <c r="D2923" s="632">
        <v>67</v>
      </c>
      <c r="E2923" s="633">
        <v>26.7</v>
      </c>
      <c r="F2923" s="4">
        <f t="shared" si="48"/>
        <v>3.7593984962405211E-3</v>
      </c>
      <c r="G2923" s="37">
        <v>29.5</v>
      </c>
      <c r="H2923" s="634">
        <v>45700</v>
      </c>
    </row>
    <row r="2924" spans="3:8" x14ac:dyDescent="0.25">
      <c r="C2924" s="632">
        <v>8</v>
      </c>
      <c r="D2924" s="632">
        <v>71</v>
      </c>
      <c r="E2924" s="633">
        <v>18.600000000000001</v>
      </c>
      <c r="F2924" s="4">
        <f t="shared" si="48"/>
        <v>2.7624309392265192E-2</v>
      </c>
      <c r="G2924" s="37">
        <v>29.5</v>
      </c>
      <c r="H2924" s="634">
        <v>45700</v>
      </c>
    </row>
    <row r="2925" spans="3:8" x14ac:dyDescent="0.25">
      <c r="C2925" s="632">
        <v>9</v>
      </c>
      <c r="D2925" s="632">
        <v>90</v>
      </c>
      <c r="E2925" s="633">
        <v>41</v>
      </c>
      <c r="F2925" s="4">
        <f t="shared" si="48"/>
        <v>7.0496083550913913E-2</v>
      </c>
      <c r="G2925" s="37">
        <v>29.5</v>
      </c>
      <c r="H2925" s="634">
        <v>45700</v>
      </c>
    </row>
    <row r="2926" spans="3:8" x14ac:dyDescent="0.25">
      <c r="C2926" s="632">
        <v>10</v>
      </c>
      <c r="D2926" s="632">
        <v>0</v>
      </c>
      <c r="E2926" s="633"/>
      <c r="F2926" s="4" t="str">
        <f t="shared" si="48"/>
        <v/>
      </c>
      <c r="G2926" s="37">
        <v>29.5</v>
      </c>
      <c r="H2926" s="634">
        <v>45700</v>
      </c>
    </row>
    <row r="2927" spans="3:8" x14ac:dyDescent="0.25">
      <c r="C2927" s="635" t="s">
        <v>0</v>
      </c>
      <c r="D2927" s="635" t="s">
        <v>7</v>
      </c>
      <c r="E2927" s="636" t="s">
        <v>4</v>
      </c>
      <c r="F2927" s="4" t="str">
        <f t="shared" si="48"/>
        <v/>
      </c>
      <c r="G2927" s="37">
        <v>29.9</v>
      </c>
      <c r="H2927" s="637">
        <v>45701</v>
      </c>
    </row>
    <row r="2928" spans="3:8" x14ac:dyDescent="0.25">
      <c r="C2928" s="635">
        <v>1</v>
      </c>
      <c r="D2928" s="635">
        <v>19</v>
      </c>
      <c r="E2928" s="636">
        <v>31.5</v>
      </c>
      <c r="F2928" s="4">
        <f t="shared" si="48"/>
        <v>-1.8691588785046773E-2</v>
      </c>
      <c r="G2928" s="37">
        <v>29.9</v>
      </c>
      <c r="H2928" s="637">
        <v>45701</v>
      </c>
    </row>
    <row r="2929" spans="3:8" x14ac:dyDescent="0.25">
      <c r="C2929" s="635">
        <v>2</v>
      </c>
      <c r="D2929" s="635">
        <v>60</v>
      </c>
      <c r="E2929" s="636">
        <v>33.799999999999997</v>
      </c>
      <c r="F2929" s="4">
        <f t="shared" si="48"/>
        <v>2.1148036253776304E-2</v>
      </c>
      <c r="G2929" s="37">
        <v>29.9</v>
      </c>
      <c r="H2929" s="637">
        <v>45701</v>
      </c>
    </row>
    <row r="2930" spans="3:8" x14ac:dyDescent="0.25">
      <c r="C2930" s="635">
        <v>3</v>
      </c>
      <c r="D2930" s="635">
        <v>95</v>
      </c>
      <c r="E2930" s="636">
        <v>28.1</v>
      </c>
      <c r="F2930" s="4">
        <f t="shared" si="48"/>
        <v>1.8115942028985508E-2</v>
      </c>
      <c r="G2930" s="37">
        <v>29.9</v>
      </c>
      <c r="H2930" s="637">
        <v>45701</v>
      </c>
    </row>
    <row r="2931" spans="3:8" x14ac:dyDescent="0.25">
      <c r="C2931" s="635">
        <v>4</v>
      </c>
      <c r="D2931" s="635">
        <v>87</v>
      </c>
      <c r="E2931" s="636">
        <v>20</v>
      </c>
      <c r="F2931" s="4">
        <f t="shared" si="48"/>
        <v>2.0408163265306048E-2</v>
      </c>
      <c r="G2931" s="37">
        <v>29.9</v>
      </c>
      <c r="H2931" s="637">
        <v>45701</v>
      </c>
    </row>
    <row r="2932" spans="3:8" x14ac:dyDescent="0.25">
      <c r="C2932" s="635">
        <v>5</v>
      </c>
      <c r="D2932" s="635">
        <v>71</v>
      </c>
      <c r="E2932" s="636">
        <v>39.4</v>
      </c>
      <c r="F2932" s="4">
        <f t="shared" si="48"/>
        <v>4.2328042328042367E-2</v>
      </c>
      <c r="G2932" s="37">
        <v>29.9</v>
      </c>
      <c r="H2932" s="637">
        <v>45701</v>
      </c>
    </row>
    <row r="2933" spans="3:8" x14ac:dyDescent="0.25">
      <c r="C2933" s="635">
        <v>6</v>
      </c>
      <c r="D2933" s="635">
        <v>0</v>
      </c>
      <c r="E2933" s="636"/>
      <c r="F2933" s="4" t="str">
        <f t="shared" si="48"/>
        <v/>
      </c>
      <c r="G2933" s="37">
        <v>29.9</v>
      </c>
      <c r="H2933" s="637">
        <v>45701</v>
      </c>
    </row>
    <row r="2934" spans="3:8" x14ac:dyDescent="0.25">
      <c r="C2934" s="635">
        <v>7</v>
      </c>
      <c r="D2934" s="635">
        <v>66</v>
      </c>
      <c r="E2934" s="636">
        <v>27.3</v>
      </c>
      <c r="F2934" s="4">
        <f t="shared" si="48"/>
        <v>2.2471910112359605E-2</v>
      </c>
      <c r="G2934" s="37">
        <v>29.9</v>
      </c>
      <c r="H2934" s="637">
        <v>45701</v>
      </c>
    </row>
    <row r="2935" spans="3:8" x14ac:dyDescent="0.25">
      <c r="C2935" s="635">
        <v>8</v>
      </c>
      <c r="D2935" s="635">
        <v>71</v>
      </c>
      <c r="E2935" s="636">
        <v>19</v>
      </c>
      <c r="F2935" s="4">
        <f t="shared" si="48"/>
        <v>2.1505376344085943E-2</v>
      </c>
      <c r="G2935" s="37">
        <v>29.9</v>
      </c>
      <c r="H2935" s="637">
        <v>45701</v>
      </c>
    </row>
    <row r="2936" spans="3:8" x14ac:dyDescent="0.25">
      <c r="C2936" s="635">
        <v>9</v>
      </c>
      <c r="D2936" s="635">
        <v>90</v>
      </c>
      <c r="E2936" s="636">
        <v>39</v>
      </c>
      <c r="F2936" s="4">
        <f t="shared" si="48"/>
        <v>-4.878048780487805E-2</v>
      </c>
      <c r="G2936" s="37">
        <v>29.9</v>
      </c>
      <c r="H2936" s="637">
        <v>45701</v>
      </c>
    </row>
    <row r="2937" spans="3:8" x14ac:dyDescent="0.25">
      <c r="C2937" s="635">
        <v>10</v>
      </c>
      <c r="D2937" s="635">
        <v>0</v>
      </c>
      <c r="E2937" s="636"/>
      <c r="F2937" s="4" t="str">
        <f t="shared" si="48"/>
        <v/>
      </c>
      <c r="G2937" s="37">
        <v>29.9</v>
      </c>
      <c r="H2937" s="637">
        <v>45701</v>
      </c>
    </row>
    <row r="2938" spans="3:8" x14ac:dyDescent="0.25">
      <c r="C2938" s="638" t="s">
        <v>0</v>
      </c>
      <c r="D2938" s="638" t="s">
        <v>7</v>
      </c>
      <c r="E2938" s="639" t="s">
        <v>4</v>
      </c>
      <c r="F2938" s="4" t="str">
        <f t="shared" si="48"/>
        <v/>
      </c>
      <c r="G2938" s="37">
        <v>29.8</v>
      </c>
      <c r="H2938" s="640">
        <v>45702</v>
      </c>
    </row>
    <row r="2939" spans="3:8" x14ac:dyDescent="0.25">
      <c r="C2939" s="638">
        <v>1</v>
      </c>
      <c r="D2939" s="638">
        <v>25</v>
      </c>
      <c r="E2939" s="639">
        <v>31.7</v>
      </c>
      <c r="F2939" s="4">
        <f t="shared" si="48"/>
        <v>6.3492063492063266E-3</v>
      </c>
      <c r="G2939" s="37">
        <v>29.8</v>
      </c>
      <c r="H2939" s="640">
        <v>45702</v>
      </c>
    </row>
    <row r="2940" spans="3:8" x14ac:dyDescent="0.25">
      <c r="C2940" s="638">
        <v>2</v>
      </c>
      <c r="D2940" s="638">
        <v>60</v>
      </c>
      <c r="E2940" s="639">
        <v>33.700000000000003</v>
      </c>
      <c r="F2940" s="4">
        <f t="shared" si="48"/>
        <v>-2.9585798816566368E-3</v>
      </c>
      <c r="G2940" s="37">
        <v>29.8</v>
      </c>
      <c r="H2940" s="640">
        <v>45702</v>
      </c>
    </row>
    <row r="2941" spans="3:8" x14ac:dyDescent="0.25">
      <c r="C2941" s="638">
        <v>3</v>
      </c>
      <c r="D2941" s="638">
        <v>96</v>
      </c>
      <c r="E2941" s="639">
        <v>28.5</v>
      </c>
      <c r="F2941" s="4">
        <f t="shared" ref="F2941:F2982" si="49">IFERROR((E2941-E2930)/E2930,"")</f>
        <v>1.4234875444839807E-2</v>
      </c>
      <c r="G2941" s="37">
        <v>29.8</v>
      </c>
      <c r="H2941" s="640">
        <v>45702</v>
      </c>
    </row>
    <row r="2942" spans="3:8" x14ac:dyDescent="0.25">
      <c r="C2942" s="638">
        <v>4</v>
      </c>
      <c r="D2942" s="638">
        <v>87</v>
      </c>
      <c r="E2942" s="639">
        <v>19.5</v>
      </c>
      <c r="F2942" s="4">
        <f t="shared" si="49"/>
        <v>-2.5000000000000001E-2</v>
      </c>
      <c r="G2942" s="37">
        <v>29.8</v>
      </c>
      <c r="H2942" s="640">
        <v>45702</v>
      </c>
    </row>
    <row r="2943" spans="3:8" x14ac:dyDescent="0.25">
      <c r="C2943" s="638">
        <v>5</v>
      </c>
      <c r="D2943" s="638">
        <v>71</v>
      </c>
      <c r="E2943" s="639">
        <v>39.4</v>
      </c>
      <c r="F2943" s="4">
        <f t="shared" si="49"/>
        <v>0</v>
      </c>
      <c r="G2943" s="37">
        <v>29.8</v>
      </c>
      <c r="H2943" s="640">
        <v>45702</v>
      </c>
    </row>
    <row r="2944" spans="3:8" x14ac:dyDescent="0.25">
      <c r="C2944" s="638">
        <v>6</v>
      </c>
      <c r="D2944" s="638">
        <v>0</v>
      </c>
      <c r="E2944" s="639"/>
      <c r="F2944" s="4" t="str">
        <f t="shared" si="49"/>
        <v/>
      </c>
      <c r="G2944" s="37">
        <v>29.8</v>
      </c>
      <c r="H2944" s="640">
        <v>45702</v>
      </c>
    </row>
    <row r="2945" spans="3:8" x14ac:dyDescent="0.25">
      <c r="C2945" s="638">
        <v>7</v>
      </c>
      <c r="D2945" s="638">
        <v>66</v>
      </c>
      <c r="E2945" s="639">
        <v>27.2</v>
      </c>
      <c r="F2945" s="4">
        <f t="shared" si="49"/>
        <v>-3.663003663003715E-3</v>
      </c>
      <c r="G2945" s="37">
        <v>29.8</v>
      </c>
      <c r="H2945" s="640">
        <v>45702</v>
      </c>
    </row>
    <row r="2946" spans="3:8" x14ac:dyDescent="0.25">
      <c r="C2946" s="638">
        <v>8</v>
      </c>
      <c r="D2946" s="638">
        <v>71</v>
      </c>
      <c r="E2946" s="639">
        <v>19.2</v>
      </c>
      <c r="F2946" s="4">
        <f t="shared" si="49"/>
        <v>1.0526315789473648E-2</v>
      </c>
      <c r="G2946" s="37">
        <v>29.8</v>
      </c>
      <c r="H2946" s="640">
        <v>45702</v>
      </c>
    </row>
    <row r="2947" spans="3:8" x14ac:dyDescent="0.25">
      <c r="C2947" s="638">
        <v>9</v>
      </c>
      <c r="D2947" s="638">
        <v>90</v>
      </c>
      <c r="E2947" s="639">
        <v>39</v>
      </c>
      <c r="F2947" s="4">
        <f t="shared" si="49"/>
        <v>0</v>
      </c>
      <c r="G2947" s="37">
        <v>29.8</v>
      </c>
      <c r="H2947" s="640">
        <v>45702</v>
      </c>
    </row>
    <row r="2948" spans="3:8" x14ac:dyDescent="0.25">
      <c r="C2948" s="638">
        <v>10</v>
      </c>
      <c r="D2948" s="638">
        <v>0</v>
      </c>
      <c r="E2948" s="639"/>
      <c r="F2948" s="4" t="str">
        <f t="shared" si="49"/>
        <v/>
      </c>
      <c r="G2948" s="37">
        <v>29.8</v>
      </c>
      <c r="H2948" s="640">
        <v>45702</v>
      </c>
    </row>
    <row r="2949" spans="3:8" x14ac:dyDescent="0.25">
      <c r="C2949" s="641" t="s">
        <v>0</v>
      </c>
      <c r="D2949" s="641" t="s">
        <v>7</v>
      </c>
      <c r="E2949" s="642" t="s">
        <v>4</v>
      </c>
      <c r="F2949" s="4" t="str">
        <f t="shared" si="49"/>
        <v/>
      </c>
      <c r="G2949" s="37">
        <v>33.1</v>
      </c>
      <c r="H2949" s="643">
        <v>45703</v>
      </c>
    </row>
    <row r="2950" spans="3:8" x14ac:dyDescent="0.25">
      <c r="C2950" s="641">
        <v>1</v>
      </c>
      <c r="D2950" s="641">
        <v>25</v>
      </c>
      <c r="E2950" s="642">
        <v>30.8</v>
      </c>
      <c r="F2950" s="4">
        <f t="shared" si="49"/>
        <v>-2.8391167192428977E-2</v>
      </c>
      <c r="G2950" s="37">
        <v>33.1</v>
      </c>
      <c r="H2950" s="643">
        <v>45703</v>
      </c>
    </row>
    <row r="2951" spans="3:8" x14ac:dyDescent="0.25">
      <c r="C2951" s="641">
        <v>2</v>
      </c>
      <c r="D2951" s="641">
        <v>60</v>
      </c>
      <c r="E2951" s="642">
        <v>34.799999999999997</v>
      </c>
      <c r="F2951" s="4">
        <f t="shared" si="49"/>
        <v>3.2640949554895972E-2</v>
      </c>
      <c r="G2951" s="37">
        <v>33.1</v>
      </c>
      <c r="H2951" s="643">
        <v>45703</v>
      </c>
    </row>
    <row r="2952" spans="3:8" x14ac:dyDescent="0.25">
      <c r="C2952" s="641">
        <v>3</v>
      </c>
      <c r="D2952" s="641">
        <v>96</v>
      </c>
      <c r="E2952" s="642">
        <v>27.3</v>
      </c>
      <c r="F2952" s="4">
        <f t="shared" si="49"/>
        <v>-4.2105263157894715E-2</v>
      </c>
      <c r="G2952" s="37">
        <v>33.1</v>
      </c>
      <c r="H2952" s="643">
        <v>45703</v>
      </c>
    </row>
    <row r="2953" spans="3:8" x14ac:dyDescent="0.25">
      <c r="C2953" s="641">
        <v>4</v>
      </c>
      <c r="D2953" s="641">
        <v>87</v>
      </c>
      <c r="E2953" s="642">
        <v>20.2</v>
      </c>
      <c r="F2953" s="4">
        <f t="shared" si="49"/>
        <v>3.589743589743586E-2</v>
      </c>
      <c r="G2953" s="37">
        <v>33.1</v>
      </c>
      <c r="H2953" s="643">
        <v>45703</v>
      </c>
    </row>
    <row r="2954" spans="3:8" x14ac:dyDescent="0.25">
      <c r="C2954" s="641">
        <v>5</v>
      </c>
      <c r="D2954" s="641">
        <v>71</v>
      </c>
      <c r="E2954" s="642">
        <v>38.6</v>
      </c>
      <c r="F2954" s="4">
        <f t="shared" si="49"/>
        <v>-2.0304568527918711E-2</v>
      </c>
      <c r="G2954" s="37">
        <v>33.1</v>
      </c>
      <c r="H2954" s="643">
        <v>45703</v>
      </c>
    </row>
    <row r="2955" spans="3:8" x14ac:dyDescent="0.25">
      <c r="C2955" s="641">
        <v>6</v>
      </c>
      <c r="D2955" s="641">
        <v>89</v>
      </c>
      <c r="E2955" s="642"/>
      <c r="F2955" s="4" t="str">
        <f t="shared" si="49"/>
        <v/>
      </c>
      <c r="G2955" s="37">
        <v>33.1</v>
      </c>
      <c r="H2955" s="643">
        <v>45703</v>
      </c>
    </row>
    <row r="2956" spans="3:8" x14ac:dyDescent="0.25">
      <c r="C2956" s="641">
        <v>7</v>
      </c>
      <c r="D2956" s="641">
        <v>65</v>
      </c>
      <c r="E2956" s="642">
        <v>28.7</v>
      </c>
      <c r="F2956" s="4">
        <f t="shared" si="49"/>
        <v>5.514705882352941E-2</v>
      </c>
      <c r="G2956" s="37">
        <v>33.1</v>
      </c>
      <c r="H2956" s="643">
        <v>45703</v>
      </c>
    </row>
    <row r="2957" spans="3:8" x14ac:dyDescent="0.25">
      <c r="C2957" s="641">
        <v>8</v>
      </c>
      <c r="D2957" s="641">
        <v>70</v>
      </c>
      <c r="E2957" s="642">
        <v>19.3</v>
      </c>
      <c r="F2957" s="4">
        <f t="shared" si="49"/>
        <v>5.2083333333334076E-3</v>
      </c>
      <c r="G2957" s="37">
        <v>33.1</v>
      </c>
      <c r="H2957" s="643">
        <v>45703</v>
      </c>
    </row>
    <row r="2958" spans="3:8" x14ac:dyDescent="0.25">
      <c r="C2958" s="641">
        <v>9</v>
      </c>
      <c r="D2958" s="641">
        <v>89</v>
      </c>
      <c r="E2958" s="642">
        <v>39.5</v>
      </c>
      <c r="F2958" s="4">
        <f t="shared" si="49"/>
        <v>1.282051282051282E-2</v>
      </c>
      <c r="G2958" s="37">
        <v>33.1</v>
      </c>
      <c r="H2958" s="643">
        <v>45703</v>
      </c>
    </row>
    <row r="2959" spans="3:8" x14ac:dyDescent="0.25">
      <c r="C2959" s="641">
        <v>10</v>
      </c>
      <c r="D2959" s="641">
        <v>89</v>
      </c>
      <c r="E2959" s="642"/>
      <c r="F2959" s="4" t="str">
        <f t="shared" si="49"/>
        <v/>
      </c>
      <c r="G2959" s="37">
        <v>33.1</v>
      </c>
      <c r="H2959" s="643">
        <v>45703</v>
      </c>
    </row>
    <row r="2960" spans="3:8" x14ac:dyDescent="0.25">
      <c r="C2960" s="641" t="s">
        <v>0</v>
      </c>
      <c r="D2960" s="641" t="s">
        <v>7</v>
      </c>
      <c r="E2960" s="642" t="s">
        <v>4</v>
      </c>
      <c r="F2960" s="4" t="str">
        <f t="shared" si="49"/>
        <v/>
      </c>
      <c r="G2960" s="37">
        <v>32.4</v>
      </c>
      <c r="H2960" s="643">
        <v>45704</v>
      </c>
    </row>
    <row r="2961" spans="3:8" x14ac:dyDescent="0.25">
      <c r="C2961" s="644">
        <v>1</v>
      </c>
      <c r="D2961" s="644">
        <v>29</v>
      </c>
      <c r="E2961" s="645">
        <v>29.7</v>
      </c>
      <c r="F2961" s="4">
        <f t="shared" si="49"/>
        <v>-3.5714285714285761E-2</v>
      </c>
      <c r="G2961" s="37">
        <v>32.4</v>
      </c>
      <c r="H2961" s="643">
        <v>45704</v>
      </c>
    </row>
    <row r="2962" spans="3:8" x14ac:dyDescent="0.25">
      <c r="C2962" s="644">
        <v>2</v>
      </c>
      <c r="D2962" s="644">
        <v>60</v>
      </c>
      <c r="E2962" s="645">
        <v>32.5</v>
      </c>
      <c r="F2962" s="4">
        <f t="shared" si="49"/>
        <v>-6.6091954022988425E-2</v>
      </c>
      <c r="G2962" s="37">
        <v>32.4</v>
      </c>
      <c r="H2962" s="643">
        <v>45704</v>
      </c>
    </row>
    <row r="2963" spans="3:8" x14ac:dyDescent="0.25">
      <c r="C2963" s="644">
        <v>3</v>
      </c>
      <c r="D2963" s="644">
        <v>96</v>
      </c>
      <c r="E2963" s="645">
        <v>26.9</v>
      </c>
      <c r="F2963" s="4">
        <f t="shared" si="49"/>
        <v>-1.465201465201473E-2</v>
      </c>
      <c r="G2963" s="37">
        <v>32.4</v>
      </c>
      <c r="H2963" s="643">
        <v>45704</v>
      </c>
    </row>
    <row r="2964" spans="3:8" x14ac:dyDescent="0.25">
      <c r="C2964" s="644">
        <v>4</v>
      </c>
      <c r="D2964" s="644">
        <v>88</v>
      </c>
      <c r="E2964" s="645">
        <v>19.2</v>
      </c>
      <c r="F2964" s="4">
        <f t="shared" si="49"/>
        <v>-4.9504950495049507E-2</v>
      </c>
      <c r="G2964" s="37">
        <v>32.4</v>
      </c>
      <c r="H2964" s="643">
        <v>45704</v>
      </c>
    </row>
    <row r="2965" spans="3:8" x14ac:dyDescent="0.25">
      <c r="C2965" s="644">
        <v>5</v>
      </c>
      <c r="D2965" s="644">
        <v>70</v>
      </c>
      <c r="E2965" s="645">
        <v>35.9</v>
      </c>
      <c r="F2965" s="4">
        <f t="shared" si="49"/>
        <v>-6.9948186528497477E-2</v>
      </c>
      <c r="G2965" s="37">
        <v>32.4</v>
      </c>
      <c r="H2965" s="643">
        <v>45704</v>
      </c>
    </row>
    <row r="2966" spans="3:8" x14ac:dyDescent="0.25">
      <c r="C2966" s="644">
        <v>6</v>
      </c>
      <c r="D2966" s="644">
        <v>87</v>
      </c>
      <c r="E2966" s="645">
        <v>43.8</v>
      </c>
      <c r="F2966" s="4" t="str">
        <f t="shared" si="49"/>
        <v/>
      </c>
      <c r="G2966" s="37">
        <v>32.4</v>
      </c>
      <c r="H2966" s="643">
        <v>45704</v>
      </c>
    </row>
    <row r="2967" spans="3:8" x14ac:dyDescent="0.25">
      <c r="C2967" s="644">
        <v>7</v>
      </c>
      <c r="D2967" s="644">
        <v>65</v>
      </c>
      <c r="E2967" s="645">
        <v>27.5</v>
      </c>
      <c r="F2967" s="4">
        <f t="shared" si="49"/>
        <v>-4.1811846689895446E-2</v>
      </c>
      <c r="G2967" s="37">
        <v>32.4</v>
      </c>
      <c r="H2967" s="643">
        <v>45704</v>
      </c>
    </row>
    <row r="2968" spans="3:8" x14ac:dyDescent="0.25">
      <c r="C2968" s="644">
        <v>8</v>
      </c>
      <c r="D2968" s="644">
        <v>70</v>
      </c>
      <c r="E2968" s="645">
        <v>17.600000000000001</v>
      </c>
      <c r="F2968" s="4">
        <f t="shared" si="49"/>
        <v>-8.8082901554404111E-2</v>
      </c>
      <c r="G2968" s="37">
        <v>32.4</v>
      </c>
      <c r="H2968" s="643">
        <v>45704</v>
      </c>
    </row>
    <row r="2969" spans="3:8" x14ac:dyDescent="0.25">
      <c r="C2969" s="644">
        <v>9</v>
      </c>
      <c r="D2969" s="644">
        <v>88</v>
      </c>
      <c r="E2969" s="645">
        <v>37.6</v>
      </c>
      <c r="F2969" s="4">
        <f t="shared" si="49"/>
        <v>-4.8101265822784775E-2</v>
      </c>
      <c r="G2969" s="37">
        <v>32.4</v>
      </c>
      <c r="H2969" s="643">
        <v>45704</v>
      </c>
    </row>
    <row r="2970" spans="3:8" x14ac:dyDescent="0.25">
      <c r="C2970" s="644">
        <v>10</v>
      </c>
      <c r="D2970" s="644">
        <v>89</v>
      </c>
      <c r="E2970" s="645">
        <v>42.9</v>
      </c>
      <c r="F2970" s="4" t="str">
        <f t="shared" si="49"/>
        <v/>
      </c>
      <c r="G2970" s="37">
        <v>32.4</v>
      </c>
      <c r="H2970" s="643">
        <v>45704</v>
      </c>
    </row>
    <row r="2971" spans="3:8" x14ac:dyDescent="0.25">
      <c r="C2971" s="646" t="s">
        <v>0</v>
      </c>
      <c r="D2971" s="646" t="s">
        <v>7</v>
      </c>
      <c r="E2971" s="647" t="s">
        <v>4</v>
      </c>
      <c r="F2971" s="4" t="str">
        <f t="shared" si="49"/>
        <v/>
      </c>
      <c r="G2971" s="37">
        <v>34.6</v>
      </c>
      <c r="H2971" s="648">
        <v>45705</v>
      </c>
    </row>
    <row r="2972" spans="3:8" x14ac:dyDescent="0.25">
      <c r="C2972" s="646">
        <v>1</v>
      </c>
      <c r="D2972" s="646">
        <v>33</v>
      </c>
      <c r="E2972" s="647">
        <v>29.7</v>
      </c>
      <c r="F2972" s="4">
        <f t="shared" si="49"/>
        <v>0</v>
      </c>
      <c r="G2972" s="37">
        <v>34.6</v>
      </c>
      <c r="H2972" s="648">
        <v>45705</v>
      </c>
    </row>
    <row r="2973" spans="3:8" x14ac:dyDescent="0.25">
      <c r="C2973" s="646">
        <v>2</v>
      </c>
      <c r="D2973" s="646">
        <v>61</v>
      </c>
      <c r="E2973" s="647">
        <v>34.299999999999997</v>
      </c>
      <c r="F2973" s="4">
        <f t="shared" si="49"/>
        <v>5.5384615384615296E-2</v>
      </c>
      <c r="G2973" s="37">
        <v>34.6</v>
      </c>
      <c r="H2973" s="648">
        <v>45705</v>
      </c>
    </row>
    <row r="2974" spans="3:8" x14ac:dyDescent="0.25">
      <c r="C2974" s="646">
        <v>3</v>
      </c>
      <c r="D2974" s="646">
        <v>96</v>
      </c>
      <c r="E2974" s="647">
        <v>27.6</v>
      </c>
      <c r="F2974" s="4">
        <f t="shared" si="49"/>
        <v>2.6022304832713863E-2</v>
      </c>
      <c r="G2974" s="37">
        <v>34.6</v>
      </c>
      <c r="H2974" s="648">
        <v>45705</v>
      </c>
    </row>
    <row r="2975" spans="3:8" x14ac:dyDescent="0.25">
      <c r="C2975" s="646">
        <v>4</v>
      </c>
      <c r="D2975" s="646">
        <v>88</v>
      </c>
      <c r="E2975" s="647">
        <v>19.7</v>
      </c>
      <c r="F2975" s="4">
        <f t="shared" si="49"/>
        <v>2.6041666666666668E-2</v>
      </c>
      <c r="G2975" s="37">
        <v>34.6</v>
      </c>
      <c r="H2975" s="648">
        <v>45705</v>
      </c>
    </row>
    <row r="2976" spans="3:8" x14ac:dyDescent="0.25">
      <c r="C2976" s="646">
        <v>5</v>
      </c>
      <c r="D2976" s="646">
        <v>71</v>
      </c>
      <c r="E2976" s="647">
        <v>37.700000000000003</v>
      </c>
      <c r="F2976" s="4">
        <f t="shared" si="49"/>
        <v>5.0139275766016837E-2</v>
      </c>
      <c r="G2976" s="37">
        <v>34.6</v>
      </c>
      <c r="H2976" s="648">
        <v>45705</v>
      </c>
    </row>
    <row r="2977" spans="3:8" x14ac:dyDescent="0.25">
      <c r="C2977" s="646">
        <v>6</v>
      </c>
      <c r="D2977" s="646">
        <v>87</v>
      </c>
      <c r="E2977" s="647">
        <v>50</v>
      </c>
      <c r="F2977" s="4">
        <f t="shared" si="49"/>
        <v>0.14155251141552519</v>
      </c>
      <c r="G2977" s="37">
        <v>34.6</v>
      </c>
      <c r="H2977" s="648">
        <v>45705</v>
      </c>
    </row>
    <row r="2978" spans="3:8" x14ac:dyDescent="0.25">
      <c r="C2978" s="646">
        <v>7</v>
      </c>
      <c r="D2978" s="646">
        <v>65</v>
      </c>
      <c r="E2978" s="647">
        <v>27.5</v>
      </c>
      <c r="F2978" s="4">
        <f t="shared" si="49"/>
        <v>0</v>
      </c>
      <c r="G2978" s="37">
        <v>34.6</v>
      </c>
      <c r="H2978" s="648">
        <v>45705</v>
      </c>
    </row>
    <row r="2979" spans="3:8" x14ac:dyDescent="0.25">
      <c r="C2979" s="646">
        <v>8</v>
      </c>
      <c r="D2979" s="646">
        <v>69</v>
      </c>
      <c r="E2979" s="647">
        <v>19.5</v>
      </c>
      <c r="F2979" s="4">
        <f t="shared" si="49"/>
        <v>0.10795454545454536</v>
      </c>
      <c r="G2979" s="37">
        <v>34.6</v>
      </c>
      <c r="H2979" s="648">
        <v>45705</v>
      </c>
    </row>
    <row r="2980" spans="3:8" x14ac:dyDescent="0.25">
      <c r="C2980" s="646">
        <v>9</v>
      </c>
      <c r="D2980" s="646">
        <v>87</v>
      </c>
      <c r="E2980" s="647">
        <v>37.9</v>
      </c>
      <c r="F2980" s="4">
        <f t="shared" si="49"/>
        <v>7.9787234042552439E-3</v>
      </c>
      <c r="G2980" s="37">
        <v>34.6</v>
      </c>
      <c r="H2980" s="648">
        <v>45705</v>
      </c>
    </row>
    <row r="2981" spans="3:8" x14ac:dyDescent="0.25">
      <c r="C2981" s="646">
        <v>10</v>
      </c>
      <c r="D2981" s="646">
        <v>86</v>
      </c>
      <c r="E2981" s="647">
        <v>50.1</v>
      </c>
      <c r="F2981" s="4">
        <f t="shared" si="49"/>
        <v>0.16783216783216789</v>
      </c>
      <c r="G2981" s="37">
        <v>34.6</v>
      </c>
      <c r="H2981" s="648">
        <v>45705</v>
      </c>
    </row>
    <row r="2982" spans="3:8" x14ac:dyDescent="0.25">
      <c r="C2982" s="649" t="s">
        <v>0</v>
      </c>
      <c r="D2982" s="649" t="s">
        <v>7</v>
      </c>
      <c r="E2982" s="650" t="s">
        <v>4</v>
      </c>
      <c r="F2982" s="4" t="str">
        <f t="shared" si="49"/>
        <v/>
      </c>
      <c r="G2982" s="37">
        <v>33.200000000000003</v>
      </c>
      <c r="H2982" s="651">
        <v>45706</v>
      </c>
    </row>
    <row r="2983" spans="3:8" x14ac:dyDescent="0.25">
      <c r="C2983" s="649">
        <v>51</v>
      </c>
      <c r="D2983" s="649">
        <v>37</v>
      </c>
      <c r="E2983" s="650">
        <v>26.39</v>
      </c>
      <c r="F2983" s="4">
        <f>IFERROR((E2983-E2981)/E2981,"")</f>
        <v>-0.47325349301397207</v>
      </c>
      <c r="G2983" s="37">
        <v>33.200000000000003</v>
      </c>
      <c r="H2983" s="651">
        <v>45706</v>
      </c>
    </row>
    <row r="2984" spans="3:8" x14ac:dyDescent="0.25">
      <c r="C2984" s="649">
        <v>2</v>
      </c>
      <c r="D2984" s="649">
        <v>62</v>
      </c>
      <c r="E2984" s="650">
        <v>32.299999999999997</v>
      </c>
      <c r="F2984" s="4">
        <f t="shared" ref="F2984:F2992" si="50">IFERROR((E2984-E2972)/E2972,"")</f>
        <v>8.7542087542087477E-2</v>
      </c>
      <c r="G2984" s="37">
        <v>33.200000000000003</v>
      </c>
      <c r="H2984" s="651">
        <v>45706</v>
      </c>
    </row>
    <row r="2985" spans="3:8" x14ac:dyDescent="0.25">
      <c r="C2985" s="649">
        <v>3</v>
      </c>
      <c r="D2985" s="649">
        <v>96</v>
      </c>
      <c r="E2985" s="650">
        <v>27.1</v>
      </c>
      <c r="F2985" s="4">
        <f t="shared" si="50"/>
        <v>-0.20991253644314858</v>
      </c>
      <c r="G2985" s="37">
        <v>33.200000000000003</v>
      </c>
      <c r="H2985" s="651">
        <v>45706</v>
      </c>
    </row>
    <row r="2986" spans="3:8" x14ac:dyDescent="0.25">
      <c r="C2986" s="649">
        <v>4</v>
      </c>
      <c r="D2986" s="649">
        <v>88</v>
      </c>
      <c r="E2986" s="650">
        <v>18.899999999999999</v>
      </c>
      <c r="F2986" s="4">
        <f t="shared" si="50"/>
        <v>-0.31521739130434789</v>
      </c>
      <c r="G2986" s="37">
        <v>33.200000000000003</v>
      </c>
      <c r="H2986" s="651">
        <v>45706</v>
      </c>
    </row>
    <row r="2987" spans="3:8" x14ac:dyDescent="0.25">
      <c r="C2987" s="649">
        <v>5</v>
      </c>
      <c r="D2987" s="649">
        <v>74</v>
      </c>
      <c r="E2987" s="650">
        <v>36.700000000000003</v>
      </c>
      <c r="F2987" s="4">
        <f t="shared" si="50"/>
        <v>0.86294416243654848</v>
      </c>
      <c r="G2987" s="37">
        <v>33.200000000000003</v>
      </c>
      <c r="H2987" s="651">
        <v>45706</v>
      </c>
    </row>
    <row r="2988" spans="3:8" x14ac:dyDescent="0.25">
      <c r="C2988" s="649">
        <v>6</v>
      </c>
      <c r="D2988" s="649">
        <v>87</v>
      </c>
      <c r="E2988" s="650">
        <v>48.6</v>
      </c>
      <c r="F2988" s="4">
        <f t="shared" si="50"/>
        <v>0.28912466843501322</v>
      </c>
      <c r="G2988" s="37">
        <v>33.200000000000003</v>
      </c>
      <c r="H2988" s="651">
        <v>45706</v>
      </c>
    </row>
    <row r="2989" spans="3:8" x14ac:dyDescent="0.25">
      <c r="C2989" s="649">
        <v>7</v>
      </c>
      <c r="D2989" s="649">
        <v>65</v>
      </c>
      <c r="E2989" s="650">
        <v>22.5</v>
      </c>
      <c r="F2989" s="4">
        <f t="shared" si="50"/>
        <v>-0.55000000000000004</v>
      </c>
      <c r="G2989" s="37">
        <v>33.200000000000003</v>
      </c>
      <c r="H2989" s="651">
        <v>45706</v>
      </c>
    </row>
    <row r="2990" spans="3:8" x14ac:dyDescent="0.25">
      <c r="C2990" s="649">
        <v>8</v>
      </c>
      <c r="D2990" s="649">
        <v>69</v>
      </c>
      <c r="E2990" s="650">
        <v>17.5</v>
      </c>
      <c r="F2990" s="4">
        <f t="shared" si="50"/>
        <v>-0.36363636363636365</v>
      </c>
      <c r="G2990" s="37">
        <v>33.200000000000003</v>
      </c>
      <c r="H2990" s="651">
        <v>45706</v>
      </c>
    </row>
    <row r="2991" spans="3:8" x14ac:dyDescent="0.25">
      <c r="C2991" s="649">
        <v>9</v>
      </c>
      <c r="D2991" s="649">
        <v>87</v>
      </c>
      <c r="E2991" s="650">
        <v>37.9</v>
      </c>
      <c r="F2991" s="4">
        <f t="shared" si="50"/>
        <v>0.94358974358974357</v>
      </c>
      <c r="G2991" s="37">
        <v>33.200000000000003</v>
      </c>
      <c r="H2991" s="651">
        <v>45706</v>
      </c>
    </row>
    <row r="2992" spans="3:8" x14ac:dyDescent="0.25">
      <c r="C2992" s="649">
        <v>10</v>
      </c>
      <c r="D2992" s="649">
        <v>86</v>
      </c>
      <c r="E2992" s="650">
        <v>48.9</v>
      </c>
      <c r="F2992" s="4">
        <f t="shared" si="50"/>
        <v>0.29023746701846964</v>
      </c>
      <c r="G2992" s="37">
        <v>33.200000000000003</v>
      </c>
      <c r="H2992" s="651">
        <v>45706</v>
      </c>
    </row>
    <row r="2993" spans="3:8" x14ac:dyDescent="0.25">
      <c r="C2993" s="652" t="s">
        <v>0</v>
      </c>
      <c r="D2993" s="652" t="s">
        <v>7</v>
      </c>
      <c r="E2993" s="653" t="s">
        <v>4</v>
      </c>
      <c r="F2993" s="4" t="str">
        <f t="shared" ref="F2993:F3056" si="51">IFERROR((E2993-E2982)/E2982,"")</f>
        <v/>
      </c>
      <c r="G2993" s="37">
        <v>34.5</v>
      </c>
      <c r="H2993" s="654">
        <v>45707</v>
      </c>
    </row>
    <row r="2994" spans="3:8" x14ac:dyDescent="0.25">
      <c r="C2994" s="652">
        <v>51</v>
      </c>
      <c r="D2994" s="652">
        <v>40</v>
      </c>
      <c r="E2994" s="653">
        <v>27.7</v>
      </c>
      <c r="F2994" s="4">
        <f t="shared" si="51"/>
        <v>4.9640015157256488E-2</v>
      </c>
      <c r="G2994" s="37">
        <v>34.5</v>
      </c>
      <c r="H2994" s="654">
        <v>45707</v>
      </c>
    </row>
    <row r="2995" spans="3:8" x14ac:dyDescent="0.25">
      <c r="C2995" s="652">
        <v>2</v>
      </c>
      <c r="D2995" s="652">
        <v>62</v>
      </c>
      <c r="E2995" s="653">
        <v>34.5</v>
      </c>
      <c r="F2995" s="4">
        <f t="shared" si="51"/>
        <v>6.8111455108359226E-2</v>
      </c>
      <c r="G2995" s="37">
        <v>34.5</v>
      </c>
      <c r="H2995" s="654">
        <v>45707</v>
      </c>
    </row>
    <row r="2996" spans="3:8" x14ac:dyDescent="0.25">
      <c r="C2996" s="652">
        <v>3</v>
      </c>
      <c r="D2996" s="652">
        <v>97</v>
      </c>
      <c r="E2996" s="653">
        <v>27.6</v>
      </c>
      <c r="F2996" s="4">
        <f t="shared" si="51"/>
        <v>1.8450184501845018E-2</v>
      </c>
      <c r="G2996" s="37">
        <v>34.5</v>
      </c>
      <c r="H2996" s="654">
        <v>45707</v>
      </c>
    </row>
    <row r="2997" spans="3:8" x14ac:dyDescent="0.25">
      <c r="C2997" s="652">
        <v>4</v>
      </c>
      <c r="D2997" s="652">
        <v>88</v>
      </c>
      <c r="E2997" s="653">
        <v>19.2</v>
      </c>
      <c r="F2997" s="4">
        <f t="shared" si="51"/>
        <v>1.587301587301591E-2</v>
      </c>
      <c r="G2997" s="37">
        <v>34.5</v>
      </c>
      <c r="H2997" s="654">
        <v>45707</v>
      </c>
    </row>
    <row r="2998" spans="3:8" x14ac:dyDescent="0.25">
      <c r="C2998" s="652">
        <v>5</v>
      </c>
      <c r="D2998" s="652">
        <v>74</v>
      </c>
      <c r="E2998" s="653">
        <v>37.1</v>
      </c>
      <c r="F2998" s="4">
        <f t="shared" si="51"/>
        <v>1.0899182561307862E-2</v>
      </c>
      <c r="G2998" s="37">
        <v>34.5</v>
      </c>
      <c r="H2998" s="654">
        <v>45707</v>
      </c>
    </row>
    <row r="2999" spans="3:8" x14ac:dyDescent="0.25">
      <c r="C2999" s="652">
        <v>6</v>
      </c>
      <c r="D2999" s="652">
        <v>87</v>
      </c>
      <c r="E2999" s="653">
        <v>50.9</v>
      </c>
      <c r="F2999" s="4">
        <f t="shared" si="51"/>
        <v>4.7325102880658373E-2</v>
      </c>
      <c r="G2999" s="37">
        <v>34.5</v>
      </c>
      <c r="H2999" s="654">
        <v>45707</v>
      </c>
    </row>
    <row r="3000" spans="3:8" x14ac:dyDescent="0.25">
      <c r="C3000" s="652">
        <v>7</v>
      </c>
      <c r="D3000" s="652">
        <v>65</v>
      </c>
      <c r="E3000" s="653">
        <v>25.1</v>
      </c>
      <c r="F3000" s="4">
        <f t="shared" si="51"/>
        <v>0.11555555555555562</v>
      </c>
      <c r="G3000" s="37">
        <v>34.5</v>
      </c>
      <c r="H3000" s="654">
        <v>45707</v>
      </c>
    </row>
    <row r="3001" spans="3:8" x14ac:dyDescent="0.25">
      <c r="C3001" s="652">
        <v>8</v>
      </c>
      <c r="D3001" s="652">
        <v>69</v>
      </c>
      <c r="E3001" s="653">
        <v>18.399999999999999</v>
      </c>
      <c r="F3001" s="4">
        <f t="shared" si="51"/>
        <v>5.1428571428571344E-2</v>
      </c>
      <c r="G3001" s="37">
        <v>34.5</v>
      </c>
      <c r="H3001" s="654">
        <v>45707</v>
      </c>
    </row>
    <row r="3002" spans="3:8" x14ac:dyDescent="0.25">
      <c r="C3002" s="652">
        <v>9</v>
      </c>
      <c r="D3002" s="652">
        <v>87</v>
      </c>
      <c r="E3002" s="653">
        <v>39.299999999999997</v>
      </c>
      <c r="F3002" s="4">
        <f t="shared" si="51"/>
        <v>3.6939313984168831E-2</v>
      </c>
      <c r="G3002" s="37">
        <v>34.5</v>
      </c>
      <c r="H3002" s="654">
        <v>45707</v>
      </c>
    </row>
    <row r="3003" spans="3:8" x14ac:dyDescent="0.25">
      <c r="C3003" s="652">
        <v>10</v>
      </c>
      <c r="D3003" s="652">
        <v>85</v>
      </c>
      <c r="E3003" s="653">
        <v>50.5</v>
      </c>
      <c r="F3003" s="4">
        <f t="shared" si="51"/>
        <v>3.2719836400818027E-2</v>
      </c>
      <c r="G3003" s="37">
        <v>34.5</v>
      </c>
      <c r="H3003" s="654">
        <v>45707</v>
      </c>
    </row>
    <row r="3004" spans="3:8" x14ac:dyDescent="0.25">
      <c r="C3004" s="655" t="s">
        <v>0</v>
      </c>
      <c r="D3004" s="655" t="s">
        <v>7</v>
      </c>
      <c r="E3004" s="656" t="s">
        <v>4</v>
      </c>
      <c r="F3004" s="4" t="str">
        <f t="shared" si="51"/>
        <v/>
      </c>
      <c r="G3004" s="37">
        <v>33.6</v>
      </c>
      <c r="H3004" s="657">
        <v>45708</v>
      </c>
    </row>
    <row r="3005" spans="3:8" x14ac:dyDescent="0.25">
      <c r="C3005" s="655">
        <v>51</v>
      </c>
      <c r="D3005" s="655">
        <v>41</v>
      </c>
      <c r="E3005" s="656">
        <v>29.2</v>
      </c>
      <c r="F3005" s="4">
        <f t="shared" si="51"/>
        <v>5.4151624548736461E-2</v>
      </c>
      <c r="G3005" s="37">
        <v>33.6</v>
      </c>
      <c r="H3005" s="657">
        <v>45708</v>
      </c>
    </row>
    <row r="3006" spans="3:8" x14ac:dyDescent="0.25">
      <c r="C3006" s="655">
        <v>2</v>
      </c>
      <c r="D3006" s="655">
        <v>63</v>
      </c>
      <c r="E3006" s="656">
        <v>32.799999999999997</v>
      </c>
      <c r="F3006" s="4">
        <f t="shared" si="51"/>
        <v>-4.9275362318840665E-2</v>
      </c>
      <c r="G3006" s="37">
        <v>33.6</v>
      </c>
      <c r="H3006" s="657">
        <v>45708</v>
      </c>
    </row>
    <row r="3007" spans="3:8" x14ac:dyDescent="0.25">
      <c r="C3007" s="655">
        <v>3</v>
      </c>
      <c r="D3007" s="655">
        <v>97</v>
      </c>
      <c r="E3007" s="656">
        <v>26.8</v>
      </c>
      <c r="F3007" s="4">
        <f t="shared" si="51"/>
        <v>-2.8985507246376836E-2</v>
      </c>
      <c r="G3007" s="37">
        <v>33.6</v>
      </c>
      <c r="H3007" s="657">
        <v>45708</v>
      </c>
    </row>
    <row r="3008" spans="3:8" x14ac:dyDescent="0.25">
      <c r="C3008" s="655">
        <v>4</v>
      </c>
      <c r="D3008" s="655">
        <v>87</v>
      </c>
      <c r="E3008" s="656">
        <v>18</v>
      </c>
      <c r="F3008" s="4">
        <f t="shared" si="51"/>
        <v>-6.2499999999999965E-2</v>
      </c>
      <c r="G3008" s="37">
        <v>33.6</v>
      </c>
      <c r="H3008" s="657">
        <v>45708</v>
      </c>
    </row>
    <row r="3009" spans="3:8" x14ac:dyDescent="0.25">
      <c r="C3009" s="655">
        <v>5</v>
      </c>
      <c r="D3009" s="655">
        <v>75</v>
      </c>
      <c r="E3009" s="656">
        <v>36.700000000000003</v>
      </c>
      <c r="F3009" s="4">
        <f t="shared" si="51"/>
        <v>-1.078167115902961E-2</v>
      </c>
      <c r="G3009" s="37">
        <v>33.6</v>
      </c>
      <c r="H3009" s="657">
        <v>45708</v>
      </c>
    </row>
    <row r="3010" spans="3:8" x14ac:dyDescent="0.25">
      <c r="C3010" s="655">
        <v>6</v>
      </c>
      <c r="D3010" s="655">
        <v>86</v>
      </c>
      <c r="E3010" s="656">
        <v>49.4</v>
      </c>
      <c r="F3010" s="4">
        <f t="shared" si="51"/>
        <v>-2.9469548133595286E-2</v>
      </c>
      <c r="G3010" s="37">
        <v>33.6</v>
      </c>
      <c r="H3010" s="657">
        <v>45708</v>
      </c>
    </row>
    <row r="3011" spans="3:8" x14ac:dyDescent="0.25">
      <c r="C3011" s="655">
        <v>7</v>
      </c>
      <c r="D3011" s="655">
        <v>64</v>
      </c>
      <c r="E3011" s="656">
        <v>25.3</v>
      </c>
      <c r="F3011" s="4">
        <f t="shared" si="51"/>
        <v>7.9681274900398127E-3</v>
      </c>
      <c r="G3011" s="37">
        <v>33.6</v>
      </c>
      <c r="H3011" s="657">
        <v>45708</v>
      </c>
    </row>
    <row r="3012" spans="3:8" x14ac:dyDescent="0.25">
      <c r="C3012" s="655">
        <v>8</v>
      </c>
      <c r="D3012" s="655">
        <v>69</v>
      </c>
      <c r="E3012" s="656">
        <v>17.7</v>
      </c>
      <c r="F3012" s="4">
        <f t="shared" si="51"/>
        <v>-3.8043478260869533E-2</v>
      </c>
      <c r="G3012" s="37">
        <v>33.6</v>
      </c>
      <c r="H3012" s="657">
        <v>45708</v>
      </c>
    </row>
    <row r="3013" spans="3:8" x14ac:dyDescent="0.25">
      <c r="C3013" s="655">
        <v>9</v>
      </c>
      <c r="D3013" s="655">
        <v>86</v>
      </c>
      <c r="E3013" s="656">
        <v>37.6</v>
      </c>
      <c r="F3013" s="4">
        <f t="shared" si="51"/>
        <v>-4.3256997455470632E-2</v>
      </c>
      <c r="G3013" s="37">
        <v>33.6</v>
      </c>
      <c r="H3013" s="657">
        <v>45708</v>
      </c>
    </row>
    <row r="3014" spans="3:8" x14ac:dyDescent="0.25">
      <c r="C3014" s="655">
        <v>10</v>
      </c>
      <c r="D3014" s="655">
        <v>83</v>
      </c>
      <c r="E3014" s="656">
        <v>49.7</v>
      </c>
      <c r="F3014" s="4">
        <f t="shared" si="51"/>
        <v>-1.5841584158415786E-2</v>
      </c>
      <c r="G3014" s="37">
        <v>33.6</v>
      </c>
      <c r="H3014" s="657">
        <v>45708</v>
      </c>
    </row>
    <row r="3015" spans="3:8" x14ac:dyDescent="0.25">
      <c r="C3015" s="658" t="s">
        <v>0</v>
      </c>
      <c r="D3015" s="658" t="s">
        <v>7</v>
      </c>
      <c r="E3015" s="659" t="s">
        <v>4</v>
      </c>
      <c r="F3015" s="4" t="str">
        <f t="shared" si="51"/>
        <v/>
      </c>
      <c r="G3015" s="37">
        <v>35.200000000000003</v>
      </c>
      <c r="H3015" s="660">
        <v>45709</v>
      </c>
    </row>
    <row r="3016" spans="3:8" x14ac:dyDescent="0.25">
      <c r="C3016" s="658">
        <v>51</v>
      </c>
      <c r="D3016" s="658">
        <v>41</v>
      </c>
      <c r="E3016" s="659">
        <v>28.5</v>
      </c>
      <c r="F3016" s="4">
        <f t="shared" si="51"/>
        <v>-2.3972602739726005E-2</v>
      </c>
      <c r="G3016" s="37">
        <v>35.200000000000003</v>
      </c>
      <c r="H3016" s="660">
        <v>45709</v>
      </c>
    </row>
    <row r="3017" spans="3:8" x14ac:dyDescent="0.25">
      <c r="C3017" s="658">
        <v>2</v>
      </c>
      <c r="D3017" s="658">
        <v>63</v>
      </c>
      <c r="E3017" s="659">
        <v>33.6</v>
      </c>
      <c r="F3017" s="4">
        <f t="shared" si="51"/>
        <v>2.4390243902439157E-2</v>
      </c>
      <c r="G3017" s="37">
        <v>35.200000000000003</v>
      </c>
      <c r="H3017" s="660">
        <v>45709</v>
      </c>
    </row>
    <row r="3018" spans="3:8" x14ac:dyDescent="0.25">
      <c r="C3018" s="658">
        <v>3</v>
      </c>
      <c r="D3018" s="658">
        <v>97</v>
      </c>
      <c r="E3018" s="659">
        <v>27.5</v>
      </c>
      <c r="F3018" s="4">
        <f t="shared" si="51"/>
        <v>2.6119402985074598E-2</v>
      </c>
      <c r="G3018" s="37">
        <v>35.200000000000003</v>
      </c>
      <c r="H3018" s="660">
        <v>45709</v>
      </c>
    </row>
    <row r="3019" spans="3:8" x14ac:dyDescent="0.25">
      <c r="C3019" s="658">
        <v>4</v>
      </c>
      <c r="D3019" s="658">
        <v>68</v>
      </c>
      <c r="E3019" s="659">
        <v>18.8</v>
      </c>
      <c r="F3019" s="4">
        <f t="shared" si="51"/>
        <v>4.4444444444444481E-2</v>
      </c>
      <c r="G3019" s="37">
        <v>35.200000000000003</v>
      </c>
      <c r="H3019" s="660">
        <v>45709</v>
      </c>
    </row>
    <row r="3020" spans="3:8" x14ac:dyDescent="0.25">
      <c r="C3020" s="658">
        <v>5</v>
      </c>
      <c r="D3020" s="658">
        <v>75</v>
      </c>
      <c r="E3020" s="659">
        <v>36.200000000000003</v>
      </c>
      <c r="F3020" s="4">
        <f t="shared" si="51"/>
        <v>-1.3623978201634876E-2</v>
      </c>
      <c r="G3020" s="37">
        <v>35.200000000000003</v>
      </c>
      <c r="H3020" s="660">
        <v>45709</v>
      </c>
    </row>
    <row r="3021" spans="3:8" x14ac:dyDescent="0.25">
      <c r="C3021" s="658">
        <v>6</v>
      </c>
      <c r="D3021" s="658">
        <v>86</v>
      </c>
      <c r="E3021" s="659">
        <v>51.6</v>
      </c>
      <c r="F3021" s="4">
        <f t="shared" si="51"/>
        <v>4.4534412955465646E-2</v>
      </c>
      <c r="G3021" s="37">
        <v>35.200000000000003</v>
      </c>
      <c r="H3021" s="660">
        <v>45709</v>
      </c>
    </row>
    <row r="3022" spans="3:8" x14ac:dyDescent="0.25">
      <c r="C3022" s="658">
        <v>7</v>
      </c>
      <c r="D3022" s="658">
        <v>61</v>
      </c>
      <c r="E3022" s="659">
        <v>25.8</v>
      </c>
      <c r="F3022" s="4">
        <f t="shared" si="51"/>
        <v>1.9762845849802372E-2</v>
      </c>
      <c r="G3022" s="37">
        <v>35.200000000000003</v>
      </c>
      <c r="H3022" s="660">
        <v>45709</v>
      </c>
    </row>
    <row r="3023" spans="3:8" x14ac:dyDescent="0.25">
      <c r="C3023" s="658">
        <v>8</v>
      </c>
      <c r="D3023" s="658">
        <v>55</v>
      </c>
      <c r="E3023" s="659">
        <v>19.3</v>
      </c>
      <c r="F3023" s="4">
        <f t="shared" si="51"/>
        <v>9.0395480225988784E-2</v>
      </c>
      <c r="G3023" s="37">
        <v>35.200000000000003</v>
      </c>
      <c r="H3023" s="660">
        <v>45709</v>
      </c>
    </row>
    <row r="3024" spans="3:8" x14ac:dyDescent="0.25">
      <c r="C3024" s="658">
        <v>9</v>
      </c>
      <c r="D3024" s="658">
        <v>86</v>
      </c>
      <c r="E3024" s="659">
        <v>38.700000000000003</v>
      </c>
      <c r="F3024" s="4">
        <f t="shared" si="51"/>
        <v>2.9255319148936205E-2</v>
      </c>
      <c r="G3024" s="37">
        <v>35.200000000000003</v>
      </c>
      <c r="H3024" s="660">
        <v>45709</v>
      </c>
    </row>
    <row r="3025" spans="3:8" x14ac:dyDescent="0.25">
      <c r="C3025" s="658">
        <v>10</v>
      </c>
      <c r="D3025" s="658">
        <v>83</v>
      </c>
      <c r="E3025" s="659">
        <v>51</v>
      </c>
      <c r="F3025" s="4">
        <f t="shared" si="51"/>
        <v>2.6156941649899339E-2</v>
      </c>
      <c r="G3025" s="37">
        <v>35.200000000000003</v>
      </c>
      <c r="H3025" s="660">
        <v>45709</v>
      </c>
    </row>
    <row r="3026" spans="3:8" x14ac:dyDescent="0.25">
      <c r="C3026" s="661" t="s">
        <v>0</v>
      </c>
      <c r="D3026" s="661" t="s">
        <v>7</v>
      </c>
      <c r="E3026" s="662" t="s">
        <v>4</v>
      </c>
      <c r="F3026" s="4" t="str">
        <f t="shared" si="51"/>
        <v/>
      </c>
      <c r="G3026" s="37">
        <v>33.9</v>
      </c>
      <c r="H3026" s="660">
        <v>45710</v>
      </c>
    </row>
    <row r="3027" spans="3:8" x14ac:dyDescent="0.25">
      <c r="C3027" s="661">
        <v>51</v>
      </c>
      <c r="D3027" s="661">
        <v>39</v>
      </c>
      <c r="E3027" s="662">
        <v>28.9</v>
      </c>
      <c r="F3027" s="4">
        <f t="shared" si="51"/>
        <v>1.4035087719298196E-2</v>
      </c>
      <c r="G3027" s="37">
        <v>33.9</v>
      </c>
      <c r="H3027" s="660">
        <v>45710</v>
      </c>
    </row>
    <row r="3028" spans="3:8" x14ac:dyDescent="0.25">
      <c r="C3028" s="661">
        <v>2</v>
      </c>
      <c r="D3028" s="661">
        <v>55</v>
      </c>
      <c r="E3028" s="662">
        <v>33.700000000000003</v>
      </c>
      <c r="F3028" s="4">
        <f t="shared" si="51"/>
        <v>2.9761904761905185E-3</v>
      </c>
      <c r="G3028" s="37">
        <v>33.9</v>
      </c>
      <c r="H3028" s="660">
        <v>45710</v>
      </c>
    </row>
    <row r="3029" spans="3:8" x14ac:dyDescent="0.25">
      <c r="C3029" s="661">
        <v>3</v>
      </c>
      <c r="D3029" s="661">
        <v>101</v>
      </c>
      <c r="E3029" s="662">
        <v>26.9</v>
      </c>
      <c r="F3029" s="4">
        <f t="shared" si="51"/>
        <v>-2.1818181818181868E-2</v>
      </c>
      <c r="G3029" s="37">
        <v>33.9</v>
      </c>
      <c r="H3029" s="660">
        <v>45710</v>
      </c>
    </row>
    <row r="3030" spans="3:8" x14ac:dyDescent="0.25">
      <c r="C3030" s="661">
        <v>4</v>
      </c>
      <c r="D3030" s="661">
        <v>72</v>
      </c>
      <c r="E3030" s="662">
        <v>19.2</v>
      </c>
      <c r="F3030" s="4">
        <f t="shared" si="51"/>
        <v>2.1276595744680774E-2</v>
      </c>
      <c r="G3030" s="37">
        <v>33.9</v>
      </c>
      <c r="H3030" s="660">
        <v>45710</v>
      </c>
    </row>
    <row r="3031" spans="3:8" x14ac:dyDescent="0.25">
      <c r="C3031" s="661">
        <v>5</v>
      </c>
      <c r="D3031" s="661">
        <v>67</v>
      </c>
      <c r="E3031" s="662">
        <v>36.700000000000003</v>
      </c>
      <c r="F3031" s="4">
        <f t="shared" si="51"/>
        <v>1.3812154696132596E-2</v>
      </c>
      <c r="G3031" s="37">
        <v>33.9</v>
      </c>
      <c r="H3031" s="660">
        <v>45710</v>
      </c>
    </row>
    <row r="3032" spans="3:8" x14ac:dyDescent="0.25">
      <c r="C3032" s="661">
        <v>6</v>
      </c>
      <c r="D3032" s="661">
        <v>86</v>
      </c>
      <c r="E3032" s="662">
        <v>48.8</v>
      </c>
      <c r="F3032" s="4">
        <f t="shared" si="51"/>
        <v>-5.4263565891472951E-2</v>
      </c>
      <c r="G3032" s="37">
        <v>33.9</v>
      </c>
      <c r="H3032" s="660">
        <v>45710</v>
      </c>
    </row>
    <row r="3033" spans="3:8" x14ac:dyDescent="0.25">
      <c r="C3033" s="661">
        <v>7</v>
      </c>
      <c r="D3033" s="661">
        <v>69</v>
      </c>
      <c r="E3033" s="662">
        <v>24.3</v>
      </c>
      <c r="F3033" s="4">
        <f t="shared" si="51"/>
        <v>-5.8139534883720929E-2</v>
      </c>
      <c r="G3033" s="37">
        <v>33.9</v>
      </c>
      <c r="H3033" s="660">
        <v>45710</v>
      </c>
    </row>
    <row r="3034" spans="3:8" x14ac:dyDescent="0.25">
      <c r="C3034" s="661">
        <v>8</v>
      </c>
      <c r="D3034" s="661">
        <v>55</v>
      </c>
      <c r="E3034" s="662">
        <v>19.100000000000001</v>
      </c>
      <c r="F3034" s="4">
        <f t="shared" si="51"/>
        <v>-1.0362694300518097E-2</v>
      </c>
      <c r="G3034" s="37">
        <v>33.9</v>
      </c>
      <c r="H3034" s="660">
        <v>45710</v>
      </c>
    </row>
    <row r="3035" spans="3:8" x14ac:dyDescent="0.25">
      <c r="C3035" s="661">
        <v>9</v>
      </c>
      <c r="D3035" s="661">
        <v>86</v>
      </c>
      <c r="E3035" s="662">
        <v>38.1</v>
      </c>
      <c r="F3035" s="4">
        <f t="shared" si="51"/>
        <v>-1.5503875968992284E-2</v>
      </c>
      <c r="G3035" s="37">
        <v>33.9</v>
      </c>
      <c r="H3035" s="660">
        <v>45710</v>
      </c>
    </row>
    <row r="3036" spans="3:8" x14ac:dyDescent="0.25">
      <c r="C3036" s="661">
        <v>10</v>
      </c>
      <c r="D3036" s="661">
        <v>82</v>
      </c>
      <c r="E3036" s="662">
        <v>46.3</v>
      </c>
      <c r="F3036" s="4">
        <f t="shared" si="51"/>
        <v>-9.21568627450981E-2</v>
      </c>
      <c r="G3036" s="37">
        <v>33.9</v>
      </c>
      <c r="H3036" s="660">
        <v>45710</v>
      </c>
    </row>
    <row r="3037" spans="3:8" x14ac:dyDescent="0.25">
      <c r="C3037" s="663" t="s">
        <v>0</v>
      </c>
      <c r="D3037" s="663" t="s">
        <v>7</v>
      </c>
      <c r="E3037" s="664" t="s">
        <v>4</v>
      </c>
      <c r="F3037" s="4" t="str">
        <f t="shared" si="51"/>
        <v/>
      </c>
      <c r="G3037" s="37">
        <v>34.6</v>
      </c>
      <c r="H3037" s="665">
        <v>45711</v>
      </c>
    </row>
    <row r="3038" spans="3:8" x14ac:dyDescent="0.25">
      <c r="C3038" s="663">
        <v>51</v>
      </c>
      <c r="D3038" s="663">
        <v>43</v>
      </c>
      <c r="E3038" s="664">
        <v>28.7</v>
      </c>
      <c r="F3038" s="4">
        <f t="shared" si="51"/>
        <v>-6.9204152249134707E-3</v>
      </c>
      <c r="G3038" s="37">
        <v>34.6</v>
      </c>
      <c r="H3038" s="665">
        <v>45711</v>
      </c>
    </row>
    <row r="3039" spans="3:8" x14ac:dyDescent="0.25">
      <c r="C3039" s="663">
        <v>2</v>
      </c>
      <c r="D3039" s="663">
        <v>55</v>
      </c>
      <c r="E3039" s="664">
        <v>32.700000000000003</v>
      </c>
      <c r="F3039" s="4">
        <f t="shared" si="51"/>
        <v>-2.9673590504451036E-2</v>
      </c>
      <c r="G3039" s="37">
        <v>34.6</v>
      </c>
      <c r="H3039" s="665">
        <v>45711</v>
      </c>
    </row>
    <row r="3040" spans="3:8" x14ac:dyDescent="0.25">
      <c r="C3040" s="663">
        <v>3</v>
      </c>
      <c r="D3040" s="663">
        <v>101</v>
      </c>
      <c r="E3040" s="664">
        <v>27.5</v>
      </c>
      <c r="F3040" s="4">
        <f t="shared" si="51"/>
        <v>2.2304832713754701E-2</v>
      </c>
      <c r="G3040" s="37">
        <v>34.6</v>
      </c>
      <c r="H3040" s="665">
        <v>45711</v>
      </c>
    </row>
    <row r="3041" spans="3:8" x14ac:dyDescent="0.25">
      <c r="C3041" s="663">
        <v>4</v>
      </c>
      <c r="D3041" s="663">
        <v>74</v>
      </c>
      <c r="E3041" s="664">
        <v>19.600000000000001</v>
      </c>
      <c r="F3041" s="4">
        <f t="shared" si="51"/>
        <v>2.0833333333333447E-2</v>
      </c>
      <c r="G3041" s="37">
        <v>34.6</v>
      </c>
      <c r="H3041" s="665">
        <v>45711</v>
      </c>
    </row>
    <row r="3042" spans="3:8" x14ac:dyDescent="0.25">
      <c r="C3042" s="663">
        <v>5</v>
      </c>
      <c r="D3042" s="663">
        <v>67</v>
      </c>
      <c r="E3042" s="664">
        <v>37</v>
      </c>
      <c r="F3042" s="4">
        <f t="shared" si="51"/>
        <v>8.1743869209808476E-3</v>
      </c>
      <c r="G3042" s="37">
        <v>34.6</v>
      </c>
      <c r="H3042" s="665">
        <v>45711</v>
      </c>
    </row>
    <row r="3043" spans="3:8" x14ac:dyDescent="0.25">
      <c r="C3043" s="663">
        <v>6</v>
      </c>
      <c r="D3043" s="663">
        <v>85</v>
      </c>
      <c r="E3043" s="664">
        <v>45.3</v>
      </c>
      <c r="F3043" s="4">
        <f t="shared" si="51"/>
        <v>-7.1721311475409846E-2</v>
      </c>
      <c r="G3043" s="37">
        <v>34.6</v>
      </c>
      <c r="H3043" s="665">
        <v>45711</v>
      </c>
    </row>
    <row r="3044" spans="3:8" x14ac:dyDescent="0.25">
      <c r="C3044" s="663">
        <v>7</v>
      </c>
      <c r="D3044" s="663">
        <v>69</v>
      </c>
      <c r="E3044" s="664">
        <v>26.3</v>
      </c>
      <c r="F3044" s="4">
        <f t="shared" si="51"/>
        <v>8.2304526748971193E-2</v>
      </c>
      <c r="G3044" s="37">
        <v>34.6</v>
      </c>
      <c r="H3044" s="665">
        <v>45711</v>
      </c>
    </row>
    <row r="3045" spans="3:8" x14ac:dyDescent="0.25">
      <c r="C3045" s="663">
        <v>8</v>
      </c>
      <c r="D3045" s="663">
        <v>55</v>
      </c>
      <c r="E3045" s="664">
        <v>18.3</v>
      </c>
      <c r="F3045" s="4">
        <f t="shared" si="51"/>
        <v>-4.1884816753926739E-2</v>
      </c>
      <c r="G3045" s="37">
        <v>34.6</v>
      </c>
      <c r="H3045" s="665">
        <v>45711</v>
      </c>
    </row>
    <row r="3046" spans="3:8" x14ac:dyDescent="0.25">
      <c r="C3046" s="663">
        <v>9</v>
      </c>
      <c r="D3046" s="663">
        <v>86</v>
      </c>
      <c r="E3046" s="664">
        <v>42.1</v>
      </c>
      <c r="F3046" s="4">
        <f t="shared" si="51"/>
        <v>0.10498687664041995</v>
      </c>
      <c r="G3046" s="37">
        <v>34.6</v>
      </c>
      <c r="H3046" s="665">
        <v>45711</v>
      </c>
    </row>
    <row r="3047" spans="3:8" x14ac:dyDescent="0.25">
      <c r="C3047" s="663">
        <v>10</v>
      </c>
      <c r="D3047" s="663">
        <v>80</v>
      </c>
      <c r="E3047" s="664">
        <v>48</v>
      </c>
      <c r="F3047" s="4">
        <f t="shared" si="51"/>
        <v>3.6717062634989264E-2</v>
      </c>
      <c r="G3047" s="37">
        <v>34.6</v>
      </c>
      <c r="H3047" s="665">
        <v>45711</v>
      </c>
    </row>
    <row r="3048" spans="3:8" x14ac:dyDescent="0.25">
      <c r="C3048" s="666" t="s">
        <v>0</v>
      </c>
      <c r="D3048" s="666" t="s">
        <v>7</v>
      </c>
      <c r="E3048" s="667" t="s">
        <v>4</v>
      </c>
      <c r="F3048" s="4" t="str">
        <f t="shared" si="51"/>
        <v/>
      </c>
      <c r="G3048" s="37">
        <v>33.6</v>
      </c>
      <c r="H3048" s="668">
        <v>45712</v>
      </c>
    </row>
    <row r="3049" spans="3:8" x14ac:dyDescent="0.25">
      <c r="C3049" s="666">
        <v>51</v>
      </c>
      <c r="D3049" s="666">
        <v>39</v>
      </c>
      <c r="E3049" s="667">
        <v>27.2</v>
      </c>
      <c r="F3049" s="4">
        <f t="shared" si="51"/>
        <v>-5.2264808362369339E-2</v>
      </c>
      <c r="G3049" s="37">
        <v>33.6</v>
      </c>
      <c r="H3049" s="668">
        <v>45712</v>
      </c>
    </row>
    <row r="3050" spans="3:8" x14ac:dyDescent="0.25">
      <c r="C3050" s="666">
        <v>2</v>
      </c>
      <c r="D3050" s="666">
        <v>57</v>
      </c>
      <c r="E3050" s="667">
        <v>31.4</v>
      </c>
      <c r="F3050" s="4">
        <f t="shared" si="51"/>
        <v>-3.9755351681957311E-2</v>
      </c>
      <c r="G3050" s="37">
        <v>33.6</v>
      </c>
      <c r="H3050" s="668">
        <v>45712</v>
      </c>
    </row>
    <row r="3051" spans="3:8" x14ac:dyDescent="0.25">
      <c r="C3051" s="666">
        <v>3</v>
      </c>
      <c r="D3051" s="666">
        <v>98</v>
      </c>
      <c r="E3051" s="667">
        <v>27</v>
      </c>
      <c r="F3051" s="4">
        <f t="shared" si="51"/>
        <v>-1.8181818181818181E-2</v>
      </c>
      <c r="G3051" s="37">
        <v>33.6</v>
      </c>
      <c r="H3051" s="668">
        <v>45712</v>
      </c>
    </row>
    <row r="3052" spans="3:8" x14ac:dyDescent="0.25">
      <c r="C3052" s="666">
        <v>4</v>
      </c>
      <c r="D3052" s="666">
        <v>77</v>
      </c>
      <c r="E3052" s="667">
        <v>19.5</v>
      </c>
      <c r="F3052" s="4">
        <f t="shared" si="51"/>
        <v>-5.1020408163266031E-3</v>
      </c>
      <c r="G3052" s="37">
        <v>33.6</v>
      </c>
      <c r="H3052" s="668">
        <v>45712</v>
      </c>
    </row>
    <row r="3053" spans="3:8" x14ac:dyDescent="0.25">
      <c r="C3053" s="666">
        <v>5</v>
      </c>
      <c r="D3053" s="666">
        <v>67</v>
      </c>
      <c r="E3053" s="667">
        <v>31.5</v>
      </c>
      <c r="F3053" s="4">
        <f t="shared" si="51"/>
        <v>-0.14864864864864866</v>
      </c>
      <c r="G3053" s="37">
        <v>33.6</v>
      </c>
      <c r="H3053" s="668">
        <v>45712</v>
      </c>
    </row>
    <row r="3054" spans="3:8" x14ac:dyDescent="0.25">
      <c r="C3054" s="666">
        <v>6</v>
      </c>
      <c r="D3054" s="666">
        <v>85</v>
      </c>
      <c r="E3054" s="667">
        <v>49</v>
      </c>
      <c r="F3054" s="4">
        <f t="shared" si="51"/>
        <v>8.1677704194260556E-2</v>
      </c>
      <c r="G3054" s="37">
        <v>33.6</v>
      </c>
      <c r="H3054" s="668">
        <v>45712</v>
      </c>
    </row>
    <row r="3055" spans="3:8" x14ac:dyDescent="0.25">
      <c r="C3055" s="666">
        <v>7</v>
      </c>
      <c r="D3055" s="666">
        <v>64</v>
      </c>
      <c r="E3055" s="667">
        <v>26.6</v>
      </c>
      <c r="F3055" s="4">
        <f t="shared" si="51"/>
        <v>1.1406844106463905E-2</v>
      </c>
      <c r="G3055" s="37">
        <v>33.6</v>
      </c>
      <c r="H3055" s="668">
        <v>45712</v>
      </c>
    </row>
    <row r="3056" spans="3:8" x14ac:dyDescent="0.25">
      <c r="C3056" s="666">
        <v>8</v>
      </c>
      <c r="D3056" s="666">
        <v>60</v>
      </c>
      <c r="E3056" s="667">
        <v>19.100000000000001</v>
      </c>
      <c r="F3056" s="4">
        <f t="shared" si="51"/>
        <v>4.3715846994535554E-2</v>
      </c>
      <c r="G3056" s="37">
        <v>33.6</v>
      </c>
      <c r="H3056" s="668">
        <v>45712</v>
      </c>
    </row>
    <row r="3057" spans="3:8" x14ac:dyDescent="0.25">
      <c r="C3057" s="666">
        <v>9</v>
      </c>
      <c r="D3057" s="666">
        <v>86</v>
      </c>
      <c r="E3057" s="667">
        <v>33.700000000000003</v>
      </c>
      <c r="F3057" s="4">
        <f t="shared" ref="F3057:F3103" si="52">IFERROR((E3057-E3046)/E3046,"")</f>
        <v>-0.19952494061757717</v>
      </c>
      <c r="G3057" s="37">
        <v>33.6</v>
      </c>
      <c r="H3057" s="668">
        <v>45712</v>
      </c>
    </row>
    <row r="3058" spans="3:8" x14ac:dyDescent="0.25">
      <c r="C3058" s="666">
        <v>10</v>
      </c>
      <c r="D3058" s="666">
        <v>80</v>
      </c>
      <c r="E3058" s="667">
        <v>50.4</v>
      </c>
      <c r="F3058" s="4">
        <f t="shared" si="52"/>
        <v>4.9999999999999968E-2</v>
      </c>
      <c r="G3058" s="37">
        <v>33.6</v>
      </c>
      <c r="H3058" s="668">
        <v>45712</v>
      </c>
    </row>
    <row r="3059" spans="3:8" x14ac:dyDescent="0.25">
      <c r="C3059" s="669" t="s">
        <v>0</v>
      </c>
      <c r="D3059" s="669" t="s">
        <v>7</v>
      </c>
      <c r="E3059" s="670" t="s">
        <v>4</v>
      </c>
      <c r="F3059" s="4" t="str">
        <f t="shared" si="52"/>
        <v/>
      </c>
      <c r="G3059" s="37">
        <v>35.299999999999997</v>
      </c>
      <c r="H3059" s="671">
        <v>45713</v>
      </c>
    </row>
    <row r="3060" spans="3:8" x14ac:dyDescent="0.25">
      <c r="C3060" s="669">
        <v>51</v>
      </c>
      <c r="D3060" s="669">
        <v>40</v>
      </c>
      <c r="E3060" s="670">
        <v>28.1</v>
      </c>
      <c r="F3060" s="4">
        <f t="shared" si="52"/>
        <v>3.3088235294117724E-2</v>
      </c>
      <c r="G3060" s="37">
        <v>35.299999999999997</v>
      </c>
      <c r="H3060" s="671">
        <v>45713</v>
      </c>
    </row>
    <row r="3061" spans="3:8" x14ac:dyDescent="0.25">
      <c r="C3061" s="669">
        <v>2</v>
      </c>
      <c r="D3061" s="669">
        <v>57</v>
      </c>
      <c r="E3061" s="670">
        <v>33.1</v>
      </c>
      <c r="F3061" s="4">
        <f t="shared" si="52"/>
        <v>5.4140127388535124E-2</v>
      </c>
      <c r="G3061" s="37">
        <v>35.299999999999997</v>
      </c>
      <c r="H3061" s="671">
        <v>45713</v>
      </c>
    </row>
    <row r="3062" spans="3:8" x14ac:dyDescent="0.25">
      <c r="C3062" s="669">
        <v>3</v>
      </c>
      <c r="D3062" s="669">
        <v>98</v>
      </c>
      <c r="E3062" s="670">
        <v>28</v>
      </c>
      <c r="F3062" s="4">
        <f t="shared" si="52"/>
        <v>3.7037037037037035E-2</v>
      </c>
      <c r="G3062" s="37">
        <v>35.299999999999997</v>
      </c>
      <c r="H3062" s="671">
        <v>45713</v>
      </c>
    </row>
    <row r="3063" spans="3:8" x14ac:dyDescent="0.25">
      <c r="C3063" s="669">
        <v>4</v>
      </c>
      <c r="D3063" s="669">
        <v>77</v>
      </c>
      <c r="E3063" s="670">
        <v>17.399999999999999</v>
      </c>
      <c r="F3063" s="4">
        <f t="shared" si="52"/>
        <v>-0.10769230769230777</v>
      </c>
      <c r="G3063" s="37">
        <v>35.299999999999997</v>
      </c>
      <c r="H3063" s="671">
        <v>45713</v>
      </c>
    </row>
    <row r="3064" spans="3:8" x14ac:dyDescent="0.25">
      <c r="C3064" s="669">
        <v>5</v>
      </c>
      <c r="D3064" s="669">
        <v>70</v>
      </c>
      <c r="E3064" s="670">
        <v>39.5</v>
      </c>
      <c r="F3064" s="4">
        <f t="shared" si="52"/>
        <v>0.25396825396825395</v>
      </c>
      <c r="G3064" s="37">
        <v>35.299999999999997</v>
      </c>
      <c r="H3064" s="671">
        <v>45713</v>
      </c>
    </row>
    <row r="3065" spans="3:8" x14ac:dyDescent="0.25">
      <c r="C3065" s="669">
        <v>6</v>
      </c>
      <c r="D3065" s="669">
        <v>86</v>
      </c>
      <c r="E3065" s="670">
        <v>51</v>
      </c>
      <c r="F3065" s="4">
        <f t="shared" si="52"/>
        <v>4.0816326530612242E-2</v>
      </c>
      <c r="G3065" s="37">
        <v>35.299999999999997</v>
      </c>
      <c r="H3065" s="671">
        <v>45713</v>
      </c>
    </row>
    <row r="3066" spans="3:8" x14ac:dyDescent="0.25">
      <c r="C3066" s="669">
        <v>7</v>
      </c>
      <c r="D3066" s="669">
        <v>66</v>
      </c>
      <c r="E3066" s="670">
        <v>29.6</v>
      </c>
      <c r="F3066" s="4">
        <f t="shared" si="52"/>
        <v>0.11278195488721804</v>
      </c>
      <c r="G3066" s="37">
        <v>35.299999999999997</v>
      </c>
      <c r="H3066" s="671">
        <v>45713</v>
      </c>
    </row>
    <row r="3067" spans="3:8" x14ac:dyDescent="0.25">
      <c r="C3067" s="669">
        <v>8</v>
      </c>
      <c r="D3067" s="669">
        <v>60</v>
      </c>
      <c r="E3067" s="670">
        <v>19.100000000000001</v>
      </c>
      <c r="F3067" s="4">
        <f t="shared" si="52"/>
        <v>0</v>
      </c>
      <c r="G3067" s="37">
        <v>35.299999999999997</v>
      </c>
      <c r="H3067" s="671">
        <v>45713</v>
      </c>
    </row>
    <row r="3068" spans="3:8" x14ac:dyDescent="0.25">
      <c r="C3068" s="669">
        <v>9</v>
      </c>
      <c r="D3068" s="669">
        <v>86</v>
      </c>
      <c r="E3068" s="670">
        <v>39.4</v>
      </c>
      <c r="F3068" s="4">
        <f t="shared" si="52"/>
        <v>0.16913946587537079</v>
      </c>
      <c r="G3068" s="37">
        <v>35.299999999999997</v>
      </c>
      <c r="H3068" s="671">
        <v>45713</v>
      </c>
    </row>
    <row r="3069" spans="3:8" x14ac:dyDescent="0.25">
      <c r="C3069" s="669">
        <v>10</v>
      </c>
      <c r="D3069" s="669">
        <v>79</v>
      </c>
      <c r="E3069" s="670">
        <v>49.2</v>
      </c>
      <c r="F3069" s="4">
        <f t="shared" si="52"/>
        <v>-2.3809523809523725E-2</v>
      </c>
      <c r="G3069" s="37">
        <v>35.299999999999997</v>
      </c>
      <c r="H3069" s="671">
        <v>45713</v>
      </c>
    </row>
    <row r="3070" spans="3:8" x14ac:dyDescent="0.25">
      <c r="C3070" s="672" t="s">
        <v>0</v>
      </c>
      <c r="D3070" s="672" t="s">
        <v>7</v>
      </c>
      <c r="E3070" s="673" t="s">
        <v>4</v>
      </c>
      <c r="F3070" s="4" t="str">
        <f t="shared" si="52"/>
        <v/>
      </c>
      <c r="G3070" s="37">
        <v>33.299999999999997</v>
      </c>
      <c r="H3070" s="674">
        <v>45714</v>
      </c>
    </row>
    <row r="3071" spans="3:8" x14ac:dyDescent="0.25">
      <c r="C3071" s="672">
        <v>51</v>
      </c>
      <c r="D3071" s="672">
        <v>41</v>
      </c>
      <c r="E3071" s="673">
        <v>22.5</v>
      </c>
      <c r="F3071" s="4">
        <f t="shared" si="52"/>
        <v>-0.19928825622775806</v>
      </c>
      <c r="G3071" s="37">
        <v>33.299999999999997</v>
      </c>
      <c r="H3071" s="674">
        <v>45714</v>
      </c>
    </row>
    <row r="3072" spans="3:8" x14ac:dyDescent="0.25">
      <c r="C3072" s="672">
        <v>2</v>
      </c>
      <c r="D3072" s="672">
        <v>57</v>
      </c>
      <c r="E3072" s="673">
        <v>32</v>
      </c>
      <c r="F3072" s="4">
        <f t="shared" si="52"/>
        <v>-3.3232628398791583E-2</v>
      </c>
      <c r="G3072" s="37">
        <v>33.299999999999997</v>
      </c>
      <c r="H3072" s="674">
        <v>45714</v>
      </c>
    </row>
    <row r="3073" spans="3:8" x14ac:dyDescent="0.25">
      <c r="C3073" s="672">
        <v>3</v>
      </c>
      <c r="D3073" s="672">
        <v>98</v>
      </c>
      <c r="E3073" s="673">
        <v>26.6</v>
      </c>
      <c r="F3073" s="4">
        <f t="shared" si="52"/>
        <v>-4.9999999999999947E-2</v>
      </c>
      <c r="G3073" s="37">
        <v>33.299999999999997</v>
      </c>
      <c r="H3073" s="674">
        <v>45714</v>
      </c>
    </row>
    <row r="3074" spans="3:8" x14ac:dyDescent="0.25">
      <c r="C3074" s="672">
        <v>4</v>
      </c>
      <c r="D3074" s="672">
        <v>77</v>
      </c>
      <c r="E3074" s="673">
        <v>19.5</v>
      </c>
      <c r="F3074" s="4">
        <f t="shared" si="52"/>
        <v>0.12068965517241388</v>
      </c>
      <c r="G3074" s="37">
        <v>33.299999999999997</v>
      </c>
      <c r="H3074" s="674">
        <v>45714</v>
      </c>
    </row>
    <row r="3075" spans="3:8" x14ac:dyDescent="0.25">
      <c r="C3075" s="672">
        <v>5</v>
      </c>
      <c r="D3075" s="672">
        <v>70</v>
      </c>
      <c r="E3075" s="673">
        <v>35.4</v>
      </c>
      <c r="F3075" s="4">
        <f t="shared" si="52"/>
        <v>-0.10379746835443042</v>
      </c>
      <c r="G3075" s="37">
        <v>33.299999999999997</v>
      </c>
      <c r="H3075" s="674">
        <v>45714</v>
      </c>
    </row>
    <row r="3076" spans="3:8" x14ac:dyDescent="0.25">
      <c r="C3076" s="672">
        <v>6</v>
      </c>
      <c r="D3076" s="672">
        <v>85</v>
      </c>
      <c r="E3076" s="673">
        <v>47.4</v>
      </c>
      <c r="F3076" s="4">
        <f t="shared" si="52"/>
        <v>-7.0588235294117674E-2</v>
      </c>
      <c r="G3076" s="37">
        <v>33.299999999999997</v>
      </c>
      <c r="H3076" s="674">
        <v>45714</v>
      </c>
    </row>
    <row r="3077" spans="3:8" x14ac:dyDescent="0.25">
      <c r="C3077" s="672">
        <v>7</v>
      </c>
      <c r="D3077" s="672">
        <v>66</v>
      </c>
      <c r="E3077" s="673">
        <v>27.7</v>
      </c>
      <c r="F3077" s="4">
        <f t="shared" si="52"/>
        <v>-6.4189189189189255E-2</v>
      </c>
      <c r="G3077" s="37">
        <v>33.299999999999997</v>
      </c>
      <c r="H3077" s="674">
        <v>45714</v>
      </c>
    </row>
    <row r="3078" spans="3:8" x14ac:dyDescent="0.25">
      <c r="C3078" s="672">
        <v>8</v>
      </c>
      <c r="D3078" s="672">
        <v>60</v>
      </c>
      <c r="E3078" s="673">
        <v>18.899999999999999</v>
      </c>
      <c r="F3078" s="4">
        <f t="shared" si="52"/>
        <v>-1.0471204188481823E-2</v>
      </c>
      <c r="G3078" s="37">
        <v>33.299999999999997</v>
      </c>
      <c r="H3078" s="674">
        <v>45714</v>
      </c>
    </row>
    <row r="3079" spans="3:8" x14ac:dyDescent="0.25">
      <c r="C3079" s="672">
        <v>9</v>
      </c>
      <c r="D3079" s="672">
        <v>85</v>
      </c>
      <c r="E3079" s="673">
        <v>37</v>
      </c>
      <c r="F3079" s="4">
        <f t="shared" si="52"/>
        <v>-6.0913705583756313E-2</v>
      </c>
      <c r="G3079" s="37">
        <v>33.299999999999997</v>
      </c>
      <c r="H3079" s="674">
        <v>45714</v>
      </c>
    </row>
    <row r="3080" spans="3:8" x14ac:dyDescent="0.25">
      <c r="C3080" s="672">
        <v>10</v>
      </c>
      <c r="D3080" s="672">
        <v>80</v>
      </c>
      <c r="E3080" s="673">
        <v>50</v>
      </c>
      <c r="F3080" s="4">
        <f t="shared" si="52"/>
        <v>1.6260162601625959E-2</v>
      </c>
      <c r="G3080" s="37">
        <v>33.299999999999997</v>
      </c>
      <c r="H3080" s="674">
        <v>45714</v>
      </c>
    </row>
    <row r="3081" spans="3:8" x14ac:dyDescent="0.25">
      <c r="C3081" s="676" t="s">
        <v>0</v>
      </c>
      <c r="D3081" s="676" t="s">
        <v>7</v>
      </c>
      <c r="E3081" s="677" t="s">
        <v>4</v>
      </c>
      <c r="F3081" s="4" t="str">
        <f t="shared" si="52"/>
        <v/>
      </c>
      <c r="G3081" s="37">
        <v>34</v>
      </c>
      <c r="H3081" s="678">
        <v>45715</v>
      </c>
    </row>
    <row r="3082" spans="3:8" x14ac:dyDescent="0.25">
      <c r="C3082" s="676">
        <v>51</v>
      </c>
      <c r="D3082" s="676">
        <v>40</v>
      </c>
      <c r="E3082" s="677">
        <v>27</v>
      </c>
      <c r="F3082" s="4">
        <f t="shared" si="52"/>
        <v>0.2</v>
      </c>
      <c r="G3082" s="37">
        <v>34</v>
      </c>
      <c r="H3082" s="678">
        <v>45715</v>
      </c>
    </row>
    <row r="3083" spans="3:8" x14ac:dyDescent="0.25">
      <c r="C3083" s="676">
        <v>2</v>
      </c>
      <c r="D3083" s="676">
        <v>57</v>
      </c>
      <c r="E3083" s="677">
        <v>33</v>
      </c>
      <c r="F3083" s="4">
        <f t="shared" si="52"/>
        <v>3.125E-2</v>
      </c>
      <c r="G3083" s="37">
        <v>34</v>
      </c>
      <c r="H3083" s="678">
        <v>45715</v>
      </c>
    </row>
    <row r="3084" spans="3:8" x14ac:dyDescent="0.25">
      <c r="C3084" s="676">
        <v>3</v>
      </c>
      <c r="D3084" s="676">
        <v>98</v>
      </c>
      <c r="E3084" s="677">
        <v>27.1</v>
      </c>
      <c r="F3084" s="4">
        <f t="shared" si="52"/>
        <v>1.8796992481203006E-2</v>
      </c>
      <c r="G3084" s="37">
        <v>34</v>
      </c>
      <c r="H3084" s="678">
        <v>45715</v>
      </c>
    </row>
    <row r="3085" spans="3:8" x14ac:dyDescent="0.25">
      <c r="C3085" s="676">
        <v>4</v>
      </c>
      <c r="D3085" s="676">
        <v>77</v>
      </c>
      <c r="E3085" s="677">
        <v>19</v>
      </c>
      <c r="F3085" s="4">
        <f t="shared" si="52"/>
        <v>-2.564102564102564E-2</v>
      </c>
      <c r="G3085" s="37">
        <v>34</v>
      </c>
      <c r="H3085" s="678">
        <v>45715</v>
      </c>
    </row>
    <row r="3086" spans="3:8" x14ac:dyDescent="0.25">
      <c r="C3086" s="676">
        <v>5</v>
      </c>
      <c r="D3086" s="676">
        <v>69</v>
      </c>
      <c r="E3086" s="677">
        <v>38</v>
      </c>
      <c r="F3086" s="4">
        <f t="shared" si="52"/>
        <v>7.3446327683615864E-2</v>
      </c>
      <c r="G3086" s="37">
        <v>34</v>
      </c>
      <c r="H3086" s="678">
        <v>45715</v>
      </c>
    </row>
    <row r="3087" spans="3:8" x14ac:dyDescent="0.25">
      <c r="C3087" s="676">
        <v>6</v>
      </c>
      <c r="D3087" s="676">
        <v>83</v>
      </c>
      <c r="E3087" s="677">
        <v>48.9</v>
      </c>
      <c r="F3087" s="4">
        <f t="shared" si="52"/>
        <v>3.1645569620253167E-2</v>
      </c>
      <c r="G3087" s="37">
        <v>34</v>
      </c>
      <c r="H3087" s="678">
        <v>45715</v>
      </c>
    </row>
    <row r="3088" spans="3:8" x14ac:dyDescent="0.25">
      <c r="C3088" s="676">
        <v>7</v>
      </c>
      <c r="D3088" s="676">
        <v>66</v>
      </c>
      <c r="E3088" s="677">
        <v>29</v>
      </c>
      <c r="F3088" s="4">
        <f t="shared" si="52"/>
        <v>4.6931407942238296E-2</v>
      </c>
      <c r="G3088" s="37">
        <v>34</v>
      </c>
      <c r="H3088" s="678">
        <v>45715</v>
      </c>
    </row>
    <row r="3089" spans="3:8" x14ac:dyDescent="0.25">
      <c r="C3089" s="676">
        <v>8</v>
      </c>
      <c r="D3089" s="676">
        <v>60</v>
      </c>
      <c r="E3089" s="677">
        <v>19.7</v>
      </c>
      <c r="F3089" s="4">
        <f t="shared" si="52"/>
        <v>4.2328042328042367E-2</v>
      </c>
      <c r="G3089" s="37">
        <v>34</v>
      </c>
      <c r="H3089" s="678">
        <v>45715</v>
      </c>
    </row>
    <row r="3090" spans="3:8" x14ac:dyDescent="0.25">
      <c r="C3090" s="676">
        <v>9</v>
      </c>
      <c r="D3090" s="676">
        <v>85</v>
      </c>
      <c r="E3090" s="677">
        <v>38.200000000000003</v>
      </c>
      <c r="F3090" s="4">
        <f t="shared" si="52"/>
        <v>3.2432432432432511E-2</v>
      </c>
      <c r="G3090" s="37">
        <v>34</v>
      </c>
      <c r="H3090" s="678">
        <v>45715</v>
      </c>
    </row>
    <row r="3091" spans="3:8" x14ac:dyDescent="0.25">
      <c r="C3091" s="676">
        <v>10</v>
      </c>
      <c r="D3091" s="676">
        <v>80</v>
      </c>
      <c r="E3091" s="677">
        <v>47.8</v>
      </c>
      <c r="F3091" s="4">
        <f t="shared" si="52"/>
        <v>-4.400000000000006E-2</v>
      </c>
      <c r="G3091" s="37">
        <v>34</v>
      </c>
      <c r="H3091" s="678">
        <v>45715</v>
      </c>
    </row>
    <row r="3092" spans="3:8" x14ac:dyDescent="0.25">
      <c r="C3092" s="679" t="s">
        <v>0</v>
      </c>
      <c r="D3092" s="679" t="s">
        <v>7</v>
      </c>
      <c r="E3092" s="680" t="s">
        <v>4</v>
      </c>
      <c r="F3092" s="4" t="str">
        <f t="shared" si="52"/>
        <v/>
      </c>
      <c r="G3092" s="37">
        <v>33.700000000000003</v>
      </c>
      <c r="H3092" s="681">
        <v>45716</v>
      </c>
    </row>
    <row r="3093" spans="3:8" x14ac:dyDescent="0.25">
      <c r="C3093" s="679">
        <v>51</v>
      </c>
      <c r="D3093" s="679">
        <v>39</v>
      </c>
      <c r="E3093" s="680">
        <v>25.9</v>
      </c>
      <c r="F3093" s="4">
        <f t="shared" si="52"/>
        <v>-4.0740740740740793E-2</v>
      </c>
      <c r="G3093" s="37">
        <v>33.700000000000003</v>
      </c>
      <c r="H3093" s="681">
        <v>45716</v>
      </c>
    </row>
    <row r="3094" spans="3:8" x14ac:dyDescent="0.25">
      <c r="C3094" s="679">
        <v>2</v>
      </c>
      <c r="D3094" s="679">
        <v>57</v>
      </c>
      <c r="E3094" s="680">
        <v>31.3</v>
      </c>
      <c r="F3094" s="4">
        <f t="shared" si="52"/>
        <v>-5.1515151515151493E-2</v>
      </c>
      <c r="G3094" s="37">
        <v>33.700000000000003</v>
      </c>
      <c r="H3094" s="681">
        <v>45716</v>
      </c>
    </row>
    <row r="3095" spans="3:8" x14ac:dyDescent="0.25">
      <c r="C3095" s="679">
        <v>3</v>
      </c>
      <c r="D3095" s="679">
        <v>98</v>
      </c>
      <c r="E3095" s="680">
        <v>26.9</v>
      </c>
      <c r="F3095" s="4">
        <f t="shared" si="52"/>
        <v>-7.3800738007381121E-3</v>
      </c>
      <c r="G3095" s="37">
        <v>33.700000000000003</v>
      </c>
      <c r="H3095" s="681">
        <v>45716</v>
      </c>
    </row>
    <row r="3096" spans="3:8" x14ac:dyDescent="0.25">
      <c r="C3096" s="679">
        <v>4</v>
      </c>
      <c r="D3096" s="679">
        <v>76</v>
      </c>
      <c r="E3096" s="680">
        <v>19.600000000000001</v>
      </c>
      <c r="F3096" s="4">
        <f t="shared" si="52"/>
        <v>3.157894736842113E-2</v>
      </c>
      <c r="G3096" s="37">
        <v>33.700000000000003</v>
      </c>
      <c r="H3096" s="681">
        <v>45716</v>
      </c>
    </row>
    <row r="3097" spans="3:8" x14ac:dyDescent="0.25">
      <c r="C3097" s="679">
        <v>5</v>
      </c>
      <c r="D3097" s="679">
        <v>69</v>
      </c>
      <c r="E3097" s="680">
        <v>34.9</v>
      </c>
      <c r="F3097" s="4">
        <f t="shared" si="52"/>
        <v>-8.1578947368421084E-2</v>
      </c>
      <c r="G3097" s="37">
        <v>33.700000000000003</v>
      </c>
      <c r="H3097" s="681">
        <v>45716</v>
      </c>
    </row>
    <row r="3098" spans="3:8" x14ac:dyDescent="0.25">
      <c r="C3098" s="679">
        <v>6</v>
      </c>
      <c r="D3098" s="679">
        <v>83</v>
      </c>
      <c r="E3098" s="680">
        <v>48.6</v>
      </c>
      <c r="F3098" s="4">
        <f t="shared" si="52"/>
        <v>-6.1349693251533163E-3</v>
      </c>
      <c r="G3098" s="37">
        <v>33.700000000000003</v>
      </c>
      <c r="H3098" s="681">
        <v>45716</v>
      </c>
    </row>
    <row r="3099" spans="3:8" x14ac:dyDescent="0.25">
      <c r="C3099" s="679">
        <v>7</v>
      </c>
      <c r="D3099" s="679">
        <v>67</v>
      </c>
      <c r="E3099" s="680">
        <v>25.5</v>
      </c>
      <c r="F3099" s="4">
        <f t="shared" si="52"/>
        <v>-0.1206896551724138</v>
      </c>
      <c r="G3099" s="37">
        <v>33.700000000000003</v>
      </c>
      <c r="H3099" s="681">
        <v>45716</v>
      </c>
    </row>
    <row r="3100" spans="3:8" x14ac:dyDescent="0.25">
      <c r="C3100" s="679">
        <v>8</v>
      </c>
      <c r="D3100" s="679">
        <v>61</v>
      </c>
      <c r="E3100" s="680">
        <v>19.8</v>
      </c>
      <c r="F3100" s="4">
        <f t="shared" si="52"/>
        <v>5.0761421319797679E-3</v>
      </c>
      <c r="G3100" s="37">
        <v>33.700000000000003</v>
      </c>
      <c r="H3100" s="681">
        <v>45716</v>
      </c>
    </row>
    <row r="3101" spans="3:8" x14ac:dyDescent="0.25">
      <c r="C3101" s="679">
        <v>9</v>
      </c>
      <c r="D3101" s="679">
        <v>85</v>
      </c>
      <c r="E3101" s="680">
        <v>37</v>
      </c>
      <c r="F3101" s="4">
        <f t="shared" si="52"/>
        <v>-3.1413612565445101E-2</v>
      </c>
      <c r="G3101" s="37">
        <v>33.700000000000003</v>
      </c>
      <c r="H3101" s="681">
        <v>45716</v>
      </c>
    </row>
    <row r="3102" spans="3:8" x14ac:dyDescent="0.25">
      <c r="C3102" s="679">
        <v>10</v>
      </c>
      <c r="D3102" s="679">
        <v>81</v>
      </c>
      <c r="E3102" s="680">
        <v>49.2</v>
      </c>
      <c r="F3102" s="4">
        <f t="shared" si="52"/>
        <v>2.9288702928870414E-2</v>
      </c>
      <c r="G3102" s="37">
        <v>33.700000000000003</v>
      </c>
      <c r="H3102" s="681">
        <v>45716</v>
      </c>
    </row>
    <row r="3103" spans="3:8" x14ac:dyDescent="0.25">
      <c r="C3103" s="682" t="s">
        <v>0</v>
      </c>
      <c r="D3103" s="682" t="s">
        <v>7</v>
      </c>
      <c r="E3103" s="683" t="s">
        <v>4</v>
      </c>
      <c r="F3103" s="4" t="str">
        <f t="shared" si="52"/>
        <v/>
      </c>
      <c r="G3103" s="37">
        <v>33.799999999999997</v>
      </c>
      <c r="H3103" s="681">
        <v>45717</v>
      </c>
    </row>
    <row r="3104" spans="3:8" x14ac:dyDescent="0.25">
      <c r="C3104" s="682">
        <v>51</v>
      </c>
      <c r="D3104" s="682">
        <v>40</v>
      </c>
      <c r="E3104" s="683">
        <v>25.4</v>
      </c>
      <c r="F3104" s="4">
        <f>IFERROR((E3104-E3102)/E3102,"")</f>
        <v>-0.48373983739837406</v>
      </c>
      <c r="G3104" s="37">
        <v>33.799999999999997</v>
      </c>
      <c r="H3104" s="681">
        <v>45717</v>
      </c>
    </row>
    <row r="3105" spans="3:8" x14ac:dyDescent="0.25">
      <c r="C3105" s="682">
        <v>1</v>
      </c>
      <c r="D3105" s="682">
        <v>80</v>
      </c>
      <c r="E3105" s="683"/>
      <c r="F3105" s="4">
        <f t="shared" ref="F3105:F3114" si="53">IFERROR((E3105-E3093)/E3093,"")</f>
        <v>-1</v>
      </c>
      <c r="G3105" s="37">
        <v>33.799999999999997</v>
      </c>
      <c r="H3105" s="681">
        <v>45717</v>
      </c>
    </row>
    <row r="3106" spans="3:8" x14ac:dyDescent="0.25">
      <c r="C3106" s="682">
        <v>2</v>
      </c>
      <c r="D3106" s="682">
        <v>57</v>
      </c>
      <c r="E3106" s="683">
        <v>31.8</v>
      </c>
      <c r="F3106" s="4">
        <f t="shared" si="53"/>
        <v>1.5974440894568689E-2</v>
      </c>
      <c r="G3106" s="37">
        <v>33.799999999999997</v>
      </c>
      <c r="H3106" s="681">
        <v>45717</v>
      </c>
    </row>
    <row r="3107" spans="3:8" x14ac:dyDescent="0.25">
      <c r="C3107" s="682">
        <v>3</v>
      </c>
      <c r="D3107" s="682">
        <v>97</v>
      </c>
      <c r="E3107" s="683">
        <v>27</v>
      </c>
      <c r="F3107" s="4">
        <f t="shared" si="53"/>
        <v>3.717472118959161E-3</v>
      </c>
      <c r="G3107" s="37">
        <v>33.799999999999997</v>
      </c>
      <c r="H3107" s="681">
        <v>45717</v>
      </c>
    </row>
    <row r="3108" spans="3:8" x14ac:dyDescent="0.25">
      <c r="C3108" s="682">
        <v>4</v>
      </c>
      <c r="D3108" s="682">
        <v>75</v>
      </c>
      <c r="E3108" s="683">
        <v>19.2</v>
      </c>
      <c r="F3108" s="4">
        <f t="shared" si="53"/>
        <v>-2.0408163265306228E-2</v>
      </c>
      <c r="G3108" s="37">
        <v>33.799999999999997</v>
      </c>
      <c r="H3108" s="681">
        <v>45717</v>
      </c>
    </row>
    <row r="3109" spans="3:8" x14ac:dyDescent="0.25">
      <c r="C3109" s="682">
        <v>5</v>
      </c>
      <c r="D3109" s="682">
        <v>69</v>
      </c>
      <c r="E3109" s="683">
        <v>37.1</v>
      </c>
      <c r="F3109" s="4">
        <f t="shared" si="53"/>
        <v>6.3037249283667704E-2</v>
      </c>
      <c r="G3109" s="37">
        <v>33.799999999999997</v>
      </c>
      <c r="H3109" s="681">
        <v>45717</v>
      </c>
    </row>
    <row r="3110" spans="3:8" x14ac:dyDescent="0.25">
      <c r="C3110" s="682">
        <v>6</v>
      </c>
      <c r="D3110" s="682">
        <v>83</v>
      </c>
      <c r="E3110" s="683">
        <v>48.7</v>
      </c>
      <c r="F3110" s="4">
        <f t="shared" si="53"/>
        <v>2.0576131687243091E-3</v>
      </c>
      <c r="G3110" s="37">
        <v>33.799999999999997</v>
      </c>
      <c r="H3110" s="681">
        <v>45717</v>
      </c>
    </row>
    <row r="3111" spans="3:8" x14ac:dyDescent="0.25">
      <c r="C3111" s="682">
        <v>7</v>
      </c>
      <c r="D3111" s="682">
        <v>67</v>
      </c>
      <c r="E3111" s="683">
        <v>29</v>
      </c>
      <c r="F3111" s="4">
        <f t="shared" si="53"/>
        <v>0.13725490196078433</v>
      </c>
      <c r="G3111" s="37">
        <v>33.799999999999997</v>
      </c>
      <c r="H3111" s="681">
        <v>45717</v>
      </c>
    </row>
    <row r="3112" spans="3:8" x14ac:dyDescent="0.25">
      <c r="C3112" s="682">
        <v>8</v>
      </c>
      <c r="D3112" s="682">
        <v>61</v>
      </c>
      <c r="E3112" s="683">
        <v>18.100000000000001</v>
      </c>
      <c r="F3112" s="4">
        <f t="shared" si="53"/>
        <v>-8.5858585858585815E-2</v>
      </c>
      <c r="G3112" s="37">
        <v>33.799999999999997</v>
      </c>
      <c r="H3112" s="681">
        <v>45717</v>
      </c>
    </row>
    <row r="3113" spans="3:8" x14ac:dyDescent="0.25">
      <c r="C3113" s="682">
        <v>9</v>
      </c>
      <c r="D3113" s="682">
        <v>85</v>
      </c>
      <c r="E3113" s="683">
        <v>38</v>
      </c>
      <c r="F3113" s="4">
        <f t="shared" si="53"/>
        <v>2.7027027027027029E-2</v>
      </c>
      <c r="G3113" s="37">
        <v>33.799999999999997</v>
      </c>
      <c r="H3113" s="681">
        <v>45717</v>
      </c>
    </row>
    <row r="3114" spans="3:8" x14ac:dyDescent="0.25">
      <c r="C3114" s="684" t="s">
        <v>0</v>
      </c>
      <c r="D3114" s="684" t="s">
        <v>7</v>
      </c>
      <c r="E3114" s="685" t="s">
        <v>4</v>
      </c>
      <c r="F3114" s="4" t="str">
        <f t="shared" si="53"/>
        <v/>
      </c>
      <c r="G3114" s="37">
        <v>33</v>
      </c>
      <c r="H3114" s="686">
        <v>45718</v>
      </c>
    </row>
    <row r="3115" spans="3:8" x14ac:dyDescent="0.25">
      <c r="C3115" s="684">
        <v>51</v>
      </c>
      <c r="D3115" s="684">
        <v>45</v>
      </c>
      <c r="E3115" s="685">
        <v>26.5</v>
      </c>
      <c r="F3115" s="4">
        <f t="shared" ref="F3115:F3178" si="54">IFERROR((E3115-E3104)/E3104,"")</f>
        <v>4.3307086614173283E-2</v>
      </c>
      <c r="G3115" s="37">
        <v>33</v>
      </c>
      <c r="H3115" s="686">
        <v>45718</v>
      </c>
    </row>
    <row r="3116" spans="3:8" x14ac:dyDescent="0.25">
      <c r="C3116" s="684">
        <v>1</v>
      </c>
      <c r="D3116" s="684">
        <v>79</v>
      </c>
      <c r="E3116" s="685">
        <v>45</v>
      </c>
      <c r="F3116" s="4" t="str">
        <f t="shared" si="54"/>
        <v/>
      </c>
      <c r="G3116" s="37">
        <v>33</v>
      </c>
      <c r="H3116" s="686">
        <v>45718</v>
      </c>
    </row>
    <row r="3117" spans="3:8" x14ac:dyDescent="0.25">
      <c r="C3117" s="684">
        <v>2</v>
      </c>
      <c r="D3117" s="684">
        <v>57</v>
      </c>
      <c r="E3117" s="685">
        <v>31.7</v>
      </c>
      <c r="F3117" s="4">
        <f t="shared" si="54"/>
        <v>-3.1446540880503589E-3</v>
      </c>
      <c r="G3117" s="37">
        <v>33</v>
      </c>
      <c r="H3117" s="686">
        <v>45718</v>
      </c>
    </row>
    <row r="3118" spans="3:8" x14ac:dyDescent="0.25">
      <c r="C3118" s="684">
        <v>3</v>
      </c>
      <c r="D3118" s="684">
        <v>97</v>
      </c>
      <c r="E3118" s="685">
        <v>27</v>
      </c>
      <c r="F3118" s="4">
        <f t="shared" si="54"/>
        <v>0</v>
      </c>
      <c r="G3118" s="37">
        <v>33</v>
      </c>
      <c r="H3118" s="686">
        <v>45718</v>
      </c>
    </row>
    <row r="3119" spans="3:8" x14ac:dyDescent="0.25">
      <c r="C3119" s="684">
        <v>4</v>
      </c>
      <c r="D3119" s="684">
        <v>74</v>
      </c>
      <c r="E3119" s="685">
        <v>18.100000000000001</v>
      </c>
      <c r="F3119" s="4">
        <f t="shared" si="54"/>
        <v>-5.729166666666656E-2</v>
      </c>
      <c r="G3119" s="37">
        <v>33</v>
      </c>
      <c r="H3119" s="686">
        <v>45718</v>
      </c>
    </row>
    <row r="3120" spans="3:8" x14ac:dyDescent="0.25">
      <c r="C3120" s="684">
        <v>5</v>
      </c>
      <c r="D3120" s="684">
        <v>69</v>
      </c>
      <c r="E3120" s="685">
        <v>38.700000000000003</v>
      </c>
      <c r="F3120" s="4">
        <f t="shared" si="54"/>
        <v>4.3126684636118635E-2</v>
      </c>
      <c r="G3120" s="37">
        <v>33</v>
      </c>
      <c r="H3120" s="686">
        <v>45718</v>
      </c>
    </row>
    <row r="3121" spans="3:8" x14ac:dyDescent="0.25">
      <c r="C3121" s="684">
        <v>6</v>
      </c>
      <c r="D3121" s="684">
        <v>81</v>
      </c>
      <c r="E3121" s="685">
        <v>47.6</v>
      </c>
      <c r="F3121" s="4">
        <f t="shared" si="54"/>
        <v>-2.2587268993839865E-2</v>
      </c>
      <c r="G3121" s="37">
        <v>33</v>
      </c>
      <c r="H3121" s="686">
        <v>45718</v>
      </c>
    </row>
    <row r="3122" spans="3:8" x14ac:dyDescent="0.25">
      <c r="C3122" s="684">
        <v>7</v>
      </c>
      <c r="D3122" s="684">
        <v>67</v>
      </c>
      <c r="E3122" s="685">
        <v>27.8</v>
      </c>
      <c r="F3122" s="4">
        <f t="shared" si="54"/>
        <v>-4.1379310344827565E-2</v>
      </c>
      <c r="G3122" s="37">
        <v>33</v>
      </c>
      <c r="H3122" s="686">
        <v>45718</v>
      </c>
    </row>
    <row r="3123" spans="3:8" x14ac:dyDescent="0.25">
      <c r="C3123" s="684">
        <v>8</v>
      </c>
      <c r="D3123" s="684">
        <v>60</v>
      </c>
      <c r="E3123" s="685">
        <v>17.7</v>
      </c>
      <c r="F3123" s="4">
        <f t="shared" si="54"/>
        <v>-2.2099447513812272E-2</v>
      </c>
      <c r="G3123" s="37">
        <v>33</v>
      </c>
      <c r="H3123" s="686">
        <v>45718</v>
      </c>
    </row>
    <row r="3124" spans="3:8" x14ac:dyDescent="0.25">
      <c r="C3124" s="684">
        <v>9</v>
      </c>
      <c r="D3124" s="684">
        <v>85</v>
      </c>
      <c r="E3124" s="685">
        <v>36.799999999999997</v>
      </c>
      <c r="F3124" s="4">
        <f t="shared" si="54"/>
        <v>-3.157894736842113E-2</v>
      </c>
      <c r="G3124" s="37">
        <v>33</v>
      </c>
      <c r="H3124" s="686">
        <v>45718</v>
      </c>
    </row>
    <row r="3125" spans="3:8" x14ac:dyDescent="0.25">
      <c r="C3125" s="687" t="s">
        <v>0</v>
      </c>
      <c r="D3125" s="687" t="s">
        <v>7</v>
      </c>
      <c r="E3125" s="688" t="s">
        <v>4</v>
      </c>
      <c r="F3125" s="4" t="str">
        <f t="shared" si="54"/>
        <v/>
      </c>
      <c r="G3125" s="37">
        <v>34.4</v>
      </c>
      <c r="H3125" s="689">
        <v>45719</v>
      </c>
    </row>
    <row r="3126" spans="3:8" x14ac:dyDescent="0.25">
      <c r="C3126" s="687">
        <v>51</v>
      </c>
      <c r="D3126" s="687">
        <v>43</v>
      </c>
      <c r="E3126" s="688">
        <v>24.6</v>
      </c>
      <c r="F3126" s="4">
        <f t="shared" si="54"/>
        <v>-7.1698113207547112E-2</v>
      </c>
      <c r="G3126" s="37">
        <v>34.4</v>
      </c>
      <c r="H3126" s="689">
        <v>45719</v>
      </c>
    </row>
    <row r="3127" spans="3:8" x14ac:dyDescent="0.25">
      <c r="C3127" s="687">
        <v>1</v>
      </c>
      <c r="D3127" s="687">
        <v>79</v>
      </c>
      <c r="E3127" s="688">
        <v>48.4</v>
      </c>
      <c r="F3127" s="4">
        <f t="shared" si="54"/>
        <v>7.5555555555555529E-2</v>
      </c>
      <c r="G3127" s="37">
        <v>34.4</v>
      </c>
      <c r="H3127" s="689">
        <v>45719</v>
      </c>
    </row>
    <row r="3128" spans="3:8" x14ac:dyDescent="0.25">
      <c r="C3128" s="687">
        <v>2</v>
      </c>
      <c r="D3128" s="687">
        <v>57</v>
      </c>
      <c r="E3128" s="688">
        <v>32.700000000000003</v>
      </c>
      <c r="F3128" s="4">
        <f t="shared" si="54"/>
        <v>3.1545741324921252E-2</v>
      </c>
      <c r="G3128" s="37">
        <v>34.4</v>
      </c>
      <c r="H3128" s="689">
        <v>45719</v>
      </c>
    </row>
    <row r="3129" spans="3:8" x14ac:dyDescent="0.25">
      <c r="C3129" s="687">
        <v>3</v>
      </c>
      <c r="D3129" s="687">
        <v>96</v>
      </c>
      <c r="E3129" s="688">
        <v>28.1</v>
      </c>
      <c r="F3129" s="4">
        <f t="shared" si="54"/>
        <v>4.0740740740740793E-2</v>
      </c>
      <c r="G3129" s="37">
        <v>34.4</v>
      </c>
      <c r="H3129" s="689">
        <v>45719</v>
      </c>
    </row>
    <row r="3130" spans="3:8" x14ac:dyDescent="0.25">
      <c r="C3130" s="687">
        <v>4</v>
      </c>
      <c r="D3130" s="687">
        <v>73</v>
      </c>
      <c r="E3130" s="688">
        <v>19.5</v>
      </c>
      <c r="F3130" s="4">
        <f t="shared" si="54"/>
        <v>7.7348066298342455E-2</v>
      </c>
      <c r="G3130" s="37">
        <v>34.4</v>
      </c>
      <c r="H3130" s="689">
        <v>45719</v>
      </c>
    </row>
    <row r="3131" spans="3:8" x14ac:dyDescent="0.25">
      <c r="C3131" s="687">
        <v>5</v>
      </c>
      <c r="D3131" s="687">
        <v>68</v>
      </c>
      <c r="E3131" s="688">
        <v>37.299999999999997</v>
      </c>
      <c r="F3131" s="4">
        <f t="shared" si="54"/>
        <v>-3.6175710594315388E-2</v>
      </c>
      <c r="G3131" s="37">
        <v>34.4</v>
      </c>
      <c r="H3131" s="689">
        <v>45719</v>
      </c>
    </row>
    <row r="3132" spans="3:8" x14ac:dyDescent="0.25">
      <c r="C3132" s="687">
        <v>6</v>
      </c>
      <c r="D3132" s="687">
        <v>82</v>
      </c>
      <c r="E3132" s="688">
        <v>50.3</v>
      </c>
      <c r="F3132" s="4">
        <f t="shared" si="54"/>
        <v>5.6722689075630162E-2</v>
      </c>
      <c r="G3132" s="37">
        <v>34.4</v>
      </c>
      <c r="H3132" s="689">
        <v>45719</v>
      </c>
    </row>
    <row r="3133" spans="3:8" x14ac:dyDescent="0.25">
      <c r="C3133" s="687">
        <v>7</v>
      </c>
      <c r="D3133" s="687">
        <v>67</v>
      </c>
      <c r="E3133" s="688">
        <v>28.9</v>
      </c>
      <c r="F3133" s="4">
        <f t="shared" si="54"/>
        <v>3.9568345323740928E-2</v>
      </c>
      <c r="G3133" s="37">
        <v>34.4</v>
      </c>
      <c r="H3133" s="689">
        <v>45719</v>
      </c>
    </row>
    <row r="3134" spans="3:8" x14ac:dyDescent="0.25">
      <c r="C3134" s="687">
        <v>8</v>
      </c>
      <c r="D3134" s="687">
        <v>59</v>
      </c>
      <c r="E3134" s="688">
        <v>18.7</v>
      </c>
      <c r="F3134" s="4">
        <f t="shared" si="54"/>
        <v>5.6497175141242938E-2</v>
      </c>
      <c r="G3134" s="37">
        <v>34.4</v>
      </c>
      <c r="H3134" s="689">
        <v>45719</v>
      </c>
    </row>
    <row r="3135" spans="3:8" x14ac:dyDescent="0.25">
      <c r="C3135" s="687">
        <v>9</v>
      </c>
      <c r="D3135" s="687">
        <v>85</v>
      </c>
      <c r="E3135" s="688">
        <v>38.299999999999997</v>
      </c>
      <c r="F3135" s="4">
        <f t="shared" si="54"/>
        <v>4.0760869565217392E-2</v>
      </c>
      <c r="G3135" s="37">
        <v>34.4</v>
      </c>
      <c r="H3135" s="689">
        <v>45719</v>
      </c>
    </row>
    <row r="3136" spans="3:8" x14ac:dyDescent="0.25">
      <c r="C3136" s="690" t="s">
        <v>0</v>
      </c>
      <c r="D3136" s="690" t="s">
        <v>7</v>
      </c>
      <c r="E3136" s="691" t="s">
        <v>4</v>
      </c>
      <c r="F3136" s="4" t="str">
        <f t="shared" si="54"/>
        <v/>
      </c>
      <c r="G3136" s="37">
        <v>32.5</v>
      </c>
      <c r="H3136" s="692">
        <v>45720</v>
      </c>
    </row>
    <row r="3137" spans="3:8" x14ac:dyDescent="0.25">
      <c r="C3137" s="690">
        <v>51</v>
      </c>
      <c r="D3137" s="690">
        <v>42</v>
      </c>
      <c r="E3137" s="691">
        <v>25.5</v>
      </c>
      <c r="F3137" s="4">
        <f t="shared" si="54"/>
        <v>3.6585365853658479E-2</v>
      </c>
      <c r="G3137" s="37">
        <v>32.5</v>
      </c>
      <c r="H3137" s="692">
        <v>45720</v>
      </c>
    </row>
    <row r="3138" spans="3:8" x14ac:dyDescent="0.25">
      <c r="C3138" s="690">
        <v>1</v>
      </c>
      <c r="D3138" s="690">
        <v>79</v>
      </c>
      <c r="E3138" s="691">
        <v>46.6</v>
      </c>
      <c r="F3138" s="4">
        <f t="shared" si="54"/>
        <v>-3.7190082644628045E-2</v>
      </c>
      <c r="G3138" s="37">
        <v>32.5</v>
      </c>
      <c r="H3138" s="692">
        <v>45720</v>
      </c>
    </row>
    <row r="3139" spans="3:8" x14ac:dyDescent="0.25">
      <c r="C3139" s="690">
        <v>2</v>
      </c>
      <c r="D3139" s="690">
        <v>55</v>
      </c>
      <c r="E3139" s="691">
        <v>32.4</v>
      </c>
      <c r="F3139" s="4">
        <f t="shared" si="54"/>
        <v>-9.1743119266056335E-3</v>
      </c>
      <c r="G3139" s="37">
        <v>32.5</v>
      </c>
      <c r="H3139" s="692">
        <v>45720</v>
      </c>
    </row>
    <row r="3140" spans="3:8" x14ac:dyDescent="0.25">
      <c r="C3140" s="690">
        <v>3</v>
      </c>
      <c r="D3140" s="690">
        <v>95</v>
      </c>
      <c r="E3140" s="691">
        <v>26.3</v>
      </c>
      <c r="F3140" s="4">
        <f t="shared" si="54"/>
        <v>-6.4056939501779375E-2</v>
      </c>
      <c r="G3140" s="37">
        <v>32.5</v>
      </c>
      <c r="H3140" s="692">
        <v>45720</v>
      </c>
    </row>
    <row r="3141" spans="3:8" x14ac:dyDescent="0.25">
      <c r="C3141" s="690">
        <v>4</v>
      </c>
      <c r="D3141" s="690">
        <v>74</v>
      </c>
      <c r="E3141" s="691">
        <v>17.5</v>
      </c>
      <c r="F3141" s="4">
        <f t="shared" si="54"/>
        <v>-0.10256410256410256</v>
      </c>
      <c r="G3141" s="37">
        <v>32.5</v>
      </c>
      <c r="H3141" s="692">
        <v>45720</v>
      </c>
    </row>
    <row r="3142" spans="3:8" x14ac:dyDescent="0.25">
      <c r="C3142" s="690">
        <v>5</v>
      </c>
      <c r="D3142" s="690">
        <v>68</v>
      </c>
      <c r="E3142" s="691">
        <v>36.299999999999997</v>
      </c>
      <c r="F3142" s="4">
        <f t="shared" si="54"/>
        <v>-2.6809651474530832E-2</v>
      </c>
      <c r="G3142" s="37">
        <v>32.5</v>
      </c>
      <c r="H3142" s="692">
        <v>45720</v>
      </c>
    </row>
    <row r="3143" spans="3:8" x14ac:dyDescent="0.25">
      <c r="C3143" s="690">
        <v>6</v>
      </c>
      <c r="D3143" s="690">
        <v>81</v>
      </c>
      <c r="E3143" s="691">
        <v>47.5</v>
      </c>
      <c r="F3143" s="4">
        <f t="shared" si="54"/>
        <v>-5.5666003976143089E-2</v>
      </c>
      <c r="G3143" s="37">
        <v>32.5</v>
      </c>
      <c r="H3143" s="692">
        <v>45720</v>
      </c>
    </row>
    <row r="3144" spans="3:8" x14ac:dyDescent="0.25">
      <c r="C3144" s="690">
        <v>7</v>
      </c>
      <c r="D3144" s="690">
        <v>67</v>
      </c>
      <c r="E3144" s="691">
        <v>24.7</v>
      </c>
      <c r="F3144" s="4">
        <f t="shared" si="54"/>
        <v>-0.14532871972318337</v>
      </c>
      <c r="G3144" s="37">
        <v>32.5</v>
      </c>
      <c r="H3144" s="692">
        <v>45720</v>
      </c>
    </row>
    <row r="3145" spans="3:8" x14ac:dyDescent="0.25">
      <c r="C3145" s="690">
        <v>8</v>
      </c>
      <c r="D3145" s="690">
        <v>59</v>
      </c>
      <c r="E3145" s="691">
        <v>16.8</v>
      </c>
      <c r="F3145" s="4">
        <f t="shared" si="54"/>
        <v>-0.10160427807486624</v>
      </c>
      <c r="G3145" s="37">
        <v>32.5</v>
      </c>
      <c r="H3145" s="692">
        <v>45720</v>
      </c>
    </row>
    <row r="3146" spans="3:8" x14ac:dyDescent="0.25">
      <c r="C3146" s="690">
        <v>9</v>
      </c>
      <c r="D3146" s="690">
        <v>85</v>
      </c>
      <c r="E3146" s="691">
        <v>37</v>
      </c>
      <c r="F3146" s="4">
        <f t="shared" si="54"/>
        <v>-3.3942558746736219E-2</v>
      </c>
      <c r="G3146" s="37">
        <v>32.5</v>
      </c>
      <c r="H3146" s="692">
        <v>45720</v>
      </c>
    </row>
    <row r="3147" spans="3:8" x14ac:dyDescent="0.25">
      <c r="C3147" s="693" t="s">
        <v>0</v>
      </c>
      <c r="D3147" s="693" t="s">
        <v>7</v>
      </c>
      <c r="E3147" s="694" t="s">
        <v>4</v>
      </c>
      <c r="F3147" s="4" t="str">
        <f t="shared" si="54"/>
        <v/>
      </c>
      <c r="G3147" s="37">
        <v>33.6</v>
      </c>
      <c r="H3147" s="695">
        <v>45721</v>
      </c>
    </row>
    <row r="3148" spans="3:8" x14ac:dyDescent="0.25">
      <c r="C3148" s="693">
        <v>51</v>
      </c>
      <c r="D3148" s="693">
        <v>38</v>
      </c>
      <c r="E3148" s="694">
        <v>25.9</v>
      </c>
      <c r="F3148" s="4">
        <f t="shared" si="54"/>
        <v>1.5686274509803866E-2</v>
      </c>
      <c r="G3148" s="37">
        <v>33.6</v>
      </c>
      <c r="H3148" s="695">
        <v>45721</v>
      </c>
    </row>
    <row r="3149" spans="3:8" x14ac:dyDescent="0.25">
      <c r="C3149" s="693">
        <v>1</v>
      </c>
      <c r="D3149" s="693">
        <v>78</v>
      </c>
      <c r="E3149" s="694">
        <v>48.1</v>
      </c>
      <c r="F3149" s="4">
        <f t="shared" si="54"/>
        <v>3.2188841201716736E-2</v>
      </c>
      <c r="G3149" s="37">
        <v>33.6</v>
      </c>
      <c r="H3149" s="695">
        <v>45721</v>
      </c>
    </row>
    <row r="3150" spans="3:8" x14ac:dyDescent="0.25">
      <c r="C3150" s="693">
        <v>2</v>
      </c>
      <c r="D3150" s="693">
        <v>59</v>
      </c>
      <c r="E3150" s="694">
        <v>34.5</v>
      </c>
      <c r="F3150" s="4">
        <f t="shared" si="54"/>
        <v>6.4814814814814867E-2</v>
      </c>
      <c r="G3150" s="37">
        <v>33.6</v>
      </c>
      <c r="H3150" s="695">
        <v>45721</v>
      </c>
    </row>
    <row r="3151" spans="3:8" x14ac:dyDescent="0.25">
      <c r="C3151" s="693">
        <v>3</v>
      </c>
      <c r="D3151" s="693">
        <v>95</v>
      </c>
      <c r="E3151" s="694">
        <v>27.4</v>
      </c>
      <c r="F3151" s="4">
        <f t="shared" si="54"/>
        <v>4.1825095057034141E-2</v>
      </c>
      <c r="G3151" s="37">
        <v>33.6</v>
      </c>
      <c r="H3151" s="695">
        <v>45721</v>
      </c>
    </row>
    <row r="3152" spans="3:8" x14ac:dyDescent="0.25">
      <c r="C3152" s="693">
        <v>4</v>
      </c>
      <c r="D3152" s="693">
        <v>74</v>
      </c>
      <c r="E3152" s="694">
        <v>19</v>
      </c>
      <c r="F3152" s="4">
        <f t="shared" si="54"/>
        <v>8.5714285714285715E-2</v>
      </c>
      <c r="G3152" s="37">
        <v>33.6</v>
      </c>
      <c r="H3152" s="695">
        <v>45721</v>
      </c>
    </row>
    <row r="3153" spans="3:8" x14ac:dyDescent="0.25">
      <c r="C3153" s="693">
        <v>5</v>
      </c>
      <c r="D3153" s="693">
        <v>71</v>
      </c>
      <c r="E3153" s="694">
        <v>38.799999999999997</v>
      </c>
      <c r="F3153" s="4">
        <f t="shared" si="54"/>
        <v>6.8870523415977963E-2</v>
      </c>
      <c r="G3153" s="37">
        <v>33.6</v>
      </c>
      <c r="H3153" s="695">
        <v>45721</v>
      </c>
    </row>
    <row r="3154" spans="3:8" x14ac:dyDescent="0.25">
      <c r="C3154" s="693">
        <v>6</v>
      </c>
      <c r="D3154" s="693">
        <v>81</v>
      </c>
      <c r="E3154" s="694">
        <v>46.1</v>
      </c>
      <c r="F3154" s="4">
        <f t="shared" si="54"/>
        <v>-2.9473684210526287E-2</v>
      </c>
      <c r="G3154" s="37">
        <v>33.6</v>
      </c>
      <c r="H3154" s="695">
        <v>45721</v>
      </c>
    </row>
    <row r="3155" spans="3:8" x14ac:dyDescent="0.25">
      <c r="C3155" s="693">
        <v>7</v>
      </c>
      <c r="D3155" s="693">
        <v>67</v>
      </c>
      <c r="E3155" s="694">
        <v>28.7</v>
      </c>
      <c r="F3155" s="4">
        <f t="shared" si="54"/>
        <v>0.16194331983805668</v>
      </c>
      <c r="G3155" s="37">
        <v>33.6</v>
      </c>
      <c r="H3155" s="695">
        <v>45721</v>
      </c>
    </row>
    <row r="3156" spans="3:8" x14ac:dyDescent="0.25">
      <c r="C3156" s="693">
        <v>8</v>
      </c>
      <c r="D3156" s="693">
        <v>59</v>
      </c>
      <c r="E3156" s="694">
        <v>17.3</v>
      </c>
      <c r="F3156" s="4">
        <f t="shared" si="54"/>
        <v>2.976190476190476E-2</v>
      </c>
      <c r="G3156" s="37">
        <v>33.6</v>
      </c>
      <c r="H3156" s="695">
        <v>45721</v>
      </c>
    </row>
    <row r="3157" spans="3:8" x14ac:dyDescent="0.25">
      <c r="C3157" s="693">
        <v>9</v>
      </c>
      <c r="D3157" s="693">
        <v>86</v>
      </c>
      <c r="E3157" s="694">
        <v>38.299999999999997</v>
      </c>
      <c r="F3157" s="4">
        <f t="shared" si="54"/>
        <v>3.5135135135135061E-2</v>
      </c>
      <c r="G3157" s="37">
        <v>33.6</v>
      </c>
      <c r="H3157" s="695">
        <v>45721</v>
      </c>
    </row>
    <row r="3158" spans="3:8" x14ac:dyDescent="0.25">
      <c r="C3158" s="696" t="s">
        <v>0</v>
      </c>
      <c r="D3158" s="696" t="s">
        <v>7</v>
      </c>
      <c r="E3158" s="697" t="s">
        <v>4</v>
      </c>
      <c r="F3158" s="4" t="str">
        <f t="shared" si="54"/>
        <v/>
      </c>
      <c r="G3158" s="37">
        <v>34.5</v>
      </c>
      <c r="H3158" s="698">
        <v>45722</v>
      </c>
    </row>
    <row r="3159" spans="3:8" x14ac:dyDescent="0.25">
      <c r="C3159" s="696">
        <v>51</v>
      </c>
      <c r="D3159" s="696">
        <v>42</v>
      </c>
      <c r="E3159" s="697">
        <v>27.4</v>
      </c>
      <c r="F3159" s="4">
        <f t="shared" si="54"/>
        <v>5.7915057915057917E-2</v>
      </c>
      <c r="G3159" s="37">
        <v>34.5</v>
      </c>
      <c r="H3159" s="698">
        <v>45722</v>
      </c>
    </row>
    <row r="3160" spans="3:8" x14ac:dyDescent="0.25">
      <c r="C3160" s="696">
        <v>1</v>
      </c>
      <c r="D3160" s="696">
        <v>77</v>
      </c>
      <c r="E3160" s="697">
        <v>49.7</v>
      </c>
      <c r="F3160" s="4">
        <f t="shared" si="54"/>
        <v>3.3264033264033294E-2</v>
      </c>
      <c r="G3160" s="37">
        <v>34.5</v>
      </c>
      <c r="H3160" s="698">
        <v>45722</v>
      </c>
    </row>
    <row r="3161" spans="3:8" x14ac:dyDescent="0.25">
      <c r="C3161" s="696">
        <v>2</v>
      </c>
      <c r="D3161" s="696">
        <v>59</v>
      </c>
      <c r="E3161" s="697">
        <v>33.6</v>
      </c>
      <c r="F3161" s="4">
        <f t="shared" si="54"/>
        <v>-2.6086956521739091E-2</v>
      </c>
      <c r="G3161" s="37">
        <v>34.5</v>
      </c>
      <c r="H3161" s="698">
        <v>45722</v>
      </c>
    </row>
    <row r="3162" spans="3:8" x14ac:dyDescent="0.25">
      <c r="C3162" s="696">
        <v>3</v>
      </c>
      <c r="D3162" s="696">
        <v>96</v>
      </c>
      <c r="E3162" s="697">
        <v>29.1</v>
      </c>
      <c r="F3162" s="4">
        <f t="shared" si="54"/>
        <v>6.2043795620438061E-2</v>
      </c>
      <c r="G3162" s="37">
        <v>34.5</v>
      </c>
      <c r="H3162" s="698">
        <v>45722</v>
      </c>
    </row>
    <row r="3163" spans="3:8" x14ac:dyDescent="0.25">
      <c r="C3163" s="696">
        <v>4</v>
      </c>
      <c r="D3163" s="696">
        <v>75</v>
      </c>
      <c r="E3163" s="697">
        <v>18.8</v>
      </c>
      <c r="F3163" s="4">
        <f t="shared" si="54"/>
        <v>-1.0526315789473648E-2</v>
      </c>
      <c r="G3163" s="37">
        <v>34.5</v>
      </c>
      <c r="H3163" s="698">
        <v>45722</v>
      </c>
    </row>
    <row r="3164" spans="3:8" x14ac:dyDescent="0.25">
      <c r="C3164" s="696">
        <v>5</v>
      </c>
      <c r="D3164" s="696">
        <v>70</v>
      </c>
      <c r="E3164" s="697">
        <v>33.4</v>
      </c>
      <c r="F3164" s="4">
        <f t="shared" si="54"/>
        <v>-0.13917525773195874</v>
      </c>
      <c r="G3164" s="37">
        <v>34.5</v>
      </c>
      <c r="H3164" s="698">
        <v>45722</v>
      </c>
    </row>
    <row r="3165" spans="3:8" x14ac:dyDescent="0.25">
      <c r="C3165" s="696">
        <v>6</v>
      </c>
      <c r="D3165" s="696">
        <v>81</v>
      </c>
      <c r="E3165" s="697">
        <v>50.8</v>
      </c>
      <c r="F3165" s="4">
        <f t="shared" si="54"/>
        <v>0.10195227765726672</v>
      </c>
      <c r="G3165" s="37">
        <v>34.5</v>
      </c>
      <c r="H3165" s="698">
        <v>45722</v>
      </c>
    </row>
    <row r="3166" spans="3:8" x14ac:dyDescent="0.25">
      <c r="C3166" s="696">
        <v>7</v>
      </c>
      <c r="D3166" s="696">
        <v>67</v>
      </c>
      <c r="E3166" s="697">
        <v>27.2</v>
      </c>
      <c r="F3166" s="4">
        <f t="shared" si="54"/>
        <v>-5.2264808362369339E-2</v>
      </c>
      <c r="G3166" s="37">
        <v>34.5</v>
      </c>
      <c r="H3166" s="698">
        <v>45722</v>
      </c>
    </row>
    <row r="3167" spans="3:8" x14ac:dyDescent="0.25">
      <c r="C3167" s="696">
        <v>8</v>
      </c>
      <c r="D3167" s="696">
        <v>58</v>
      </c>
      <c r="E3167" s="697">
        <v>17.600000000000001</v>
      </c>
      <c r="F3167" s="4">
        <f t="shared" si="54"/>
        <v>1.7341040462427786E-2</v>
      </c>
      <c r="G3167" s="37">
        <v>34.5</v>
      </c>
      <c r="H3167" s="698">
        <v>45722</v>
      </c>
    </row>
    <row r="3168" spans="3:8" x14ac:dyDescent="0.25">
      <c r="C3168" s="696">
        <v>9</v>
      </c>
      <c r="D3168" s="696">
        <v>86</v>
      </c>
      <c r="E3168" s="697">
        <v>38.1</v>
      </c>
      <c r="F3168" s="4">
        <f t="shared" si="54"/>
        <v>-5.2219321148823956E-3</v>
      </c>
      <c r="G3168" s="37">
        <v>34.5</v>
      </c>
      <c r="H3168" s="698">
        <v>45722</v>
      </c>
    </row>
    <row r="3169" spans="3:8" x14ac:dyDescent="0.25">
      <c r="C3169" s="699" t="s">
        <v>0</v>
      </c>
      <c r="D3169" s="699" t="s">
        <v>7</v>
      </c>
      <c r="E3169" s="700" t="s">
        <v>4</v>
      </c>
      <c r="F3169" s="4" t="str">
        <f t="shared" si="54"/>
        <v/>
      </c>
      <c r="G3169" s="37">
        <v>34</v>
      </c>
      <c r="H3169" s="701">
        <v>45723</v>
      </c>
    </row>
    <row r="3170" spans="3:8" x14ac:dyDescent="0.25">
      <c r="C3170" s="699">
        <v>51</v>
      </c>
      <c r="D3170" s="699">
        <v>45</v>
      </c>
      <c r="E3170" s="700">
        <v>26</v>
      </c>
      <c r="F3170" s="4">
        <f>IFERROR((E3170-E3159)/E3159,"")</f>
        <v>-5.1094890510948857E-2</v>
      </c>
      <c r="G3170" s="37">
        <v>34</v>
      </c>
      <c r="H3170" s="701">
        <v>45723</v>
      </c>
    </row>
    <row r="3171" spans="3:8" x14ac:dyDescent="0.25">
      <c r="C3171" s="699">
        <v>1</v>
      </c>
      <c r="D3171" s="699">
        <v>76</v>
      </c>
      <c r="E3171" s="700">
        <v>48.7</v>
      </c>
      <c r="F3171" s="4">
        <f t="shared" si="54"/>
        <v>-2.0120724346076459E-2</v>
      </c>
      <c r="G3171" s="37">
        <v>34</v>
      </c>
      <c r="H3171" s="701">
        <v>45723</v>
      </c>
    </row>
    <row r="3172" spans="3:8" x14ac:dyDescent="0.25">
      <c r="C3172" s="699">
        <v>2</v>
      </c>
      <c r="D3172" s="699">
        <v>52</v>
      </c>
      <c r="E3172" s="700">
        <v>33.4</v>
      </c>
      <c r="F3172" s="4">
        <f t="shared" si="54"/>
        <v>-5.9523809523810371E-3</v>
      </c>
      <c r="G3172" s="37">
        <v>34</v>
      </c>
      <c r="H3172" s="701">
        <v>45723</v>
      </c>
    </row>
    <row r="3173" spans="3:8" x14ac:dyDescent="0.25">
      <c r="C3173" s="699">
        <v>3</v>
      </c>
      <c r="D3173" s="699">
        <v>100</v>
      </c>
      <c r="E3173" s="700">
        <v>27.8</v>
      </c>
      <c r="F3173" s="4">
        <f t="shared" si="54"/>
        <v>-4.4673539518900365E-2</v>
      </c>
      <c r="G3173" s="37">
        <v>34</v>
      </c>
      <c r="H3173" s="701">
        <v>45723</v>
      </c>
    </row>
    <row r="3174" spans="3:8" x14ac:dyDescent="0.25">
      <c r="C3174" s="699">
        <v>4</v>
      </c>
      <c r="D3174" s="699">
        <v>79</v>
      </c>
      <c r="E3174" s="700">
        <v>16.8</v>
      </c>
      <c r="F3174" s="4">
        <f t="shared" si="54"/>
        <v>-0.10638297872340426</v>
      </c>
      <c r="G3174" s="37">
        <v>34</v>
      </c>
      <c r="H3174" s="701">
        <v>45723</v>
      </c>
    </row>
    <row r="3175" spans="3:8" x14ac:dyDescent="0.25">
      <c r="C3175" s="699">
        <v>5</v>
      </c>
      <c r="D3175" s="699">
        <v>65</v>
      </c>
      <c r="E3175" s="700">
        <v>38.4</v>
      </c>
      <c r="F3175" s="4">
        <f t="shared" si="54"/>
        <v>0.14970059880239522</v>
      </c>
      <c r="G3175" s="37">
        <v>34</v>
      </c>
      <c r="H3175" s="701">
        <v>45723</v>
      </c>
    </row>
    <row r="3176" spans="3:8" x14ac:dyDescent="0.25">
      <c r="C3176" s="699">
        <v>6</v>
      </c>
      <c r="D3176" s="699">
        <v>80</v>
      </c>
      <c r="E3176" s="700">
        <v>49.1</v>
      </c>
      <c r="F3176" s="4">
        <f t="shared" si="54"/>
        <v>-3.3464566929133778E-2</v>
      </c>
      <c r="G3176" s="37">
        <v>34</v>
      </c>
      <c r="H3176" s="701">
        <v>45723</v>
      </c>
    </row>
    <row r="3177" spans="3:8" x14ac:dyDescent="0.25">
      <c r="C3177" s="699">
        <v>7</v>
      </c>
      <c r="D3177" s="699">
        <v>68</v>
      </c>
      <c r="E3177" s="700">
        <v>27.8</v>
      </c>
      <c r="F3177" s="4">
        <f t="shared" si="54"/>
        <v>2.2058823529411818E-2</v>
      </c>
      <c r="G3177" s="37">
        <v>34</v>
      </c>
      <c r="H3177" s="701">
        <v>45723</v>
      </c>
    </row>
    <row r="3178" spans="3:8" x14ac:dyDescent="0.25">
      <c r="C3178" s="699">
        <v>8</v>
      </c>
      <c r="D3178" s="699">
        <v>62</v>
      </c>
      <c r="E3178" s="700">
        <v>17.8</v>
      </c>
      <c r="F3178" s="4">
        <f t="shared" si="54"/>
        <v>1.1363636363636322E-2</v>
      </c>
      <c r="G3178" s="37">
        <v>34</v>
      </c>
      <c r="H3178" s="701">
        <v>45723</v>
      </c>
    </row>
    <row r="3179" spans="3:8" x14ac:dyDescent="0.25">
      <c r="C3179" s="699">
        <v>9</v>
      </c>
      <c r="D3179" s="699">
        <v>86</v>
      </c>
      <c r="E3179" s="700">
        <v>38</v>
      </c>
      <c r="F3179" s="4">
        <f t="shared" ref="F3179:F3242" si="55">IFERROR((E3179-E3168)/E3168,"")</f>
        <v>-2.6246719160105359E-3</v>
      </c>
      <c r="G3179" s="37">
        <v>34</v>
      </c>
      <c r="H3179" s="701">
        <v>45723</v>
      </c>
    </row>
    <row r="3180" spans="3:8" x14ac:dyDescent="0.25">
      <c r="C3180" s="702" t="s">
        <v>0</v>
      </c>
      <c r="D3180" s="702" t="s">
        <v>7</v>
      </c>
      <c r="E3180" s="703" t="s">
        <v>4</v>
      </c>
      <c r="F3180" s="4" t="str">
        <f t="shared" si="55"/>
        <v/>
      </c>
      <c r="G3180" s="37">
        <v>34.799999999999997</v>
      </c>
      <c r="H3180" s="701">
        <v>45724</v>
      </c>
    </row>
    <row r="3181" spans="3:8" x14ac:dyDescent="0.25">
      <c r="C3181" s="702">
        <v>51</v>
      </c>
      <c r="D3181" s="702">
        <v>29</v>
      </c>
      <c r="E3181" s="703">
        <v>26.4</v>
      </c>
      <c r="F3181" s="4">
        <f t="shared" si="55"/>
        <v>1.538461538461533E-2</v>
      </c>
      <c r="G3181" s="37">
        <v>34.799999999999997</v>
      </c>
      <c r="H3181" s="701">
        <v>45724</v>
      </c>
    </row>
    <row r="3182" spans="3:8" x14ac:dyDescent="0.25">
      <c r="C3182" s="702">
        <v>1</v>
      </c>
      <c r="D3182" s="702">
        <v>76</v>
      </c>
      <c r="E3182" s="703">
        <v>51.4</v>
      </c>
      <c r="F3182" s="4">
        <f t="shared" si="55"/>
        <v>5.5441478439424957E-2</v>
      </c>
      <c r="G3182" s="37">
        <v>34.799999999999997</v>
      </c>
      <c r="H3182" s="701">
        <v>45724</v>
      </c>
    </row>
    <row r="3183" spans="3:8" x14ac:dyDescent="0.25">
      <c r="C3183" s="702">
        <v>2</v>
      </c>
      <c r="D3183" s="702">
        <v>55</v>
      </c>
      <c r="E3183" s="703">
        <v>33.4</v>
      </c>
      <c r="F3183" s="4">
        <f t="shared" si="55"/>
        <v>0</v>
      </c>
      <c r="G3183" s="37">
        <v>34.799999999999997</v>
      </c>
      <c r="H3183" s="701">
        <v>45724</v>
      </c>
    </row>
    <row r="3184" spans="3:8" x14ac:dyDescent="0.25">
      <c r="C3184" s="702">
        <v>3</v>
      </c>
      <c r="D3184" s="702">
        <v>100</v>
      </c>
      <c r="E3184" s="703">
        <v>29</v>
      </c>
      <c r="F3184" s="4">
        <f t="shared" si="55"/>
        <v>4.3165467625899255E-2</v>
      </c>
      <c r="G3184" s="37">
        <v>34.799999999999997</v>
      </c>
      <c r="H3184" s="701">
        <v>45724</v>
      </c>
    </row>
    <row r="3185" spans="3:8" x14ac:dyDescent="0.25">
      <c r="C3185" s="702">
        <v>4</v>
      </c>
      <c r="D3185" s="702">
        <v>67</v>
      </c>
      <c r="E3185" s="703">
        <v>17.8</v>
      </c>
      <c r="F3185" s="4">
        <f t="shared" si="55"/>
        <v>5.9523809523809521E-2</v>
      </c>
      <c r="G3185" s="37">
        <v>34.799999999999997</v>
      </c>
      <c r="H3185" s="701">
        <v>45724</v>
      </c>
    </row>
    <row r="3186" spans="3:8" x14ac:dyDescent="0.25">
      <c r="C3186" s="702">
        <v>5</v>
      </c>
      <c r="D3186" s="702">
        <v>78</v>
      </c>
      <c r="E3186" s="703">
        <v>39.5</v>
      </c>
      <c r="F3186" s="4">
        <f t="shared" si="55"/>
        <v>2.864583333333337E-2</v>
      </c>
      <c r="G3186" s="37">
        <v>34.799999999999997</v>
      </c>
      <c r="H3186" s="701">
        <v>45724</v>
      </c>
    </row>
    <row r="3187" spans="3:8" x14ac:dyDescent="0.25">
      <c r="C3187" s="702">
        <v>6</v>
      </c>
      <c r="D3187" s="702">
        <v>79</v>
      </c>
      <c r="E3187" s="703">
        <v>51.1</v>
      </c>
      <c r="F3187" s="4">
        <f t="shared" si="55"/>
        <v>4.0733197556008148E-2</v>
      </c>
      <c r="G3187" s="37">
        <v>34.799999999999997</v>
      </c>
      <c r="H3187" s="701">
        <v>45724</v>
      </c>
    </row>
    <row r="3188" spans="3:8" x14ac:dyDescent="0.25">
      <c r="C3188" s="702">
        <v>7</v>
      </c>
      <c r="D3188" s="702">
        <v>68</v>
      </c>
      <c r="E3188" s="703">
        <v>28.3</v>
      </c>
      <c r="F3188" s="4">
        <f t="shared" si="55"/>
        <v>1.7985611510791366E-2</v>
      </c>
      <c r="G3188" s="37">
        <v>34.799999999999997</v>
      </c>
      <c r="H3188" s="701">
        <v>45724</v>
      </c>
    </row>
    <row r="3189" spans="3:8" x14ac:dyDescent="0.25">
      <c r="C3189" s="702">
        <v>8</v>
      </c>
      <c r="D3189" s="702">
        <v>62</v>
      </c>
      <c r="E3189" s="703">
        <v>16.100000000000001</v>
      </c>
      <c r="F3189" s="4">
        <f t="shared" si="55"/>
        <v>-9.5505617977528046E-2</v>
      </c>
      <c r="G3189" s="37">
        <v>34.799999999999997</v>
      </c>
      <c r="H3189" s="701">
        <v>45724</v>
      </c>
    </row>
    <row r="3190" spans="3:8" x14ac:dyDescent="0.25">
      <c r="C3190" s="702">
        <v>9</v>
      </c>
      <c r="D3190" s="702">
        <v>86</v>
      </c>
      <c r="E3190" s="703">
        <v>37.9</v>
      </c>
      <c r="F3190" s="4">
        <f t="shared" si="55"/>
        <v>-2.6315789473684583E-3</v>
      </c>
      <c r="G3190" s="37">
        <v>34.799999999999997</v>
      </c>
      <c r="H3190" s="701">
        <v>45724</v>
      </c>
    </row>
    <row r="3191" spans="3:8" x14ac:dyDescent="0.25">
      <c r="C3191" s="704" t="s">
        <v>0</v>
      </c>
      <c r="D3191" s="704" t="s">
        <v>7</v>
      </c>
      <c r="E3191" s="705" t="s">
        <v>4</v>
      </c>
      <c r="F3191" s="4" t="str">
        <f t="shared" si="55"/>
        <v/>
      </c>
      <c r="G3191" s="37">
        <v>35.4</v>
      </c>
      <c r="H3191" s="701">
        <v>45725</v>
      </c>
    </row>
    <row r="3192" spans="3:8" x14ac:dyDescent="0.25">
      <c r="C3192" s="704">
        <v>51</v>
      </c>
      <c r="D3192" s="704">
        <v>31</v>
      </c>
      <c r="E3192" s="705">
        <v>24.1</v>
      </c>
      <c r="F3192" s="4">
        <f t="shared" si="55"/>
        <v>-8.7121212121212016E-2</v>
      </c>
      <c r="G3192" s="37">
        <v>35.4</v>
      </c>
      <c r="H3192" s="701">
        <v>45725</v>
      </c>
    </row>
    <row r="3193" spans="3:8" x14ac:dyDescent="0.25">
      <c r="C3193" s="704">
        <v>1</v>
      </c>
      <c r="D3193" s="704">
        <v>75</v>
      </c>
      <c r="E3193" s="705">
        <v>49.4</v>
      </c>
      <c r="F3193" s="4">
        <f t="shared" si="55"/>
        <v>-3.8910505836575876E-2</v>
      </c>
      <c r="G3193" s="37">
        <v>35.4</v>
      </c>
      <c r="H3193" s="701">
        <v>45725</v>
      </c>
    </row>
    <row r="3194" spans="3:8" x14ac:dyDescent="0.25">
      <c r="C3194" s="704">
        <v>2</v>
      </c>
      <c r="D3194" s="704">
        <v>58</v>
      </c>
      <c r="E3194" s="705">
        <v>32.200000000000003</v>
      </c>
      <c r="F3194" s="4">
        <f t="shared" si="55"/>
        <v>-3.5928143712574724E-2</v>
      </c>
      <c r="G3194" s="37">
        <v>35.4</v>
      </c>
      <c r="H3194" s="701">
        <v>45725</v>
      </c>
    </row>
    <row r="3195" spans="3:8" x14ac:dyDescent="0.25">
      <c r="C3195" s="704">
        <v>3</v>
      </c>
      <c r="D3195" s="704">
        <v>98</v>
      </c>
      <c r="E3195" s="705">
        <v>29.3</v>
      </c>
      <c r="F3195" s="4">
        <f t="shared" si="55"/>
        <v>1.0344827586206921E-2</v>
      </c>
      <c r="G3195" s="37">
        <v>35.4</v>
      </c>
      <c r="H3195" s="701">
        <v>45725</v>
      </c>
    </row>
    <row r="3196" spans="3:8" x14ac:dyDescent="0.25">
      <c r="C3196" s="704">
        <v>4</v>
      </c>
      <c r="D3196" s="704">
        <v>68</v>
      </c>
      <c r="E3196" s="705">
        <v>17.5</v>
      </c>
      <c r="F3196" s="4">
        <f t="shared" si="55"/>
        <v>-1.6853932584269701E-2</v>
      </c>
      <c r="G3196" s="37">
        <v>35.4</v>
      </c>
      <c r="H3196" s="701">
        <v>45725</v>
      </c>
    </row>
    <row r="3197" spans="3:8" x14ac:dyDescent="0.25">
      <c r="C3197" s="704">
        <v>5</v>
      </c>
      <c r="D3197" s="704">
        <v>78</v>
      </c>
      <c r="E3197" s="705">
        <v>38.799999999999997</v>
      </c>
      <c r="F3197" s="4">
        <f t="shared" si="55"/>
        <v>-1.7721518987341846E-2</v>
      </c>
      <c r="G3197" s="37">
        <v>35.4</v>
      </c>
      <c r="H3197" s="701">
        <v>45725</v>
      </c>
    </row>
    <row r="3198" spans="3:8" x14ac:dyDescent="0.25">
      <c r="C3198" s="704">
        <v>6</v>
      </c>
      <c r="D3198" s="704">
        <v>79</v>
      </c>
      <c r="E3198" s="705">
        <v>52.8</v>
      </c>
      <c r="F3198" s="4">
        <f t="shared" si="55"/>
        <v>3.3268101761252361E-2</v>
      </c>
      <c r="G3198" s="37">
        <v>35.4</v>
      </c>
      <c r="H3198" s="701">
        <v>45725</v>
      </c>
    </row>
    <row r="3199" spans="3:8" x14ac:dyDescent="0.25">
      <c r="C3199" s="704">
        <v>7</v>
      </c>
      <c r="D3199" s="704">
        <v>68</v>
      </c>
      <c r="E3199" s="705">
        <v>27.6</v>
      </c>
      <c r="F3199" s="4">
        <f t="shared" si="55"/>
        <v>-2.4734982332155452E-2</v>
      </c>
      <c r="G3199" s="37">
        <v>35.4</v>
      </c>
      <c r="H3199" s="701">
        <v>45725</v>
      </c>
    </row>
    <row r="3200" spans="3:8" x14ac:dyDescent="0.25">
      <c r="C3200" s="704">
        <v>8</v>
      </c>
      <c r="D3200" s="704">
        <v>62</v>
      </c>
      <c r="E3200" s="705">
        <v>21.4</v>
      </c>
      <c r="F3200" s="4">
        <f t="shared" si="55"/>
        <v>0.32919254658385072</v>
      </c>
      <c r="G3200" s="37">
        <v>35.4</v>
      </c>
      <c r="H3200" s="701">
        <v>45725</v>
      </c>
    </row>
    <row r="3201" spans="3:8" x14ac:dyDescent="0.25">
      <c r="C3201" s="704">
        <v>9</v>
      </c>
      <c r="D3201" s="704">
        <v>86</v>
      </c>
      <c r="E3201" s="705">
        <v>38.1</v>
      </c>
      <c r="F3201" s="4">
        <f t="shared" si="55"/>
        <v>5.2770448548813418E-3</v>
      </c>
      <c r="G3201" s="37">
        <v>35.4</v>
      </c>
      <c r="H3201" s="701">
        <v>45725</v>
      </c>
    </row>
    <row r="3202" spans="3:8" x14ac:dyDescent="0.25">
      <c r="C3202" s="706" t="s">
        <v>0</v>
      </c>
      <c r="D3202" s="706" t="s">
        <v>7</v>
      </c>
      <c r="E3202" s="707" t="s">
        <v>4</v>
      </c>
      <c r="F3202" s="4" t="str">
        <f t="shared" si="55"/>
        <v/>
      </c>
      <c r="G3202" s="37">
        <v>35.200000000000003</v>
      </c>
      <c r="H3202" s="708">
        <v>45726</v>
      </c>
    </row>
    <row r="3203" spans="3:8" x14ac:dyDescent="0.25">
      <c r="C3203" s="706">
        <v>51</v>
      </c>
      <c r="D3203" s="706">
        <v>31</v>
      </c>
      <c r="E3203" s="707">
        <v>23.7</v>
      </c>
      <c r="F3203" s="4">
        <f t="shared" si="55"/>
        <v>-1.659751037344407E-2</v>
      </c>
      <c r="G3203" s="37">
        <v>35.200000000000003</v>
      </c>
      <c r="H3203" s="708">
        <v>45726</v>
      </c>
    </row>
    <row r="3204" spans="3:8" x14ac:dyDescent="0.25">
      <c r="C3204" s="706">
        <v>1</v>
      </c>
      <c r="D3204" s="706">
        <v>74</v>
      </c>
      <c r="E3204" s="707">
        <v>50.6</v>
      </c>
      <c r="F3204" s="4">
        <f t="shared" si="55"/>
        <v>2.4291497975708561E-2</v>
      </c>
      <c r="G3204" s="37">
        <v>35.200000000000003</v>
      </c>
      <c r="H3204" s="708">
        <v>45726</v>
      </c>
    </row>
    <row r="3205" spans="3:8" x14ac:dyDescent="0.25">
      <c r="C3205" s="706">
        <v>2</v>
      </c>
      <c r="D3205" s="706">
        <v>60</v>
      </c>
      <c r="E3205" s="707">
        <v>31.5</v>
      </c>
      <c r="F3205" s="4">
        <f t="shared" si="55"/>
        <v>-2.1739130434782695E-2</v>
      </c>
      <c r="G3205" s="37">
        <v>35.200000000000003</v>
      </c>
      <c r="H3205" s="708">
        <v>45726</v>
      </c>
    </row>
    <row r="3206" spans="3:8" x14ac:dyDescent="0.25">
      <c r="C3206" s="706">
        <v>3</v>
      </c>
      <c r="D3206" s="706">
        <v>98</v>
      </c>
      <c r="E3206" s="707">
        <v>29.1</v>
      </c>
      <c r="F3206" s="4">
        <f t="shared" si="55"/>
        <v>-6.8259385665528768E-3</v>
      </c>
      <c r="G3206" s="37">
        <v>35.200000000000003</v>
      </c>
      <c r="H3206" s="708">
        <v>45726</v>
      </c>
    </row>
    <row r="3207" spans="3:8" x14ac:dyDescent="0.25">
      <c r="C3207" s="706">
        <v>4</v>
      </c>
      <c r="D3207" s="706">
        <v>68</v>
      </c>
      <c r="E3207" s="707">
        <v>20.3</v>
      </c>
      <c r="F3207" s="4">
        <f t="shared" si="55"/>
        <v>0.16000000000000003</v>
      </c>
      <c r="G3207" s="37">
        <v>35.200000000000003</v>
      </c>
      <c r="H3207" s="708">
        <v>45726</v>
      </c>
    </row>
    <row r="3208" spans="3:8" x14ac:dyDescent="0.25">
      <c r="C3208" s="706">
        <v>5</v>
      </c>
      <c r="D3208" s="706">
        <v>78</v>
      </c>
      <c r="E3208" s="707">
        <v>40</v>
      </c>
      <c r="F3208" s="4">
        <f t="shared" si="55"/>
        <v>3.0927835051546466E-2</v>
      </c>
      <c r="G3208" s="37">
        <v>35.200000000000003</v>
      </c>
      <c r="H3208" s="708">
        <v>45726</v>
      </c>
    </row>
    <row r="3209" spans="3:8" x14ac:dyDescent="0.25">
      <c r="C3209" s="706">
        <v>6</v>
      </c>
      <c r="D3209" s="706">
        <v>78</v>
      </c>
      <c r="E3209" s="707">
        <v>51.4</v>
      </c>
      <c r="F3209" s="4">
        <f t="shared" si="55"/>
        <v>-2.6515151515151488E-2</v>
      </c>
      <c r="G3209" s="37">
        <v>35.200000000000003</v>
      </c>
      <c r="H3209" s="708">
        <v>45726</v>
      </c>
    </row>
    <row r="3210" spans="3:8" x14ac:dyDescent="0.25">
      <c r="C3210" s="706">
        <v>7</v>
      </c>
      <c r="D3210" s="706">
        <v>68</v>
      </c>
      <c r="E3210" s="707">
        <v>29.4</v>
      </c>
      <c r="F3210" s="4">
        <f t="shared" si="55"/>
        <v>6.5217391304347713E-2</v>
      </c>
      <c r="G3210" s="37">
        <v>35.200000000000003</v>
      </c>
      <c r="H3210" s="708">
        <v>45726</v>
      </c>
    </row>
    <row r="3211" spans="3:8" x14ac:dyDescent="0.25">
      <c r="C3211" s="706">
        <v>8</v>
      </c>
      <c r="D3211" s="706">
        <v>62</v>
      </c>
      <c r="E3211" s="707">
        <v>19.399999999999999</v>
      </c>
      <c r="F3211" s="4">
        <f t="shared" si="55"/>
        <v>-9.3457943925233655E-2</v>
      </c>
      <c r="G3211" s="37">
        <v>35.200000000000003</v>
      </c>
      <c r="H3211" s="708">
        <v>45726</v>
      </c>
    </row>
    <row r="3212" spans="3:8" x14ac:dyDescent="0.25">
      <c r="C3212" s="706">
        <v>9</v>
      </c>
      <c r="D3212" s="706">
        <v>88</v>
      </c>
      <c r="E3212" s="707">
        <v>38.200000000000003</v>
      </c>
      <c r="F3212" s="4">
        <f t="shared" si="55"/>
        <v>2.6246719160105359E-3</v>
      </c>
      <c r="G3212" s="37">
        <v>35.200000000000003</v>
      </c>
      <c r="H3212" s="708">
        <v>45726</v>
      </c>
    </row>
    <row r="3213" spans="3:8" x14ac:dyDescent="0.25">
      <c r="C3213" s="709" t="s">
        <v>0</v>
      </c>
      <c r="D3213" s="709" t="s">
        <v>7</v>
      </c>
      <c r="E3213" s="710" t="s">
        <v>4</v>
      </c>
      <c r="F3213" s="4" t="str">
        <f t="shared" si="55"/>
        <v/>
      </c>
      <c r="G3213" s="37">
        <v>34.799999999999997</v>
      </c>
      <c r="H3213" s="711">
        <v>45727</v>
      </c>
    </row>
    <row r="3214" spans="3:8" x14ac:dyDescent="0.25">
      <c r="C3214" s="709">
        <v>51</v>
      </c>
      <c r="D3214" s="709">
        <v>27</v>
      </c>
      <c r="E3214" s="710">
        <v>21.2</v>
      </c>
      <c r="F3214" s="4">
        <f t="shared" si="55"/>
        <v>-0.10548523206751055</v>
      </c>
      <c r="G3214" s="37">
        <v>34.799999999999997</v>
      </c>
      <c r="H3214" s="711">
        <v>45727</v>
      </c>
    </row>
    <row r="3215" spans="3:8" x14ac:dyDescent="0.25">
      <c r="C3215" s="709">
        <v>1</v>
      </c>
      <c r="D3215" s="709">
        <v>74</v>
      </c>
      <c r="E3215" s="710">
        <v>50.1</v>
      </c>
      <c r="F3215" s="4">
        <f t="shared" si="55"/>
        <v>-9.881422924901186E-3</v>
      </c>
      <c r="G3215" s="37">
        <v>34.799999999999997</v>
      </c>
      <c r="H3215" s="711">
        <v>45727</v>
      </c>
    </row>
    <row r="3216" spans="3:8" x14ac:dyDescent="0.25">
      <c r="C3216" s="709">
        <v>2</v>
      </c>
      <c r="D3216" s="709">
        <v>58</v>
      </c>
      <c r="E3216" s="710">
        <v>31.9</v>
      </c>
      <c r="F3216" s="4">
        <f t="shared" si="55"/>
        <v>1.2698412698412653E-2</v>
      </c>
      <c r="G3216" s="37">
        <v>34.799999999999997</v>
      </c>
      <c r="H3216" s="711">
        <v>45727</v>
      </c>
    </row>
    <row r="3217" spans="3:8" x14ac:dyDescent="0.25">
      <c r="C3217" s="709">
        <v>3</v>
      </c>
      <c r="D3217" s="709">
        <v>84</v>
      </c>
      <c r="E3217" s="710">
        <v>29.2</v>
      </c>
      <c r="F3217" s="4">
        <f t="shared" si="55"/>
        <v>3.4364261168384146E-3</v>
      </c>
      <c r="G3217" s="37">
        <v>34.799999999999997</v>
      </c>
      <c r="H3217" s="711">
        <v>45727</v>
      </c>
    </row>
    <row r="3218" spans="3:8" x14ac:dyDescent="0.25">
      <c r="C3218" s="709">
        <v>4</v>
      </c>
      <c r="D3218" s="709">
        <v>68</v>
      </c>
      <c r="E3218" s="710">
        <v>18.399999999999999</v>
      </c>
      <c r="F3218" s="4">
        <f t="shared" si="55"/>
        <v>-9.35960591133006E-2</v>
      </c>
      <c r="G3218" s="37">
        <v>34.799999999999997</v>
      </c>
      <c r="H3218" s="711">
        <v>45727</v>
      </c>
    </row>
    <row r="3219" spans="3:8" x14ac:dyDescent="0.25">
      <c r="C3219" s="709">
        <v>5</v>
      </c>
      <c r="D3219" s="709">
        <v>77</v>
      </c>
      <c r="E3219" s="710">
        <v>38.6</v>
      </c>
      <c r="F3219" s="4">
        <f t="shared" si="55"/>
        <v>-3.4999999999999962E-2</v>
      </c>
      <c r="G3219" s="37">
        <v>34.799999999999997</v>
      </c>
      <c r="H3219" s="711">
        <v>45727</v>
      </c>
    </row>
    <row r="3220" spans="3:8" x14ac:dyDescent="0.25">
      <c r="C3220" s="709">
        <v>6</v>
      </c>
      <c r="D3220" s="709">
        <v>77</v>
      </c>
      <c r="E3220" s="710">
        <v>50.5</v>
      </c>
      <c r="F3220" s="4">
        <f t="shared" si="55"/>
        <v>-1.7509727626459116E-2</v>
      </c>
      <c r="G3220" s="37">
        <v>34.799999999999997</v>
      </c>
      <c r="H3220" s="711">
        <v>45727</v>
      </c>
    </row>
    <row r="3221" spans="3:8" x14ac:dyDescent="0.25">
      <c r="C3221" s="709">
        <v>7</v>
      </c>
      <c r="D3221" s="709">
        <v>59</v>
      </c>
      <c r="E3221" s="710">
        <v>26.1</v>
      </c>
      <c r="F3221" s="4">
        <f t="shared" si="55"/>
        <v>-0.11224489795918358</v>
      </c>
      <c r="G3221" s="37">
        <v>34.799999999999997</v>
      </c>
      <c r="H3221" s="711">
        <v>45727</v>
      </c>
    </row>
    <row r="3222" spans="3:8" x14ac:dyDescent="0.25">
      <c r="C3222" s="709">
        <v>8</v>
      </c>
      <c r="D3222" s="709">
        <v>58</v>
      </c>
      <c r="E3222" s="710">
        <v>16.2</v>
      </c>
      <c r="F3222" s="4">
        <f t="shared" si="55"/>
        <v>-0.16494845360824739</v>
      </c>
      <c r="G3222" s="37">
        <v>34.799999999999997</v>
      </c>
      <c r="H3222" s="711">
        <v>45727</v>
      </c>
    </row>
    <row r="3223" spans="3:8" x14ac:dyDescent="0.25">
      <c r="C3223" s="709">
        <v>9</v>
      </c>
      <c r="D3223" s="709">
        <v>88</v>
      </c>
      <c r="E3223" s="710">
        <v>38.9</v>
      </c>
      <c r="F3223" s="4">
        <f t="shared" si="55"/>
        <v>1.8324607329842819E-2</v>
      </c>
      <c r="G3223" s="37">
        <v>34.799999999999997</v>
      </c>
      <c r="H3223" s="711">
        <v>45727</v>
      </c>
    </row>
    <row r="3224" spans="3:8" x14ac:dyDescent="0.25">
      <c r="C3224" s="712" t="s">
        <v>0</v>
      </c>
      <c r="D3224" s="712" t="s">
        <v>7</v>
      </c>
      <c r="E3224" s="713" t="s">
        <v>4</v>
      </c>
      <c r="F3224" s="4" t="str">
        <f t="shared" si="55"/>
        <v/>
      </c>
      <c r="G3224" s="37">
        <v>36.6</v>
      </c>
      <c r="H3224" s="714">
        <v>45728</v>
      </c>
    </row>
    <row r="3225" spans="3:8" x14ac:dyDescent="0.25">
      <c r="C3225" s="712">
        <v>51</v>
      </c>
      <c r="D3225" s="712">
        <v>26</v>
      </c>
      <c r="E3225" s="713">
        <v>27</v>
      </c>
      <c r="F3225" s="4">
        <f t="shared" si="55"/>
        <v>0.27358490566037741</v>
      </c>
      <c r="G3225" s="37">
        <v>36.6</v>
      </c>
      <c r="H3225" s="714">
        <v>45728</v>
      </c>
    </row>
    <row r="3226" spans="3:8" x14ac:dyDescent="0.25">
      <c r="C3226" s="712">
        <v>1</v>
      </c>
      <c r="D3226" s="712">
        <v>74</v>
      </c>
      <c r="E3226" s="713">
        <v>51.6</v>
      </c>
      <c r="F3226" s="4">
        <f t="shared" si="55"/>
        <v>2.9940119760479042E-2</v>
      </c>
      <c r="G3226" s="37">
        <v>36.6</v>
      </c>
      <c r="H3226" s="714">
        <v>45728</v>
      </c>
    </row>
    <row r="3227" spans="3:8" x14ac:dyDescent="0.25">
      <c r="C3227" s="712">
        <v>2</v>
      </c>
      <c r="D3227" s="712">
        <v>58</v>
      </c>
      <c r="E3227" s="713">
        <v>29.4</v>
      </c>
      <c r="F3227" s="4">
        <f t="shared" si="55"/>
        <v>-7.8369905956112859E-2</v>
      </c>
      <c r="G3227" s="37">
        <v>36.6</v>
      </c>
      <c r="H3227" s="714">
        <v>45728</v>
      </c>
    </row>
    <row r="3228" spans="3:8" x14ac:dyDescent="0.25">
      <c r="C3228" s="712">
        <v>3</v>
      </c>
      <c r="D3228" s="712">
        <v>84</v>
      </c>
      <c r="E3228" s="713">
        <v>31.3</v>
      </c>
      <c r="F3228" s="4">
        <f t="shared" si="55"/>
        <v>7.1917808219178134E-2</v>
      </c>
      <c r="G3228" s="37">
        <v>36.6</v>
      </c>
      <c r="H3228" s="714">
        <v>45728</v>
      </c>
    </row>
    <row r="3229" spans="3:8" x14ac:dyDescent="0.25">
      <c r="C3229" s="712">
        <v>4</v>
      </c>
      <c r="D3229" s="712">
        <v>68</v>
      </c>
      <c r="E3229" s="713">
        <v>20.100000000000001</v>
      </c>
      <c r="F3229" s="4">
        <f t="shared" si="55"/>
        <v>9.2391304347826247E-2</v>
      </c>
      <c r="G3229" s="37">
        <v>36.6</v>
      </c>
      <c r="H3229" s="714">
        <v>45728</v>
      </c>
    </row>
    <row r="3230" spans="3:8" x14ac:dyDescent="0.25">
      <c r="C3230" s="712">
        <v>5</v>
      </c>
      <c r="D3230" s="712">
        <v>76</v>
      </c>
      <c r="E3230" s="713">
        <v>40.4</v>
      </c>
      <c r="F3230" s="4">
        <f t="shared" si="55"/>
        <v>4.6632124352331529E-2</v>
      </c>
      <c r="G3230" s="37">
        <v>36.6</v>
      </c>
      <c r="H3230" s="714">
        <v>45728</v>
      </c>
    </row>
    <row r="3231" spans="3:8" x14ac:dyDescent="0.25">
      <c r="C3231" s="712">
        <v>6</v>
      </c>
      <c r="D3231" s="712">
        <v>76</v>
      </c>
      <c r="E3231" s="713">
        <v>51</v>
      </c>
      <c r="F3231" s="4">
        <f t="shared" si="55"/>
        <v>9.9009900990099011E-3</v>
      </c>
      <c r="G3231" s="37">
        <v>36.6</v>
      </c>
      <c r="H3231" s="714">
        <v>45728</v>
      </c>
    </row>
    <row r="3232" spans="3:8" x14ac:dyDescent="0.25">
      <c r="C3232" s="712">
        <v>7</v>
      </c>
      <c r="D3232" s="712">
        <v>57</v>
      </c>
      <c r="E3232" s="713">
        <v>30.5</v>
      </c>
      <c r="F3232" s="4">
        <f t="shared" si="55"/>
        <v>0.16858237547892713</v>
      </c>
      <c r="G3232" s="37">
        <v>36.6</v>
      </c>
      <c r="H3232" s="714">
        <v>45728</v>
      </c>
    </row>
    <row r="3233" spans="3:8" x14ac:dyDescent="0.25">
      <c r="C3233" s="712">
        <v>8</v>
      </c>
      <c r="D3233" s="712">
        <v>56</v>
      </c>
      <c r="E3233" s="713">
        <v>18.600000000000001</v>
      </c>
      <c r="F3233" s="4">
        <f t="shared" si="55"/>
        <v>0.14814814814814828</v>
      </c>
      <c r="G3233" s="37">
        <v>36.6</v>
      </c>
      <c r="H3233" s="714">
        <v>45728</v>
      </c>
    </row>
    <row r="3234" spans="3:8" x14ac:dyDescent="0.25">
      <c r="C3234" s="712">
        <v>9</v>
      </c>
      <c r="D3234" s="712">
        <v>88</v>
      </c>
      <c r="E3234" s="713">
        <v>41.5</v>
      </c>
      <c r="F3234" s="4">
        <f t="shared" si="55"/>
        <v>6.6838046272493609E-2</v>
      </c>
      <c r="G3234" s="37">
        <v>36.6</v>
      </c>
      <c r="H3234" s="714">
        <v>45728</v>
      </c>
    </row>
    <row r="3235" spans="3:8" x14ac:dyDescent="0.25">
      <c r="C3235" s="715" t="s">
        <v>0</v>
      </c>
      <c r="D3235" s="715" t="s">
        <v>7</v>
      </c>
      <c r="E3235" s="716" t="s">
        <v>4</v>
      </c>
      <c r="F3235" s="4" t="str">
        <f t="shared" si="55"/>
        <v/>
      </c>
      <c r="G3235" s="37">
        <v>35.6</v>
      </c>
      <c r="H3235" s="717">
        <v>45729</v>
      </c>
    </row>
    <row r="3236" spans="3:8" x14ac:dyDescent="0.25">
      <c r="C3236" s="715">
        <v>51</v>
      </c>
      <c r="D3236" s="715">
        <v>26</v>
      </c>
      <c r="E3236" s="716">
        <v>27.7</v>
      </c>
      <c r="F3236" s="4">
        <f t="shared" si="55"/>
        <v>2.5925925925925901E-2</v>
      </c>
      <c r="G3236" s="37">
        <v>35.6</v>
      </c>
      <c r="H3236" s="717">
        <v>45729</v>
      </c>
    </row>
    <row r="3237" spans="3:8" x14ac:dyDescent="0.25">
      <c r="C3237" s="715">
        <v>1</v>
      </c>
      <c r="D3237" s="715">
        <v>71</v>
      </c>
      <c r="E3237" s="716">
        <v>48</v>
      </c>
      <c r="F3237" s="4">
        <f t="shared" si="55"/>
        <v>-6.9767441860465143E-2</v>
      </c>
      <c r="G3237" s="37">
        <v>35.6</v>
      </c>
      <c r="H3237" s="717">
        <v>45729</v>
      </c>
    </row>
    <row r="3238" spans="3:8" x14ac:dyDescent="0.25">
      <c r="C3238" s="715">
        <v>2</v>
      </c>
      <c r="D3238" s="715">
        <v>51</v>
      </c>
      <c r="E3238" s="716">
        <v>32.1</v>
      </c>
      <c r="F3238" s="4">
        <f t="shared" si="55"/>
        <v>9.1836734693877653E-2</v>
      </c>
      <c r="G3238" s="37">
        <v>35.6</v>
      </c>
      <c r="H3238" s="717">
        <v>45729</v>
      </c>
    </row>
    <row r="3239" spans="3:8" x14ac:dyDescent="0.25">
      <c r="C3239" s="715">
        <v>3</v>
      </c>
      <c r="D3239" s="715">
        <v>86</v>
      </c>
      <c r="E3239" s="716">
        <v>30.9</v>
      </c>
      <c r="F3239" s="4">
        <f t="shared" si="55"/>
        <v>-1.2779552715655019E-2</v>
      </c>
      <c r="G3239" s="37">
        <v>35.6</v>
      </c>
      <c r="H3239" s="717">
        <v>45729</v>
      </c>
    </row>
    <row r="3240" spans="3:8" x14ac:dyDescent="0.25">
      <c r="C3240" s="715">
        <v>4</v>
      </c>
      <c r="D3240" s="715">
        <v>72</v>
      </c>
      <c r="E3240" s="716">
        <v>20</v>
      </c>
      <c r="F3240" s="4">
        <f t="shared" si="55"/>
        <v>-4.9751243781095229E-3</v>
      </c>
      <c r="G3240" s="37">
        <v>35.6</v>
      </c>
      <c r="H3240" s="717">
        <v>45729</v>
      </c>
    </row>
    <row r="3241" spans="3:8" x14ac:dyDescent="0.25">
      <c r="C3241" s="715">
        <v>5</v>
      </c>
      <c r="D3241" s="715">
        <v>71</v>
      </c>
      <c r="E3241" s="716">
        <v>40.6</v>
      </c>
      <c r="F3241" s="4">
        <f t="shared" si="55"/>
        <v>4.9504950495050208E-3</v>
      </c>
      <c r="G3241" s="37">
        <v>35.6</v>
      </c>
      <c r="H3241" s="717">
        <v>45729</v>
      </c>
    </row>
    <row r="3242" spans="3:8" x14ac:dyDescent="0.25">
      <c r="C3242" s="715">
        <v>6</v>
      </c>
      <c r="D3242" s="715">
        <v>76</v>
      </c>
      <c r="E3242" s="716">
        <v>50.8</v>
      </c>
      <c r="F3242" s="4">
        <f t="shared" si="55"/>
        <v>-3.9215686274510358E-3</v>
      </c>
      <c r="G3242" s="37">
        <v>35.6</v>
      </c>
      <c r="H3242" s="717">
        <v>45729</v>
      </c>
    </row>
    <row r="3243" spans="3:8" x14ac:dyDescent="0.25">
      <c r="C3243" s="715">
        <v>7</v>
      </c>
      <c r="D3243" s="715">
        <v>54</v>
      </c>
      <c r="E3243" s="716">
        <v>27.3</v>
      </c>
      <c r="F3243" s="4">
        <f t="shared" ref="F3243:F3306" si="56">IFERROR((E3243-E3232)/E3232,"")</f>
        <v>-0.10491803278688522</v>
      </c>
      <c r="G3243" s="37">
        <v>35.6</v>
      </c>
      <c r="H3243" s="717">
        <v>45729</v>
      </c>
    </row>
    <row r="3244" spans="3:8" x14ac:dyDescent="0.25">
      <c r="C3244" s="715">
        <v>8</v>
      </c>
      <c r="D3244" s="715">
        <v>62</v>
      </c>
      <c r="E3244" s="716">
        <v>18</v>
      </c>
      <c r="F3244" s="4">
        <f t="shared" si="56"/>
        <v>-3.2258064516129108E-2</v>
      </c>
      <c r="G3244" s="37">
        <v>35.6</v>
      </c>
      <c r="H3244" s="717">
        <v>45729</v>
      </c>
    </row>
    <row r="3245" spans="3:8" x14ac:dyDescent="0.25">
      <c r="C3245" s="715">
        <v>9</v>
      </c>
      <c r="D3245" s="715">
        <v>88</v>
      </c>
      <c r="E3245" s="716">
        <v>39.299999999999997</v>
      </c>
      <c r="F3245" s="4">
        <f t="shared" si="56"/>
        <v>-5.3012048192771152E-2</v>
      </c>
      <c r="G3245" s="37">
        <v>35.6</v>
      </c>
      <c r="H3245" s="717">
        <v>45729</v>
      </c>
    </row>
    <row r="3246" spans="3:8" x14ac:dyDescent="0.25">
      <c r="C3246" s="718" t="s">
        <v>0</v>
      </c>
      <c r="D3246" s="718" t="s">
        <v>7</v>
      </c>
      <c r="E3246" s="719" t="s">
        <v>4</v>
      </c>
      <c r="F3246" s="4" t="str">
        <f t="shared" si="56"/>
        <v/>
      </c>
      <c r="G3246" s="37">
        <v>36.4</v>
      </c>
      <c r="H3246" s="720">
        <v>45730</v>
      </c>
    </row>
    <row r="3247" spans="3:8" x14ac:dyDescent="0.25">
      <c r="C3247" s="718">
        <v>51</v>
      </c>
      <c r="D3247" s="718">
        <v>31</v>
      </c>
      <c r="E3247" s="719">
        <v>26.5</v>
      </c>
      <c r="F3247" s="4">
        <f t="shared" si="56"/>
        <v>-4.3321299638989147E-2</v>
      </c>
      <c r="G3247" s="37">
        <v>36.4</v>
      </c>
      <c r="H3247" s="720">
        <v>45730</v>
      </c>
    </row>
    <row r="3248" spans="3:8" x14ac:dyDescent="0.25">
      <c r="C3248" s="718">
        <v>1</v>
      </c>
      <c r="D3248" s="718">
        <v>70</v>
      </c>
      <c r="E3248" s="719">
        <v>47</v>
      </c>
      <c r="F3248" s="4">
        <f t="shared" si="56"/>
        <v>-2.0833333333333332E-2</v>
      </c>
      <c r="G3248" s="37">
        <v>36.4</v>
      </c>
      <c r="H3248" s="720">
        <v>45730</v>
      </c>
    </row>
    <row r="3249" spans="3:8" x14ac:dyDescent="0.25">
      <c r="C3249" s="718">
        <v>2</v>
      </c>
      <c r="D3249" s="718">
        <v>50</v>
      </c>
      <c r="E3249" s="719">
        <v>32.9</v>
      </c>
      <c r="F3249" s="4">
        <f t="shared" si="56"/>
        <v>2.4922118380062214E-2</v>
      </c>
      <c r="G3249" s="37">
        <v>36.4</v>
      </c>
      <c r="H3249" s="720">
        <v>45730</v>
      </c>
    </row>
    <row r="3250" spans="3:8" x14ac:dyDescent="0.25">
      <c r="C3250" s="718">
        <v>3</v>
      </c>
      <c r="D3250" s="718">
        <v>86</v>
      </c>
      <c r="E3250" s="719">
        <v>42</v>
      </c>
      <c r="F3250" s="4">
        <f t="shared" si="56"/>
        <v>0.35922330097087385</v>
      </c>
      <c r="G3250" s="37">
        <v>36.4</v>
      </c>
      <c r="H3250" s="720">
        <v>45730</v>
      </c>
    </row>
    <row r="3251" spans="3:8" x14ac:dyDescent="0.25">
      <c r="C3251" s="718">
        <v>4</v>
      </c>
      <c r="D3251" s="718">
        <v>72</v>
      </c>
      <c r="E3251" s="719">
        <v>19.3</v>
      </c>
      <c r="F3251" s="4">
        <f t="shared" si="56"/>
        <v>-3.4999999999999962E-2</v>
      </c>
      <c r="G3251" s="37">
        <v>36.4</v>
      </c>
      <c r="H3251" s="720">
        <v>45730</v>
      </c>
    </row>
    <row r="3252" spans="3:8" x14ac:dyDescent="0.25">
      <c r="C3252" s="718">
        <v>5</v>
      </c>
      <c r="D3252" s="718">
        <v>70</v>
      </c>
      <c r="E3252" s="719">
        <v>36.6</v>
      </c>
      <c r="F3252" s="4">
        <f t="shared" si="56"/>
        <v>-9.852216748768472E-2</v>
      </c>
      <c r="G3252" s="37">
        <v>36.4</v>
      </c>
      <c r="H3252" s="720">
        <v>45730</v>
      </c>
    </row>
    <row r="3253" spans="3:8" x14ac:dyDescent="0.25">
      <c r="C3253" s="718">
        <v>6</v>
      </c>
      <c r="D3253" s="718">
        <v>76</v>
      </c>
      <c r="E3253" s="719">
        <v>48.9</v>
      </c>
      <c r="F3253" s="4">
        <f t="shared" si="56"/>
        <v>-3.7401574803149581E-2</v>
      </c>
      <c r="G3253" s="37">
        <v>36.4</v>
      </c>
      <c r="H3253" s="720">
        <v>45730</v>
      </c>
    </row>
    <row r="3254" spans="3:8" x14ac:dyDescent="0.25">
      <c r="C3254" s="718">
        <v>7</v>
      </c>
      <c r="D3254" s="718">
        <v>53</v>
      </c>
      <c r="E3254" s="719">
        <v>25</v>
      </c>
      <c r="F3254" s="4">
        <f t="shared" si="56"/>
        <v>-8.4249084249084269E-2</v>
      </c>
      <c r="G3254" s="37">
        <v>36.4</v>
      </c>
      <c r="H3254" s="720">
        <v>45730</v>
      </c>
    </row>
    <row r="3255" spans="3:8" x14ac:dyDescent="0.25">
      <c r="C3255" s="718">
        <v>8</v>
      </c>
      <c r="D3255" s="718">
        <v>64</v>
      </c>
      <c r="E3255" s="719">
        <v>16.399999999999999</v>
      </c>
      <c r="F3255" s="4">
        <f t="shared" si="56"/>
        <v>-8.8888888888888962E-2</v>
      </c>
      <c r="G3255" s="37">
        <v>36.4</v>
      </c>
      <c r="H3255" s="720">
        <v>45730</v>
      </c>
    </row>
    <row r="3256" spans="3:8" x14ac:dyDescent="0.25">
      <c r="C3256" s="718">
        <v>9</v>
      </c>
      <c r="D3256" s="718">
        <v>88</v>
      </c>
      <c r="E3256" s="719">
        <v>39.1</v>
      </c>
      <c r="F3256" s="4">
        <f t="shared" si="56"/>
        <v>-5.0890585241729199E-3</v>
      </c>
      <c r="G3256" s="37">
        <v>36.4</v>
      </c>
      <c r="H3256" s="720">
        <v>45730</v>
      </c>
    </row>
    <row r="3257" spans="3:8" x14ac:dyDescent="0.25">
      <c r="C3257" s="721" t="s">
        <v>0</v>
      </c>
      <c r="D3257" s="721" t="s">
        <v>7</v>
      </c>
      <c r="E3257" s="722" t="s">
        <v>4</v>
      </c>
      <c r="F3257" s="4" t="str">
        <f t="shared" si="56"/>
        <v/>
      </c>
      <c r="G3257" s="37">
        <v>37.299999999999997</v>
      </c>
      <c r="H3257" s="720">
        <v>45731</v>
      </c>
    </row>
    <row r="3258" spans="3:8" x14ac:dyDescent="0.25">
      <c r="C3258" s="721">
        <v>51</v>
      </c>
      <c r="D3258" s="721">
        <v>31</v>
      </c>
      <c r="E3258" s="722">
        <v>25.5</v>
      </c>
      <c r="F3258" s="4">
        <f t="shared" si="56"/>
        <v>-3.7735849056603772E-2</v>
      </c>
      <c r="G3258" s="37">
        <v>37.299999999999997</v>
      </c>
      <c r="H3258" s="720">
        <v>45731</v>
      </c>
    </row>
    <row r="3259" spans="3:8" x14ac:dyDescent="0.25">
      <c r="C3259" s="721">
        <v>1</v>
      </c>
      <c r="D3259" s="721">
        <v>69</v>
      </c>
      <c r="E3259" s="722">
        <v>51.4</v>
      </c>
      <c r="F3259" s="4">
        <f t="shared" si="56"/>
        <v>9.3617021276595713E-2</v>
      </c>
      <c r="G3259" s="37">
        <v>37.299999999999997</v>
      </c>
      <c r="H3259" s="720">
        <v>45731</v>
      </c>
    </row>
    <row r="3260" spans="3:8" x14ac:dyDescent="0.25">
      <c r="C3260" s="721">
        <v>2</v>
      </c>
      <c r="D3260" s="721">
        <v>50</v>
      </c>
      <c r="E3260" s="722">
        <v>34.200000000000003</v>
      </c>
      <c r="F3260" s="4">
        <f t="shared" si="56"/>
        <v>3.9513677811550282E-2</v>
      </c>
      <c r="G3260" s="37">
        <v>37.299999999999997</v>
      </c>
      <c r="H3260" s="720">
        <v>45731</v>
      </c>
    </row>
    <row r="3261" spans="3:8" x14ac:dyDescent="0.25">
      <c r="C3261" s="721">
        <v>3</v>
      </c>
      <c r="D3261" s="721">
        <v>86</v>
      </c>
      <c r="E3261" s="722">
        <v>29.5</v>
      </c>
      <c r="F3261" s="4">
        <f t="shared" si="56"/>
        <v>-0.29761904761904762</v>
      </c>
      <c r="G3261" s="37">
        <v>37.299999999999997</v>
      </c>
      <c r="H3261" s="720">
        <v>45731</v>
      </c>
    </row>
    <row r="3262" spans="3:8" x14ac:dyDescent="0.25">
      <c r="C3262" s="721">
        <v>4</v>
      </c>
      <c r="D3262" s="721">
        <v>59</v>
      </c>
      <c r="E3262" s="722">
        <v>17.100000000000001</v>
      </c>
      <c r="F3262" s="4">
        <f t="shared" si="56"/>
        <v>-0.11398963730569944</v>
      </c>
      <c r="G3262" s="37">
        <v>37.299999999999997</v>
      </c>
      <c r="H3262" s="720">
        <v>45731</v>
      </c>
    </row>
    <row r="3263" spans="3:8" x14ac:dyDescent="0.25">
      <c r="C3263" s="721">
        <v>5</v>
      </c>
      <c r="D3263" s="721">
        <v>70</v>
      </c>
      <c r="E3263" s="722">
        <v>40.4</v>
      </c>
      <c r="F3263" s="4">
        <f t="shared" si="56"/>
        <v>0.10382513661202178</v>
      </c>
      <c r="G3263" s="37">
        <v>37.299999999999997</v>
      </c>
      <c r="H3263" s="720">
        <v>45731</v>
      </c>
    </row>
    <row r="3264" spans="3:8" x14ac:dyDescent="0.25">
      <c r="C3264" s="721">
        <v>6</v>
      </c>
      <c r="D3264" s="721">
        <v>75</v>
      </c>
      <c r="E3264" s="722">
        <v>47.5</v>
      </c>
      <c r="F3264" s="4">
        <f t="shared" si="56"/>
        <v>-2.8629856850715719E-2</v>
      </c>
      <c r="G3264" s="37">
        <v>37.299999999999997</v>
      </c>
      <c r="H3264" s="720">
        <v>45731</v>
      </c>
    </row>
    <row r="3265" spans="3:8" x14ac:dyDescent="0.25">
      <c r="C3265" s="721">
        <v>7</v>
      </c>
      <c r="D3265" s="721">
        <v>53</v>
      </c>
      <c r="E3265" s="722">
        <v>44.1</v>
      </c>
      <c r="F3265" s="4">
        <f t="shared" si="56"/>
        <v>0.76400000000000001</v>
      </c>
      <c r="G3265" s="37">
        <v>37.299999999999997</v>
      </c>
      <c r="H3265" s="720">
        <v>45731</v>
      </c>
    </row>
    <row r="3266" spans="3:8" x14ac:dyDescent="0.25">
      <c r="C3266" s="721">
        <v>8</v>
      </c>
      <c r="D3266" s="721">
        <v>60</v>
      </c>
      <c r="E3266" s="722">
        <v>18.2</v>
      </c>
      <c r="F3266" s="4">
        <f t="shared" si="56"/>
        <v>0.10975609756097567</v>
      </c>
      <c r="G3266" s="37">
        <v>37.299999999999997</v>
      </c>
      <c r="H3266" s="720">
        <v>45731</v>
      </c>
    </row>
    <row r="3267" spans="3:8" x14ac:dyDescent="0.25">
      <c r="C3267" s="721">
        <v>9</v>
      </c>
      <c r="D3267" s="721">
        <v>88</v>
      </c>
      <c r="E3267" s="722">
        <v>39.200000000000003</v>
      </c>
      <c r="F3267" s="4">
        <f t="shared" si="56"/>
        <v>2.5575447570332843E-3</v>
      </c>
      <c r="G3267" s="37">
        <v>37.299999999999997</v>
      </c>
      <c r="H3267" s="720">
        <v>45731</v>
      </c>
    </row>
    <row r="3268" spans="3:8" x14ac:dyDescent="0.25">
      <c r="C3268" s="723" t="s">
        <v>0</v>
      </c>
      <c r="D3268" s="723" t="s">
        <v>7</v>
      </c>
      <c r="E3268" s="724" t="s">
        <v>4</v>
      </c>
      <c r="F3268" s="4" t="str">
        <f t="shared" si="56"/>
        <v/>
      </c>
      <c r="G3268" s="37">
        <v>36.6</v>
      </c>
      <c r="H3268" s="720">
        <v>45732</v>
      </c>
    </row>
    <row r="3269" spans="3:8" x14ac:dyDescent="0.25">
      <c r="C3269" s="723">
        <v>51</v>
      </c>
      <c r="D3269" s="723">
        <v>34</v>
      </c>
      <c r="E3269" s="724">
        <v>28.1</v>
      </c>
      <c r="F3269" s="4">
        <f t="shared" si="56"/>
        <v>0.10196078431372554</v>
      </c>
      <c r="G3269" s="37">
        <v>36.6</v>
      </c>
      <c r="H3269" s="720">
        <v>45732</v>
      </c>
    </row>
    <row r="3270" spans="3:8" x14ac:dyDescent="0.25">
      <c r="C3270" s="723">
        <v>1</v>
      </c>
      <c r="D3270" s="723">
        <v>68</v>
      </c>
      <c r="E3270" s="724">
        <v>50.1</v>
      </c>
      <c r="F3270" s="4">
        <f t="shared" si="56"/>
        <v>-2.5291828793774264E-2</v>
      </c>
      <c r="G3270" s="37">
        <v>36.6</v>
      </c>
      <c r="H3270" s="720">
        <v>45732</v>
      </c>
    </row>
    <row r="3271" spans="3:8" x14ac:dyDescent="0.25">
      <c r="C3271" s="723">
        <v>2</v>
      </c>
      <c r="D3271" s="723">
        <v>50</v>
      </c>
      <c r="E3271" s="724">
        <v>31.4</v>
      </c>
      <c r="F3271" s="4">
        <f t="shared" si="56"/>
        <v>-8.1871345029239886E-2</v>
      </c>
      <c r="G3271" s="37">
        <v>36.6</v>
      </c>
      <c r="H3271" s="720">
        <v>45732</v>
      </c>
    </row>
    <row r="3272" spans="3:8" x14ac:dyDescent="0.25">
      <c r="C3272" s="723">
        <v>3</v>
      </c>
      <c r="D3272" s="723">
        <v>86</v>
      </c>
      <c r="E3272" s="724">
        <v>31.9</v>
      </c>
      <c r="F3272" s="4">
        <f t="shared" si="56"/>
        <v>8.1355932203389783E-2</v>
      </c>
      <c r="G3272" s="37">
        <v>36.6</v>
      </c>
      <c r="H3272" s="720">
        <v>45732</v>
      </c>
    </row>
    <row r="3273" spans="3:8" x14ac:dyDescent="0.25">
      <c r="C3273" s="723">
        <v>4</v>
      </c>
      <c r="D3273" s="723">
        <v>59</v>
      </c>
      <c r="E3273" s="724">
        <v>21.4</v>
      </c>
      <c r="F3273" s="4">
        <f t="shared" si="56"/>
        <v>0.25146198830409339</v>
      </c>
      <c r="G3273" s="37">
        <v>36.6</v>
      </c>
      <c r="H3273" s="720">
        <v>45732</v>
      </c>
    </row>
    <row r="3274" spans="3:8" x14ac:dyDescent="0.25">
      <c r="C3274" s="723">
        <v>5</v>
      </c>
      <c r="D3274" s="723">
        <v>70</v>
      </c>
      <c r="E3274" s="724">
        <v>41</v>
      </c>
      <c r="F3274" s="4">
        <f t="shared" si="56"/>
        <v>1.4851485148514887E-2</v>
      </c>
      <c r="G3274" s="37">
        <v>36.6</v>
      </c>
      <c r="H3274" s="720">
        <v>45732</v>
      </c>
    </row>
    <row r="3275" spans="3:8" x14ac:dyDescent="0.25">
      <c r="C3275" s="723">
        <v>6</v>
      </c>
      <c r="D3275" s="723">
        <v>75</v>
      </c>
      <c r="E3275" s="724">
        <v>52.8</v>
      </c>
      <c r="F3275" s="4">
        <f t="shared" si="56"/>
        <v>0.11157894736842099</v>
      </c>
      <c r="G3275" s="37">
        <v>36.6</v>
      </c>
      <c r="H3275" s="720">
        <v>45732</v>
      </c>
    </row>
    <row r="3276" spans="3:8" x14ac:dyDescent="0.25">
      <c r="C3276" s="723">
        <v>7</v>
      </c>
      <c r="D3276" s="723">
        <v>53</v>
      </c>
      <c r="E3276" s="724">
        <v>31.5</v>
      </c>
      <c r="F3276" s="4">
        <f t="shared" si="56"/>
        <v>-0.28571428571428575</v>
      </c>
      <c r="G3276" s="37">
        <v>36.6</v>
      </c>
      <c r="H3276" s="720">
        <v>45732</v>
      </c>
    </row>
    <row r="3277" spans="3:8" x14ac:dyDescent="0.25">
      <c r="C3277" s="723">
        <v>8</v>
      </c>
      <c r="D3277" s="723">
        <v>60</v>
      </c>
      <c r="E3277" s="724">
        <v>19.8</v>
      </c>
      <c r="F3277" s="4">
        <f t="shared" si="56"/>
        <v>8.7912087912087988E-2</v>
      </c>
      <c r="G3277" s="37">
        <v>36.6</v>
      </c>
      <c r="H3277" s="720">
        <v>45732</v>
      </c>
    </row>
    <row r="3278" spans="3:8" x14ac:dyDescent="0.25">
      <c r="C3278" s="723">
        <v>9</v>
      </c>
      <c r="D3278" s="723">
        <v>88</v>
      </c>
      <c r="E3278" s="724">
        <v>37.1</v>
      </c>
      <c r="F3278" s="4">
        <f t="shared" si="56"/>
        <v>-5.3571428571428603E-2</v>
      </c>
      <c r="G3278" s="37">
        <v>36.6</v>
      </c>
      <c r="H3278" s="720">
        <v>45732</v>
      </c>
    </row>
    <row r="3279" spans="3:8" x14ac:dyDescent="0.25">
      <c r="C3279" s="725" t="s">
        <v>0</v>
      </c>
      <c r="D3279" s="725" t="s">
        <v>7</v>
      </c>
      <c r="E3279" s="726" t="s">
        <v>4</v>
      </c>
      <c r="F3279" s="4" t="str">
        <f t="shared" si="56"/>
        <v/>
      </c>
      <c r="G3279" s="37">
        <v>36.6</v>
      </c>
      <c r="H3279" s="727">
        <v>45733</v>
      </c>
    </row>
    <row r="3280" spans="3:8" x14ac:dyDescent="0.25">
      <c r="C3280" s="725">
        <v>51</v>
      </c>
      <c r="D3280" s="725">
        <v>38</v>
      </c>
      <c r="E3280" s="726">
        <v>27</v>
      </c>
      <c r="F3280" s="4">
        <f t="shared" si="56"/>
        <v>-3.9145907473309656E-2</v>
      </c>
      <c r="G3280" s="37">
        <v>36.6</v>
      </c>
      <c r="H3280" s="727">
        <v>45733</v>
      </c>
    </row>
    <row r="3281" spans="3:8" x14ac:dyDescent="0.25">
      <c r="C3281" s="725">
        <v>1</v>
      </c>
      <c r="D3281" s="725">
        <v>68</v>
      </c>
      <c r="E3281" s="726">
        <v>51.2</v>
      </c>
      <c r="F3281" s="4">
        <f t="shared" si="56"/>
        <v>2.1956087824351326E-2</v>
      </c>
      <c r="G3281" s="37">
        <v>36.6</v>
      </c>
      <c r="H3281" s="727">
        <v>45733</v>
      </c>
    </row>
    <row r="3282" spans="3:8" x14ac:dyDescent="0.25">
      <c r="C3282" s="725">
        <v>2</v>
      </c>
      <c r="D3282" s="725">
        <v>50</v>
      </c>
      <c r="E3282" s="726">
        <v>33.1</v>
      </c>
      <c r="F3282" s="4">
        <f t="shared" si="56"/>
        <v>5.4140127388535124E-2</v>
      </c>
      <c r="G3282" s="37">
        <v>36.6</v>
      </c>
      <c r="H3282" s="727">
        <v>45733</v>
      </c>
    </row>
    <row r="3283" spans="3:8" x14ac:dyDescent="0.25">
      <c r="C3283" s="725">
        <v>3</v>
      </c>
      <c r="D3283" s="725">
        <v>86</v>
      </c>
      <c r="E3283" s="726">
        <v>31.3</v>
      </c>
      <c r="F3283" s="4">
        <f t="shared" si="56"/>
        <v>-1.880877742946702E-2</v>
      </c>
      <c r="G3283" s="37">
        <v>36.6</v>
      </c>
      <c r="H3283" s="727">
        <v>45733</v>
      </c>
    </row>
    <row r="3284" spans="3:8" x14ac:dyDescent="0.25">
      <c r="C3284" s="725">
        <v>4</v>
      </c>
      <c r="D3284" s="725">
        <v>61</v>
      </c>
      <c r="E3284" s="726">
        <v>20.6</v>
      </c>
      <c r="F3284" s="4">
        <f t="shared" si="56"/>
        <v>-3.738317757009333E-2</v>
      </c>
      <c r="G3284" s="37">
        <v>36.6</v>
      </c>
      <c r="H3284" s="727">
        <v>45733</v>
      </c>
    </row>
    <row r="3285" spans="3:8" x14ac:dyDescent="0.25">
      <c r="C3285" s="725">
        <v>5</v>
      </c>
      <c r="D3285" s="725">
        <v>69</v>
      </c>
      <c r="E3285" s="726">
        <v>39.799999999999997</v>
      </c>
      <c r="F3285" s="4">
        <f t="shared" si="56"/>
        <v>-2.9268292682926897E-2</v>
      </c>
      <c r="G3285" s="37">
        <v>36.6</v>
      </c>
      <c r="H3285" s="727">
        <v>45733</v>
      </c>
    </row>
    <row r="3286" spans="3:8" x14ac:dyDescent="0.25">
      <c r="C3286" s="725">
        <v>6</v>
      </c>
      <c r="D3286" s="725">
        <v>75</v>
      </c>
      <c r="E3286" s="726">
        <v>53.1</v>
      </c>
      <c r="F3286" s="4">
        <f t="shared" si="56"/>
        <v>5.6818181818182626E-3</v>
      </c>
      <c r="G3286" s="37">
        <v>36.6</v>
      </c>
      <c r="H3286" s="727">
        <v>45733</v>
      </c>
    </row>
    <row r="3287" spans="3:8" x14ac:dyDescent="0.25">
      <c r="C3287" s="725">
        <v>7</v>
      </c>
      <c r="D3287" s="725">
        <v>53</v>
      </c>
      <c r="E3287" s="726">
        <v>30.5</v>
      </c>
      <c r="F3287" s="4">
        <f t="shared" si="56"/>
        <v>-3.1746031746031744E-2</v>
      </c>
      <c r="G3287" s="37">
        <v>36.6</v>
      </c>
      <c r="H3287" s="727">
        <v>45733</v>
      </c>
    </row>
    <row r="3288" spans="3:8" x14ac:dyDescent="0.25">
      <c r="C3288" s="725">
        <v>8</v>
      </c>
      <c r="D3288" s="725">
        <v>60</v>
      </c>
      <c r="E3288" s="726">
        <v>19.600000000000001</v>
      </c>
      <c r="F3288" s="4">
        <f t="shared" si="56"/>
        <v>-1.0101010101010065E-2</v>
      </c>
      <c r="G3288" s="37">
        <v>36.6</v>
      </c>
      <c r="H3288" s="727">
        <v>45733</v>
      </c>
    </row>
    <row r="3289" spans="3:8" x14ac:dyDescent="0.25">
      <c r="C3289" s="725">
        <v>9</v>
      </c>
      <c r="D3289" s="725">
        <v>88</v>
      </c>
      <c r="E3289" s="726">
        <v>37.1</v>
      </c>
      <c r="F3289" s="4">
        <f t="shared" si="56"/>
        <v>0</v>
      </c>
      <c r="G3289" s="37">
        <v>36.6</v>
      </c>
      <c r="H3289" s="727">
        <v>45733</v>
      </c>
    </row>
    <row r="3290" spans="3:8" x14ac:dyDescent="0.25">
      <c r="C3290" s="728" t="s">
        <v>0</v>
      </c>
      <c r="D3290" s="728" t="s">
        <v>7</v>
      </c>
      <c r="E3290" s="729" t="s">
        <v>4</v>
      </c>
      <c r="F3290" s="4" t="str">
        <f t="shared" si="56"/>
        <v/>
      </c>
      <c r="G3290" s="37">
        <v>36.299999999999997</v>
      </c>
      <c r="H3290" s="730">
        <v>45734</v>
      </c>
    </row>
    <row r="3291" spans="3:8" x14ac:dyDescent="0.25">
      <c r="C3291" s="728">
        <v>51</v>
      </c>
      <c r="D3291" s="728">
        <v>34</v>
      </c>
      <c r="E3291" s="729">
        <v>24.3</v>
      </c>
      <c r="F3291" s="4">
        <f t="shared" si="56"/>
        <v>-9.9999999999999978E-2</v>
      </c>
      <c r="G3291" s="37">
        <v>36.299999999999997</v>
      </c>
      <c r="H3291" s="730">
        <v>45734</v>
      </c>
    </row>
    <row r="3292" spans="3:8" x14ac:dyDescent="0.25">
      <c r="C3292" s="728">
        <v>1</v>
      </c>
      <c r="D3292" s="728">
        <v>68</v>
      </c>
      <c r="E3292" s="729">
        <v>49.6</v>
      </c>
      <c r="F3292" s="4">
        <f t="shared" si="56"/>
        <v>-3.1250000000000028E-2</v>
      </c>
      <c r="G3292" s="37">
        <v>36.299999999999997</v>
      </c>
      <c r="H3292" s="730">
        <v>45734</v>
      </c>
    </row>
    <row r="3293" spans="3:8" x14ac:dyDescent="0.25">
      <c r="C3293" s="728">
        <v>2</v>
      </c>
      <c r="D3293" s="728">
        <v>50</v>
      </c>
      <c r="E3293" s="729">
        <v>31.7</v>
      </c>
      <c r="F3293" s="4">
        <f t="shared" si="56"/>
        <v>-4.2296072507552934E-2</v>
      </c>
      <c r="G3293" s="37">
        <v>36.299999999999997</v>
      </c>
      <c r="H3293" s="730">
        <v>45734</v>
      </c>
    </row>
    <row r="3294" spans="3:8" x14ac:dyDescent="0.25">
      <c r="C3294" s="728">
        <v>3</v>
      </c>
      <c r="D3294" s="728">
        <v>85</v>
      </c>
      <c r="E3294" s="729">
        <v>29.8</v>
      </c>
      <c r="F3294" s="4">
        <f t="shared" si="56"/>
        <v>-4.7923322683706068E-2</v>
      </c>
      <c r="G3294" s="37">
        <v>36.299999999999997</v>
      </c>
      <c r="H3294" s="730">
        <v>45734</v>
      </c>
    </row>
    <row r="3295" spans="3:8" x14ac:dyDescent="0.25">
      <c r="C3295" s="728">
        <v>4</v>
      </c>
      <c r="D3295" s="728">
        <v>62</v>
      </c>
      <c r="E3295" s="729">
        <v>21.6</v>
      </c>
      <c r="F3295" s="4">
        <f t="shared" si="56"/>
        <v>4.8543689320388349E-2</v>
      </c>
      <c r="G3295" s="37">
        <v>36.299999999999997</v>
      </c>
      <c r="H3295" s="730">
        <v>45734</v>
      </c>
    </row>
    <row r="3296" spans="3:8" x14ac:dyDescent="0.25">
      <c r="C3296" s="728">
        <v>5</v>
      </c>
      <c r="D3296" s="728">
        <v>69</v>
      </c>
      <c r="E3296" s="729">
        <v>40</v>
      </c>
      <c r="F3296" s="4">
        <f t="shared" si="56"/>
        <v>5.0251256281407756E-3</v>
      </c>
      <c r="G3296" s="37">
        <v>36.299999999999997</v>
      </c>
      <c r="H3296" s="730">
        <v>45734</v>
      </c>
    </row>
    <row r="3297" spans="3:8" x14ac:dyDescent="0.25">
      <c r="C3297" s="728">
        <v>6</v>
      </c>
      <c r="D3297" s="728">
        <v>74</v>
      </c>
      <c r="E3297" s="729">
        <v>48.5</v>
      </c>
      <c r="F3297" s="4">
        <f t="shared" si="56"/>
        <v>-8.6629001883239201E-2</v>
      </c>
      <c r="G3297" s="37">
        <v>36.299999999999997</v>
      </c>
      <c r="H3297" s="730">
        <v>45734</v>
      </c>
    </row>
    <row r="3298" spans="3:8" x14ac:dyDescent="0.25">
      <c r="C3298" s="728">
        <v>7</v>
      </c>
      <c r="D3298" s="728">
        <v>53</v>
      </c>
      <c r="E3298" s="729">
        <v>30.7</v>
      </c>
      <c r="F3298" s="4">
        <f t="shared" si="56"/>
        <v>6.5573770491803044E-3</v>
      </c>
      <c r="G3298" s="37">
        <v>36.299999999999997</v>
      </c>
      <c r="H3298" s="730">
        <v>45734</v>
      </c>
    </row>
    <row r="3299" spans="3:8" x14ac:dyDescent="0.25">
      <c r="C3299" s="728">
        <v>8</v>
      </c>
      <c r="D3299" s="728">
        <v>60</v>
      </c>
      <c r="E3299" s="729">
        <v>20.6</v>
      </c>
      <c r="F3299" s="4">
        <f t="shared" si="56"/>
        <v>5.10204081632653E-2</v>
      </c>
      <c r="G3299" s="37">
        <v>36.299999999999997</v>
      </c>
      <c r="H3299" s="730">
        <v>45734</v>
      </c>
    </row>
    <row r="3300" spans="3:8" x14ac:dyDescent="0.25">
      <c r="C3300" s="728">
        <v>9</v>
      </c>
      <c r="D3300" s="728">
        <v>88</v>
      </c>
      <c r="E3300" s="729">
        <v>39</v>
      </c>
      <c r="F3300" s="4">
        <f t="shared" si="56"/>
        <v>5.1212938005390798E-2</v>
      </c>
      <c r="G3300" s="37">
        <v>36.299999999999997</v>
      </c>
      <c r="H3300" s="730">
        <v>45734</v>
      </c>
    </row>
    <row r="3301" spans="3:8" x14ac:dyDescent="0.25">
      <c r="C3301" s="731" t="s">
        <v>0</v>
      </c>
      <c r="D3301" s="731" t="s">
        <v>7</v>
      </c>
      <c r="E3301" s="732" t="s">
        <v>4</v>
      </c>
      <c r="F3301" s="4" t="str">
        <f t="shared" si="56"/>
        <v/>
      </c>
      <c r="G3301" s="37">
        <v>35.700000000000003</v>
      </c>
      <c r="H3301" s="733">
        <v>45735</v>
      </c>
    </row>
    <row r="3302" spans="3:8" x14ac:dyDescent="0.25">
      <c r="C3302" s="731">
        <v>51</v>
      </c>
      <c r="D3302" s="731">
        <v>35</v>
      </c>
      <c r="E3302" s="732">
        <v>25.9</v>
      </c>
      <c r="F3302" s="4">
        <f t="shared" si="56"/>
        <v>6.5843621399176863E-2</v>
      </c>
      <c r="G3302" s="37">
        <v>35.700000000000003</v>
      </c>
      <c r="H3302" s="733">
        <v>45735</v>
      </c>
    </row>
    <row r="3303" spans="3:8" x14ac:dyDescent="0.25">
      <c r="C3303" s="731">
        <v>1</v>
      </c>
      <c r="D3303" s="731">
        <v>69</v>
      </c>
      <c r="E3303" s="732">
        <v>48.9</v>
      </c>
      <c r="F3303" s="4">
        <f t="shared" si="56"/>
        <v>-1.4112903225806508E-2</v>
      </c>
      <c r="G3303" s="37">
        <v>35.700000000000003</v>
      </c>
      <c r="H3303" s="733">
        <v>45735</v>
      </c>
    </row>
    <row r="3304" spans="3:8" x14ac:dyDescent="0.25">
      <c r="C3304" s="731">
        <v>2</v>
      </c>
      <c r="D3304" s="731">
        <v>50</v>
      </c>
      <c r="E3304" s="732">
        <v>32.799999999999997</v>
      </c>
      <c r="F3304" s="4">
        <f t="shared" si="56"/>
        <v>3.4700315457413186E-2</v>
      </c>
      <c r="G3304" s="37">
        <v>35.700000000000003</v>
      </c>
      <c r="H3304" s="733">
        <v>45735</v>
      </c>
    </row>
    <row r="3305" spans="3:8" x14ac:dyDescent="0.25">
      <c r="C3305" s="731">
        <v>3</v>
      </c>
      <c r="D3305" s="731">
        <v>85</v>
      </c>
      <c r="E3305" s="732">
        <v>31</v>
      </c>
      <c r="F3305" s="4">
        <f t="shared" si="56"/>
        <v>4.0268456375838903E-2</v>
      </c>
      <c r="G3305" s="37">
        <v>35.700000000000003</v>
      </c>
      <c r="H3305" s="733">
        <v>45735</v>
      </c>
    </row>
    <row r="3306" spans="3:8" x14ac:dyDescent="0.25">
      <c r="C3306" s="731">
        <v>4</v>
      </c>
      <c r="D3306" s="731">
        <v>62</v>
      </c>
      <c r="E3306" s="732">
        <v>20.100000000000001</v>
      </c>
      <c r="F3306" s="4">
        <f t="shared" si="56"/>
        <v>-6.9444444444444434E-2</v>
      </c>
      <c r="G3306" s="37">
        <v>35.700000000000003</v>
      </c>
      <c r="H3306" s="733">
        <v>45735</v>
      </c>
    </row>
    <row r="3307" spans="3:8" x14ac:dyDescent="0.25">
      <c r="C3307" s="731">
        <v>5</v>
      </c>
      <c r="D3307" s="731">
        <v>69</v>
      </c>
      <c r="E3307" s="732">
        <v>39.299999999999997</v>
      </c>
      <c r="F3307" s="4">
        <f t="shared" ref="F3307:F3354" si="57">IFERROR((E3307-E3296)/E3296,"")</f>
        <v>-1.7500000000000071E-2</v>
      </c>
      <c r="G3307" s="37">
        <v>35.700000000000003</v>
      </c>
      <c r="H3307" s="733">
        <v>45735</v>
      </c>
    </row>
    <row r="3308" spans="3:8" x14ac:dyDescent="0.25">
      <c r="C3308" s="731">
        <v>6</v>
      </c>
      <c r="D3308" s="731">
        <v>74</v>
      </c>
      <c r="E3308" s="732">
        <v>48.6</v>
      </c>
      <c r="F3308" s="4">
        <f t="shared" si="57"/>
        <v>2.0618556701031219E-3</v>
      </c>
      <c r="G3308" s="37">
        <v>35.700000000000003</v>
      </c>
      <c r="H3308" s="733">
        <v>45735</v>
      </c>
    </row>
    <row r="3309" spans="3:8" x14ac:dyDescent="0.25">
      <c r="C3309" s="731">
        <v>7</v>
      </c>
      <c r="D3309" s="731">
        <v>53</v>
      </c>
      <c r="E3309" s="732">
        <v>30</v>
      </c>
      <c r="F3309" s="4">
        <f t="shared" si="57"/>
        <v>-2.280130293159607E-2</v>
      </c>
      <c r="G3309" s="37">
        <v>35.700000000000003</v>
      </c>
      <c r="H3309" s="733">
        <v>45735</v>
      </c>
    </row>
    <row r="3310" spans="3:8" x14ac:dyDescent="0.25">
      <c r="C3310" s="731">
        <v>8</v>
      </c>
      <c r="D3310" s="731">
        <v>60</v>
      </c>
      <c r="E3310" s="732">
        <v>19.7</v>
      </c>
      <c r="F3310" s="4">
        <f t="shared" si="57"/>
        <v>-4.3689320388349613E-2</v>
      </c>
      <c r="G3310" s="37">
        <v>35.700000000000003</v>
      </c>
      <c r="H3310" s="733">
        <v>45735</v>
      </c>
    </row>
    <row r="3311" spans="3:8" x14ac:dyDescent="0.25">
      <c r="C3311" s="731">
        <v>9</v>
      </c>
      <c r="D3311" s="731">
        <v>88</v>
      </c>
      <c r="E3311" s="732">
        <v>39.1</v>
      </c>
      <c r="F3311" s="4">
        <f t="shared" si="57"/>
        <v>2.5641025641026005E-3</v>
      </c>
      <c r="G3311" s="37">
        <v>35.700000000000003</v>
      </c>
      <c r="H3311" s="733">
        <v>45735</v>
      </c>
    </row>
    <row r="3312" spans="3:8" x14ac:dyDescent="0.25">
      <c r="C3312" s="734" t="s">
        <v>0</v>
      </c>
      <c r="D3312" s="734" t="s">
        <v>7</v>
      </c>
      <c r="E3312" s="735" t="s">
        <v>4</v>
      </c>
      <c r="F3312" s="4" t="str">
        <f t="shared" si="57"/>
        <v/>
      </c>
      <c r="G3312" s="37">
        <v>35.700000000000003</v>
      </c>
      <c r="H3312" s="736">
        <v>45736</v>
      </c>
    </row>
    <row r="3313" spans="3:8" x14ac:dyDescent="0.25">
      <c r="C3313" s="734">
        <v>51</v>
      </c>
      <c r="D3313" s="734">
        <v>37</v>
      </c>
      <c r="E3313" s="735">
        <v>27.2</v>
      </c>
      <c r="F3313" s="4">
        <f t="shared" si="57"/>
        <v>5.0193050193050225E-2</v>
      </c>
      <c r="G3313" s="37">
        <v>35.700000000000003</v>
      </c>
      <c r="H3313" s="736">
        <v>45736</v>
      </c>
    </row>
    <row r="3314" spans="3:8" x14ac:dyDescent="0.25">
      <c r="C3314" s="734">
        <v>1</v>
      </c>
      <c r="D3314" s="734">
        <v>68</v>
      </c>
      <c r="E3314" s="735">
        <v>49.2</v>
      </c>
      <c r="F3314" s="4">
        <f t="shared" si="57"/>
        <v>6.134969325153462E-3</v>
      </c>
      <c r="G3314" s="37">
        <v>35.700000000000003</v>
      </c>
      <c r="H3314" s="736">
        <v>45736</v>
      </c>
    </row>
    <row r="3315" spans="3:8" x14ac:dyDescent="0.25">
      <c r="C3315" s="734">
        <v>2</v>
      </c>
      <c r="D3315" s="734">
        <v>48</v>
      </c>
      <c r="E3315" s="735">
        <v>32.9</v>
      </c>
      <c r="F3315" s="4">
        <f t="shared" si="57"/>
        <v>3.0487804878049215E-3</v>
      </c>
      <c r="G3315" s="37">
        <v>35.700000000000003</v>
      </c>
      <c r="H3315" s="736">
        <v>45736</v>
      </c>
    </row>
    <row r="3316" spans="3:8" x14ac:dyDescent="0.25">
      <c r="C3316" s="734">
        <v>3</v>
      </c>
      <c r="D3316" s="734">
        <v>84</v>
      </c>
      <c r="E3316" s="735">
        <v>32.1</v>
      </c>
      <c r="F3316" s="4">
        <f t="shared" si="57"/>
        <v>3.5483870967741984E-2</v>
      </c>
      <c r="G3316" s="37">
        <v>35.700000000000003</v>
      </c>
      <c r="H3316" s="736">
        <v>45736</v>
      </c>
    </row>
    <row r="3317" spans="3:8" x14ac:dyDescent="0.25">
      <c r="C3317" s="734">
        <v>4</v>
      </c>
      <c r="D3317" s="734">
        <v>78</v>
      </c>
      <c r="E3317" s="735">
        <v>19.3</v>
      </c>
      <c r="F3317" s="4">
        <f t="shared" si="57"/>
        <v>-3.9800995024875656E-2</v>
      </c>
      <c r="G3317" s="37">
        <v>35.700000000000003</v>
      </c>
      <c r="H3317" s="736">
        <v>45736</v>
      </c>
    </row>
    <row r="3318" spans="3:8" x14ac:dyDescent="0.25">
      <c r="C3318" s="734">
        <v>5</v>
      </c>
      <c r="D3318" s="734">
        <v>69</v>
      </c>
      <c r="E3318" s="735">
        <v>40.1</v>
      </c>
      <c r="F3318" s="4">
        <f t="shared" si="57"/>
        <v>2.0356234096692221E-2</v>
      </c>
      <c r="G3318" s="37">
        <v>35.700000000000003</v>
      </c>
      <c r="H3318" s="736">
        <v>45736</v>
      </c>
    </row>
    <row r="3319" spans="3:8" x14ac:dyDescent="0.25">
      <c r="C3319" s="734">
        <v>6</v>
      </c>
      <c r="D3319" s="734">
        <v>73</v>
      </c>
      <c r="E3319" s="735">
        <v>47.9</v>
      </c>
      <c r="F3319" s="4">
        <f t="shared" si="57"/>
        <v>-1.4403292181070016E-2</v>
      </c>
      <c r="G3319" s="37">
        <v>35.700000000000003</v>
      </c>
      <c r="H3319" s="736">
        <v>45736</v>
      </c>
    </row>
    <row r="3320" spans="3:8" x14ac:dyDescent="0.25">
      <c r="C3320" s="734">
        <v>7</v>
      </c>
      <c r="D3320" s="734">
        <v>53</v>
      </c>
      <c r="E3320" s="735">
        <v>30.6</v>
      </c>
      <c r="F3320" s="4">
        <f t="shared" si="57"/>
        <v>2.0000000000000049E-2</v>
      </c>
      <c r="G3320" s="37">
        <v>35.700000000000003</v>
      </c>
      <c r="H3320" s="736">
        <v>45736</v>
      </c>
    </row>
    <row r="3321" spans="3:8" x14ac:dyDescent="0.25">
      <c r="C3321" s="734">
        <v>8</v>
      </c>
      <c r="D3321" s="734">
        <v>44</v>
      </c>
      <c r="E3321" s="735">
        <v>20.100000000000001</v>
      </c>
      <c r="F3321" s="4">
        <f t="shared" si="57"/>
        <v>2.0304568527918891E-2</v>
      </c>
      <c r="G3321" s="37">
        <v>35.700000000000003</v>
      </c>
      <c r="H3321" s="736">
        <v>45736</v>
      </c>
    </row>
    <row r="3322" spans="3:8" x14ac:dyDescent="0.25">
      <c r="C3322" s="734">
        <v>9</v>
      </c>
      <c r="D3322" s="734">
        <v>88</v>
      </c>
      <c r="E3322" s="735">
        <v>35.700000000000003</v>
      </c>
      <c r="F3322" s="4">
        <f t="shared" si="57"/>
        <v>-8.6956521739130391E-2</v>
      </c>
      <c r="G3322" s="37">
        <v>35.700000000000003</v>
      </c>
      <c r="H3322" s="736">
        <v>45736</v>
      </c>
    </row>
    <row r="3323" spans="3:8" x14ac:dyDescent="0.25">
      <c r="C3323" s="737" t="s">
        <v>0</v>
      </c>
      <c r="D3323" s="737" t="s">
        <v>7</v>
      </c>
      <c r="E3323" s="738" t="s">
        <v>4</v>
      </c>
      <c r="F3323" s="4" t="str">
        <f t="shared" si="57"/>
        <v/>
      </c>
      <c r="G3323" s="37">
        <v>37.5</v>
      </c>
      <c r="H3323" s="739">
        <v>45737</v>
      </c>
    </row>
    <row r="3324" spans="3:8" x14ac:dyDescent="0.25">
      <c r="C3324" s="737">
        <v>51</v>
      </c>
      <c r="D3324" s="737">
        <v>28</v>
      </c>
      <c r="E3324" s="738">
        <v>28.1</v>
      </c>
      <c r="F3324" s="4">
        <f t="shared" si="57"/>
        <v>3.3088235294117724E-2</v>
      </c>
      <c r="G3324" s="37">
        <v>37.5</v>
      </c>
      <c r="H3324" s="739">
        <v>45737</v>
      </c>
    </row>
    <row r="3325" spans="3:8" x14ac:dyDescent="0.25">
      <c r="C3325" s="737">
        <v>1</v>
      </c>
      <c r="D3325" s="737">
        <v>67</v>
      </c>
      <c r="E3325" s="738">
        <v>49.6</v>
      </c>
      <c r="F3325" s="4">
        <f t="shared" si="57"/>
        <v>8.1300813008129795E-3</v>
      </c>
      <c r="G3325" s="37">
        <v>37.5</v>
      </c>
      <c r="H3325" s="739">
        <v>45737</v>
      </c>
    </row>
    <row r="3326" spans="3:8" x14ac:dyDescent="0.25">
      <c r="C3326" s="737">
        <v>2</v>
      </c>
      <c r="D3326" s="737">
        <v>52</v>
      </c>
      <c r="E3326" s="738">
        <v>33.6</v>
      </c>
      <c r="F3326" s="4">
        <f t="shared" si="57"/>
        <v>2.1276595744680937E-2</v>
      </c>
      <c r="G3326" s="37">
        <v>37.5</v>
      </c>
      <c r="H3326" s="739">
        <v>45737</v>
      </c>
    </row>
    <row r="3327" spans="3:8" x14ac:dyDescent="0.25">
      <c r="C3327" s="737">
        <v>3</v>
      </c>
      <c r="D3327" s="737">
        <v>84</v>
      </c>
      <c r="E3327" s="738">
        <v>32.799999999999997</v>
      </c>
      <c r="F3327" s="4">
        <f t="shared" si="57"/>
        <v>2.1806853582554384E-2</v>
      </c>
      <c r="G3327" s="37">
        <v>37.5</v>
      </c>
      <c r="H3327" s="739">
        <v>45737</v>
      </c>
    </row>
    <row r="3328" spans="3:8" x14ac:dyDescent="0.25">
      <c r="C3328" s="737">
        <v>4</v>
      </c>
      <c r="D3328" s="737">
        <v>48</v>
      </c>
      <c r="E3328" s="738">
        <v>16.5</v>
      </c>
      <c r="F3328" s="4">
        <f t="shared" si="57"/>
        <v>-0.14507772020725393</v>
      </c>
      <c r="G3328" s="37">
        <v>37.5</v>
      </c>
      <c r="H3328" s="739">
        <v>45737</v>
      </c>
    </row>
    <row r="3329" spans="3:8" x14ac:dyDescent="0.25">
      <c r="C3329" s="737">
        <v>5</v>
      </c>
      <c r="D3329" s="737">
        <v>74</v>
      </c>
      <c r="E3329" s="738">
        <v>39.799999999999997</v>
      </c>
      <c r="F3329" s="4">
        <f t="shared" si="57"/>
        <v>-7.4812967581048438E-3</v>
      </c>
      <c r="G3329" s="37">
        <v>37.5</v>
      </c>
      <c r="H3329" s="739">
        <v>45737</v>
      </c>
    </row>
    <row r="3330" spans="3:8" x14ac:dyDescent="0.25">
      <c r="C3330" s="737">
        <v>6</v>
      </c>
      <c r="D3330" s="737">
        <v>73</v>
      </c>
      <c r="E3330" s="738">
        <v>55.6</v>
      </c>
      <c r="F3330" s="4">
        <f t="shared" si="57"/>
        <v>0.16075156576200425</v>
      </c>
      <c r="G3330" s="37">
        <v>37.5</v>
      </c>
      <c r="H3330" s="739">
        <v>45737</v>
      </c>
    </row>
    <row r="3331" spans="3:8" x14ac:dyDescent="0.25">
      <c r="C3331" s="737">
        <v>7</v>
      </c>
      <c r="D3331" s="737">
        <v>53</v>
      </c>
      <c r="E3331" s="738">
        <v>30.2</v>
      </c>
      <c r="F3331" s="4">
        <f t="shared" si="57"/>
        <v>-1.3071895424836671E-2</v>
      </c>
      <c r="G3331" s="37">
        <v>37.5</v>
      </c>
      <c r="H3331" s="739">
        <v>45737</v>
      </c>
    </row>
    <row r="3332" spans="3:8" x14ac:dyDescent="0.25">
      <c r="C3332" s="737">
        <v>8</v>
      </c>
      <c r="D3332" s="737">
        <v>45</v>
      </c>
      <c r="E3332" s="738">
        <v>22.6</v>
      </c>
      <c r="F3332" s="4">
        <f t="shared" si="57"/>
        <v>0.12437810945273631</v>
      </c>
      <c r="G3332" s="37">
        <v>37.5</v>
      </c>
      <c r="H3332" s="739">
        <v>45737</v>
      </c>
    </row>
    <row r="3333" spans="3:8" x14ac:dyDescent="0.25">
      <c r="C3333" s="737">
        <v>9</v>
      </c>
      <c r="D3333" s="737">
        <v>87</v>
      </c>
      <c r="E3333" s="738">
        <v>34</v>
      </c>
      <c r="F3333" s="4">
        <f t="shared" si="57"/>
        <v>-4.7619047619047693E-2</v>
      </c>
      <c r="G3333" s="37">
        <v>37.5</v>
      </c>
      <c r="H3333" s="739">
        <v>45737</v>
      </c>
    </row>
    <row r="3334" spans="3:8" x14ac:dyDescent="0.25">
      <c r="C3334" s="740" t="s">
        <v>0</v>
      </c>
      <c r="D3334" s="740" t="s">
        <v>7</v>
      </c>
      <c r="E3334" s="741" t="s">
        <v>4</v>
      </c>
      <c r="F3334" s="4" t="str">
        <f t="shared" si="57"/>
        <v/>
      </c>
      <c r="G3334" s="37">
        <v>38.1</v>
      </c>
      <c r="H3334" s="739">
        <v>45738</v>
      </c>
    </row>
    <row r="3335" spans="3:8" x14ac:dyDescent="0.25">
      <c r="C3335" s="740">
        <v>51</v>
      </c>
      <c r="D3335" s="740">
        <v>32</v>
      </c>
      <c r="E3335" s="741">
        <v>24.4</v>
      </c>
      <c r="F3335" s="4">
        <f t="shared" si="57"/>
        <v>-0.13167259786476879</v>
      </c>
      <c r="G3335" s="37">
        <v>38.1</v>
      </c>
      <c r="H3335" s="739">
        <v>45738</v>
      </c>
    </row>
    <row r="3336" spans="3:8" x14ac:dyDescent="0.25">
      <c r="C3336" s="740">
        <v>1</v>
      </c>
      <c r="D3336" s="740">
        <v>66</v>
      </c>
      <c r="E3336" s="741">
        <v>50.3</v>
      </c>
      <c r="F3336" s="4">
        <f t="shared" si="57"/>
        <v>1.4112903225806364E-2</v>
      </c>
      <c r="G3336" s="37">
        <v>38.1</v>
      </c>
      <c r="H3336" s="739">
        <v>45738</v>
      </c>
    </row>
    <row r="3337" spans="3:8" x14ac:dyDescent="0.25">
      <c r="C3337" s="740">
        <v>2</v>
      </c>
      <c r="D3337" s="740">
        <v>54</v>
      </c>
      <c r="E3337" s="741">
        <v>33.299999999999997</v>
      </c>
      <c r="F3337" s="4">
        <f t="shared" si="57"/>
        <v>-8.9285714285715547E-3</v>
      </c>
      <c r="G3337" s="37">
        <v>38.1</v>
      </c>
      <c r="H3337" s="739">
        <v>45738</v>
      </c>
    </row>
    <row r="3338" spans="3:8" x14ac:dyDescent="0.25">
      <c r="C3338" s="740">
        <v>3</v>
      </c>
      <c r="D3338" s="740">
        <v>84</v>
      </c>
      <c r="E3338" s="741">
        <v>32.5</v>
      </c>
      <c r="F3338" s="4">
        <f t="shared" si="57"/>
        <v>-9.1463414634145486E-3</v>
      </c>
      <c r="G3338" s="37">
        <v>38.1</v>
      </c>
      <c r="H3338" s="739">
        <v>45738</v>
      </c>
    </row>
    <row r="3339" spans="3:8" x14ac:dyDescent="0.25">
      <c r="C3339" s="740">
        <v>4</v>
      </c>
      <c r="D3339" s="740">
        <v>49</v>
      </c>
      <c r="E3339" s="741">
        <v>23</v>
      </c>
      <c r="F3339" s="4">
        <f t="shared" si="57"/>
        <v>0.39393939393939392</v>
      </c>
      <c r="G3339" s="37">
        <v>38.1</v>
      </c>
      <c r="H3339" s="739">
        <v>45738</v>
      </c>
    </row>
    <row r="3340" spans="3:8" x14ac:dyDescent="0.25">
      <c r="C3340" s="740">
        <v>5</v>
      </c>
      <c r="D3340" s="740">
        <v>74</v>
      </c>
      <c r="E3340" s="741">
        <v>42.5</v>
      </c>
      <c r="F3340" s="4">
        <f t="shared" si="57"/>
        <v>6.7839195979899569E-2</v>
      </c>
      <c r="G3340" s="37">
        <v>38.1</v>
      </c>
      <c r="H3340" s="739">
        <v>45738</v>
      </c>
    </row>
    <row r="3341" spans="3:8" x14ac:dyDescent="0.25">
      <c r="C3341" s="740">
        <v>6</v>
      </c>
      <c r="D3341" s="740">
        <v>73</v>
      </c>
      <c r="E3341" s="741">
        <v>52.8</v>
      </c>
      <c r="F3341" s="4">
        <f t="shared" si="57"/>
        <v>-5.0359712230215903E-2</v>
      </c>
      <c r="G3341" s="37">
        <v>38.1</v>
      </c>
      <c r="H3341" s="739">
        <v>45738</v>
      </c>
    </row>
    <row r="3342" spans="3:8" x14ac:dyDescent="0.25">
      <c r="C3342" s="740">
        <v>7</v>
      </c>
      <c r="D3342" s="740">
        <v>53</v>
      </c>
      <c r="E3342" s="741">
        <v>30.4</v>
      </c>
      <c r="F3342" s="4">
        <f t="shared" si="57"/>
        <v>6.6225165562913673E-3</v>
      </c>
      <c r="G3342" s="37">
        <v>38.1</v>
      </c>
      <c r="H3342" s="739">
        <v>45738</v>
      </c>
    </row>
    <row r="3343" spans="3:8" x14ac:dyDescent="0.25">
      <c r="C3343" s="740">
        <v>8</v>
      </c>
      <c r="D3343" s="740">
        <v>45</v>
      </c>
      <c r="E3343" s="741">
        <v>23.5</v>
      </c>
      <c r="F3343" s="4">
        <f t="shared" si="57"/>
        <v>3.9823008849557459E-2</v>
      </c>
      <c r="G3343" s="37">
        <v>38.1</v>
      </c>
      <c r="H3343" s="739">
        <v>45738</v>
      </c>
    </row>
    <row r="3344" spans="3:8" x14ac:dyDescent="0.25">
      <c r="C3344" s="740">
        <v>9</v>
      </c>
      <c r="D3344" s="740">
        <v>87</v>
      </c>
      <c r="E3344" s="741">
        <v>38</v>
      </c>
      <c r="F3344" s="4">
        <f t="shared" si="57"/>
        <v>0.11764705882352941</v>
      </c>
      <c r="G3344" s="37">
        <v>38.1</v>
      </c>
      <c r="H3344" s="739">
        <v>45738</v>
      </c>
    </row>
    <row r="3345" spans="3:8" x14ac:dyDescent="0.25">
      <c r="C3345" s="742" t="s">
        <v>0</v>
      </c>
      <c r="D3345" s="742" t="s">
        <v>7</v>
      </c>
      <c r="E3345" s="743" t="s">
        <v>4</v>
      </c>
      <c r="F3345" s="4" t="str">
        <f t="shared" si="57"/>
        <v/>
      </c>
      <c r="G3345" s="37">
        <v>37.6</v>
      </c>
      <c r="H3345" s="744">
        <v>45739</v>
      </c>
    </row>
    <row r="3346" spans="3:8" x14ac:dyDescent="0.25">
      <c r="C3346" s="742">
        <v>51</v>
      </c>
      <c r="D3346" s="742">
        <v>32</v>
      </c>
      <c r="E3346" s="743">
        <v>26.9</v>
      </c>
      <c r="F3346" s="4">
        <f>IFERROR((E3346-E3335)/E3335,"")</f>
        <v>0.10245901639344263</v>
      </c>
      <c r="G3346" s="37">
        <v>37.6</v>
      </c>
      <c r="H3346" s="744">
        <v>45739</v>
      </c>
    </row>
    <row r="3347" spans="3:8" x14ac:dyDescent="0.25">
      <c r="C3347" s="742">
        <v>1</v>
      </c>
      <c r="D3347" s="742">
        <v>66</v>
      </c>
      <c r="E3347" s="743">
        <v>50.9</v>
      </c>
      <c r="F3347" s="4">
        <f t="shared" si="57"/>
        <v>1.1928429423459274E-2</v>
      </c>
      <c r="G3347" s="37">
        <v>37.6</v>
      </c>
      <c r="H3347" s="744">
        <v>45739</v>
      </c>
    </row>
    <row r="3348" spans="3:8" x14ac:dyDescent="0.25">
      <c r="C3348" s="742">
        <v>2</v>
      </c>
      <c r="D3348" s="742">
        <v>54</v>
      </c>
      <c r="E3348" s="743">
        <v>33.5</v>
      </c>
      <c r="F3348" s="4">
        <f t="shared" si="57"/>
        <v>6.0060060060060918E-3</v>
      </c>
      <c r="G3348" s="37">
        <v>37.6</v>
      </c>
      <c r="H3348" s="744">
        <v>45739</v>
      </c>
    </row>
    <row r="3349" spans="3:8" x14ac:dyDescent="0.25">
      <c r="C3349" s="742">
        <v>3</v>
      </c>
      <c r="D3349" s="742">
        <v>84</v>
      </c>
      <c r="E3349" s="743">
        <v>31.8</v>
      </c>
      <c r="F3349" s="4">
        <f t="shared" si="57"/>
        <v>-2.1538461538461517E-2</v>
      </c>
      <c r="G3349" s="37">
        <v>37.6</v>
      </c>
      <c r="H3349" s="744">
        <v>45739</v>
      </c>
    </row>
    <row r="3350" spans="3:8" x14ac:dyDescent="0.25">
      <c r="C3350" s="742">
        <v>4</v>
      </c>
      <c r="D3350" s="742">
        <v>49</v>
      </c>
      <c r="E3350" s="743">
        <v>23.9</v>
      </c>
      <c r="F3350" s="4">
        <f t="shared" si="57"/>
        <v>3.9130434782608636E-2</v>
      </c>
      <c r="G3350" s="37">
        <v>37.6</v>
      </c>
      <c r="H3350" s="744">
        <v>45739</v>
      </c>
    </row>
    <row r="3351" spans="3:8" x14ac:dyDescent="0.25">
      <c r="C3351" s="742">
        <v>5</v>
      </c>
      <c r="D3351" s="742">
        <v>74</v>
      </c>
      <c r="E3351" s="743">
        <v>39.9</v>
      </c>
      <c r="F3351" s="4">
        <f t="shared" si="57"/>
        <v>-6.1176470588235325E-2</v>
      </c>
      <c r="G3351" s="37">
        <v>37.6</v>
      </c>
      <c r="H3351" s="744">
        <v>45739</v>
      </c>
    </row>
    <row r="3352" spans="3:8" x14ac:dyDescent="0.25">
      <c r="C3352" s="742">
        <v>6</v>
      </c>
      <c r="D3352" s="742">
        <v>72</v>
      </c>
      <c r="E3352" s="743">
        <v>54.3</v>
      </c>
      <c r="F3352" s="4">
        <f t="shared" si="57"/>
        <v>2.8409090909090912E-2</v>
      </c>
      <c r="G3352" s="37">
        <v>37.6</v>
      </c>
      <c r="H3352" s="744">
        <v>45739</v>
      </c>
    </row>
    <row r="3353" spans="3:8" x14ac:dyDescent="0.25">
      <c r="C3353" s="742">
        <v>7</v>
      </c>
      <c r="D3353" s="742">
        <v>53</v>
      </c>
      <c r="E3353" s="743">
        <v>31.7</v>
      </c>
      <c r="F3353" s="4">
        <f t="shared" si="57"/>
        <v>4.2763157894736864E-2</v>
      </c>
      <c r="G3353" s="37">
        <v>37.6</v>
      </c>
      <c r="H3353" s="744">
        <v>45739</v>
      </c>
    </row>
    <row r="3354" spans="3:8" x14ac:dyDescent="0.25">
      <c r="C3354" s="742">
        <v>8</v>
      </c>
      <c r="D3354" s="742">
        <v>45</v>
      </c>
      <c r="E3354" s="743">
        <v>23.7</v>
      </c>
      <c r="F3354" s="4">
        <f t="shared" si="57"/>
        <v>8.5106382978723093E-3</v>
      </c>
      <c r="G3354" s="37">
        <v>37.6</v>
      </c>
      <c r="H3354" s="744">
        <v>45739</v>
      </c>
    </row>
    <row r="3355" spans="3:8" x14ac:dyDescent="0.25">
      <c r="C3355" s="742">
        <v>9</v>
      </c>
      <c r="D3355" s="742">
        <v>87</v>
      </c>
      <c r="E3355" s="743">
        <v>38.700000000000003</v>
      </c>
      <c r="F3355" s="4">
        <f>IFERROR((E3355-E3344)/E3344,"")</f>
        <v>1.8421052631579022E-2</v>
      </c>
      <c r="G3355" s="37">
        <v>37.6</v>
      </c>
      <c r="H3355" s="744">
        <v>45739</v>
      </c>
    </row>
    <row r="3356" spans="3:8" x14ac:dyDescent="0.25">
      <c r="C3356" s="745" t="s">
        <v>0</v>
      </c>
      <c r="D3356" s="745" t="s">
        <v>7</v>
      </c>
      <c r="E3356" s="746" t="s">
        <v>4</v>
      </c>
      <c r="F3356" s="4" t="str">
        <f t="shared" ref="F3356:F3419" si="58">IFERROR((E3356-E3345)/E3345,"")</f>
        <v/>
      </c>
      <c r="G3356" s="37">
        <v>39.200000000000003</v>
      </c>
      <c r="H3356" s="747">
        <v>45740</v>
      </c>
    </row>
    <row r="3357" spans="3:8" x14ac:dyDescent="0.25">
      <c r="C3357" s="745">
        <v>51</v>
      </c>
      <c r="D3357" s="745">
        <v>32</v>
      </c>
      <c r="E3357" s="746">
        <v>28.9</v>
      </c>
      <c r="F3357" s="4">
        <f t="shared" si="58"/>
        <v>7.434944237918216E-2</v>
      </c>
      <c r="G3357" s="37">
        <v>39.200000000000003</v>
      </c>
      <c r="H3357" s="747">
        <v>45740</v>
      </c>
    </row>
    <row r="3358" spans="3:8" x14ac:dyDescent="0.25">
      <c r="C3358" s="745">
        <v>1</v>
      </c>
      <c r="D3358" s="745">
        <v>66</v>
      </c>
      <c r="E3358" s="746">
        <v>48.5</v>
      </c>
      <c r="F3358" s="4">
        <f t="shared" si="58"/>
        <v>-4.7151277013752428E-2</v>
      </c>
      <c r="G3358" s="37">
        <v>39.200000000000003</v>
      </c>
      <c r="H3358" s="747">
        <v>45740</v>
      </c>
    </row>
    <row r="3359" spans="3:8" x14ac:dyDescent="0.25">
      <c r="C3359" s="745">
        <v>2</v>
      </c>
      <c r="D3359" s="745">
        <v>53</v>
      </c>
      <c r="E3359" s="746">
        <v>35.9</v>
      </c>
      <c r="F3359" s="4">
        <f t="shared" si="58"/>
        <v>7.1641791044776082E-2</v>
      </c>
      <c r="G3359" s="37">
        <v>39.200000000000003</v>
      </c>
      <c r="H3359" s="747">
        <v>45740</v>
      </c>
    </row>
    <row r="3360" spans="3:8" x14ac:dyDescent="0.25">
      <c r="C3360" s="745">
        <v>3</v>
      </c>
      <c r="D3360" s="745">
        <v>83</v>
      </c>
      <c r="E3360" s="746">
        <v>34.9</v>
      </c>
      <c r="F3360" s="4">
        <f t="shared" si="58"/>
        <v>9.7484276729559685E-2</v>
      </c>
      <c r="G3360" s="37">
        <v>39.200000000000003</v>
      </c>
      <c r="H3360" s="747">
        <v>45740</v>
      </c>
    </row>
    <row r="3361" spans="3:8" x14ac:dyDescent="0.25">
      <c r="C3361" s="745">
        <v>4</v>
      </c>
      <c r="D3361" s="745">
        <v>49</v>
      </c>
      <c r="E3361" s="746">
        <v>24.3</v>
      </c>
      <c r="F3361" s="4">
        <f t="shared" si="58"/>
        <v>1.6736401673640256E-2</v>
      </c>
      <c r="G3361" s="37">
        <v>39.200000000000003</v>
      </c>
      <c r="H3361" s="747">
        <v>45740</v>
      </c>
    </row>
    <row r="3362" spans="3:8" x14ac:dyDescent="0.25">
      <c r="C3362" s="745">
        <v>5</v>
      </c>
      <c r="D3362" s="745">
        <v>74</v>
      </c>
      <c r="E3362" s="746">
        <v>43.4</v>
      </c>
      <c r="F3362" s="4">
        <f t="shared" si="58"/>
        <v>8.7719298245614044E-2</v>
      </c>
      <c r="G3362" s="37">
        <v>39.200000000000003</v>
      </c>
      <c r="H3362" s="747">
        <v>45740</v>
      </c>
    </row>
    <row r="3363" spans="3:8" x14ac:dyDescent="0.25">
      <c r="C3363" s="745">
        <v>6</v>
      </c>
      <c r="D3363" s="745">
        <v>72</v>
      </c>
      <c r="E3363" s="746">
        <v>55</v>
      </c>
      <c r="F3363" s="4">
        <f t="shared" si="58"/>
        <v>1.2891344383057144E-2</v>
      </c>
      <c r="G3363" s="37">
        <v>39.200000000000003</v>
      </c>
      <c r="H3363" s="747">
        <v>45740</v>
      </c>
    </row>
    <row r="3364" spans="3:8" x14ac:dyDescent="0.25">
      <c r="C3364" s="745">
        <v>7</v>
      </c>
      <c r="D3364" s="745">
        <v>53</v>
      </c>
      <c r="E3364" s="746">
        <v>32.299999999999997</v>
      </c>
      <c r="F3364" s="4">
        <f t="shared" si="58"/>
        <v>1.8927444794952616E-2</v>
      </c>
      <c r="G3364" s="37">
        <v>39.200000000000003</v>
      </c>
      <c r="H3364" s="747">
        <v>45740</v>
      </c>
    </row>
    <row r="3365" spans="3:8" x14ac:dyDescent="0.25">
      <c r="C3365" s="745">
        <v>8</v>
      </c>
      <c r="D3365" s="745">
        <v>45</v>
      </c>
      <c r="E3365" s="746">
        <v>24.5</v>
      </c>
      <c r="F3365" s="4">
        <f t="shared" si="58"/>
        <v>3.3755274261603407E-2</v>
      </c>
      <c r="G3365" s="37">
        <v>39.200000000000003</v>
      </c>
      <c r="H3365" s="747">
        <v>45740</v>
      </c>
    </row>
    <row r="3366" spans="3:8" x14ac:dyDescent="0.25">
      <c r="C3366" s="745">
        <v>9</v>
      </c>
      <c r="D3366" s="745">
        <v>87</v>
      </c>
      <c r="E3366" s="746">
        <v>40.1</v>
      </c>
      <c r="F3366" s="4">
        <f t="shared" si="58"/>
        <v>3.6175710594315208E-2</v>
      </c>
      <c r="G3366" s="37">
        <v>39.200000000000003</v>
      </c>
      <c r="H3366" s="747">
        <v>45740</v>
      </c>
    </row>
    <row r="3367" spans="3:8" x14ac:dyDescent="0.25">
      <c r="C3367" s="748" t="s">
        <v>0</v>
      </c>
      <c r="D3367" s="748" t="s">
        <v>7</v>
      </c>
      <c r="E3367" s="749" t="s">
        <v>4</v>
      </c>
      <c r="F3367" s="4" t="str">
        <f t="shared" si="58"/>
        <v/>
      </c>
      <c r="G3367" s="37">
        <v>36.200000000000003</v>
      </c>
      <c r="H3367" s="750">
        <v>45741</v>
      </c>
    </row>
    <row r="3368" spans="3:8" x14ac:dyDescent="0.25">
      <c r="C3368" s="748">
        <v>51</v>
      </c>
      <c r="D3368" s="748">
        <v>33</v>
      </c>
      <c r="E3368" s="749">
        <v>28.6</v>
      </c>
      <c r="F3368" s="4">
        <f t="shared" si="58"/>
        <v>-1.0380622837370145E-2</v>
      </c>
      <c r="G3368" s="37">
        <v>36.200000000000003</v>
      </c>
      <c r="H3368" s="750">
        <v>45741</v>
      </c>
    </row>
    <row r="3369" spans="3:8" x14ac:dyDescent="0.25">
      <c r="C3369" s="748">
        <v>1</v>
      </c>
      <c r="D3369" s="748">
        <v>0</v>
      </c>
      <c r="E3369" s="749">
        <v>45</v>
      </c>
      <c r="F3369" s="4">
        <f t="shared" si="58"/>
        <v>-7.2164948453608241E-2</v>
      </c>
      <c r="G3369" s="37">
        <v>36.200000000000003</v>
      </c>
      <c r="H3369" s="750">
        <v>45741</v>
      </c>
    </row>
    <row r="3370" spans="3:8" x14ac:dyDescent="0.25">
      <c r="C3370" s="748">
        <v>2</v>
      </c>
      <c r="D3370" s="748">
        <v>53</v>
      </c>
      <c r="E3370" s="749">
        <v>31.2</v>
      </c>
      <c r="F3370" s="4">
        <f t="shared" si="58"/>
        <v>-0.1309192200557103</v>
      </c>
      <c r="G3370" s="37">
        <v>36.200000000000003</v>
      </c>
      <c r="H3370" s="750">
        <v>45741</v>
      </c>
    </row>
    <row r="3371" spans="3:8" x14ac:dyDescent="0.25">
      <c r="C3371" s="748">
        <v>3</v>
      </c>
      <c r="D3371" s="748">
        <v>84</v>
      </c>
      <c r="E3371" s="749">
        <v>29.6</v>
      </c>
      <c r="F3371" s="4">
        <f t="shared" si="58"/>
        <v>-0.15186246418338101</v>
      </c>
      <c r="G3371" s="37">
        <v>36.200000000000003</v>
      </c>
      <c r="H3371" s="750">
        <v>45741</v>
      </c>
    </row>
    <row r="3372" spans="3:8" x14ac:dyDescent="0.25">
      <c r="C3372" s="748">
        <v>4</v>
      </c>
      <c r="D3372" s="748">
        <v>94</v>
      </c>
      <c r="E3372" s="749">
        <v>21.5</v>
      </c>
      <c r="F3372" s="4">
        <f t="shared" si="58"/>
        <v>-0.1152263374485597</v>
      </c>
      <c r="G3372" s="37">
        <v>36.200000000000003</v>
      </c>
      <c r="H3372" s="750">
        <v>45741</v>
      </c>
    </row>
    <row r="3373" spans="3:8" x14ac:dyDescent="0.25">
      <c r="C3373" s="748">
        <v>5</v>
      </c>
      <c r="D3373" s="748">
        <v>99</v>
      </c>
      <c r="E3373" s="749">
        <v>37.9</v>
      </c>
      <c r="F3373" s="4">
        <f t="shared" si="58"/>
        <v>-0.12672811059907835</v>
      </c>
      <c r="G3373" s="37">
        <v>36.200000000000003</v>
      </c>
      <c r="H3373" s="750">
        <v>45741</v>
      </c>
    </row>
    <row r="3374" spans="3:8" x14ac:dyDescent="0.25">
      <c r="C3374" s="748">
        <v>6</v>
      </c>
      <c r="D3374" s="748">
        <v>111</v>
      </c>
      <c r="E3374" s="749">
        <v>49.8</v>
      </c>
      <c r="F3374" s="4">
        <f t="shared" si="58"/>
        <v>-9.4545454545454599E-2</v>
      </c>
      <c r="G3374" s="37">
        <v>36.200000000000003</v>
      </c>
      <c r="H3374" s="750">
        <v>45741</v>
      </c>
    </row>
    <row r="3375" spans="3:8" x14ac:dyDescent="0.25">
      <c r="C3375" s="748">
        <v>7</v>
      </c>
      <c r="D3375" s="748">
        <v>0</v>
      </c>
      <c r="E3375" s="749">
        <v>28.3</v>
      </c>
      <c r="F3375" s="4">
        <f t="shared" si="58"/>
        <v>-0.1238390092879256</v>
      </c>
      <c r="G3375" s="37">
        <v>36.200000000000003</v>
      </c>
      <c r="H3375" s="750">
        <v>45741</v>
      </c>
    </row>
    <row r="3376" spans="3:8" x14ac:dyDescent="0.25">
      <c r="C3376" s="748">
        <v>8</v>
      </c>
      <c r="D3376" s="748">
        <v>52</v>
      </c>
      <c r="E3376" s="749">
        <v>21.7</v>
      </c>
      <c r="F3376" s="4">
        <f t="shared" si="58"/>
        <v>-0.11428571428571431</v>
      </c>
      <c r="G3376" s="37">
        <v>36.200000000000003</v>
      </c>
      <c r="H3376" s="750">
        <v>45741</v>
      </c>
    </row>
    <row r="3377" spans="3:8" x14ac:dyDescent="0.25">
      <c r="C3377" s="748">
        <v>9</v>
      </c>
      <c r="D3377" s="748">
        <v>87</v>
      </c>
      <c r="E3377" s="749">
        <v>44.6</v>
      </c>
      <c r="F3377" s="4">
        <f t="shared" si="58"/>
        <v>0.11221945137157106</v>
      </c>
      <c r="G3377" s="37">
        <v>36.200000000000003</v>
      </c>
      <c r="H3377" s="750">
        <v>45741</v>
      </c>
    </row>
    <row r="3378" spans="3:8" x14ac:dyDescent="0.25">
      <c r="C3378" s="751" t="s">
        <v>0</v>
      </c>
      <c r="D3378" s="751" t="s">
        <v>7</v>
      </c>
      <c r="E3378" s="752" t="s">
        <v>4</v>
      </c>
      <c r="F3378" s="4" t="str">
        <f t="shared" si="58"/>
        <v/>
      </c>
      <c r="G3378" s="37">
        <v>38.6</v>
      </c>
      <c r="H3378" s="753">
        <v>45742</v>
      </c>
    </row>
    <row r="3379" spans="3:8" x14ac:dyDescent="0.25">
      <c r="C3379" s="751">
        <v>51</v>
      </c>
      <c r="D3379" s="751">
        <v>32</v>
      </c>
      <c r="E3379" s="752">
        <v>29.8</v>
      </c>
      <c r="F3379" s="4">
        <f t="shared" si="58"/>
        <v>4.1958041958041932E-2</v>
      </c>
      <c r="G3379" s="37">
        <v>38.6</v>
      </c>
      <c r="H3379" s="753">
        <v>45742</v>
      </c>
    </row>
    <row r="3380" spans="3:8" x14ac:dyDescent="0.25">
      <c r="C3380" s="751">
        <v>1</v>
      </c>
      <c r="D3380" s="751">
        <v>0</v>
      </c>
      <c r="E3380" s="752"/>
      <c r="F3380" s="4">
        <f t="shared" si="58"/>
        <v>-1</v>
      </c>
      <c r="G3380" s="37">
        <v>38.6</v>
      </c>
      <c r="H3380" s="753">
        <v>45742</v>
      </c>
    </row>
    <row r="3381" spans="3:8" x14ac:dyDescent="0.25">
      <c r="C3381" s="751">
        <v>2</v>
      </c>
      <c r="D3381" s="751">
        <v>52</v>
      </c>
      <c r="E3381" s="752">
        <v>34.4</v>
      </c>
      <c r="F3381" s="4">
        <f t="shared" si="58"/>
        <v>0.10256410256410255</v>
      </c>
      <c r="G3381" s="37">
        <v>38.6</v>
      </c>
      <c r="H3381" s="753">
        <v>45742</v>
      </c>
    </row>
    <row r="3382" spans="3:8" x14ac:dyDescent="0.25">
      <c r="C3382" s="751">
        <v>3</v>
      </c>
      <c r="D3382" s="751">
        <v>84</v>
      </c>
      <c r="E3382" s="752">
        <v>31.9</v>
      </c>
      <c r="F3382" s="4">
        <f t="shared" si="58"/>
        <v>7.7702702702702603E-2</v>
      </c>
      <c r="G3382" s="37">
        <v>38.6</v>
      </c>
      <c r="H3382" s="753">
        <v>45742</v>
      </c>
    </row>
    <row r="3383" spans="3:8" x14ac:dyDescent="0.25">
      <c r="C3383" s="751">
        <v>4</v>
      </c>
      <c r="D3383" s="751">
        <v>94</v>
      </c>
      <c r="E3383" s="752">
        <v>23.4</v>
      </c>
      <c r="F3383" s="4">
        <f t="shared" si="58"/>
        <v>8.8372093023255743E-2</v>
      </c>
      <c r="G3383" s="37">
        <v>38.6</v>
      </c>
      <c r="H3383" s="753">
        <v>45742</v>
      </c>
    </row>
    <row r="3384" spans="3:8" x14ac:dyDescent="0.25">
      <c r="C3384" s="751">
        <v>5</v>
      </c>
      <c r="D3384" s="751">
        <v>98</v>
      </c>
      <c r="E3384" s="752">
        <v>42.5</v>
      </c>
      <c r="F3384" s="4">
        <f t="shared" si="58"/>
        <v>0.12137203166226918</v>
      </c>
      <c r="G3384" s="37">
        <v>38.6</v>
      </c>
      <c r="H3384" s="753">
        <v>45742</v>
      </c>
    </row>
    <row r="3385" spans="3:8" x14ac:dyDescent="0.25">
      <c r="C3385" s="751">
        <v>6</v>
      </c>
      <c r="D3385" s="751">
        <v>111</v>
      </c>
      <c r="E3385" s="752">
        <v>54.7</v>
      </c>
      <c r="F3385" s="4">
        <f t="shared" si="58"/>
        <v>9.8393574297188868E-2</v>
      </c>
      <c r="G3385" s="37">
        <v>38.6</v>
      </c>
      <c r="H3385" s="753">
        <v>45742</v>
      </c>
    </row>
    <row r="3386" spans="3:8" x14ac:dyDescent="0.25">
      <c r="C3386" s="751">
        <v>7</v>
      </c>
      <c r="D3386" s="751">
        <v>0</v>
      </c>
      <c r="E3386" s="752"/>
      <c r="F3386" s="4">
        <f t="shared" si="58"/>
        <v>-1</v>
      </c>
      <c r="G3386" s="37">
        <v>38.6</v>
      </c>
      <c r="H3386" s="753">
        <v>45742</v>
      </c>
    </row>
    <row r="3387" spans="3:8" x14ac:dyDescent="0.25">
      <c r="C3387" s="751">
        <v>8</v>
      </c>
      <c r="D3387" s="751">
        <v>52</v>
      </c>
      <c r="E3387" s="752">
        <v>26.3</v>
      </c>
      <c r="F3387" s="4">
        <f t="shared" si="58"/>
        <v>0.21198156682027658</v>
      </c>
      <c r="G3387" s="37">
        <v>38.6</v>
      </c>
      <c r="H3387" s="753">
        <v>45742</v>
      </c>
    </row>
    <row r="3388" spans="3:8" x14ac:dyDescent="0.25">
      <c r="C3388" s="751">
        <v>9</v>
      </c>
      <c r="D3388" s="751">
        <v>87</v>
      </c>
      <c r="E3388" s="752">
        <v>41</v>
      </c>
      <c r="F3388" s="4">
        <f t="shared" si="58"/>
        <v>-8.0717488789237693E-2</v>
      </c>
      <c r="G3388" s="37">
        <v>38.6</v>
      </c>
      <c r="H3388" s="753">
        <v>45742</v>
      </c>
    </row>
    <row r="3389" spans="3:8" x14ac:dyDescent="0.25">
      <c r="C3389" s="754" t="s">
        <v>0</v>
      </c>
      <c r="D3389" s="754" t="s">
        <v>7</v>
      </c>
      <c r="E3389" s="755" t="s">
        <v>4</v>
      </c>
      <c r="F3389" s="4" t="str">
        <f t="shared" si="58"/>
        <v/>
      </c>
      <c r="G3389" s="37">
        <v>38</v>
      </c>
      <c r="H3389" s="756">
        <v>45743</v>
      </c>
    </row>
    <row r="3390" spans="3:8" x14ac:dyDescent="0.25">
      <c r="C3390" s="754">
        <v>51</v>
      </c>
      <c r="D3390" s="754">
        <v>33</v>
      </c>
      <c r="E3390" s="755">
        <v>30</v>
      </c>
      <c r="F3390" s="4">
        <f t="shared" si="58"/>
        <v>6.7114093959731299E-3</v>
      </c>
      <c r="G3390" s="37">
        <v>38</v>
      </c>
      <c r="H3390" s="756">
        <v>45743</v>
      </c>
    </row>
    <row r="3391" spans="3:8" x14ac:dyDescent="0.25">
      <c r="C3391" s="754">
        <v>1</v>
      </c>
      <c r="D3391" s="754">
        <v>0</v>
      </c>
      <c r="E3391" s="755"/>
      <c r="F3391" s="4" t="str">
        <f t="shared" si="58"/>
        <v/>
      </c>
      <c r="G3391" s="37">
        <v>38</v>
      </c>
      <c r="H3391" s="756">
        <v>45743</v>
      </c>
    </row>
    <row r="3392" spans="3:8" x14ac:dyDescent="0.25">
      <c r="C3392" s="754">
        <v>2</v>
      </c>
      <c r="D3392" s="754">
        <v>52</v>
      </c>
      <c r="E3392" s="755">
        <v>35</v>
      </c>
      <c r="F3392" s="4">
        <f t="shared" si="58"/>
        <v>1.744186046511632E-2</v>
      </c>
      <c r="G3392" s="37">
        <v>38</v>
      </c>
      <c r="H3392" s="756">
        <v>45743</v>
      </c>
    </row>
    <row r="3393" spans="3:8" x14ac:dyDescent="0.25">
      <c r="C3393" s="754">
        <v>3</v>
      </c>
      <c r="D3393" s="754">
        <v>84</v>
      </c>
      <c r="E3393" s="755">
        <v>31.8</v>
      </c>
      <c r="F3393" s="4">
        <f t="shared" si="58"/>
        <v>-3.1347962382444476E-3</v>
      </c>
      <c r="G3393" s="37">
        <v>38</v>
      </c>
      <c r="H3393" s="756">
        <v>45743</v>
      </c>
    </row>
    <row r="3394" spans="3:8" x14ac:dyDescent="0.25">
      <c r="C3394" s="754">
        <v>4</v>
      </c>
      <c r="D3394" s="754">
        <v>94</v>
      </c>
      <c r="E3394" s="755">
        <v>22.8</v>
      </c>
      <c r="F3394" s="4">
        <f t="shared" si="58"/>
        <v>-2.564102564102555E-2</v>
      </c>
      <c r="G3394" s="37">
        <v>38</v>
      </c>
      <c r="H3394" s="756">
        <v>45743</v>
      </c>
    </row>
    <row r="3395" spans="3:8" x14ac:dyDescent="0.25">
      <c r="C3395" s="754">
        <v>5</v>
      </c>
      <c r="D3395" s="754">
        <v>99</v>
      </c>
      <c r="E3395" s="755">
        <v>44.4</v>
      </c>
      <c r="F3395" s="4">
        <f t="shared" si="58"/>
        <v>4.4705882352941144E-2</v>
      </c>
      <c r="G3395" s="37">
        <v>38</v>
      </c>
      <c r="H3395" s="756">
        <v>45743</v>
      </c>
    </row>
    <row r="3396" spans="3:8" x14ac:dyDescent="0.25">
      <c r="C3396" s="754">
        <v>6</v>
      </c>
      <c r="D3396" s="754">
        <v>111</v>
      </c>
      <c r="E3396" s="755">
        <v>53.7</v>
      </c>
      <c r="F3396" s="4">
        <f t="shared" si="58"/>
        <v>-1.8281535648994516E-2</v>
      </c>
      <c r="G3396" s="37">
        <v>38</v>
      </c>
      <c r="H3396" s="756">
        <v>45743</v>
      </c>
    </row>
    <row r="3397" spans="3:8" x14ac:dyDescent="0.25">
      <c r="C3397" s="754">
        <v>7</v>
      </c>
      <c r="D3397" s="754">
        <v>0</v>
      </c>
      <c r="E3397" s="755"/>
      <c r="F3397" s="4" t="str">
        <f t="shared" si="58"/>
        <v/>
      </c>
      <c r="G3397" s="37">
        <v>38</v>
      </c>
      <c r="H3397" s="756">
        <v>45743</v>
      </c>
    </row>
    <row r="3398" spans="3:8" x14ac:dyDescent="0.25">
      <c r="C3398" s="754">
        <v>8</v>
      </c>
      <c r="D3398" s="754">
        <v>52</v>
      </c>
      <c r="E3398" s="755">
        <v>30.4</v>
      </c>
      <c r="F3398" s="4">
        <f t="shared" si="58"/>
        <v>0.15589353612167292</v>
      </c>
      <c r="G3398" s="37">
        <v>38</v>
      </c>
      <c r="H3398" s="756">
        <v>45743</v>
      </c>
    </row>
    <row r="3399" spans="3:8" x14ac:dyDescent="0.25">
      <c r="C3399" s="754">
        <v>9</v>
      </c>
      <c r="D3399" s="754">
        <v>87</v>
      </c>
      <c r="E3399" s="755">
        <v>40.1</v>
      </c>
      <c r="F3399" s="4">
        <f t="shared" si="58"/>
        <v>-2.1951219512195086E-2</v>
      </c>
      <c r="G3399" s="37">
        <v>38</v>
      </c>
      <c r="H3399" s="756">
        <v>45743</v>
      </c>
    </row>
    <row r="3400" spans="3:8" x14ac:dyDescent="0.25">
      <c r="C3400" s="757" t="s">
        <v>0</v>
      </c>
      <c r="D3400" s="757" t="s">
        <v>7</v>
      </c>
      <c r="E3400" s="758" t="s">
        <v>4</v>
      </c>
      <c r="F3400" s="4" t="str">
        <f t="shared" si="58"/>
        <v/>
      </c>
      <c r="G3400" s="37">
        <v>38.5</v>
      </c>
      <c r="H3400" s="759">
        <v>45744</v>
      </c>
    </row>
    <row r="3401" spans="3:8" x14ac:dyDescent="0.25">
      <c r="C3401" s="757">
        <v>51</v>
      </c>
      <c r="D3401" s="757">
        <v>37</v>
      </c>
      <c r="E3401" s="758">
        <v>31.2</v>
      </c>
      <c r="F3401" s="4">
        <f t="shared" si="58"/>
        <v>3.9999999999999973E-2</v>
      </c>
      <c r="G3401" s="37">
        <v>38.5</v>
      </c>
      <c r="H3401" s="759">
        <v>45744</v>
      </c>
    </row>
    <row r="3402" spans="3:8" x14ac:dyDescent="0.25">
      <c r="C3402" s="757">
        <v>1</v>
      </c>
      <c r="D3402" s="757">
        <v>0</v>
      </c>
      <c r="E3402" s="758"/>
      <c r="F3402" s="4" t="str">
        <f t="shared" si="58"/>
        <v/>
      </c>
      <c r="G3402" s="37">
        <v>38.5</v>
      </c>
      <c r="H3402" s="759">
        <v>45744</v>
      </c>
    </row>
    <row r="3403" spans="3:8" x14ac:dyDescent="0.25">
      <c r="C3403" s="757">
        <v>2</v>
      </c>
      <c r="D3403" s="757">
        <v>41</v>
      </c>
      <c r="E3403" s="758">
        <v>35.5</v>
      </c>
      <c r="F3403" s="4">
        <f t="shared" si="58"/>
        <v>1.4285714285714285E-2</v>
      </c>
      <c r="G3403" s="37">
        <v>38.5</v>
      </c>
      <c r="H3403" s="759">
        <v>45744</v>
      </c>
    </row>
    <row r="3404" spans="3:8" x14ac:dyDescent="0.25">
      <c r="C3404" s="757">
        <v>3</v>
      </c>
      <c r="D3404" s="757">
        <v>91</v>
      </c>
      <c r="E3404" s="758">
        <v>31.4</v>
      </c>
      <c r="F3404" s="4">
        <f t="shared" si="58"/>
        <v>-1.2578616352201324E-2</v>
      </c>
      <c r="G3404" s="37">
        <v>38.5</v>
      </c>
      <c r="H3404" s="759">
        <v>45744</v>
      </c>
    </row>
    <row r="3405" spans="3:8" x14ac:dyDescent="0.25">
      <c r="C3405" s="757">
        <v>4</v>
      </c>
      <c r="D3405" s="757">
        <v>97</v>
      </c>
      <c r="E3405" s="758">
        <v>21.5</v>
      </c>
      <c r="F3405" s="4">
        <f t="shared" si="58"/>
        <v>-5.7017543859649154E-2</v>
      </c>
      <c r="G3405" s="37">
        <v>38.5</v>
      </c>
      <c r="H3405" s="759">
        <v>45744</v>
      </c>
    </row>
    <row r="3406" spans="3:8" x14ac:dyDescent="0.25">
      <c r="C3406" s="757">
        <v>5</v>
      </c>
      <c r="D3406" s="757">
        <v>92</v>
      </c>
      <c r="E3406" s="758">
        <v>41.5</v>
      </c>
      <c r="F3406" s="4">
        <f t="shared" si="58"/>
        <v>-6.5315315315315287E-2</v>
      </c>
      <c r="G3406" s="37">
        <v>38.5</v>
      </c>
      <c r="H3406" s="759">
        <v>45744</v>
      </c>
    </row>
    <row r="3407" spans="3:8" x14ac:dyDescent="0.25">
      <c r="C3407" s="757">
        <v>6</v>
      </c>
      <c r="D3407" s="757">
        <v>111</v>
      </c>
      <c r="E3407" s="758">
        <v>53.3</v>
      </c>
      <c r="F3407" s="4">
        <f t="shared" si="58"/>
        <v>-7.4487895716947054E-3</v>
      </c>
      <c r="G3407" s="37">
        <v>38.5</v>
      </c>
      <c r="H3407" s="759">
        <v>45744</v>
      </c>
    </row>
    <row r="3408" spans="3:8" x14ac:dyDescent="0.25">
      <c r="C3408" s="757">
        <v>7</v>
      </c>
      <c r="D3408" s="757">
        <v>0</v>
      </c>
      <c r="E3408" s="758"/>
      <c r="F3408" s="4" t="str">
        <f t="shared" si="58"/>
        <v/>
      </c>
      <c r="G3408" s="37">
        <v>38.5</v>
      </c>
      <c r="H3408" s="759">
        <v>45744</v>
      </c>
    </row>
    <row r="3409" spans="3:8" x14ac:dyDescent="0.25">
      <c r="C3409" s="757">
        <v>8</v>
      </c>
      <c r="D3409" s="757">
        <v>59</v>
      </c>
      <c r="E3409" s="758">
        <v>30</v>
      </c>
      <c r="F3409" s="4">
        <f t="shared" si="58"/>
        <v>-1.3157894736842059E-2</v>
      </c>
      <c r="G3409" s="37">
        <v>38.5</v>
      </c>
      <c r="H3409" s="759">
        <v>45744</v>
      </c>
    </row>
    <row r="3410" spans="3:8" x14ac:dyDescent="0.25">
      <c r="C3410" s="757">
        <v>9</v>
      </c>
      <c r="D3410" s="757">
        <v>87</v>
      </c>
      <c r="E3410" s="758">
        <v>37</v>
      </c>
      <c r="F3410" s="4">
        <f t="shared" si="58"/>
        <v>-7.7306733167082323E-2</v>
      </c>
      <c r="G3410" s="37">
        <v>38.5</v>
      </c>
      <c r="H3410" s="759">
        <v>45744</v>
      </c>
    </row>
    <row r="3411" spans="3:8" x14ac:dyDescent="0.25">
      <c r="C3411" s="760" t="s">
        <v>0</v>
      </c>
      <c r="D3411" s="760" t="s">
        <v>7</v>
      </c>
      <c r="E3411" s="761" t="s">
        <v>4</v>
      </c>
      <c r="F3411" s="4" t="str">
        <f t="shared" si="58"/>
        <v/>
      </c>
      <c r="G3411" s="37">
        <v>38.4</v>
      </c>
      <c r="H3411" s="759">
        <v>45745</v>
      </c>
    </row>
    <row r="3412" spans="3:8" x14ac:dyDescent="0.25">
      <c r="C3412" s="760">
        <v>51</v>
      </c>
      <c r="D3412" s="760">
        <v>29</v>
      </c>
      <c r="E3412" s="761">
        <v>29.9</v>
      </c>
      <c r="F3412" s="4">
        <f t="shared" si="58"/>
        <v>-4.1666666666666692E-2</v>
      </c>
      <c r="G3412" s="37">
        <v>38.4</v>
      </c>
      <c r="H3412" s="759">
        <v>45745</v>
      </c>
    </row>
    <row r="3413" spans="3:8" x14ac:dyDescent="0.25">
      <c r="C3413" s="760">
        <v>1</v>
      </c>
      <c r="D3413" s="760">
        <v>0</v>
      </c>
      <c r="E3413" s="761"/>
      <c r="F3413" s="4" t="str">
        <f t="shared" si="58"/>
        <v/>
      </c>
      <c r="G3413" s="37">
        <v>38.4</v>
      </c>
      <c r="H3413" s="759">
        <v>45745</v>
      </c>
    </row>
    <row r="3414" spans="3:8" x14ac:dyDescent="0.25">
      <c r="C3414" s="760">
        <v>2</v>
      </c>
      <c r="D3414" s="760">
        <v>43</v>
      </c>
      <c r="E3414" s="761">
        <v>33.6</v>
      </c>
      <c r="F3414" s="4">
        <f t="shared" si="58"/>
        <v>-5.3521126760563344E-2</v>
      </c>
      <c r="G3414" s="37">
        <v>38.4</v>
      </c>
      <c r="H3414" s="759">
        <v>45745</v>
      </c>
    </row>
    <row r="3415" spans="3:8" x14ac:dyDescent="0.25">
      <c r="C3415" s="760">
        <v>3</v>
      </c>
      <c r="D3415" s="760">
        <v>93</v>
      </c>
      <c r="E3415" s="761">
        <v>34</v>
      </c>
      <c r="F3415" s="4">
        <f t="shared" si="58"/>
        <v>8.2802547770700688E-2</v>
      </c>
      <c r="G3415" s="37">
        <v>38.4</v>
      </c>
      <c r="H3415" s="759">
        <v>45745</v>
      </c>
    </row>
    <row r="3416" spans="3:8" x14ac:dyDescent="0.25">
      <c r="C3416" s="760">
        <v>4</v>
      </c>
      <c r="D3416" s="760">
        <v>97</v>
      </c>
      <c r="E3416" s="761">
        <v>23.3</v>
      </c>
      <c r="F3416" s="4">
        <f t="shared" si="58"/>
        <v>8.3720930232558166E-2</v>
      </c>
      <c r="G3416" s="37">
        <v>38.4</v>
      </c>
      <c r="H3416" s="759">
        <v>45745</v>
      </c>
    </row>
    <row r="3417" spans="3:8" x14ac:dyDescent="0.25">
      <c r="C3417" s="760">
        <v>5</v>
      </c>
      <c r="D3417" s="760">
        <v>101</v>
      </c>
      <c r="E3417" s="761">
        <v>44.9</v>
      </c>
      <c r="F3417" s="4">
        <f t="shared" si="58"/>
        <v>8.1927710843373455E-2</v>
      </c>
      <c r="G3417" s="37">
        <v>38.4</v>
      </c>
      <c r="H3417" s="759">
        <v>45745</v>
      </c>
    </row>
    <row r="3418" spans="3:8" x14ac:dyDescent="0.25">
      <c r="C3418" s="760">
        <v>6</v>
      </c>
      <c r="D3418" s="760">
        <v>111</v>
      </c>
      <c r="E3418" s="761">
        <v>52.6</v>
      </c>
      <c r="F3418" s="4">
        <f t="shared" si="58"/>
        <v>-1.3133208255159396E-2</v>
      </c>
      <c r="G3418" s="37">
        <v>38.4</v>
      </c>
      <c r="H3418" s="759">
        <v>45745</v>
      </c>
    </row>
    <row r="3419" spans="3:8" x14ac:dyDescent="0.25">
      <c r="C3419" s="760">
        <v>7</v>
      </c>
      <c r="D3419" s="760">
        <v>0</v>
      </c>
      <c r="E3419" s="761"/>
      <c r="F3419" s="4" t="str">
        <f t="shared" si="58"/>
        <v/>
      </c>
      <c r="G3419" s="37">
        <v>38.4</v>
      </c>
      <c r="H3419" s="759">
        <v>45745</v>
      </c>
    </row>
    <row r="3420" spans="3:8" x14ac:dyDescent="0.25">
      <c r="C3420" s="760">
        <v>8</v>
      </c>
      <c r="D3420" s="760">
        <v>59</v>
      </c>
      <c r="E3420" s="761">
        <v>32.9</v>
      </c>
      <c r="F3420" s="4">
        <f t="shared" ref="F3420:F3483" si="59">IFERROR((E3420-E3409)/E3409,"")</f>
        <v>9.6666666666666623E-2</v>
      </c>
      <c r="G3420" s="37">
        <v>38.4</v>
      </c>
      <c r="H3420" s="759">
        <v>45745</v>
      </c>
    </row>
    <row r="3421" spans="3:8" x14ac:dyDescent="0.25">
      <c r="C3421" s="760">
        <v>9</v>
      </c>
      <c r="D3421" s="760">
        <v>87</v>
      </c>
      <c r="E3421" s="761">
        <v>41.2</v>
      </c>
      <c r="F3421" s="4">
        <f t="shared" si="59"/>
        <v>0.11351351351351359</v>
      </c>
      <c r="G3421" s="37">
        <v>38.4</v>
      </c>
      <c r="H3421" s="759">
        <v>45745</v>
      </c>
    </row>
    <row r="3422" spans="3:8" x14ac:dyDescent="0.25">
      <c r="C3422" s="762" t="s">
        <v>0</v>
      </c>
      <c r="D3422" s="762" t="s">
        <v>7</v>
      </c>
      <c r="E3422" s="763" t="s">
        <v>4</v>
      </c>
      <c r="F3422" s="4" t="str">
        <f t="shared" si="59"/>
        <v/>
      </c>
      <c r="G3422" s="37">
        <v>37.1</v>
      </c>
      <c r="H3422" s="759">
        <v>45746</v>
      </c>
    </row>
    <row r="3423" spans="3:8" x14ac:dyDescent="0.25">
      <c r="C3423" s="762">
        <v>51</v>
      </c>
      <c r="D3423" s="762">
        <v>33</v>
      </c>
      <c r="E3423" s="763">
        <v>26.8</v>
      </c>
      <c r="F3423" s="4">
        <f t="shared" si="59"/>
        <v>-0.10367892976588622</v>
      </c>
      <c r="G3423" s="37">
        <v>37.1</v>
      </c>
      <c r="H3423" s="759">
        <v>45746</v>
      </c>
    </row>
    <row r="3424" spans="3:8" x14ac:dyDescent="0.25">
      <c r="C3424" s="762">
        <v>1</v>
      </c>
      <c r="D3424" s="762">
        <v>0</v>
      </c>
      <c r="E3424" s="763"/>
      <c r="F3424" s="4" t="str">
        <f t="shared" si="59"/>
        <v/>
      </c>
      <c r="G3424" s="37">
        <v>37.1</v>
      </c>
      <c r="H3424" s="759">
        <v>45746</v>
      </c>
    </row>
    <row r="3425" spans="3:8" x14ac:dyDescent="0.25">
      <c r="C3425" s="762">
        <v>2</v>
      </c>
      <c r="D3425" s="762">
        <v>44</v>
      </c>
      <c r="E3425" s="763">
        <v>33.1</v>
      </c>
      <c r="F3425" s="4">
        <f t="shared" si="59"/>
        <v>-1.488095238095238E-2</v>
      </c>
      <c r="G3425" s="37">
        <v>37.1</v>
      </c>
      <c r="H3425" s="759">
        <v>45746</v>
      </c>
    </row>
    <row r="3426" spans="3:8" x14ac:dyDescent="0.25">
      <c r="C3426" s="762">
        <v>3</v>
      </c>
      <c r="D3426" s="762">
        <v>94</v>
      </c>
      <c r="E3426" s="763">
        <v>32.700000000000003</v>
      </c>
      <c r="F3426" s="4">
        <f t="shared" si="59"/>
        <v>-3.8235294117646978E-2</v>
      </c>
      <c r="G3426" s="37">
        <v>37.1</v>
      </c>
      <c r="H3426" s="759">
        <v>45746</v>
      </c>
    </row>
    <row r="3427" spans="3:8" x14ac:dyDescent="0.25">
      <c r="C3427" s="762">
        <v>4</v>
      </c>
      <c r="D3427" s="762">
        <v>97</v>
      </c>
      <c r="E3427" s="763">
        <v>22.4</v>
      </c>
      <c r="F3427" s="4">
        <f t="shared" si="59"/>
        <v>-3.8626609442060179E-2</v>
      </c>
      <c r="G3427" s="37">
        <v>37.1</v>
      </c>
      <c r="H3427" s="759">
        <v>45746</v>
      </c>
    </row>
    <row r="3428" spans="3:8" x14ac:dyDescent="0.25">
      <c r="C3428" s="762">
        <v>5</v>
      </c>
      <c r="D3428" s="762">
        <v>102</v>
      </c>
      <c r="E3428" s="763">
        <v>42.5</v>
      </c>
      <c r="F3428" s="4">
        <f t="shared" si="59"/>
        <v>-5.3452115812917568E-2</v>
      </c>
      <c r="G3428" s="37">
        <v>37.1</v>
      </c>
      <c r="H3428" s="759">
        <v>45746</v>
      </c>
    </row>
    <row r="3429" spans="3:8" x14ac:dyDescent="0.25">
      <c r="C3429" s="762">
        <v>6</v>
      </c>
      <c r="D3429" s="762">
        <v>111</v>
      </c>
      <c r="E3429" s="763">
        <v>52.9</v>
      </c>
      <c r="F3429" s="4">
        <f t="shared" si="59"/>
        <v>5.7034220532318847E-3</v>
      </c>
      <c r="G3429" s="37">
        <v>37.1</v>
      </c>
      <c r="H3429" s="759">
        <v>45746</v>
      </c>
    </row>
    <row r="3430" spans="3:8" x14ac:dyDescent="0.25">
      <c r="C3430" s="762">
        <v>7</v>
      </c>
      <c r="D3430" s="762">
        <v>0</v>
      </c>
      <c r="E3430" s="763"/>
      <c r="F3430" s="4" t="str">
        <f t="shared" si="59"/>
        <v/>
      </c>
      <c r="G3430" s="37">
        <v>37.1</v>
      </c>
      <c r="H3430" s="759">
        <v>45746</v>
      </c>
    </row>
    <row r="3431" spans="3:8" x14ac:dyDescent="0.25">
      <c r="C3431" s="762">
        <v>8</v>
      </c>
      <c r="D3431" s="762">
        <v>59</v>
      </c>
      <c r="E3431" s="763">
        <v>31.9</v>
      </c>
      <c r="F3431" s="4">
        <f t="shared" si="59"/>
        <v>-3.0395136778115502E-2</v>
      </c>
      <c r="G3431" s="37">
        <v>37.1</v>
      </c>
      <c r="H3431" s="759">
        <v>45746</v>
      </c>
    </row>
    <row r="3432" spans="3:8" x14ac:dyDescent="0.25">
      <c r="C3432" s="762">
        <v>9</v>
      </c>
      <c r="D3432" s="762">
        <v>87</v>
      </c>
      <c r="E3432" s="763">
        <v>37.799999999999997</v>
      </c>
      <c r="F3432" s="4">
        <f t="shared" si="59"/>
        <v>-8.2524271844660324E-2</v>
      </c>
      <c r="G3432" s="37">
        <v>37.1</v>
      </c>
      <c r="H3432" s="759">
        <v>45746</v>
      </c>
    </row>
    <row r="3433" spans="3:8" x14ac:dyDescent="0.25">
      <c r="C3433" s="764" t="s">
        <v>0</v>
      </c>
      <c r="D3433" s="764" t="s">
        <v>7</v>
      </c>
      <c r="E3433" s="765" t="s">
        <v>4</v>
      </c>
      <c r="F3433" s="4" t="str">
        <f t="shared" si="59"/>
        <v/>
      </c>
      <c r="G3433" s="37">
        <v>37</v>
      </c>
      <c r="H3433" s="766">
        <v>45747</v>
      </c>
    </row>
    <row r="3434" spans="3:8" x14ac:dyDescent="0.25">
      <c r="C3434" s="764">
        <v>51</v>
      </c>
      <c r="D3434" s="764">
        <v>20</v>
      </c>
      <c r="E3434" s="765">
        <v>26.2</v>
      </c>
      <c r="F3434" s="4">
        <f t="shared" si="59"/>
        <v>-2.2388059701492588E-2</v>
      </c>
      <c r="G3434" s="37">
        <v>37</v>
      </c>
      <c r="H3434" s="766">
        <v>45747</v>
      </c>
    </row>
    <row r="3435" spans="3:8" x14ac:dyDescent="0.25">
      <c r="C3435" s="764">
        <v>1</v>
      </c>
      <c r="D3435" s="764">
        <v>0</v>
      </c>
      <c r="E3435" s="765"/>
      <c r="F3435" s="4" t="str">
        <f t="shared" si="59"/>
        <v/>
      </c>
      <c r="G3435" s="37">
        <v>37</v>
      </c>
      <c r="H3435" s="766">
        <v>45747</v>
      </c>
    </row>
    <row r="3436" spans="3:8" x14ac:dyDescent="0.25">
      <c r="C3436" s="764">
        <v>2</v>
      </c>
      <c r="D3436" s="764">
        <v>47</v>
      </c>
      <c r="E3436" s="765">
        <v>33.700000000000003</v>
      </c>
      <c r="F3436" s="4">
        <f t="shared" si="59"/>
        <v>1.8126888217522702E-2</v>
      </c>
      <c r="G3436" s="37">
        <v>37</v>
      </c>
      <c r="H3436" s="766">
        <v>45747</v>
      </c>
    </row>
    <row r="3437" spans="3:8" x14ac:dyDescent="0.25">
      <c r="C3437" s="764">
        <v>3</v>
      </c>
      <c r="D3437" s="764">
        <v>94</v>
      </c>
      <c r="E3437" s="765">
        <v>31.4</v>
      </c>
      <c r="F3437" s="4">
        <f t="shared" si="59"/>
        <v>-3.9755351681957311E-2</v>
      </c>
      <c r="G3437" s="37">
        <v>37</v>
      </c>
      <c r="H3437" s="766">
        <v>45747</v>
      </c>
    </row>
    <row r="3438" spans="3:8" x14ac:dyDescent="0.25">
      <c r="C3438" s="764">
        <v>4</v>
      </c>
      <c r="D3438" s="764">
        <v>97</v>
      </c>
      <c r="E3438" s="765">
        <v>22.1</v>
      </c>
      <c r="F3438" s="4">
        <f t="shared" si="59"/>
        <v>-1.3392857142857017E-2</v>
      </c>
      <c r="G3438" s="37">
        <v>37</v>
      </c>
      <c r="H3438" s="766">
        <v>45747</v>
      </c>
    </row>
    <row r="3439" spans="3:8" x14ac:dyDescent="0.25">
      <c r="C3439" s="764">
        <v>5</v>
      </c>
      <c r="D3439" s="764">
        <v>110</v>
      </c>
      <c r="E3439" s="765">
        <v>41.4</v>
      </c>
      <c r="F3439" s="4">
        <f t="shared" si="59"/>
        <v>-2.5882352941176506E-2</v>
      </c>
      <c r="G3439" s="37">
        <v>37</v>
      </c>
      <c r="H3439" s="766">
        <v>45747</v>
      </c>
    </row>
    <row r="3440" spans="3:8" x14ac:dyDescent="0.25">
      <c r="C3440" s="764">
        <v>6</v>
      </c>
      <c r="D3440" s="764">
        <v>111</v>
      </c>
      <c r="E3440" s="765">
        <v>52.2</v>
      </c>
      <c r="F3440" s="4">
        <f t="shared" si="59"/>
        <v>-1.3232514177693682E-2</v>
      </c>
      <c r="G3440" s="37">
        <v>37</v>
      </c>
      <c r="H3440" s="766">
        <v>45747</v>
      </c>
    </row>
    <row r="3441" spans="3:8" x14ac:dyDescent="0.25">
      <c r="C3441" s="764">
        <v>7</v>
      </c>
      <c r="D3441" s="764">
        <v>0</v>
      </c>
      <c r="E3441" s="765"/>
      <c r="F3441" s="4" t="str">
        <f t="shared" si="59"/>
        <v/>
      </c>
      <c r="G3441" s="37">
        <v>37</v>
      </c>
      <c r="H3441" s="766">
        <v>45747</v>
      </c>
    </row>
    <row r="3442" spans="3:8" x14ac:dyDescent="0.25">
      <c r="C3442" s="764">
        <v>8</v>
      </c>
      <c r="D3442" s="764">
        <v>59</v>
      </c>
      <c r="E3442" s="765">
        <v>31.4</v>
      </c>
      <c r="F3442" s="4">
        <f t="shared" si="59"/>
        <v>-1.5673981191222573E-2</v>
      </c>
      <c r="G3442" s="37">
        <v>37</v>
      </c>
      <c r="H3442" s="766">
        <v>45747</v>
      </c>
    </row>
    <row r="3443" spans="3:8" x14ac:dyDescent="0.25">
      <c r="C3443" s="764">
        <v>9</v>
      </c>
      <c r="D3443" s="764">
        <v>87</v>
      </c>
      <c r="E3443" s="765">
        <v>39.799999999999997</v>
      </c>
      <c r="F3443" s="4">
        <f t="shared" si="59"/>
        <v>5.2910052910052914E-2</v>
      </c>
      <c r="G3443" s="37">
        <v>37</v>
      </c>
      <c r="H3443" s="766">
        <v>45747</v>
      </c>
    </row>
    <row r="3444" spans="3:8" x14ac:dyDescent="0.25">
      <c r="C3444" s="767" t="s">
        <v>0</v>
      </c>
      <c r="D3444" s="767" t="s">
        <v>7</v>
      </c>
      <c r="E3444" s="768" t="s">
        <v>4</v>
      </c>
      <c r="F3444" s="4" t="str">
        <f t="shared" si="59"/>
        <v/>
      </c>
      <c r="G3444" s="37">
        <v>37.4</v>
      </c>
      <c r="H3444" s="766">
        <v>45748</v>
      </c>
    </row>
    <row r="3445" spans="3:8" x14ac:dyDescent="0.25">
      <c r="C3445" s="767">
        <v>51</v>
      </c>
      <c r="D3445" s="767">
        <v>20</v>
      </c>
      <c r="E3445" s="768">
        <v>27.5</v>
      </c>
      <c r="F3445" s="4">
        <f t="shared" si="59"/>
        <v>4.961832061068705E-2</v>
      </c>
      <c r="G3445" s="37">
        <v>37.4</v>
      </c>
      <c r="H3445" s="766">
        <v>45748</v>
      </c>
    </row>
    <row r="3446" spans="3:8" x14ac:dyDescent="0.25">
      <c r="C3446" s="767">
        <v>1</v>
      </c>
      <c r="D3446" s="767">
        <v>0</v>
      </c>
      <c r="E3446" s="768"/>
      <c r="F3446" s="4" t="str">
        <f t="shared" si="59"/>
        <v/>
      </c>
      <c r="G3446" s="37">
        <v>37.4</v>
      </c>
      <c r="H3446" s="766">
        <v>45748</v>
      </c>
    </row>
    <row r="3447" spans="3:8" x14ac:dyDescent="0.25">
      <c r="C3447" s="767">
        <v>2</v>
      </c>
      <c r="D3447" s="767">
        <v>47</v>
      </c>
      <c r="E3447" s="768">
        <v>27.3</v>
      </c>
      <c r="F3447" s="4">
        <f t="shared" si="59"/>
        <v>-0.18991097922848668</v>
      </c>
      <c r="G3447" s="37">
        <v>37.4</v>
      </c>
      <c r="H3447" s="766">
        <v>45748</v>
      </c>
    </row>
    <row r="3448" spans="3:8" x14ac:dyDescent="0.25">
      <c r="C3448" s="767">
        <v>3</v>
      </c>
      <c r="D3448" s="767">
        <v>94</v>
      </c>
      <c r="E3448" s="768">
        <v>33.299999999999997</v>
      </c>
      <c r="F3448" s="4">
        <f t="shared" si="59"/>
        <v>6.0509554140127347E-2</v>
      </c>
      <c r="G3448" s="37">
        <v>37.4</v>
      </c>
      <c r="H3448" s="766">
        <v>45748</v>
      </c>
    </row>
    <row r="3449" spans="3:8" x14ac:dyDescent="0.25">
      <c r="C3449" s="767">
        <v>4</v>
      </c>
      <c r="D3449" s="767">
        <v>96</v>
      </c>
      <c r="E3449" s="768">
        <v>21.8</v>
      </c>
      <c r="F3449" s="4">
        <f t="shared" si="59"/>
        <v>-1.3574660633484194E-2</v>
      </c>
      <c r="G3449" s="37">
        <v>37.4</v>
      </c>
      <c r="H3449" s="766">
        <v>45748</v>
      </c>
    </row>
    <row r="3450" spans="3:8" x14ac:dyDescent="0.25">
      <c r="C3450" s="767">
        <v>5</v>
      </c>
      <c r="D3450" s="767">
        <v>110</v>
      </c>
      <c r="E3450" s="768">
        <v>40.6</v>
      </c>
      <c r="F3450" s="4">
        <f t="shared" si="59"/>
        <v>-1.9323671497584474E-2</v>
      </c>
      <c r="G3450" s="37">
        <v>37.4</v>
      </c>
      <c r="H3450" s="766">
        <v>45748</v>
      </c>
    </row>
    <row r="3451" spans="3:8" x14ac:dyDescent="0.25">
      <c r="C3451" s="767">
        <v>6</v>
      </c>
      <c r="D3451" s="767">
        <v>111</v>
      </c>
      <c r="E3451" s="768">
        <v>52.2</v>
      </c>
      <c r="F3451" s="4">
        <f t="shared" si="59"/>
        <v>0</v>
      </c>
      <c r="G3451" s="37">
        <v>37.4</v>
      </c>
      <c r="H3451" s="766">
        <v>45748</v>
      </c>
    </row>
    <row r="3452" spans="3:8" x14ac:dyDescent="0.25">
      <c r="C3452" s="767">
        <v>7</v>
      </c>
      <c r="D3452" s="767">
        <v>0</v>
      </c>
      <c r="E3452" s="768"/>
      <c r="F3452" s="4" t="str">
        <f t="shared" si="59"/>
        <v/>
      </c>
      <c r="G3452" s="37">
        <v>37.4</v>
      </c>
      <c r="H3452" s="766">
        <v>45748</v>
      </c>
    </row>
    <row r="3453" spans="3:8" x14ac:dyDescent="0.25">
      <c r="C3453" s="767">
        <v>8</v>
      </c>
      <c r="D3453" s="767">
        <v>58</v>
      </c>
      <c r="E3453" s="768">
        <v>30.1</v>
      </c>
      <c r="F3453" s="4">
        <f t="shared" si="59"/>
        <v>-4.1401273885350233E-2</v>
      </c>
      <c r="G3453" s="37">
        <v>37.4</v>
      </c>
      <c r="H3453" s="766">
        <v>45748</v>
      </c>
    </row>
    <row r="3454" spans="3:8" x14ac:dyDescent="0.25">
      <c r="C3454" s="767">
        <v>9</v>
      </c>
      <c r="D3454" s="767">
        <v>87</v>
      </c>
      <c r="E3454" s="768">
        <v>38.5</v>
      </c>
      <c r="F3454" s="4">
        <f t="shared" si="59"/>
        <v>-3.2663316582914506E-2</v>
      </c>
      <c r="G3454" s="37">
        <v>37.4</v>
      </c>
      <c r="H3454" s="766">
        <v>45748</v>
      </c>
    </row>
    <row r="3455" spans="3:8" x14ac:dyDescent="0.25">
      <c r="C3455" s="769" t="s">
        <v>0</v>
      </c>
      <c r="D3455" s="769" t="s">
        <v>7</v>
      </c>
      <c r="E3455" s="770" t="s">
        <v>4</v>
      </c>
      <c r="F3455" s="4" t="str">
        <f t="shared" si="59"/>
        <v/>
      </c>
      <c r="G3455" s="37">
        <v>37.200000000000003</v>
      </c>
      <c r="H3455" s="766">
        <v>45749</v>
      </c>
    </row>
    <row r="3456" spans="3:8" x14ac:dyDescent="0.25">
      <c r="C3456" s="769">
        <v>51</v>
      </c>
      <c r="D3456" s="769">
        <v>26</v>
      </c>
      <c r="E3456" s="770">
        <v>23.4</v>
      </c>
      <c r="F3456" s="4">
        <f t="shared" si="59"/>
        <v>-0.14909090909090914</v>
      </c>
      <c r="G3456" s="37">
        <v>37.200000000000003</v>
      </c>
      <c r="H3456" s="766">
        <v>45749</v>
      </c>
    </row>
    <row r="3457" spans="3:8" x14ac:dyDescent="0.25">
      <c r="C3457" s="769">
        <v>1</v>
      </c>
      <c r="D3457" s="769">
        <v>0</v>
      </c>
      <c r="E3457" s="770"/>
      <c r="F3457" s="4" t="str">
        <f t="shared" si="59"/>
        <v/>
      </c>
      <c r="G3457" s="37">
        <v>37.200000000000003</v>
      </c>
      <c r="H3457" s="766">
        <v>45749</v>
      </c>
    </row>
    <row r="3458" spans="3:8" x14ac:dyDescent="0.25">
      <c r="C3458" s="769">
        <v>2</v>
      </c>
      <c r="D3458" s="769">
        <v>43</v>
      </c>
      <c r="E3458" s="770">
        <v>31.9</v>
      </c>
      <c r="F3458" s="4">
        <f t="shared" si="59"/>
        <v>0.16849816849816843</v>
      </c>
      <c r="G3458" s="37">
        <v>37.200000000000003</v>
      </c>
      <c r="H3458" s="766">
        <v>45749</v>
      </c>
    </row>
    <row r="3459" spans="3:8" x14ac:dyDescent="0.25">
      <c r="C3459" s="769">
        <v>3</v>
      </c>
      <c r="D3459" s="769">
        <v>91</v>
      </c>
      <c r="E3459" s="770">
        <v>32</v>
      </c>
      <c r="F3459" s="4">
        <f t="shared" si="59"/>
        <v>-3.9039039039038957E-2</v>
      </c>
      <c r="G3459" s="37">
        <v>37.200000000000003</v>
      </c>
      <c r="H3459" s="766">
        <v>45749</v>
      </c>
    </row>
    <row r="3460" spans="3:8" x14ac:dyDescent="0.25">
      <c r="C3460" s="769">
        <v>4</v>
      </c>
      <c r="D3460" s="769">
        <v>95</v>
      </c>
      <c r="E3460" s="770">
        <v>22</v>
      </c>
      <c r="F3460" s="4">
        <f t="shared" si="59"/>
        <v>9.1743119266054721E-3</v>
      </c>
      <c r="G3460" s="37">
        <v>37.200000000000003</v>
      </c>
      <c r="H3460" s="766">
        <v>45749</v>
      </c>
    </row>
    <row r="3461" spans="3:8" x14ac:dyDescent="0.25">
      <c r="C3461" s="769">
        <v>5</v>
      </c>
      <c r="D3461" s="769">
        <v>109</v>
      </c>
      <c r="E3461" s="770">
        <v>41.8</v>
      </c>
      <c r="F3461" s="4">
        <f t="shared" si="59"/>
        <v>2.9556650246305313E-2</v>
      </c>
      <c r="G3461" s="37">
        <v>37.200000000000003</v>
      </c>
      <c r="H3461" s="766">
        <v>45749</v>
      </c>
    </row>
    <row r="3462" spans="3:8" x14ac:dyDescent="0.25">
      <c r="C3462" s="769">
        <v>6</v>
      </c>
      <c r="D3462" s="769">
        <v>112</v>
      </c>
      <c r="E3462" s="770">
        <v>51.6</v>
      </c>
      <c r="F3462" s="4">
        <f t="shared" si="59"/>
        <v>-1.1494252873563244E-2</v>
      </c>
      <c r="G3462" s="37">
        <v>37.200000000000003</v>
      </c>
      <c r="H3462" s="766">
        <v>45749</v>
      </c>
    </row>
    <row r="3463" spans="3:8" x14ac:dyDescent="0.25">
      <c r="C3463" s="769">
        <v>7</v>
      </c>
      <c r="D3463" s="769">
        <v>0</v>
      </c>
      <c r="E3463" s="770"/>
      <c r="F3463" s="4" t="str">
        <f t="shared" si="59"/>
        <v/>
      </c>
      <c r="G3463" s="37">
        <v>37.200000000000003</v>
      </c>
      <c r="H3463" s="766">
        <v>45749</v>
      </c>
    </row>
    <row r="3464" spans="3:8" x14ac:dyDescent="0.25">
      <c r="C3464" s="769">
        <v>8</v>
      </c>
      <c r="D3464" s="769">
        <v>58</v>
      </c>
      <c r="E3464" s="770">
        <v>32.5</v>
      </c>
      <c r="F3464" s="4">
        <f t="shared" si="59"/>
        <v>7.9734219269102943E-2</v>
      </c>
      <c r="G3464" s="37">
        <v>37.200000000000003</v>
      </c>
      <c r="H3464" s="766">
        <v>45749</v>
      </c>
    </row>
    <row r="3465" spans="3:8" x14ac:dyDescent="0.25">
      <c r="C3465" s="769">
        <v>9</v>
      </c>
      <c r="D3465" s="769">
        <v>87</v>
      </c>
      <c r="E3465" s="770">
        <v>38.9</v>
      </c>
      <c r="F3465" s="4">
        <f t="shared" si="59"/>
        <v>1.0389610389610353E-2</v>
      </c>
      <c r="G3465" s="37">
        <v>37.200000000000003</v>
      </c>
      <c r="H3465" s="766">
        <v>45749</v>
      </c>
    </row>
    <row r="3466" spans="3:8" x14ac:dyDescent="0.25">
      <c r="C3466" s="771" t="s">
        <v>0</v>
      </c>
      <c r="D3466" s="771" t="s">
        <v>7</v>
      </c>
      <c r="E3466" s="772" t="s">
        <v>4</v>
      </c>
      <c r="F3466" s="4" t="str">
        <f t="shared" si="59"/>
        <v/>
      </c>
      <c r="G3466" s="37">
        <v>37.9</v>
      </c>
      <c r="H3466" s="773">
        <v>45750</v>
      </c>
    </row>
    <row r="3467" spans="3:8" x14ac:dyDescent="0.25">
      <c r="C3467" s="771">
        <v>51</v>
      </c>
      <c r="D3467" s="771">
        <v>24</v>
      </c>
      <c r="E3467" s="772">
        <v>26.2</v>
      </c>
      <c r="F3467" s="4">
        <f t="shared" si="59"/>
        <v>0.11965811965811969</v>
      </c>
      <c r="G3467" s="37">
        <v>37.9</v>
      </c>
      <c r="H3467" s="773">
        <v>45750</v>
      </c>
    </row>
    <row r="3468" spans="3:8" x14ac:dyDescent="0.25">
      <c r="C3468" s="771">
        <v>1</v>
      </c>
      <c r="D3468" s="771">
        <v>0</v>
      </c>
      <c r="E3468" s="772"/>
      <c r="F3468" s="4" t="str">
        <f t="shared" si="59"/>
        <v/>
      </c>
      <c r="G3468" s="37">
        <v>37.9</v>
      </c>
      <c r="H3468" s="773">
        <v>45750</v>
      </c>
    </row>
    <row r="3469" spans="3:8" x14ac:dyDescent="0.25">
      <c r="C3469" s="771">
        <v>2</v>
      </c>
      <c r="D3469" s="771">
        <v>43</v>
      </c>
      <c r="E3469" s="772">
        <v>35</v>
      </c>
      <c r="F3469" s="4">
        <f t="shared" si="59"/>
        <v>9.7178683385579986E-2</v>
      </c>
      <c r="G3469" s="37">
        <v>37.9</v>
      </c>
      <c r="H3469" s="773">
        <v>45750</v>
      </c>
    </row>
    <row r="3470" spans="3:8" x14ac:dyDescent="0.25">
      <c r="C3470" s="771">
        <v>3</v>
      </c>
      <c r="D3470" s="771">
        <v>91</v>
      </c>
      <c r="E3470" s="772">
        <v>33.6</v>
      </c>
      <c r="F3470" s="4">
        <f t="shared" si="59"/>
        <v>5.0000000000000044E-2</v>
      </c>
      <c r="G3470" s="37">
        <v>37.9</v>
      </c>
      <c r="H3470" s="773">
        <v>45750</v>
      </c>
    </row>
    <row r="3471" spans="3:8" x14ac:dyDescent="0.25">
      <c r="C3471" s="771">
        <v>4</v>
      </c>
      <c r="D3471" s="771">
        <v>94</v>
      </c>
      <c r="E3471" s="772">
        <v>22.5</v>
      </c>
      <c r="F3471" s="4">
        <f t="shared" si="59"/>
        <v>2.2727272727272728E-2</v>
      </c>
      <c r="G3471" s="37">
        <v>37.9</v>
      </c>
      <c r="H3471" s="773">
        <v>45750</v>
      </c>
    </row>
    <row r="3472" spans="3:8" x14ac:dyDescent="0.25">
      <c r="C3472" s="771">
        <v>5</v>
      </c>
      <c r="D3472" s="771">
        <v>107</v>
      </c>
      <c r="E3472" s="772">
        <v>43</v>
      </c>
      <c r="F3472" s="4">
        <f t="shared" si="59"/>
        <v>2.8708133971291936E-2</v>
      </c>
      <c r="G3472" s="37">
        <v>37.9</v>
      </c>
      <c r="H3472" s="773">
        <v>45750</v>
      </c>
    </row>
    <row r="3473" spans="3:8" x14ac:dyDescent="0.25">
      <c r="C3473" s="771">
        <v>6</v>
      </c>
      <c r="D3473" s="771">
        <v>111</v>
      </c>
      <c r="E3473" s="772">
        <v>51.3</v>
      </c>
      <c r="F3473" s="4">
        <f t="shared" si="59"/>
        <v>-5.8139534883721753E-3</v>
      </c>
      <c r="G3473" s="37">
        <v>37.9</v>
      </c>
      <c r="H3473" s="773">
        <v>45750</v>
      </c>
    </row>
    <row r="3474" spans="3:8" x14ac:dyDescent="0.25">
      <c r="C3474" s="771">
        <v>7</v>
      </c>
      <c r="D3474" s="771">
        <v>0</v>
      </c>
      <c r="E3474" s="772"/>
      <c r="F3474" s="4" t="str">
        <f t="shared" si="59"/>
        <v/>
      </c>
      <c r="G3474" s="37">
        <v>37.9</v>
      </c>
      <c r="H3474" s="773">
        <v>45750</v>
      </c>
    </row>
    <row r="3475" spans="3:8" x14ac:dyDescent="0.25">
      <c r="C3475" s="771">
        <v>8</v>
      </c>
      <c r="D3475" s="771">
        <v>58</v>
      </c>
      <c r="E3475" s="772">
        <v>32.200000000000003</v>
      </c>
      <c r="F3475" s="4">
        <f t="shared" si="59"/>
        <v>-9.2307692307691432E-3</v>
      </c>
      <c r="G3475" s="37">
        <v>37.9</v>
      </c>
      <c r="H3475" s="773">
        <v>45750</v>
      </c>
    </row>
    <row r="3476" spans="3:8" x14ac:dyDescent="0.25">
      <c r="C3476" s="771">
        <v>9</v>
      </c>
      <c r="D3476" s="771">
        <v>87</v>
      </c>
      <c r="E3476" s="772">
        <v>39.700000000000003</v>
      </c>
      <c r="F3476" s="4">
        <f t="shared" si="59"/>
        <v>2.0565552699228901E-2</v>
      </c>
      <c r="G3476" s="37">
        <v>37.9</v>
      </c>
      <c r="H3476" s="773">
        <v>45750</v>
      </c>
    </row>
    <row r="3477" spans="3:8" x14ac:dyDescent="0.25">
      <c r="C3477" s="774" t="s">
        <v>0</v>
      </c>
      <c r="D3477" s="774" t="s">
        <v>7</v>
      </c>
      <c r="E3477" s="775" t="s">
        <v>4</v>
      </c>
      <c r="F3477" s="4" t="str">
        <f t="shared" si="59"/>
        <v/>
      </c>
      <c r="G3477" s="37">
        <v>36.9</v>
      </c>
      <c r="H3477" s="776">
        <v>45751</v>
      </c>
    </row>
    <row r="3478" spans="3:8" x14ac:dyDescent="0.25">
      <c r="C3478" s="774">
        <v>51</v>
      </c>
      <c r="D3478" s="774">
        <v>27</v>
      </c>
      <c r="E3478" s="775">
        <v>27.5</v>
      </c>
      <c r="F3478" s="4">
        <f t="shared" si="59"/>
        <v>4.961832061068705E-2</v>
      </c>
      <c r="G3478" s="37">
        <v>36.9</v>
      </c>
      <c r="H3478" s="776">
        <v>45751</v>
      </c>
    </row>
    <row r="3479" spans="3:8" x14ac:dyDescent="0.25">
      <c r="C3479" s="774">
        <v>1</v>
      </c>
      <c r="D3479" s="774">
        <v>0</v>
      </c>
      <c r="E3479" s="775"/>
      <c r="F3479" s="4" t="str">
        <f t="shared" si="59"/>
        <v/>
      </c>
      <c r="G3479" s="37">
        <v>36.9</v>
      </c>
      <c r="H3479" s="776">
        <v>45751</v>
      </c>
    </row>
    <row r="3480" spans="3:8" x14ac:dyDescent="0.25">
      <c r="C3480" s="774">
        <v>2</v>
      </c>
      <c r="D3480" s="774">
        <v>43</v>
      </c>
      <c r="E3480" s="775">
        <v>33.6</v>
      </c>
      <c r="F3480" s="4">
        <f t="shared" si="59"/>
        <v>-3.9999999999999959E-2</v>
      </c>
      <c r="G3480" s="37">
        <v>36.9</v>
      </c>
      <c r="H3480" s="776">
        <v>45751</v>
      </c>
    </row>
    <row r="3481" spans="3:8" x14ac:dyDescent="0.25">
      <c r="C3481" s="774">
        <v>3</v>
      </c>
      <c r="D3481" s="774">
        <v>90</v>
      </c>
      <c r="E3481" s="775">
        <v>32.4</v>
      </c>
      <c r="F3481" s="4">
        <f t="shared" si="59"/>
        <v>-3.5714285714285796E-2</v>
      </c>
      <c r="G3481" s="37">
        <v>36.9</v>
      </c>
      <c r="H3481" s="776">
        <v>45751</v>
      </c>
    </row>
    <row r="3482" spans="3:8" x14ac:dyDescent="0.25">
      <c r="C3482" s="774">
        <v>4</v>
      </c>
      <c r="D3482" s="774">
        <v>87</v>
      </c>
      <c r="E3482" s="775">
        <v>21.1</v>
      </c>
      <c r="F3482" s="4">
        <f t="shared" si="59"/>
        <v>-6.2222222222222158E-2</v>
      </c>
      <c r="G3482" s="37">
        <v>36.9</v>
      </c>
      <c r="H3482" s="776">
        <v>45751</v>
      </c>
    </row>
    <row r="3483" spans="3:8" x14ac:dyDescent="0.25">
      <c r="C3483" s="774">
        <v>5</v>
      </c>
      <c r="D3483" s="774">
        <v>105</v>
      </c>
      <c r="E3483" s="775">
        <v>43</v>
      </c>
      <c r="F3483" s="4">
        <f t="shared" si="59"/>
        <v>0</v>
      </c>
      <c r="G3483" s="37">
        <v>36.9</v>
      </c>
      <c r="H3483" s="776">
        <v>45751</v>
      </c>
    </row>
    <row r="3484" spans="3:8" x14ac:dyDescent="0.25">
      <c r="C3484" s="774">
        <v>6</v>
      </c>
      <c r="D3484" s="774">
        <v>110</v>
      </c>
      <c r="E3484" s="775">
        <v>47.2</v>
      </c>
      <c r="F3484" s="4">
        <f t="shared" ref="F3484:F3547" si="60">IFERROR((E3484-E3473)/E3473,"")</f>
        <v>-7.9922027290448241E-2</v>
      </c>
      <c r="G3484" s="37">
        <v>36.9</v>
      </c>
      <c r="H3484" s="776">
        <v>45751</v>
      </c>
    </row>
    <row r="3485" spans="3:8" x14ac:dyDescent="0.25">
      <c r="C3485" s="774">
        <v>7</v>
      </c>
      <c r="D3485" s="774">
        <v>0</v>
      </c>
      <c r="E3485" s="775"/>
      <c r="F3485" s="4" t="str">
        <f t="shared" si="60"/>
        <v/>
      </c>
      <c r="G3485" s="37">
        <v>36.9</v>
      </c>
      <c r="H3485" s="776">
        <v>45751</v>
      </c>
    </row>
    <row r="3486" spans="3:8" x14ac:dyDescent="0.25">
      <c r="C3486" s="774">
        <v>8</v>
      </c>
      <c r="D3486" s="774">
        <v>58</v>
      </c>
      <c r="E3486" s="775">
        <v>32.9</v>
      </c>
      <c r="F3486" s="4">
        <f t="shared" si="60"/>
        <v>2.1739130434782473E-2</v>
      </c>
      <c r="G3486" s="37">
        <v>36.9</v>
      </c>
      <c r="H3486" s="776">
        <v>45751</v>
      </c>
    </row>
    <row r="3487" spans="3:8" x14ac:dyDescent="0.25">
      <c r="C3487" s="774">
        <v>9</v>
      </c>
      <c r="D3487" s="774">
        <v>86</v>
      </c>
      <c r="E3487" s="775">
        <v>40</v>
      </c>
      <c r="F3487" s="4">
        <f t="shared" si="60"/>
        <v>7.55667506297222E-3</v>
      </c>
      <c r="G3487" s="37">
        <v>36.9</v>
      </c>
      <c r="H3487" s="776">
        <v>45751</v>
      </c>
    </row>
    <row r="3488" spans="3:8" x14ac:dyDescent="0.25">
      <c r="C3488" s="777" t="s">
        <v>0</v>
      </c>
      <c r="D3488" s="777" t="s">
        <v>7</v>
      </c>
      <c r="E3488" s="778" t="s">
        <v>4</v>
      </c>
      <c r="F3488" s="4" t="str">
        <f t="shared" si="60"/>
        <v/>
      </c>
      <c r="G3488" s="37">
        <v>37.9</v>
      </c>
      <c r="H3488" s="776">
        <v>45752</v>
      </c>
    </row>
    <row r="3489" spans="3:8" x14ac:dyDescent="0.25">
      <c r="C3489" s="777">
        <v>51</v>
      </c>
      <c r="D3489" s="777">
        <v>27</v>
      </c>
      <c r="E3489" s="778">
        <v>24.2</v>
      </c>
      <c r="F3489" s="4">
        <f t="shared" si="60"/>
        <v>-0.12000000000000002</v>
      </c>
      <c r="G3489" s="37">
        <v>37.9</v>
      </c>
      <c r="H3489" s="776">
        <v>45752</v>
      </c>
    </row>
    <row r="3490" spans="3:8" x14ac:dyDescent="0.25">
      <c r="C3490" s="777">
        <v>1</v>
      </c>
      <c r="D3490" s="777">
        <v>0</v>
      </c>
      <c r="E3490" s="778"/>
      <c r="F3490" s="4" t="str">
        <f t="shared" si="60"/>
        <v/>
      </c>
      <c r="G3490" s="37">
        <v>37.9</v>
      </c>
      <c r="H3490" s="776">
        <v>45752</v>
      </c>
    </row>
    <row r="3491" spans="3:8" x14ac:dyDescent="0.25">
      <c r="C3491" s="777">
        <v>2</v>
      </c>
      <c r="D3491" s="777">
        <v>43</v>
      </c>
      <c r="E3491" s="778">
        <v>33.700000000000003</v>
      </c>
      <c r="F3491" s="4">
        <f t="shared" si="60"/>
        <v>2.9761904761905185E-3</v>
      </c>
      <c r="G3491" s="37">
        <v>37.9</v>
      </c>
      <c r="H3491" s="776">
        <v>45752</v>
      </c>
    </row>
    <row r="3492" spans="3:8" x14ac:dyDescent="0.25">
      <c r="C3492" s="777">
        <v>3</v>
      </c>
      <c r="D3492" s="777">
        <v>90</v>
      </c>
      <c r="E3492" s="778">
        <v>30.1</v>
      </c>
      <c r="F3492" s="4">
        <f t="shared" si="60"/>
        <v>-7.0987654320987567E-2</v>
      </c>
      <c r="G3492" s="37">
        <v>37.9</v>
      </c>
      <c r="H3492" s="776">
        <v>45752</v>
      </c>
    </row>
    <row r="3493" spans="3:8" x14ac:dyDescent="0.25">
      <c r="C3493" s="777">
        <v>4</v>
      </c>
      <c r="D3493" s="777">
        <v>87</v>
      </c>
      <c r="E3493" s="778">
        <v>22</v>
      </c>
      <c r="F3493" s="4">
        <f t="shared" si="60"/>
        <v>4.2654028436018884E-2</v>
      </c>
      <c r="G3493" s="37">
        <v>37.9</v>
      </c>
      <c r="H3493" s="776">
        <v>45752</v>
      </c>
    </row>
    <row r="3494" spans="3:8" x14ac:dyDescent="0.25">
      <c r="C3494" s="777">
        <v>5</v>
      </c>
      <c r="D3494" s="777">
        <v>105</v>
      </c>
      <c r="E3494" s="778">
        <v>40.200000000000003</v>
      </c>
      <c r="F3494" s="4">
        <f t="shared" si="60"/>
        <v>-6.5116279069767372E-2</v>
      </c>
      <c r="G3494" s="37">
        <v>37.9</v>
      </c>
      <c r="H3494" s="776">
        <v>45752</v>
      </c>
    </row>
    <row r="3495" spans="3:8" x14ac:dyDescent="0.25">
      <c r="C3495" s="777">
        <v>6</v>
      </c>
      <c r="D3495" s="777">
        <v>110</v>
      </c>
      <c r="E3495" s="778">
        <v>47.5</v>
      </c>
      <c r="F3495" s="4">
        <f t="shared" si="60"/>
        <v>6.3559322033897702E-3</v>
      </c>
      <c r="G3495" s="37">
        <v>37.9</v>
      </c>
      <c r="H3495" s="776">
        <v>45752</v>
      </c>
    </row>
    <row r="3496" spans="3:8" x14ac:dyDescent="0.25">
      <c r="C3496" s="777">
        <v>7</v>
      </c>
      <c r="D3496" s="777">
        <v>0</v>
      </c>
      <c r="E3496" s="778"/>
      <c r="F3496" s="4" t="str">
        <f t="shared" si="60"/>
        <v/>
      </c>
      <c r="G3496" s="37">
        <v>37.9</v>
      </c>
      <c r="H3496" s="776">
        <v>45752</v>
      </c>
    </row>
    <row r="3497" spans="3:8" x14ac:dyDescent="0.25">
      <c r="C3497" s="777">
        <v>8</v>
      </c>
      <c r="D3497" s="777">
        <v>58</v>
      </c>
      <c r="E3497" s="778">
        <v>27.9</v>
      </c>
      <c r="F3497" s="4">
        <f t="shared" si="60"/>
        <v>-0.1519756838905775</v>
      </c>
      <c r="G3497" s="37">
        <v>37.9</v>
      </c>
      <c r="H3497" s="776">
        <v>45752</v>
      </c>
    </row>
    <row r="3498" spans="3:8" x14ac:dyDescent="0.25">
      <c r="C3498" s="777">
        <v>9</v>
      </c>
      <c r="D3498" s="777">
        <v>84</v>
      </c>
      <c r="E3498" s="778">
        <v>44.7</v>
      </c>
      <c r="F3498" s="4">
        <f t="shared" si="60"/>
        <v>0.11750000000000008</v>
      </c>
      <c r="G3498" s="37">
        <v>37.9</v>
      </c>
      <c r="H3498" s="776">
        <v>45752</v>
      </c>
    </row>
    <row r="3499" spans="3:8" x14ac:dyDescent="0.25">
      <c r="C3499" s="779" t="s">
        <v>0</v>
      </c>
      <c r="D3499" s="779" t="s">
        <v>7</v>
      </c>
      <c r="E3499" s="780" t="s">
        <v>4</v>
      </c>
      <c r="F3499" s="4" t="str">
        <f t="shared" si="60"/>
        <v/>
      </c>
      <c r="G3499" s="37">
        <v>39.700000000000003</v>
      </c>
      <c r="H3499" s="781">
        <v>45753</v>
      </c>
    </row>
    <row r="3500" spans="3:8" x14ac:dyDescent="0.25">
      <c r="C3500" s="779">
        <v>51</v>
      </c>
      <c r="D3500" s="779">
        <v>29</v>
      </c>
      <c r="E3500" s="780">
        <v>27.1</v>
      </c>
      <c r="F3500" s="4">
        <f t="shared" si="60"/>
        <v>0.11983471074380174</v>
      </c>
      <c r="G3500" s="37">
        <v>39.700000000000003</v>
      </c>
      <c r="H3500" s="781">
        <v>45753</v>
      </c>
    </row>
    <row r="3501" spans="3:8" x14ac:dyDescent="0.25">
      <c r="C3501" s="779">
        <v>1</v>
      </c>
      <c r="D3501" s="779">
        <v>0</v>
      </c>
      <c r="E3501" s="780"/>
      <c r="F3501" s="4" t="str">
        <f t="shared" si="60"/>
        <v/>
      </c>
      <c r="G3501" s="37">
        <v>39.700000000000003</v>
      </c>
      <c r="H3501" s="781">
        <v>45753</v>
      </c>
    </row>
    <row r="3502" spans="3:8" x14ac:dyDescent="0.25">
      <c r="C3502" s="779">
        <v>2</v>
      </c>
      <c r="D3502" s="779">
        <v>43</v>
      </c>
      <c r="E3502" s="780">
        <v>35.299999999999997</v>
      </c>
      <c r="F3502" s="4">
        <f t="shared" si="60"/>
        <v>4.747774480712149E-2</v>
      </c>
      <c r="G3502" s="37">
        <v>39.700000000000003</v>
      </c>
      <c r="H3502" s="781">
        <v>45753</v>
      </c>
    </row>
    <row r="3503" spans="3:8" x14ac:dyDescent="0.25">
      <c r="C3503" s="779">
        <v>3</v>
      </c>
      <c r="D3503" s="779">
        <v>90</v>
      </c>
      <c r="E3503" s="780">
        <v>34.5</v>
      </c>
      <c r="F3503" s="4">
        <f t="shared" si="60"/>
        <v>0.14617940199335544</v>
      </c>
      <c r="G3503" s="37">
        <v>39.700000000000003</v>
      </c>
      <c r="H3503" s="781">
        <v>45753</v>
      </c>
    </row>
    <row r="3504" spans="3:8" x14ac:dyDescent="0.25">
      <c r="C3504" s="779">
        <v>4</v>
      </c>
      <c r="D3504" s="779">
        <v>87</v>
      </c>
      <c r="E3504" s="780">
        <v>21.3</v>
      </c>
      <c r="F3504" s="4">
        <f t="shared" si="60"/>
        <v>-3.1818181818181787E-2</v>
      </c>
      <c r="G3504" s="37">
        <v>39.700000000000003</v>
      </c>
      <c r="H3504" s="781">
        <v>45753</v>
      </c>
    </row>
    <row r="3505" spans="3:8" x14ac:dyDescent="0.25">
      <c r="C3505" s="779">
        <v>5</v>
      </c>
      <c r="D3505" s="779">
        <v>105</v>
      </c>
      <c r="E3505" s="780">
        <v>45.5</v>
      </c>
      <c r="F3505" s="4">
        <f t="shared" si="60"/>
        <v>0.13184079601990042</v>
      </c>
      <c r="G3505" s="37">
        <v>39.700000000000003</v>
      </c>
      <c r="H3505" s="781">
        <v>45753</v>
      </c>
    </row>
    <row r="3506" spans="3:8" x14ac:dyDescent="0.25">
      <c r="C3506" s="779">
        <v>6</v>
      </c>
      <c r="D3506" s="779">
        <v>109</v>
      </c>
      <c r="E3506" s="780">
        <v>53</v>
      </c>
      <c r="F3506" s="4">
        <f t="shared" si="60"/>
        <v>0.11578947368421053</v>
      </c>
      <c r="G3506" s="37">
        <v>39.700000000000003</v>
      </c>
      <c r="H3506" s="781">
        <v>45753</v>
      </c>
    </row>
    <row r="3507" spans="3:8" x14ac:dyDescent="0.25">
      <c r="C3507" s="779">
        <v>7</v>
      </c>
      <c r="D3507" s="779">
        <v>0</v>
      </c>
      <c r="E3507" s="780"/>
      <c r="F3507" s="4" t="str">
        <f t="shared" si="60"/>
        <v/>
      </c>
      <c r="G3507" s="37">
        <v>39.700000000000003</v>
      </c>
      <c r="H3507" s="781">
        <v>45753</v>
      </c>
    </row>
    <row r="3508" spans="3:8" x14ac:dyDescent="0.25">
      <c r="C3508" s="779">
        <v>8</v>
      </c>
      <c r="D3508" s="779">
        <v>58</v>
      </c>
      <c r="E3508" s="780">
        <v>33.1</v>
      </c>
      <c r="F3508" s="4">
        <f t="shared" si="60"/>
        <v>0.18637992831541231</v>
      </c>
      <c r="G3508" s="37">
        <v>39.700000000000003</v>
      </c>
      <c r="H3508" s="781">
        <v>45753</v>
      </c>
    </row>
    <row r="3509" spans="3:8" x14ac:dyDescent="0.25">
      <c r="C3509" s="779">
        <v>9</v>
      </c>
      <c r="D3509" s="779">
        <v>84</v>
      </c>
      <c r="E3509" s="780">
        <v>43.7</v>
      </c>
      <c r="F3509" s="4">
        <f t="shared" si="60"/>
        <v>-2.2371364653243846E-2</v>
      </c>
      <c r="G3509" s="37">
        <v>39.700000000000003</v>
      </c>
      <c r="H3509" s="781">
        <v>45753</v>
      </c>
    </row>
    <row r="3510" spans="3:8" x14ac:dyDescent="0.25">
      <c r="C3510" s="782" t="s">
        <v>0</v>
      </c>
      <c r="D3510" s="782" t="s">
        <v>7</v>
      </c>
      <c r="E3510" s="783" t="s">
        <v>4</v>
      </c>
      <c r="F3510" s="4" t="str">
        <f t="shared" si="60"/>
        <v/>
      </c>
      <c r="G3510" s="37">
        <v>38.4</v>
      </c>
      <c r="H3510" s="784">
        <v>45754</v>
      </c>
    </row>
    <row r="3511" spans="3:8" x14ac:dyDescent="0.25">
      <c r="C3511" s="782">
        <v>51</v>
      </c>
      <c r="D3511" s="782">
        <v>24</v>
      </c>
      <c r="E3511" s="783">
        <v>23.8</v>
      </c>
      <c r="F3511" s="4">
        <f t="shared" si="60"/>
        <v>-0.12177121771217714</v>
      </c>
      <c r="G3511" s="37">
        <v>38.4</v>
      </c>
      <c r="H3511" s="784">
        <v>45754</v>
      </c>
    </row>
    <row r="3512" spans="3:8" x14ac:dyDescent="0.25">
      <c r="C3512" s="782">
        <v>1</v>
      </c>
      <c r="D3512" s="782">
        <v>0</v>
      </c>
      <c r="E3512" s="783"/>
      <c r="F3512" s="4" t="str">
        <f t="shared" si="60"/>
        <v/>
      </c>
      <c r="G3512" s="37">
        <v>38.4</v>
      </c>
      <c r="H3512" s="784">
        <v>45754</v>
      </c>
    </row>
    <row r="3513" spans="3:8" x14ac:dyDescent="0.25">
      <c r="C3513" s="782">
        <v>2</v>
      </c>
      <c r="D3513" s="782">
        <v>43</v>
      </c>
      <c r="E3513" s="783">
        <v>29.5</v>
      </c>
      <c r="F3513" s="4">
        <f t="shared" si="60"/>
        <v>-0.16430594900849851</v>
      </c>
      <c r="G3513" s="37">
        <v>38.4</v>
      </c>
      <c r="H3513" s="784">
        <v>45754</v>
      </c>
    </row>
    <row r="3514" spans="3:8" x14ac:dyDescent="0.25">
      <c r="C3514" s="782">
        <v>3</v>
      </c>
      <c r="D3514" s="782">
        <v>90</v>
      </c>
      <c r="E3514" s="783">
        <v>33.799999999999997</v>
      </c>
      <c r="F3514" s="4">
        <f t="shared" si="60"/>
        <v>-2.028985507246385E-2</v>
      </c>
      <c r="G3514" s="37">
        <v>38.4</v>
      </c>
      <c r="H3514" s="784">
        <v>45754</v>
      </c>
    </row>
    <row r="3515" spans="3:8" x14ac:dyDescent="0.25">
      <c r="C3515" s="782">
        <v>4</v>
      </c>
      <c r="D3515" s="782">
        <v>87</v>
      </c>
      <c r="E3515" s="783">
        <v>22.3</v>
      </c>
      <c r="F3515" s="4">
        <f t="shared" si="60"/>
        <v>4.6948356807511735E-2</v>
      </c>
      <c r="G3515" s="37">
        <v>38.4</v>
      </c>
      <c r="H3515" s="784">
        <v>45754</v>
      </c>
    </row>
    <row r="3516" spans="3:8" x14ac:dyDescent="0.25">
      <c r="C3516" s="782">
        <v>5</v>
      </c>
      <c r="D3516" s="782">
        <v>110</v>
      </c>
      <c r="E3516" s="783">
        <v>45.8</v>
      </c>
      <c r="F3516" s="4">
        <f t="shared" si="60"/>
        <v>6.593406593406531E-3</v>
      </c>
      <c r="G3516" s="37">
        <v>38.4</v>
      </c>
      <c r="H3516" s="784">
        <v>45754</v>
      </c>
    </row>
    <row r="3517" spans="3:8" x14ac:dyDescent="0.25">
      <c r="C3517" s="782">
        <v>6</v>
      </c>
      <c r="D3517" s="782">
        <v>109</v>
      </c>
      <c r="E3517" s="783">
        <v>51.4</v>
      </c>
      <c r="F3517" s="4">
        <f t="shared" si="60"/>
        <v>-3.0188679245283047E-2</v>
      </c>
      <c r="G3517" s="37">
        <v>38.4</v>
      </c>
      <c r="H3517" s="784">
        <v>45754</v>
      </c>
    </row>
    <row r="3518" spans="3:8" x14ac:dyDescent="0.25">
      <c r="C3518" s="782">
        <v>7</v>
      </c>
      <c r="D3518" s="782">
        <v>0</v>
      </c>
      <c r="E3518" s="783"/>
      <c r="F3518" s="4" t="str">
        <f t="shared" si="60"/>
        <v/>
      </c>
      <c r="G3518" s="37">
        <v>38.4</v>
      </c>
      <c r="H3518" s="784">
        <v>45754</v>
      </c>
    </row>
    <row r="3519" spans="3:8" x14ac:dyDescent="0.25">
      <c r="C3519" s="782">
        <v>8</v>
      </c>
      <c r="D3519" s="782">
        <v>58</v>
      </c>
      <c r="E3519" s="783">
        <v>31.8</v>
      </c>
      <c r="F3519" s="4">
        <f t="shared" si="60"/>
        <v>-3.9274924471299114E-2</v>
      </c>
      <c r="G3519" s="37">
        <v>38.4</v>
      </c>
      <c r="H3519" s="784">
        <v>45754</v>
      </c>
    </row>
    <row r="3520" spans="3:8" x14ac:dyDescent="0.25">
      <c r="C3520" s="782">
        <v>9</v>
      </c>
      <c r="D3520" s="782">
        <v>83</v>
      </c>
      <c r="E3520" s="783">
        <v>40.299999999999997</v>
      </c>
      <c r="F3520" s="4">
        <f t="shared" si="60"/>
        <v>-7.7803203661327355E-2</v>
      </c>
      <c r="G3520" s="37">
        <v>38.4</v>
      </c>
      <c r="H3520" s="784">
        <v>45754</v>
      </c>
    </row>
    <row r="3521" spans="3:8" x14ac:dyDescent="0.25">
      <c r="C3521" s="785" t="s">
        <v>0</v>
      </c>
      <c r="D3521" s="785" t="s">
        <v>7</v>
      </c>
      <c r="E3521" s="786" t="s">
        <v>4</v>
      </c>
      <c r="F3521" s="4" t="str">
        <f t="shared" si="60"/>
        <v/>
      </c>
      <c r="G3521" s="37">
        <v>37.6</v>
      </c>
      <c r="H3521" s="787">
        <v>45755</v>
      </c>
    </row>
    <row r="3522" spans="3:8" x14ac:dyDescent="0.25">
      <c r="C3522" s="785">
        <v>51</v>
      </c>
      <c r="D3522" s="785">
        <v>23</v>
      </c>
      <c r="E3522" s="786">
        <v>25.1</v>
      </c>
      <c r="F3522" s="4">
        <f t="shared" si="60"/>
        <v>5.4621848739495826E-2</v>
      </c>
      <c r="G3522" s="37">
        <v>37.6</v>
      </c>
      <c r="H3522" s="787">
        <v>45755</v>
      </c>
    </row>
    <row r="3523" spans="3:8" x14ac:dyDescent="0.25">
      <c r="C3523" s="785">
        <v>1</v>
      </c>
      <c r="D3523" s="785">
        <v>0</v>
      </c>
      <c r="E3523" s="786"/>
      <c r="F3523" s="4" t="str">
        <f t="shared" si="60"/>
        <v/>
      </c>
      <c r="G3523" s="37">
        <v>37.6</v>
      </c>
      <c r="H3523" s="787">
        <v>45755</v>
      </c>
    </row>
    <row r="3524" spans="3:8" x14ac:dyDescent="0.25">
      <c r="C3524" s="785">
        <v>2</v>
      </c>
      <c r="D3524" s="785">
        <v>43</v>
      </c>
      <c r="E3524" s="786">
        <v>33.799999999999997</v>
      </c>
      <c r="F3524" s="4">
        <f t="shared" si="60"/>
        <v>0.14576271186440667</v>
      </c>
      <c r="G3524" s="37">
        <v>37.6</v>
      </c>
      <c r="H3524" s="787">
        <v>45755</v>
      </c>
    </row>
    <row r="3525" spans="3:8" x14ac:dyDescent="0.25">
      <c r="C3525" s="785">
        <v>3</v>
      </c>
      <c r="D3525" s="785">
        <v>90</v>
      </c>
      <c r="E3525" s="786">
        <v>32.700000000000003</v>
      </c>
      <c r="F3525" s="4">
        <f t="shared" si="60"/>
        <v>-3.2544378698224685E-2</v>
      </c>
      <c r="G3525" s="37">
        <v>37.6</v>
      </c>
      <c r="H3525" s="787">
        <v>45755</v>
      </c>
    </row>
    <row r="3526" spans="3:8" x14ac:dyDescent="0.25">
      <c r="C3526" s="785">
        <v>4</v>
      </c>
      <c r="D3526" s="785">
        <v>86</v>
      </c>
      <c r="E3526" s="786">
        <v>22.1</v>
      </c>
      <c r="F3526" s="4">
        <f t="shared" si="60"/>
        <v>-8.9686098654708207E-3</v>
      </c>
      <c r="G3526" s="37">
        <v>37.6</v>
      </c>
      <c r="H3526" s="787">
        <v>45755</v>
      </c>
    </row>
    <row r="3527" spans="3:8" x14ac:dyDescent="0.25">
      <c r="C3527" s="785">
        <v>5</v>
      </c>
      <c r="D3527" s="785">
        <v>110</v>
      </c>
      <c r="E3527" s="786">
        <v>43.1</v>
      </c>
      <c r="F3527" s="4">
        <f t="shared" si="60"/>
        <v>-5.8951965065502092E-2</v>
      </c>
      <c r="G3527" s="37">
        <v>37.6</v>
      </c>
      <c r="H3527" s="787">
        <v>45755</v>
      </c>
    </row>
    <row r="3528" spans="3:8" x14ac:dyDescent="0.25">
      <c r="C3528" s="785">
        <v>6</v>
      </c>
      <c r="D3528" s="785">
        <v>108</v>
      </c>
      <c r="E3528" s="786">
        <v>51.4</v>
      </c>
      <c r="F3528" s="4">
        <f t="shared" si="60"/>
        <v>0</v>
      </c>
      <c r="G3528" s="37">
        <v>37.6</v>
      </c>
      <c r="H3528" s="787">
        <v>45755</v>
      </c>
    </row>
    <row r="3529" spans="3:8" x14ac:dyDescent="0.25">
      <c r="C3529" s="785">
        <v>7</v>
      </c>
      <c r="D3529" s="785">
        <v>0</v>
      </c>
      <c r="E3529" s="786"/>
      <c r="F3529" s="4" t="str">
        <f t="shared" si="60"/>
        <v/>
      </c>
      <c r="G3529" s="37">
        <v>37.6</v>
      </c>
      <c r="H3529" s="787">
        <v>45755</v>
      </c>
    </row>
    <row r="3530" spans="3:8" x14ac:dyDescent="0.25">
      <c r="C3530" s="785">
        <v>8</v>
      </c>
      <c r="D3530" s="785">
        <v>58</v>
      </c>
      <c r="E3530" s="786">
        <v>31.5</v>
      </c>
      <c r="F3530" s="4">
        <f t="shared" si="60"/>
        <v>-9.4339622641509656E-3</v>
      </c>
      <c r="G3530" s="37">
        <v>37.6</v>
      </c>
      <c r="H3530" s="787">
        <v>45755</v>
      </c>
    </row>
    <row r="3531" spans="3:8" x14ac:dyDescent="0.25">
      <c r="C3531" s="785">
        <v>9</v>
      </c>
      <c r="D3531" s="785">
        <v>83</v>
      </c>
      <c r="E3531" s="786">
        <v>40.299999999999997</v>
      </c>
      <c r="F3531" s="4">
        <f t="shared" si="60"/>
        <v>0</v>
      </c>
      <c r="G3531" s="37">
        <v>37.6</v>
      </c>
      <c r="H3531" s="787">
        <v>45755</v>
      </c>
    </row>
    <row r="3532" spans="3:8" x14ac:dyDescent="0.25">
      <c r="C3532" s="788" t="s">
        <v>0</v>
      </c>
      <c r="D3532" s="788" t="s">
        <v>7</v>
      </c>
      <c r="E3532" s="789" t="s">
        <v>4</v>
      </c>
      <c r="F3532" s="4" t="str">
        <f t="shared" si="60"/>
        <v/>
      </c>
      <c r="G3532" s="37">
        <v>35.9</v>
      </c>
      <c r="H3532" s="790">
        <v>45756</v>
      </c>
    </row>
    <row r="3533" spans="3:8" x14ac:dyDescent="0.25">
      <c r="C3533" s="788">
        <v>51</v>
      </c>
      <c r="D3533" s="788">
        <v>27</v>
      </c>
      <c r="E3533" s="789">
        <v>24.7</v>
      </c>
      <c r="F3533" s="4">
        <f t="shared" si="60"/>
        <v>-1.5936254980079764E-2</v>
      </c>
      <c r="G3533" s="37">
        <v>35.9</v>
      </c>
      <c r="H3533" s="790">
        <v>45756</v>
      </c>
    </row>
    <row r="3534" spans="3:8" x14ac:dyDescent="0.25">
      <c r="C3534" s="788">
        <v>1</v>
      </c>
      <c r="D3534" s="788">
        <v>108</v>
      </c>
      <c r="E3534" s="789"/>
      <c r="F3534" s="4" t="str">
        <f t="shared" si="60"/>
        <v/>
      </c>
      <c r="G3534" s="37">
        <v>35.9</v>
      </c>
      <c r="H3534" s="790">
        <v>45756</v>
      </c>
    </row>
    <row r="3535" spans="3:8" x14ac:dyDescent="0.25">
      <c r="C3535" s="788">
        <v>2</v>
      </c>
      <c r="D3535" s="788">
        <v>44</v>
      </c>
      <c r="E3535" s="789">
        <v>35.4</v>
      </c>
      <c r="F3535" s="4">
        <f t="shared" si="60"/>
        <v>4.7337278106508923E-2</v>
      </c>
      <c r="G3535" s="37">
        <v>35.9</v>
      </c>
      <c r="H3535" s="790">
        <v>45756</v>
      </c>
    </row>
    <row r="3536" spans="3:8" x14ac:dyDescent="0.25">
      <c r="C3536" s="788">
        <v>3</v>
      </c>
      <c r="D3536" s="788">
        <v>90</v>
      </c>
      <c r="E3536" s="789">
        <v>32.5</v>
      </c>
      <c r="F3536" s="4">
        <f t="shared" si="60"/>
        <v>-6.1162079510704232E-3</v>
      </c>
      <c r="G3536" s="37">
        <v>35.9</v>
      </c>
      <c r="H3536" s="790">
        <v>45756</v>
      </c>
    </row>
    <row r="3537" spans="3:8" x14ac:dyDescent="0.25">
      <c r="C3537" s="788">
        <v>4</v>
      </c>
      <c r="D3537" s="788">
        <v>86</v>
      </c>
      <c r="E3537" s="789">
        <v>21.8</v>
      </c>
      <c r="F3537" s="4">
        <f t="shared" si="60"/>
        <v>-1.3574660633484194E-2</v>
      </c>
      <c r="G3537" s="37">
        <v>35.9</v>
      </c>
      <c r="H3537" s="790">
        <v>45756</v>
      </c>
    </row>
    <row r="3538" spans="3:8" x14ac:dyDescent="0.25">
      <c r="C3538" s="788">
        <v>5</v>
      </c>
      <c r="D3538" s="788">
        <v>110</v>
      </c>
      <c r="E3538" s="789">
        <v>44</v>
      </c>
      <c r="F3538" s="4">
        <f t="shared" si="60"/>
        <v>2.0881670533642659E-2</v>
      </c>
      <c r="G3538" s="37">
        <v>35.9</v>
      </c>
      <c r="H3538" s="790">
        <v>45756</v>
      </c>
    </row>
    <row r="3539" spans="3:8" x14ac:dyDescent="0.25">
      <c r="C3539" s="788">
        <v>6</v>
      </c>
      <c r="D3539" s="788">
        <v>0</v>
      </c>
      <c r="E3539" s="789">
        <v>51.5</v>
      </c>
      <c r="F3539" s="4">
        <f t="shared" si="60"/>
        <v>1.9455252918288216E-3</v>
      </c>
      <c r="G3539" s="37">
        <v>35.9</v>
      </c>
      <c r="H3539" s="790">
        <v>45756</v>
      </c>
    </row>
    <row r="3540" spans="3:8" x14ac:dyDescent="0.25">
      <c r="C3540" s="788">
        <v>7</v>
      </c>
      <c r="D3540" s="788">
        <v>0</v>
      </c>
      <c r="E3540" s="789"/>
      <c r="F3540" s="4" t="str">
        <f t="shared" si="60"/>
        <v/>
      </c>
      <c r="G3540" s="37">
        <v>35.9</v>
      </c>
      <c r="H3540" s="790">
        <v>45756</v>
      </c>
    </row>
    <row r="3541" spans="3:8" x14ac:dyDescent="0.25">
      <c r="C3541" s="788">
        <v>8</v>
      </c>
      <c r="D3541" s="788">
        <v>58</v>
      </c>
      <c r="E3541" s="789">
        <v>32.1</v>
      </c>
      <c r="F3541" s="4">
        <f t="shared" si="60"/>
        <v>1.9047619047619094E-2</v>
      </c>
      <c r="G3541" s="37">
        <v>35.9</v>
      </c>
      <c r="H3541" s="790">
        <v>45756</v>
      </c>
    </row>
    <row r="3542" spans="3:8" x14ac:dyDescent="0.25">
      <c r="C3542" s="788">
        <v>9</v>
      </c>
      <c r="D3542" s="788">
        <v>83</v>
      </c>
      <c r="E3542" s="789">
        <v>40.4</v>
      </c>
      <c r="F3542" s="4">
        <f t="shared" si="60"/>
        <v>2.4813895781638073E-3</v>
      </c>
      <c r="G3542" s="37">
        <v>35.9</v>
      </c>
      <c r="H3542" s="790">
        <v>45756</v>
      </c>
    </row>
    <row r="3543" spans="3:8" x14ac:dyDescent="0.25">
      <c r="C3543" s="791" t="s">
        <v>0</v>
      </c>
      <c r="D3543" s="791" t="s">
        <v>7</v>
      </c>
      <c r="E3543" s="792" t="s">
        <v>4</v>
      </c>
      <c r="F3543" s="4" t="str">
        <f t="shared" si="60"/>
        <v/>
      </c>
      <c r="G3543" s="37">
        <v>37.700000000000003</v>
      </c>
      <c r="H3543" s="793">
        <v>45757</v>
      </c>
    </row>
    <row r="3544" spans="3:8" x14ac:dyDescent="0.25">
      <c r="C3544" s="791">
        <v>51</v>
      </c>
      <c r="D3544" s="791">
        <v>26</v>
      </c>
      <c r="E3544" s="792">
        <v>25.2</v>
      </c>
      <c r="F3544" s="4">
        <f t="shared" si="60"/>
        <v>2.0242914979757085E-2</v>
      </c>
      <c r="G3544" s="37">
        <v>37.700000000000003</v>
      </c>
      <c r="H3544" s="793">
        <v>45757</v>
      </c>
    </row>
    <row r="3545" spans="3:8" x14ac:dyDescent="0.25">
      <c r="C3545" s="791">
        <v>1</v>
      </c>
      <c r="D3545" s="791">
        <v>108</v>
      </c>
      <c r="E3545" s="792">
        <v>51.7</v>
      </c>
      <c r="F3545" s="4" t="str">
        <f t="shared" si="60"/>
        <v/>
      </c>
      <c r="G3545" s="37">
        <v>37.700000000000003</v>
      </c>
      <c r="H3545" s="793">
        <v>45757</v>
      </c>
    </row>
    <row r="3546" spans="3:8" x14ac:dyDescent="0.25">
      <c r="C3546" s="791">
        <v>2</v>
      </c>
      <c r="D3546" s="791">
        <v>45</v>
      </c>
      <c r="E3546" s="792">
        <v>35.1</v>
      </c>
      <c r="F3546" s="4">
        <f t="shared" si="60"/>
        <v>-8.4745762711863609E-3</v>
      </c>
      <c r="G3546" s="37">
        <v>37.700000000000003</v>
      </c>
      <c r="H3546" s="793">
        <v>45757</v>
      </c>
    </row>
    <row r="3547" spans="3:8" x14ac:dyDescent="0.25">
      <c r="C3547" s="791">
        <v>3</v>
      </c>
      <c r="D3547" s="791">
        <v>91</v>
      </c>
      <c r="E3547" s="792">
        <v>32.1</v>
      </c>
      <c r="F3547" s="4">
        <f t="shared" si="60"/>
        <v>-1.2307692307692264E-2</v>
      </c>
      <c r="G3547" s="37">
        <v>37.700000000000003</v>
      </c>
      <c r="H3547" s="793">
        <v>45757</v>
      </c>
    </row>
    <row r="3548" spans="3:8" x14ac:dyDescent="0.25">
      <c r="C3548" s="791">
        <v>4</v>
      </c>
      <c r="D3548" s="791">
        <v>86</v>
      </c>
      <c r="E3548" s="792">
        <v>22</v>
      </c>
      <c r="F3548" s="4">
        <f t="shared" ref="F3548:F3608" si="61">IFERROR((E3548-E3537)/E3537,"")</f>
        <v>9.1743119266054721E-3</v>
      </c>
      <c r="G3548" s="37">
        <v>37.700000000000003</v>
      </c>
      <c r="H3548" s="793">
        <v>45757</v>
      </c>
    </row>
    <row r="3549" spans="3:8" x14ac:dyDescent="0.25">
      <c r="C3549" s="791">
        <v>5</v>
      </c>
      <c r="D3549" s="791">
        <v>110</v>
      </c>
      <c r="E3549" s="792">
        <v>43.5</v>
      </c>
      <c r="F3549" s="4">
        <f t="shared" si="61"/>
        <v>-1.1363636363636364E-2</v>
      </c>
      <c r="G3549" s="37">
        <v>37.700000000000003</v>
      </c>
      <c r="H3549" s="793">
        <v>45757</v>
      </c>
    </row>
    <row r="3550" spans="3:8" x14ac:dyDescent="0.25">
      <c r="C3550" s="791">
        <v>6</v>
      </c>
      <c r="D3550" s="791">
        <v>0</v>
      </c>
      <c r="E3550" s="792"/>
      <c r="F3550" s="4">
        <f t="shared" si="61"/>
        <v>-1</v>
      </c>
      <c r="G3550" s="37">
        <v>37.700000000000003</v>
      </c>
      <c r="H3550" s="793">
        <v>45757</v>
      </c>
    </row>
    <row r="3551" spans="3:8" x14ac:dyDescent="0.25">
      <c r="C3551" s="791">
        <v>7</v>
      </c>
      <c r="D3551" s="791">
        <v>0</v>
      </c>
      <c r="E3551" s="792"/>
      <c r="F3551" s="4" t="str">
        <f t="shared" si="61"/>
        <v/>
      </c>
      <c r="G3551" s="37">
        <v>37.700000000000003</v>
      </c>
      <c r="H3551" s="793">
        <v>45757</v>
      </c>
    </row>
    <row r="3552" spans="3:8" x14ac:dyDescent="0.25">
      <c r="C3552" s="791">
        <v>8</v>
      </c>
      <c r="D3552" s="791">
        <v>58</v>
      </c>
      <c r="E3552" s="792">
        <v>31.3</v>
      </c>
      <c r="F3552" s="4">
        <f t="shared" si="61"/>
        <v>-2.4922118380062325E-2</v>
      </c>
      <c r="G3552" s="37">
        <v>37.700000000000003</v>
      </c>
      <c r="H3552" s="793">
        <v>45757</v>
      </c>
    </row>
    <row r="3553" spans="3:8" x14ac:dyDescent="0.25">
      <c r="C3553" s="791">
        <v>9</v>
      </c>
      <c r="D3553" s="791">
        <v>83</v>
      </c>
      <c r="E3553" s="792">
        <v>40.6</v>
      </c>
      <c r="F3553" s="4">
        <f t="shared" si="61"/>
        <v>4.9504950495050208E-3</v>
      </c>
      <c r="G3553" s="37">
        <v>37.700000000000003</v>
      </c>
      <c r="H3553" s="793">
        <v>45757</v>
      </c>
    </row>
    <row r="3554" spans="3:8" x14ac:dyDescent="0.25">
      <c r="C3554" s="794" t="s">
        <v>0</v>
      </c>
      <c r="D3554" s="794" t="s">
        <v>7</v>
      </c>
      <c r="E3554" s="795" t="s">
        <v>4</v>
      </c>
      <c r="F3554" s="4" t="str">
        <f t="shared" si="61"/>
        <v/>
      </c>
      <c r="G3554" s="37">
        <v>38.1</v>
      </c>
      <c r="H3554" s="796">
        <v>45758</v>
      </c>
    </row>
    <row r="3555" spans="3:8" x14ac:dyDescent="0.25">
      <c r="C3555" s="794">
        <v>51</v>
      </c>
      <c r="D3555" s="794">
        <v>29</v>
      </c>
      <c r="E3555" s="795">
        <v>21.8</v>
      </c>
      <c r="F3555" s="4">
        <f t="shared" si="61"/>
        <v>-0.13492063492063486</v>
      </c>
      <c r="G3555" s="37">
        <v>38.1</v>
      </c>
      <c r="H3555" s="796">
        <v>45758</v>
      </c>
    </row>
    <row r="3556" spans="3:8" x14ac:dyDescent="0.25">
      <c r="C3556" s="794">
        <v>1</v>
      </c>
      <c r="D3556" s="794">
        <v>107</v>
      </c>
      <c r="E3556" s="795">
        <v>51.2</v>
      </c>
      <c r="F3556" s="4">
        <f t="shared" si="61"/>
        <v>-9.6711798839458404E-3</v>
      </c>
      <c r="G3556" s="37">
        <v>38.1</v>
      </c>
      <c r="H3556" s="796">
        <v>45758</v>
      </c>
    </row>
    <row r="3557" spans="3:8" x14ac:dyDescent="0.25">
      <c r="C3557" s="794">
        <v>2</v>
      </c>
      <c r="D3557" s="794">
        <v>40</v>
      </c>
      <c r="E3557" s="795">
        <v>34.9</v>
      </c>
      <c r="F3557" s="4">
        <f t="shared" si="61"/>
        <v>-5.698005698005779E-3</v>
      </c>
      <c r="G3557" s="37">
        <v>38.1</v>
      </c>
      <c r="H3557" s="796">
        <v>45758</v>
      </c>
    </row>
    <row r="3558" spans="3:8" x14ac:dyDescent="0.25">
      <c r="C3558" s="794">
        <v>3</v>
      </c>
      <c r="D3558" s="794">
        <v>91</v>
      </c>
      <c r="E3558" s="795">
        <v>32.299999999999997</v>
      </c>
      <c r="F3558" s="4">
        <f t="shared" si="61"/>
        <v>6.2305295950154434E-3</v>
      </c>
      <c r="G3558" s="37">
        <v>38.1</v>
      </c>
      <c r="H3558" s="796">
        <v>45758</v>
      </c>
    </row>
    <row r="3559" spans="3:8" x14ac:dyDescent="0.25">
      <c r="C3559" s="794">
        <v>4</v>
      </c>
      <c r="D3559" s="794">
        <v>86</v>
      </c>
      <c r="E3559" s="795">
        <v>21.6</v>
      </c>
      <c r="F3559" s="4">
        <f t="shared" si="61"/>
        <v>-1.8181818181818118E-2</v>
      </c>
      <c r="G3559" s="37">
        <v>38.1</v>
      </c>
      <c r="H3559" s="796">
        <v>45758</v>
      </c>
    </row>
    <row r="3560" spans="3:8" x14ac:dyDescent="0.25">
      <c r="C3560" s="794">
        <v>5</v>
      </c>
      <c r="D3560" s="794">
        <v>106</v>
      </c>
      <c r="E3560" s="795">
        <v>44</v>
      </c>
      <c r="F3560" s="4">
        <f t="shared" si="61"/>
        <v>1.1494252873563218E-2</v>
      </c>
      <c r="G3560" s="37">
        <v>38.1</v>
      </c>
      <c r="H3560" s="796">
        <v>45758</v>
      </c>
    </row>
    <row r="3561" spans="3:8" x14ac:dyDescent="0.25">
      <c r="C3561" s="794">
        <v>6</v>
      </c>
      <c r="D3561" s="794">
        <v>0</v>
      </c>
      <c r="E3561" s="795"/>
      <c r="F3561" s="4" t="str">
        <f t="shared" si="61"/>
        <v/>
      </c>
      <c r="G3561" s="37">
        <v>38.1</v>
      </c>
      <c r="H3561" s="796">
        <v>45758</v>
      </c>
    </row>
    <row r="3562" spans="3:8" x14ac:dyDescent="0.25">
      <c r="C3562" s="794">
        <v>7</v>
      </c>
      <c r="D3562" s="794">
        <v>0</v>
      </c>
      <c r="E3562" s="795"/>
      <c r="F3562" s="4" t="str">
        <f t="shared" si="61"/>
        <v/>
      </c>
      <c r="G3562" s="37">
        <v>38.1</v>
      </c>
      <c r="H3562" s="796">
        <v>45758</v>
      </c>
    </row>
    <row r="3563" spans="3:8" x14ac:dyDescent="0.25">
      <c r="C3563" s="794">
        <v>8</v>
      </c>
      <c r="D3563" s="794">
        <v>57</v>
      </c>
      <c r="E3563" s="795">
        <v>30.6</v>
      </c>
      <c r="F3563" s="4">
        <f t="shared" si="61"/>
        <v>-2.2364217252396144E-2</v>
      </c>
      <c r="G3563" s="37">
        <v>38.1</v>
      </c>
      <c r="H3563" s="796">
        <v>45758</v>
      </c>
    </row>
    <row r="3564" spans="3:8" x14ac:dyDescent="0.25">
      <c r="C3564" s="794">
        <v>9</v>
      </c>
      <c r="D3564" s="794">
        <v>83</v>
      </c>
      <c r="E3564" s="795">
        <v>40.4</v>
      </c>
      <c r="F3564" s="4">
        <f t="shared" si="61"/>
        <v>-4.9261083743843059E-3</v>
      </c>
      <c r="G3564" s="37">
        <v>38.1</v>
      </c>
      <c r="H3564" s="796">
        <v>45758</v>
      </c>
    </row>
    <row r="3565" spans="3:8" x14ac:dyDescent="0.25">
      <c r="C3565" s="797" t="s">
        <v>0</v>
      </c>
      <c r="D3565" s="797" t="s">
        <v>7</v>
      </c>
      <c r="E3565" s="798" t="s">
        <v>4</v>
      </c>
      <c r="F3565" s="4" t="str">
        <f t="shared" si="61"/>
        <v/>
      </c>
      <c r="G3565" s="37">
        <v>37.9</v>
      </c>
      <c r="H3565" s="796">
        <v>45759</v>
      </c>
    </row>
    <row r="3566" spans="3:8" x14ac:dyDescent="0.25">
      <c r="C3566" s="797">
        <v>51</v>
      </c>
      <c r="D3566" s="797">
        <v>29</v>
      </c>
      <c r="E3566" s="798">
        <v>24.8</v>
      </c>
      <c r="F3566" s="4">
        <f t="shared" si="61"/>
        <v>0.13761467889908258</v>
      </c>
      <c r="G3566" s="37">
        <v>37.9</v>
      </c>
      <c r="H3566" s="796">
        <v>45759</v>
      </c>
    </row>
    <row r="3567" spans="3:8" x14ac:dyDescent="0.25">
      <c r="C3567" s="797">
        <v>1</v>
      </c>
      <c r="D3567" s="797">
        <v>107</v>
      </c>
      <c r="E3567" s="798">
        <v>51.4</v>
      </c>
      <c r="F3567" s="4">
        <f t="shared" si="61"/>
        <v>3.9062499999999167E-3</v>
      </c>
      <c r="G3567" s="37">
        <v>37.9</v>
      </c>
      <c r="H3567" s="796">
        <v>45759</v>
      </c>
    </row>
    <row r="3568" spans="3:8" x14ac:dyDescent="0.25">
      <c r="C3568" s="797">
        <v>2</v>
      </c>
      <c r="D3568" s="797">
        <v>40</v>
      </c>
      <c r="E3568" s="798">
        <v>34.5</v>
      </c>
      <c r="F3568" s="4">
        <f t="shared" si="61"/>
        <v>-1.1461318051575891E-2</v>
      </c>
      <c r="G3568" s="37">
        <v>37.9</v>
      </c>
      <c r="H3568" s="796">
        <v>45759</v>
      </c>
    </row>
    <row r="3569" spans="3:8" x14ac:dyDescent="0.25">
      <c r="C3569" s="797">
        <v>3</v>
      </c>
      <c r="D3569" s="797">
        <v>91</v>
      </c>
      <c r="E3569" s="798">
        <v>33.200000000000003</v>
      </c>
      <c r="F3569" s="4">
        <f t="shared" si="61"/>
        <v>2.7863777089783461E-2</v>
      </c>
      <c r="G3569" s="37">
        <v>37.9</v>
      </c>
      <c r="H3569" s="796">
        <v>45759</v>
      </c>
    </row>
    <row r="3570" spans="3:8" x14ac:dyDescent="0.25">
      <c r="C3570" s="797">
        <v>4</v>
      </c>
      <c r="D3570" s="797">
        <v>87</v>
      </c>
      <c r="E3570" s="798">
        <v>23.2</v>
      </c>
      <c r="F3570" s="4">
        <f t="shared" si="61"/>
        <v>7.4074074074073973E-2</v>
      </c>
      <c r="G3570" s="37">
        <v>37.9</v>
      </c>
      <c r="H3570" s="796">
        <v>45759</v>
      </c>
    </row>
    <row r="3571" spans="3:8" x14ac:dyDescent="0.25">
      <c r="C3571" s="797">
        <v>5</v>
      </c>
      <c r="D3571" s="797">
        <v>106</v>
      </c>
      <c r="E3571" s="798">
        <v>43.7</v>
      </c>
      <c r="F3571" s="4">
        <f t="shared" si="61"/>
        <v>-6.8181818181817537E-3</v>
      </c>
      <c r="G3571" s="37">
        <v>37.9</v>
      </c>
      <c r="H3571" s="796">
        <v>45759</v>
      </c>
    </row>
    <row r="3572" spans="3:8" x14ac:dyDescent="0.25">
      <c r="C3572" s="797">
        <v>6</v>
      </c>
      <c r="D3572" s="797">
        <v>0</v>
      </c>
      <c r="E3572" s="798"/>
      <c r="F3572" s="4" t="str">
        <f t="shared" si="61"/>
        <v/>
      </c>
      <c r="G3572" s="37">
        <v>37.9</v>
      </c>
      <c r="H3572" s="796">
        <v>45759</v>
      </c>
    </row>
    <row r="3573" spans="3:8" x14ac:dyDescent="0.25">
      <c r="C3573" s="797">
        <v>7</v>
      </c>
      <c r="D3573" s="797">
        <v>0</v>
      </c>
      <c r="E3573" s="798"/>
      <c r="F3573" s="4" t="str">
        <f t="shared" si="61"/>
        <v/>
      </c>
      <c r="G3573" s="37">
        <v>37.9</v>
      </c>
      <c r="H3573" s="796">
        <v>45759</v>
      </c>
    </row>
    <row r="3574" spans="3:8" x14ac:dyDescent="0.25">
      <c r="C3574" s="797">
        <v>8</v>
      </c>
      <c r="D3574" s="797">
        <v>57</v>
      </c>
      <c r="E3574" s="798">
        <v>31.3</v>
      </c>
      <c r="F3574" s="4">
        <f t="shared" si="61"/>
        <v>2.2875816993464027E-2</v>
      </c>
      <c r="G3574" s="37">
        <v>37.9</v>
      </c>
      <c r="H3574" s="796">
        <v>45759</v>
      </c>
    </row>
    <row r="3575" spans="3:8" x14ac:dyDescent="0.25">
      <c r="C3575" s="797">
        <v>9</v>
      </c>
      <c r="D3575" s="797">
        <v>83</v>
      </c>
      <c r="E3575" s="798">
        <v>40.700000000000003</v>
      </c>
      <c r="F3575" s="4">
        <f t="shared" si="61"/>
        <v>7.4257425742575312E-3</v>
      </c>
      <c r="G3575" s="37">
        <v>37.9</v>
      </c>
      <c r="H3575" s="796">
        <v>45759</v>
      </c>
    </row>
    <row r="3576" spans="3:8" x14ac:dyDescent="0.25">
      <c r="C3576" s="799" t="s">
        <v>0</v>
      </c>
      <c r="D3576" s="799" t="s">
        <v>7</v>
      </c>
      <c r="E3576" s="800" t="s">
        <v>4</v>
      </c>
      <c r="F3576" s="4" t="str">
        <f t="shared" si="61"/>
        <v/>
      </c>
      <c r="G3576" s="37">
        <v>37.4</v>
      </c>
      <c r="H3576" s="801">
        <v>45760</v>
      </c>
    </row>
    <row r="3577" spans="3:8" x14ac:dyDescent="0.25">
      <c r="C3577" s="799">
        <v>51</v>
      </c>
      <c r="D3577" s="799">
        <v>33</v>
      </c>
      <c r="E3577" s="800">
        <v>26.2</v>
      </c>
      <c r="F3577" s="4">
        <f t="shared" si="61"/>
        <v>5.6451612903225749E-2</v>
      </c>
      <c r="G3577" s="37">
        <v>37.4</v>
      </c>
      <c r="H3577" s="801">
        <v>45760</v>
      </c>
    </row>
    <row r="3578" spans="3:8" x14ac:dyDescent="0.25">
      <c r="C3578" s="799">
        <v>1</v>
      </c>
      <c r="D3578" s="799">
        <v>107</v>
      </c>
      <c r="E3578" s="800">
        <v>52.2</v>
      </c>
      <c r="F3578" s="4">
        <f t="shared" si="61"/>
        <v>1.5564202334630434E-2</v>
      </c>
      <c r="G3578" s="37">
        <v>37.4</v>
      </c>
      <c r="H3578" s="801">
        <v>45760</v>
      </c>
    </row>
    <row r="3579" spans="3:8" x14ac:dyDescent="0.25">
      <c r="C3579" s="799">
        <v>2</v>
      </c>
      <c r="D3579" s="799">
        <v>40</v>
      </c>
      <c r="E3579" s="800">
        <v>34.700000000000003</v>
      </c>
      <c r="F3579" s="4">
        <f t="shared" si="61"/>
        <v>5.7971014492754448E-3</v>
      </c>
      <c r="G3579" s="37">
        <v>37.4</v>
      </c>
      <c r="H3579" s="801">
        <v>45760</v>
      </c>
    </row>
    <row r="3580" spans="3:8" x14ac:dyDescent="0.25">
      <c r="C3580" s="799">
        <v>3</v>
      </c>
      <c r="D3580" s="799">
        <v>92</v>
      </c>
      <c r="E3580" s="800">
        <v>33</v>
      </c>
      <c r="F3580" s="4">
        <f t="shared" si="61"/>
        <v>-6.024096385542254E-3</v>
      </c>
      <c r="G3580" s="37">
        <v>37.4</v>
      </c>
      <c r="H3580" s="801">
        <v>45760</v>
      </c>
    </row>
    <row r="3581" spans="3:8" x14ac:dyDescent="0.25">
      <c r="C3581" s="799">
        <v>4</v>
      </c>
      <c r="D3581" s="799">
        <v>88</v>
      </c>
      <c r="E3581" s="800">
        <v>21.3</v>
      </c>
      <c r="F3581" s="4">
        <f t="shared" si="61"/>
        <v>-8.1896551724137873E-2</v>
      </c>
      <c r="G3581" s="37">
        <v>37.4</v>
      </c>
      <c r="H3581" s="801">
        <v>45760</v>
      </c>
    </row>
    <row r="3582" spans="3:8" x14ac:dyDescent="0.25">
      <c r="C3582" s="799">
        <v>5</v>
      </c>
      <c r="D3582" s="799">
        <v>107</v>
      </c>
      <c r="E3582" s="800">
        <v>43.6</v>
      </c>
      <c r="F3582" s="4">
        <f t="shared" si="61"/>
        <v>-2.2883295194508334E-3</v>
      </c>
      <c r="G3582" s="37">
        <v>37.4</v>
      </c>
      <c r="H3582" s="801">
        <v>45760</v>
      </c>
    </row>
    <row r="3583" spans="3:8" x14ac:dyDescent="0.25">
      <c r="C3583" s="799">
        <v>6</v>
      </c>
      <c r="D3583" s="799">
        <v>0</v>
      </c>
      <c r="E3583" s="800"/>
      <c r="F3583" s="4" t="str">
        <f t="shared" si="61"/>
        <v/>
      </c>
      <c r="G3583" s="37">
        <v>37.4</v>
      </c>
      <c r="H3583" s="801">
        <v>45760</v>
      </c>
    </row>
    <row r="3584" spans="3:8" x14ac:dyDescent="0.25">
      <c r="C3584" s="799">
        <v>7</v>
      </c>
      <c r="D3584" s="799">
        <v>0</v>
      </c>
      <c r="E3584" s="800"/>
      <c r="F3584" s="4" t="str">
        <f t="shared" si="61"/>
        <v/>
      </c>
      <c r="G3584" s="37">
        <v>37.4</v>
      </c>
      <c r="H3584" s="801">
        <v>45760</v>
      </c>
    </row>
    <row r="3585" spans="3:8" x14ac:dyDescent="0.25">
      <c r="C3585" s="799">
        <v>8</v>
      </c>
      <c r="D3585" s="799">
        <v>57</v>
      </c>
      <c r="E3585" s="800">
        <v>31.1</v>
      </c>
      <c r="F3585" s="4">
        <f t="shared" si="61"/>
        <v>-6.3897763578274532E-3</v>
      </c>
      <c r="G3585" s="37">
        <v>37.4</v>
      </c>
      <c r="H3585" s="801">
        <v>45760</v>
      </c>
    </row>
    <row r="3586" spans="3:8" x14ac:dyDescent="0.25">
      <c r="C3586" s="799">
        <v>9</v>
      </c>
      <c r="D3586" s="799">
        <v>83</v>
      </c>
      <c r="E3586" s="800">
        <v>38.1</v>
      </c>
      <c r="F3586" s="4">
        <f t="shared" si="61"/>
        <v>-6.3882063882063911E-2</v>
      </c>
      <c r="G3586" s="37">
        <v>37.4</v>
      </c>
      <c r="H3586" s="801">
        <v>45760</v>
      </c>
    </row>
    <row r="3587" spans="3:8" x14ac:dyDescent="0.25">
      <c r="C3587" s="802" t="s">
        <v>0</v>
      </c>
      <c r="D3587" s="802" t="s">
        <v>7</v>
      </c>
      <c r="E3587" s="803" t="s">
        <v>4</v>
      </c>
      <c r="F3587" s="4" t="str">
        <f t="shared" si="61"/>
        <v/>
      </c>
      <c r="G3587" s="37">
        <v>37.6</v>
      </c>
      <c r="H3587" s="804">
        <v>45761</v>
      </c>
    </row>
    <row r="3588" spans="3:8" x14ac:dyDescent="0.25">
      <c r="C3588" s="802">
        <v>51</v>
      </c>
      <c r="D3588" s="802">
        <v>34</v>
      </c>
      <c r="E3588" s="803">
        <v>26.2</v>
      </c>
      <c r="F3588" s="4">
        <f t="shared" si="61"/>
        <v>0</v>
      </c>
      <c r="G3588" s="37">
        <v>37.6</v>
      </c>
      <c r="H3588" s="804">
        <v>45761</v>
      </c>
    </row>
    <row r="3589" spans="3:8" x14ac:dyDescent="0.25">
      <c r="C3589" s="802">
        <v>1</v>
      </c>
      <c r="D3589" s="802">
        <v>107</v>
      </c>
      <c r="E3589" s="803">
        <v>50.5</v>
      </c>
      <c r="F3589" s="4">
        <f t="shared" si="61"/>
        <v>-3.2567049808429172E-2</v>
      </c>
      <c r="G3589" s="37">
        <v>37.6</v>
      </c>
      <c r="H3589" s="804">
        <v>45761</v>
      </c>
    </row>
    <row r="3590" spans="3:8" x14ac:dyDescent="0.25">
      <c r="C3590" s="802">
        <v>2</v>
      </c>
      <c r="D3590" s="802">
        <v>41</v>
      </c>
      <c r="E3590" s="803">
        <v>34.200000000000003</v>
      </c>
      <c r="F3590" s="4">
        <f t="shared" si="61"/>
        <v>-1.4409221902017291E-2</v>
      </c>
      <c r="G3590" s="37">
        <v>37.6</v>
      </c>
      <c r="H3590" s="804">
        <v>45761</v>
      </c>
    </row>
    <row r="3591" spans="3:8" x14ac:dyDescent="0.25">
      <c r="C3591" s="802">
        <v>3</v>
      </c>
      <c r="D3591" s="802">
        <v>92</v>
      </c>
      <c r="E3591" s="803">
        <v>33.200000000000003</v>
      </c>
      <c r="F3591" s="4">
        <f t="shared" si="61"/>
        <v>6.0606060606061465E-3</v>
      </c>
      <c r="G3591" s="37">
        <v>37.6</v>
      </c>
      <c r="H3591" s="804">
        <v>45761</v>
      </c>
    </row>
    <row r="3592" spans="3:8" x14ac:dyDescent="0.25">
      <c r="C3592" s="802">
        <v>4</v>
      </c>
      <c r="D3592" s="802">
        <v>88</v>
      </c>
      <c r="E3592" s="803">
        <v>23</v>
      </c>
      <c r="F3592" s="4">
        <f t="shared" si="61"/>
        <v>7.9812206572769911E-2</v>
      </c>
      <c r="G3592" s="37">
        <v>37.6</v>
      </c>
      <c r="H3592" s="804">
        <v>45761</v>
      </c>
    </row>
    <row r="3593" spans="3:8" x14ac:dyDescent="0.25">
      <c r="C3593" s="802">
        <v>5</v>
      </c>
      <c r="D3593" s="802">
        <v>108</v>
      </c>
      <c r="E3593" s="803">
        <v>41.4</v>
      </c>
      <c r="F3593" s="4">
        <f t="shared" si="61"/>
        <v>-5.045871559633034E-2</v>
      </c>
      <c r="G3593" s="37">
        <v>37.6</v>
      </c>
      <c r="H3593" s="804">
        <v>45761</v>
      </c>
    </row>
    <row r="3594" spans="3:8" x14ac:dyDescent="0.25">
      <c r="C3594" s="802">
        <v>6</v>
      </c>
      <c r="D3594" s="802">
        <v>0</v>
      </c>
      <c r="E3594" s="803"/>
      <c r="F3594" s="4" t="str">
        <f t="shared" si="61"/>
        <v/>
      </c>
      <c r="G3594" s="37">
        <v>37.6</v>
      </c>
      <c r="H3594" s="804">
        <v>45761</v>
      </c>
    </row>
    <row r="3595" spans="3:8" x14ac:dyDescent="0.25">
      <c r="C3595" s="802">
        <v>7</v>
      </c>
      <c r="D3595" s="802">
        <v>0</v>
      </c>
      <c r="E3595" s="803"/>
      <c r="F3595" s="4" t="str">
        <f t="shared" si="61"/>
        <v/>
      </c>
      <c r="G3595" s="37">
        <v>37.6</v>
      </c>
      <c r="H3595" s="804">
        <v>45761</v>
      </c>
    </row>
    <row r="3596" spans="3:8" x14ac:dyDescent="0.25">
      <c r="C3596" s="802">
        <v>8</v>
      </c>
      <c r="D3596" s="802">
        <v>57</v>
      </c>
      <c r="E3596" s="803">
        <v>32.1</v>
      </c>
      <c r="F3596" s="4">
        <f t="shared" si="61"/>
        <v>3.215434083601286E-2</v>
      </c>
      <c r="G3596" s="37">
        <v>37.6</v>
      </c>
      <c r="H3596" s="804">
        <v>45761</v>
      </c>
    </row>
    <row r="3597" spans="3:8" x14ac:dyDescent="0.25">
      <c r="C3597" s="802">
        <v>9</v>
      </c>
      <c r="D3597" s="802">
        <v>83</v>
      </c>
      <c r="E3597" s="803">
        <v>41.8</v>
      </c>
      <c r="F3597" s="4">
        <f t="shared" si="61"/>
        <v>9.7112860892388339E-2</v>
      </c>
      <c r="G3597" s="37">
        <v>37.6</v>
      </c>
      <c r="H3597" s="804">
        <v>45761</v>
      </c>
    </row>
    <row r="3598" spans="3:8" x14ac:dyDescent="0.25">
      <c r="C3598" s="805" t="s">
        <v>0</v>
      </c>
      <c r="D3598" s="805" t="s">
        <v>7</v>
      </c>
      <c r="E3598" s="806" t="s">
        <v>4</v>
      </c>
      <c r="F3598" s="4" t="str">
        <f t="shared" si="61"/>
        <v/>
      </c>
      <c r="G3598" s="37">
        <v>36.9</v>
      </c>
      <c r="H3598" s="807">
        <v>45762</v>
      </c>
    </row>
    <row r="3599" spans="3:8" x14ac:dyDescent="0.25">
      <c r="C3599" s="805">
        <v>51</v>
      </c>
      <c r="D3599" s="805">
        <v>29</v>
      </c>
      <c r="E3599" s="806">
        <v>28</v>
      </c>
      <c r="F3599" s="4">
        <f t="shared" si="61"/>
        <v>6.8702290076335909E-2</v>
      </c>
      <c r="G3599" s="37">
        <v>36.9</v>
      </c>
      <c r="H3599" s="807">
        <v>45762</v>
      </c>
    </row>
    <row r="3600" spans="3:8" x14ac:dyDescent="0.25">
      <c r="C3600" s="805">
        <v>1</v>
      </c>
      <c r="D3600" s="805">
        <v>106</v>
      </c>
      <c r="E3600" s="806">
        <v>50.1</v>
      </c>
      <c r="F3600" s="4">
        <f t="shared" si="61"/>
        <v>-7.9207920792078931E-3</v>
      </c>
      <c r="G3600" s="37">
        <v>36.9</v>
      </c>
      <c r="H3600" s="807">
        <v>45762</v>
      </c>
    </row>
    <row r="3601" spans="3:8" x14ac:dyDescent="0.25">
      <c r="C3601" s="805">
        <v>2</v>
      </c>
      <c r="D3601" s="805">
        <v>43</v>
      </c>
      <c r="E3601" s="806">
        <v>33.5</v>
      </c>
      <c r="F3601" s="4">
        <f t="shared" si="61"/>
        <v>-2.0467836257310024E-2</v>
      </c>
      <c r="G3601" s="37">
        <v>36.9</v>
      </c>
      <c r="H3601" s="807">
        <v>45762</v>
      </c>
    </row>
    <row r="3602" spans="3:8" x14ac:dyDescent="0.25">
      <c r="C3602" s="805">
        <v>3</v>
      </c>
      <c r="D3602" s="805">
        <v>91</v>
      </c>
      <c r="E3602" s="806">
        <v>32.9</v>
      </c>
      <c r="F3602" s="4">
        <f t="shared" si="61"/>
        <v>-9.036144578313381E-3</v>
      </c>
      <c r="G3602" s="37">
        <v>36.9</v>
      </c>
      <c r="H3602" s="807">
        <v>45762</v>
      </c>
    </row>
    <row r="3603" spans="3:8" x14ac:dyDescent="0.25">
      <c r="C3603" s="805">
        <v>4</v>
      </c>
      <c r="D3603" s="805">
        <v>88</v>
      </c>
      <c r="E3603" s="806">
        <v>23</v>
      </c>
      <c r="F3603" s="4">
        <f t="shared" si="61"/>
        <v>0</v>
      </c>
      <c r="G3603" s="37">
        <v>36.9</v>
      </c>
      <c r="H3603" s="807">
        <v>45762</v>
      </c>
    </row>
    <row r="3604" spans="3:8" x14ac:dyDescent="0.25">
      <c r="C3604" s="805">
        <v>5</v>
      </c>
      <c r="D3604" s="805">
        <v>113</v>
      </c>
      <c r="E3604" s="806">
        <v>42.2</v>
      </c>
      <c r="F3604" s="4">
        <f t="shared" si="61"/>
        <v>1.9323671497584644E-2</v>
      </c>
      <c r="G3604" s="37">
        <v>36.9</v>
      </c>
      <c r="H3604" s="807">
        <v>45762</v>
      </c>
    </row>
    <row r="3605" spans="3:8" x14ac:dyDescent="0.25">
      <c r="C3605" s="805">
        <v>6</v>
      </c>
      <c r="D3605" s="805">
        <v>0</v>
      </c>
      <c r="E3605" s="806"/>
      <c r="F3605" s="4" t="str">
        <f t="shared" si="61"/>
        <v/>
      </c>
      <c r="G3605" s="37">
        <v>36.9</v>
      </c>
      <c r="H3605" s="807">
        <v>45762</v>
      </c>
    </row>
    <row r="3606" spans="3:8" x14ac:dyDescent="0.25">
      <c r="C3606" s="805">
        <v>7</v>
      </c>
      <c r="D3606" s="805">
        <v>0</v>
      </c>
      <c r="E3606" s="806"/>
      <c r="F3606" s="4" t="str">
        <f t="shared" si="61"/>
        <v/>
      </c>
      <c r="G3606" s="37">
        <v>36.9</v>
      </c>
      <c r="H3606" s="807">
        <v>45762</v>
      </c>
    </row>
    <row r="3607" spans="3:8" x14ac:dyDescent="0.25">
      <c r="C3607" s="805">
        <v>8</v>
      </c>
      <c r="D3607" s="805">
        <v>57</v>
      </c>
      <c r="E3607" s="806">
        <v>29</v>
      </c>
      <c r="F3607" s="4">
        <f t="shared" si="61"/>
        <v>-9.6573208722741471E-2</v>
      </c>
      <c r="G3607" s="37">
        <v>36.9</v>
      </c>
      <c r="H3607" s="807">
        <v>45762</v>
      </c>
    </row>
    <row r="3608" spans="3:8" x14ac:dyDescent="0.25">
      <c r="C3608" s="805">
        <v>9</v>
      </c>
      <c r="D3608" s="805">
        <v>83</v>
      </c>
      <c r="E3608" s="806">
        <v>40.5</v>
      </c>
      <c r="F3608" s="4">
        <f t="shared" si="61"/>
        <v>-3.1100478468899455E-2</v>
      </c>
      <c r="G3608" s="37">
        <v>36.9</v>
      </c>
      <c r="H3608" s="807">
        <v>45762</v>
      </c>
    </row>
    <row r="3609" spans="3:8" x14ac:dyDescent="0.25">
      <c r="C3609" s="808" t="s">
        <v>0</v>
      </c>
      <c r="D3609" s="808" t="s">
        <v>7</v>
      </c>
      <c r="E3609" s="809" t="s">
        <v>4</v>
      </c>
      <c r="F3609" s="4" t="str">
        <f>IFERROR((E3609-E3598)/E3598,"")</f>
        <v/>
      </c>
      <c r="G3609" s="37">
        <v>37.5</v>
      </c>
      <c r="H3609" s="810">
        <v>45763</v>
      </c>
    </row>
    <row r="3610" spans="3:8" x14ac:dyDescent="0.25">
      <c r="C3610" s="808">
        <v>51</v>
      </c>
      <c r="D3610" s="808">
        <v>32</v>
      </c>
      <c r="E3610" s="809">
        <v>26.7</v>
      </c>
      <c r="F3610" s="4">
        <f>IFERROR((E3610-E3599)/E3599,"")</f>
        <v>-4.6428571428571451E-2</v>
      </c>
      <c r="G3610" s="37">
        <v>37.5</v>
      </c>
      <c r="H3610" s="810">
        <v>45763</v>
      </c>
    </row>
    <row r="3611" spans="3:8" x14ac:dyDescent="0.25">
      <c r="C3611" s="808">
        <v>1</v>
      </c>
      <c r="D3611" s="808">
        <v>105</v>
      </c>
      <c r="E3611" s="809">
        <v>52</v>
      </c>
      <c r="F3611" s="4">
        <f t="shared" ref="F3611:F3621" si="62">IFERROR((E3611-E3600)/E3600,"")</f>
        <v>3.7924151696606755E-2</v>
      </c>
      <c r="G3611" s="37">
        <v>37.5</v>
      </c>
      <c r="H3611" s="810">
        <v>45763</v>
      </c>
    </row>
    <row r="3612" spans="3:8" x14ac:dyDescent="0.25">
      <c r="C3612" s="808">
        <v>2</v>
      </c>
      <c r="D3612" s="808">
        <v>43</v>
      </c>
      <c r="E3612" s="809">
        <v>34.9</v>
      </c>
      <c r="F3612" s="4">
        <f t="shared" si="62"/>
        <v>4.1791044776119363E-2</v>
      </c>
      <c r="G3612" s="37">
        <v>37.5</v>
      </c>
      <c r="H3612" s="810">
        <v>45763</v>
      </c>
    </row>
    <row r="3613" spans="3:8" x14ac:dyDescent="0.25">
      <c r="C3613" s="808">
        <v>3</v>
      </c>
      <c r="D3613" s="808">
        <v>91</v>
      </c>
      <c r="E3613" s="809">
        <v>34</v>
      </c>
      <c r="F3613" s="4">
        <f t="shared" si="62"/>
        <v>3.3434650455927098E-2</v>
      </c>
      <c r="G3613" s="37">
        <v>37.5</v>
      </c>
      <c r="H3613" s="810">
        <v>45763</v>
      </c>
    </row>
    <row r="3614" spans="3:8" x14ac:dyDescent="0.25">
      <c r="C3614" s="808">
        <v>4</v>
      </c>
      <c r="D3614" s="808">
        <v>88</v>
      </c>
      <c r="E3614" s="809">
        <v>22.6</v>
      </c>
      <c r="F3614" s="4">
        <f t="shared" si="62"/>
        <v>-1.7391304347826025E-2</v>
      </c>
      <c r="G3614" s="37">
        <v>37.5</v>
      </c>
      <c r="H3614" s="810">
        <v>45763</v>
      </c>
    </row>
    <row r="3615" spans="3:8" x14ac:dyDescent="0.25">
      <c r="C3615" s="808">
        <v>5</v>
      </c>
      <c r="D3615" s="808">
        <v>113</v>
      </c>
      <c r="E3615" s="809">
        <v>44.3</v>
      </c>
      <c r="F3615" s="4">
        <f t="shared" si="62"/>
        <v>4.9763033175355312E-2</v>
      </c>
      <c r="G3615" s="37">
        <v>37.5</v>
      </c>
      <c r="H3615" s="810">
        <v>45763</v>
      </c>
    </row>
    <row r="3616" spans="3:8" x14ac:dyDescent="0.25">
      <c r="C3616" s="808">
        <v>6</v>
      </c>
      <c r="D3616" s="808">
        <v>0</v>
      </c>
      <c r="E3616" s="809"/>
      <c r="F3616" s="4" t="str">
        <f t="shared" si="62"/>
        <v/>
      </c>
      <c r="G3616" s="37">
        <v>37.5</v>
      </c>
      <c r="H3616" s="810">
        <v>45763</v>
      </c>
    </row>
    <row r="3617" spans="3:8" x14ac:dyDescent="0.25">
      <c r="C3617" s="808">
        <v>7</v>
      </c>
      <c r="D3617" s="808">
        <v>0</v>
      </c>
      <c r="E3617" s="809"/>
      <c r="F3617" s="4" t="str">
        <f t="shared" si="62"/>
        <v/>
      </c>
      <c r="G3617" s="37">
        <v>37.5</v>
      </c>
      <c r="H3617" s="810">
        <v>45763</v>
      </c>
    </row>
    <row r="3618" spans="3:8" x14ac:dyDescent="0.25">
      <c r="C3618" s="808">
        <v>8</v>
      </c>
      <c r="D3618" s="808">
        <v>57</v>
      </c>
      <c r="E3618" s="809">
        <v>31.6</v>
      </c>
      <c r="F3618" s="4">
        <f t="shared" si="62"/>
        <v>8.9655172413793158E-2</v>
      </c>
      <c r="G3618" s="37">
        <v>37.5</v>
      </c>
      <c r="H3618" s="810">
        <v>45763</v>
      </c>
    </row>
    <row r="3619" spans="3:8" x14ac:dyDescent="0.25">
      <c r="C3619" s="808">
        <v>9</v>
      </c>
      <c r="D3619" s="808">
        <v>82</v>
      </c>
      <c r="E3619" s="809">
        <v>41.5</v>
      </c>
      <c r="F3619" s="4">
        <f t="shared" si="62"/>
        <v>2.4691358024691357E-2</v>
      </c>
      <c r="G3619" s="37">
        <v>37.5</v>
      </c>
      <c r="H3619" s="810">
        <v>45763</v>
      </c>
    </row>
    <row r="3620" spans="3:8" x14ac:dyDescent="0.25">
      <c r="C3620" s="808">
        <v>10</v>
      </c>
      <c r="D3620" s="814">
        <v>120</v>
      </c>
      <c r="E3620" s="815"/>
      <c r="F3620" s="4" t="str">
        <f>IFERROR((E3620-E3620)/E3609,"")</f>
        <v/>
      </c>
      <c r="G3620" s="37">
        <v>37.5</v>
      </c>
      <c r="H3620" s="810">
        <v>45763</v>
      </c>
    </row>
    <row r="3621" spans="3:8" x14ac:dyDescent="0.25">
      <c r="C3621" s="811" t="s">
        <v>0</v>
      </c>
      <c r="D3621" s="811" t="s">
        <v>7</v>
      </c>
      <c r="E3621" s="812" t="s">
        <v>4</v>
      </c>
      <c r="F3621" s="4" t="str">
        <f t="shared" si="62"/>
        <v/>
      </c>
      <c r="G3621" s="37">
        <v>37.1</v>
      </c>
      <c r="H3621" s="813">
        <v>45764</v>
      </c>
    </row>
    <row r="3622" spans="3:8" x14ac:dyDescent="0.25">
      <c r="C3622" s="811">
        <v>51</v>
      </c>
      <c r="D3622" s="811">
        <v>22</v>
      </c>
      <c r="E3622" s="812">
        <v>22.9</v>
      </c>
      <c r="F3622" s="4">
        <f t="shared" ref="F3622:F3685" si="63">IFERROR((E3622-E3610)/E3610,"")</f>
        <v>-0.1423220973782772</v>
      </c>
      <c r="G3622" s="37">
        <v>37.1</v>
      </c>
      <c r="H3622" s="813">
        <v>45764</v>
      </c>
    </row>
    <row r="3623" spans="3:8" x14ac:dyDescent="0.25">
      <c r="C3623" s="811">
        <v>1</v>
      </c>
      <c r="D3623" s="811">
        <v>105</v>
      </c>
      <c r="E3623" s="812">
        <v>51.3</v>
      </c>
      <c r="F3623" s="4">
        <f t="shared" si="63"/>
        <v>-1.3461538461538516E-2</v>
      </c>
      <c r="G3623" s="37">
        <v>37.1</v>
      </c>
      <c r="H3623" s="813">
        <v>45764</v>
      </c>
    </row>
    <row r="3624" spans="3:8" x14ac:dyDescent="0.25">
      <c r="C3624" s="811">
        <v>2</v>
      </c>
      <c r="D3624" s="811">
        <v>48</v>
      </c>
      <c r="E3624" s="812">
        <v>29.6</v>
      </c>
      <c r="F3624" s="4">
        <f t="shared" si="63"/>
        <v>-0.15186246418338101</v>
      </c>
      <c r="G3624" s="37">
        <v>37.1</v>
      </c>
      <c r="H3624" s="813">
        <v>45764</v>
      </c>
    </row>
    <row r="3625" spans="3:8" x14ac:dyDescent="0.25">
      <c r="C3625" s="811">
        <v>3</v>
      </c>
      <c r="D3625" s="811">
        <v>91</v>
      </c>
      <c r="E3625" s="812">
        <v>32.799999999999997</v>
      </c>
      <c r="F3625" s="4">
        <f t="shared" si="63"/>
        <v>-3.5294117647058906E-2</v>
      </c>
      <c r="G3625" s="37">
        <v>37.1</v>
      </c>
      <c r="H3625" s="813">
        <v>45764</v>
      </c>
    </row>
    <row r="3626" spans="3:8" x14ac:dyDescent="0.25">
      <c r="C3626" s="811">
        <v>4</v>
      </c>
      <c r="D3626" s="811">
        <v>88</v>
      </c>
      <c r="E3626" s="812">
        <v>21.9</v>
      </c>
      <c r="F3626" s="4">
        <f t="shared" si="63"/>
        <v>-3.0973451327433753E-2</v>
      </c>
      <c r="G3626" s="37">
        <v>37.1</v>
      </c>
      <c r="H3626" s="813">
        <v>45764</v>
      </c>
    </row>
    <row r="3627" spans="3:8" x14ac:dyDescent="0.25">
      <c r="C3627" s="811">
        <v>5</v>
      </c>
      <c r="D3627" s="811">
        <v>118</v>
      </c>
      <c r="E3627" s="812">
        <v>40.6</v>
      </c>
      <c r="F3627" s="4">
        <f t="shared" si="63"/>
        <v>-8.3521444695259503E-2</v>
      </c>
      <c r="G3627" s="37">
        <v>37.1</v>
      </c>
      <c r="H3627" s="813">
        <v>45764</v>
      </c>
    </row>
    <row r="3628" spans="3:8" x14ac:dyDescent="0.25">
      <c r="C3628" s="811">
        <v>6</v>
      </c>
      <c r="D3628" s="811">
        <v>0</v>
      </c>
      <c r="E3628" s="812"/>
      <c r="F3628" s="4" t="str">
        <f t="shared" si="63"/>
        <v/>
      </c>
      <c r="G3628" s="37">
        <v>37.1</v>
      </c>
      <c r="H3628" s="813">
        <v>45764</v>
      </c>
    </row>
    <row r="3629" spans="3:8" x14ac:dyDescent="0.25">
      <c r="C3629" s="811">
        <v>7</v>
      </c>
      <c r="D3629" s="811">
        <v>0</v>
      </c>
      <c r="E3629" s="812"/>
      <c r="F3629" s="4" t="str">
        <f t="shared" si="63"/>
        <v/>
      </c>
      <c r="G3629" s="37">
        <v>37.1</v>
      </c>
      <c r="H3629" s="813">
        <v>45764</v>
      </c>
    </row>
    <row r="3630" spans="3:8" x14ac:dyDescent="0.25">
      <c r="C3630" s="811">
        <v>8</v>
      </c>
      <c r="D3630" s="811">
        <v>57</v>
      </c>
      <c r="E3630" s="812">
        <v>29.8</v>
      </c>
      <c r="F3630" s="4">
        <f t="shared" si="63"/>
        <v>-5.6962025316455715E-2</v>
      </c>
      <c r="G3630" s="37">
        <v>37.1</v>
      </c>
      <c r="H3630" s="813">
        <v>45764</v>
      </c>
    </row>
    <row r="3631" spans="3:8" x14ac:dyDescent="0.25">
      <c r="C3631" s="811">
        <v>9</v>
      </c>
      <c r="D3631" s="811">
        <v>82</v>
      </c>
      <c r="E3631" s="812">
        <v>40.700000000000003</v>
      </c>
      <c r="F3631" s="4">
        <f t="shared" si="63"/>
        <v>-1.9277108433734872E-2</v>
      </c>
      <c r="G3631" s="37">
        <v>37.1</v>
      </c>
      <c r="H3631" s="813">
        <v>45764</v>
      </c>
    </row>
    <row r="3632" spans="3:8" x14ac:dyDescent="0.25">
      <c r="C3632" s="811">
        <v>10</v>
      </c>
      <c r="D3632" s="811">
        <v>120</v>
      </c>
      <c r="E3632" s="812">
        <v>36.299999999999997</v>
      </c>
      <c r="F3632" s="4" t="str">
        <f t="shared" si="63"/>
        <v/>
      </c>
      <c r="G3632" s="37">
        <v>37.1</v>
      </c>
      <c r="H3632" s="813">
        <v>45764</v>
      </c>
    </row>
    <row r="3633" spans="3:8" x14ac:dyDescent="0.25">
      <c r="C3633" s="816" t="s">
        <v>0</v>
      </c>
      <c r="D3633" s="816" t="s">
        <v>7</v>
      </c>
      <c r="E3633" s="817" t="s">
        <v>4</v>
      </c>
      <c r="F3633" s="4" t="str">
        <f t="shared" si="63"/>
        <v/>
      </c>
      <c r="G3633" s="37">
        <v>37.4</v>
      </c>
      <c r="H3633" s="818">
        <v>45765</v>
      </c>
    </row>
    <row r="3634" spans="3:8" x14ac:dyDescent="0.25">
      <c r="C3634" s="816">
        <v>51</v>
      </c>
      <c r="D3634" s="816">
        <v>23</v>
      </c>
      <c r="E3634" s="817">
        <v>25.1</v>
      </c>
      <c r="F3634" s="4">
        <f t="shared" si="63"/>
        <v>9.6069868995633315E-2</v>
      </c>
      <c r="G3634" s="37">
        <v>37.4</v>
      </c>
      <c r="H3634" s="818">
        <v>45765</v>
      </c>
    </row>
    <row r="3635" spans="3:8" x14ac:dyDescent="0.25">
      <c r="C3635" s="816">
        <v>1</v>
      </c>
      <c r="D3635" s="816">
        <v>118</v>
      </c>
      <c r="E3635" s="817">
        <v>50.2</v>
      </c>
      <c r="F3635" s="4">
        <f t="shared" si="63"/>
        <v>-2.1442495126705544E-2</v>
      </c>
      <c r="G3635" s="37">
        <v>37.4</v>
      </c>
      <c r="H3635" s="818">
        <v>45765</v>
      </c>
    </row>
    <row r="3636" spans="3:8" x14ac:dyDescent="0.25">
      <c r="C3636" s="816">
        <v>2</v>
      </c>
      <c r="D3636" s="816">
        <v>45</v>
      </c>
      <c r="E3636" s="817">
        <v>32.9</v>
      </c>
      <c r="F3636" s="4">
        <f t="shared" si="63"/>
        <v>0.11148648648648639</v>
      </c>
      <c r="G3636" s="37">
        <v>37.4</v>
      </c>
      <c r="H3636" s="818">
        <v>45765</v>
      </c>
    </row>
    <row r="3637" spans="3:8" x14ac:dyDescent="0.25">
      <c r="C3637" s="816">
        <v>3</v>
      </c>
      <c r="D3637" s="816">
        <v>85</v>
      </c>
      <c r="E3637" s="817">
        <v>32.6</v>
      </c>
      <c r="F3637" s="4">
        <f t="shared" si="63"/>
        <v>-6.0975609756096271E-3</v>
      </c>
      <c r="G3637" s="37">
        <v>37.4</v>
      </c>
      <c r="H3637" s="818">
        <v>45765</v>
      </c>
    </row>
    <row r="3638" spans="3:8" x14ac:dyDescent="0.25">
      <c r="C3638" s="816">
        <v>4</v>
      </c>
      <c r="D3638" s="816">
        <v>90</v>
      </c>
      <c r="E3638" s="817">
        <v>21.4</v>
      </c>
      <c r="F3638" s="4">
        <f t="shared" si="63"/>
        <v>-2.2831050228310504E-2</v>
      </c>
      <c r="G3638" s="37">
        <v>37.4</v>
      </c>
      <c r="H3638" s="818">
        <v>45765</v>
      </c>
    </row>
    <row r="3639" spans="3:8" x14ac:dyDescent="0.25">
      <c r="C3639" s="816">
        <v>5</v>
      </c>
      <c r="D3639" s="816">
        <v>0</v>
      </c>
      <c r="E3639" s="817">
        <v>41.3</v>
      </c>
      <c r="F3639" s="4">
        <f t="shared" si="63"/>
        <v>1.7241379310344723E-2</v>
      </c>
      <c r="G3639" s="37">
        <v>37.4</v>
      </c>
      <c r="H3639" s="818">
        <v>45765</v>
      </c>
    </row>
    <row r="3640" spans="3:8" x14ac:dyDescent="0.25">
      <c r="C3640" s="816">
        <v>6</v>
      </c>
      <c r="D3640" s="816">
        <v>98</v>
      </c>
      <c r="E3640" s="817"/>
      <c r="F3640" s="4" t="str">
        <f t="shared" si="63"/>
        <v/>
      </c>
      <c r="G3640" s="37">
        <v>37.4</v>
      </c>
      <c r="H3640" s="818">
        <v>45765</v>
      </c>
    </row>
    <row r="3641" spans="3:8" x14ac:dyDescent="0.25">
      <c r="C3641" s="816">
        <v>7</v>
      </c>
      <c r="D3641" s="816">
        <v>0</v>
      </c>
      <c r="E3641" s="817"/>
      <c r="F3641" s="4" t="str">
        <f t="shared" si="63"/>
        <v/>
      </c>
      <c r="G3641" s="37">
        <v>37.4</v>
      </c>
      <c r="H3641" s="818">
        <v>45765</v>
      </c>
    </row>
    <row r="3642" spans="3:8" x14ac:dyDescent="0.25">
      <c r="C3642" s="816">
        <v>8</v>
      </c>
      <c r="D3642" s="816">
        <v>60</v>
      </c>
      <c r="E3642" s="817">
        <v>31.3</v>
      </c>
      <c r="F3642" s="4">
        <f t="shared" si="63"/>
        <v>5.0335570469798654E-2</v>
      </c>
      <c r="G3642" s="37">
        <v>37.4</v>
      </c>
      <c r="H3642" s="818">
        <v>45765</v>
      </c>
    </row>
    <row r="3643" spans="3:8" x14ac:dyDescent="0.25">
      <c r="C3643" s="816">
        <v>9</v>
      </c>
      <c r="D3643" s="816">
        <v>81</v>
      </c>
      <c r="E3643" s="817">
        <v>40.700000000000003</v>
      </c>
      <c r="F3643" s="4">
        <f t="shared" si="63"/>
        <v>0</v>
      </c>
      <c r="G3643" s="37">
        <v>37.4</v>
      </c>
      <c r="H3643" s="818">
        <v>45765</v>
      </c>
    </row>
    <row r="3644" spans="3:8" x14ac:dyDescent="0.25">
      <c r="C3644" s="816">
        <v>10</v>
      </c>
      <c r="D3644" s="816">
        <v>119</v>
      </c>
      <c r="E3644" s="817">
        <v>36.9</v>
      </c>
      <c r="F3644" s="4">
        <f t="shared" si="63"/>
        <v>1.6528925619834753E-2</v>
      </c>
      <c r="G3644" s="37">
        <v>37.4</v>
      </c>
      <c r="H3644" s="818">
        <v>45765</v>
      </c>
    </row>
    <row r="3645" spans="3:8" x14ac:dyDescent="0.25">
      <c r="C3645" s="819" t="s">
        <v>0</v>
      </c>
      <c r="D3645" s="819" t="s">
        <v>7</v>
      </c>
      <c r="E3645" s="820" t="s">
        <v>4</v>
      </c>
      <c r="F3645" s="4" t="str">
        <f t="shared" si="63"/>
        <v/>
      </c>
      <c r="G3645" s="37">
        <v>38.1</v>
      </c>
      <c r="H3645" s="818">
        <v>45766</v>
      </c>
    </row>
    <row r="3646" spans="3:8" x14ac:dyDescent="0.25">
      <c r="C3646" s="819">
        <v>51</v>
      </c>
      <c r="D3646" s="819">
        <v>25</v>
      </c>
      <c r="E3646" s="820">
        <v>26.1</v>
      </c>
      <c r="F3646" s="4">
        <f t="shared" si="63"/>
        <v>3.9840637450199202E-2</v>
      </c>
      <c r="G3646" s="37">
        <v>38.1</v>
      </c>
      <c r="H3646" s="818">
        <v>45766</v>
      </c>
    </row>
    <row r="3647" spans="3:8" x14ac:dyDescent="0.25">
      <c r="C3647" s="819">
        <v>1</v>
      </c>
      <c r="D3647" s="819">
        <v>118</v>
      </c>
      <c r="E3647" s="820">
        <v>50.5</v>
      </c>
      <c r="F3647" s="4">
        <f t="shared" si="63"/>
        <v>5.9760956175298231E-3</v>
      </c>
      <c r="G3647" s="37">
        <v>38.1</v>
      </c>
      <c r="H3647" s="818">
        <v>45766</v>
      </c>
    </row>
    <row r="3648" spans="3:8" x14ac:dyDescent="0.25">
      <c r="C3648" s="819">
        <v>2</v>
      </c>
      <c r="D3648" s="819">
        <v>44</v>
      </c>
      <c r="E3648" s="820">
        <v>34.6</v>
      </c>
      <c r="F3648" s="4">
        <f t="shared" si="63"/>
        <v>5.1671732522796443E-2</v>
      </c>
      <c r="G3648" s="37">
        <v>38.1</v>
      </c>
      <c r="H3648" s="818">
        <v>45766</v>
      </c>
    </row>
    <row r="3649" spans="3:8" x14ac:dyDescent="0.25">
      <c r="C3649" s="819">
        <v>3</v>
      </c>
      <c r="D3649" s="819">
        <v>85</v>
      </c>
      <c r="E3649" s="820">
        <v>33.4</v>
      </c>
      <c r="F3649" s="4">
        <f t="shared" si="63"/>
        <v>2.4539877300613407E-2</v>
      </c>
      <c r="G3649" s="37">
        <v>38.1</v>
      </c>
      <c r="H3649" s="818">
        <v>45766</v>
      </c>
    </row>
    <row r="3650" spans="3:8" x14ac:dyDescent="0.25">
      <c r="C3650" s="819">
        <v>4</v>
      </c>
      <c r="D3650" s="819">
        <v>90</v>
      </c>
      <c r="E3650" s="820">
        <v>24.9</v>
      </c>
      <c r="F3650" s="4">
        <f t="shared" si="63"/>
        <v>0.1635514018691589</v>
      </c>
      <c r="G3650" s="37">
        <v>38.1</v>
      </c>
      <c r="H3650" s="818">
        <v>45766</v>
      </c>
    </row>
    <row r="3651" spans="3:8" x14ac:dyDescent="0.25">
      <c r="C3651" s="819">
        <v>5</v>
      </c>
      <c r="D3651" s="819">
        <v>0</v>
      </c>
      <c r="E3651" s="820"/>
      <c r="F3651" s="4">
        <f t="shared" si="63"/>
        <v>-1</v>
      </c>
      <c r="G3651" s="37">
        <v>38.1</v>
      </c>
      <c r="H3651" s="818">
        <v>45766</v>
      </c>
    </row>
    <row r="3652" spans="3:8" x14ac:dyDescent="0.25">
      <c r="C3652" s="819">
        <v>6</v>
      </c>
      <c r="D3652" s="819">
        <v>97</v>
      </c>
      <c r="E3652" s="820">
        <v>40.6</v>
      </c>
      <c r="F3652" s="4" t="str">
        <f t="shared" si="63"/>
        <v/>
      </c>
      <c r="G3652" s="37">
        <v>38.1</v>
      </c>
      <c r="H3652" s="818">
        <v>45766</v>
      </c>
    </row>
    <row r="3653" spans="3:8" x14ac:dyDescent="0.25">
      <c r="C3653" s="819">
        <v>7</v>
      </c>
      <c r="D3653" s="819">
        <v>0</v>
      </c>
      <c r="E3653" s="820"/>
      <c r="F3653" s="4" t="str">
        <f t="shared" si="63"/>
        <v/>
      </c>
      <c r="G3653" s="37">
        <v>38.1</v>
      </c>
      <c r="H3653" s="818">
        <v>45766</v>
      </c>
    </row>
    <row r="3654" spans="3:8" x14ac:dyDescent="0.25">
      <c r="C3654" s="819">
        <v>8</v>
      </c>
      <c r="D3654" s="819">
        <v>59</v>
      </c>
      <c r="E3654" s="820">
        <v>31.8</v>
      </c>
      <c r="F3654" s="4">
        <f t="shared" si="63"/>
        <v>1.5974440894568689E-2</v>
      </c>
      <c r="G3654" s="37">
        <v>38.1</v>
      </c>
      <c r="H3654" s="818">
        <v>45766</v>
      </c>
    </row>
    <row r="3655" spans="3:8" x14ac:dyDescent="0.25">
      <c r="C3655" s="819">
        <v>9</v>
      </c>
      <c r="D3655" s="819">
        <v>80</v>
      </c>
      <c r="E3655" s="820">
        <v>39.700000000000003</v>
      </c>
      <c r="F3655" s="4">
        <f t="shared" si="63"/>
        <v>-2.4570024570024569E-2</v>
      </c>
      <c r="G3655" s="37">
        <v>38.1</v>
      </c>
      <c r="H3655" s="818">
        <v>45766</v>
      </c>
    </row>
    <row r="3656" spans="3:8" x14ac:dyDescent="0.25">
      <c r="C3656" s="819">
        <v>10</v>
      </c>
      <c r="D3656" s="819">
        <v>119</v>
      </c>
      <c r="E3656" s="820">
        <v>39.1</v>
      </c>
      <c r="F3656" s="4">
        <f t="shared" si="63"/>
        <v>5.9620596205962141E-2</v>
      </c>
      <c r="G3656" s="37">
        <v>38.1</v>
      </c>
      <c r="H3656" s="818">
        <v>45766</v>
      </c>
    </row>
    <row r="3657" spans="3:8" x14ac:dyDescent="0.25">
      <c r="C3657" s="821" t="s">
        <v>0</v>
      </c>
      <c r="D3657" s="821" t="s">
        <v>7</v>
      </c>
      <c r="E3657" s="822" t="s">
        <v>4</v>
      </c>
      <c r="F3657" s="4" t="str">
        <f t="shared" si="63"/>
        <v/>
      </c>
      <c r="G3657" s="37">
        <v>37.5</v>
      </c>
      <c r="H3657" s="823">
        <v>45767</v>
      </c>
    </row>
    <row r="3658" spans="3:8" x14ac:dyDescent="0.25">
      <c r="C3658" s="821">
        <v>51</v>
      </c>
      <c r="D3658" s="821">
        <v>23</v>
      </c>
      <c r="E3658" s="822">
        <v>26.5</v>
      </c>
      <c r="F3658" s="4">
        <f t="shared" si="63"/>
        <v>1.5325670498084237E-2</v>
      </c>
      <c r="G3658" s="37">
        <v>37.5</v>
      </c>
      <c r="H3658" s="823">
        <v>45767</v>
      </c>
    </row>
    <row r="3659" spans="3:8" x14ac:dyDescent="0.25">
      <c r="C3659" s="821">
        <v>1</v>
      </c>
      <c r="D3659" s="821">
        <v>117</v>
      </c>
      <c r="E3659" s="822">
        <v>48.7</v>
      </c>
      <c r="F3659" s="4">
        <f t="shared" si="63"/>
        <v>-3.5643564356435585E-2</v>
      </c>
      <c r="G3659" s="37">
        <v>37.5</v>
      </c>
      <c r="H3659" s="823">
        <v>45767</v>
      </c>
    </row>
    <row r="3660" spans="3:8" x14ac:dyDescent="0.25">
      <c r="C3660" s="821">
        <v>2</v>
      </c>
      <c r="D3660" s="821">
        <v>47</v>
      </c>
      <c r="E3660" s="822">
        <v>34.1</v>
      </c>
      <c r="F3660" s="4">
        <f t="shared" si="63"/>
        <v>-1.4450867052023121E-2</v>
      </c>
      <c r="G3660" s="37">
        <v>37.5</v>
      </c>
      <c r="H3660" s="823">
        <v>45767</v>
      </c>
    </row>
    <row r="3661" spans="3:8" x14ac:dyDescent="0.25">
      <c r="C3661" s="821">
        <v>3</v>
      </c>
      <c r="D3661" s="821">
        <v>85</v>
      </c>
      <c r="E3661" s="822">
        <v>30.9</v>
      </c>
      <c r="F3661" s="4">
        <f t="shared" si="63"/>
        <v>-7.4850299401197612E-2</v>
      </c>
      <c r="G3661" s="37">
        <v>37.5</v>
      </c>
      <c r="H3661" s="823">
        <v>45767</v>
      </c>
    </row>
    <row r="3662" spans="3:8" x14ac:dyDescent="0.25">
      <c r="C3662" s="821">
        <v>4</v>
      </c>
      <c r="D3662" s="821">
        <v>90</v>
      </c>
      <c r="E3662" s="822">
        <v>23.6</v>
      </c>
      <c r="F3662" s="4">
        <f t="shared" si="63"/>
        <v>-5.2208835341365348E-2</v>
      </c>
      <c r="G3662" s="37">
        <v>37.5</v>
      </c>
      <c r="H3662" s="823">
        <v>45767</v>
      </c>
    </row>
    <row r="3663" spans="3:8" x14ac:dyDescent="0.25">
      <c r="C3663" s="821">
        <v>5</v>
      </c>
      <c r="D3663" s="821">
        <v>0</v>
      </c>
      <c r="E3663" s="822"/>
      <c r="F3663" s="4" t="str">
        <f t="shared" si="63"/>
        <v/>
      </c>
      <c r="G3663" s="37">
        <v>37.5</v>
      </c>
      <c r="H3663" s="823">
        <v>45767</v>
      </c>
    </row>
    <row r="3664" spans="3:8" x14ac:dyDescent="0.25">
      <c r="C3664" s="821">
        <v>6</v>
      </c>
      <c r="D3664" s="821">
        <v>99</v>
      </c>
      <c r="E3664" s="822">
        <v>40.4</v>
      </c>
      <c r="F3664" s="4">
        <f t="shared" si="63"/>
        <v>-4.9261083743843059E-3</v>
      </c>
      <c r="G3664" s="37">
        <v>37.5</v>
      </c>
      <c r="H3664" s="823">
        <v>45767</v>
      </c>
    </row>
    <row r="3665" spans="3:8" x14ac:dyDescent="0.25">
      <c r="C3665" s="821">
        <v>7</v>
      </c>
      <c r="D3665" s="821">
        <v>0</v>
      </c>
      <c r="E3665" s="822"/>
      <c r="F3665" s="4" t="str">
        <f t="shared" si="63"/>
        <v/>
      </c>
      <c r="G3665" s="37">
        <v>37.5</v>
      </c>
      <c r="H3665" s="823">
        <v>45767</v>
      </c>
    </row>
    <row r="3666" spans="3:8" x14ac:dyDescent="0.25">
      <c r="C3666" s="821">
        <v>8</v>
      </c>
      <c r="D3666" s="821">
        <v>60</v>
      </c>
      <c r="E3666" s="822">
        <v>31.2</v>
      </c>
      <c r="F3666" s="4">
        <f t="shared" si="63"/>
        <v>-1.8867924528301931E-2</v>
      </c>
      <c r="G3666" s="37">
        <v>37.5</v>
      </c>
      <c r="H3666" s="823">
        <v>45767</v>
      </c>
    </row>
    <row r="3667" spans="3:8" x14ac:dyDescent="0.25">
      <c r="C3667" s="821">
        <v>9</v>
      </c>
      <c r="D3667" s="821">
        <v>80</v>
      </c>
      <c r="E3667" s="822">
        <v>41.7</v>
      </c>
      <c r="F3667" s="4">
        <f t="shared" si="63"/>
        <v>5.037783375314861E-2</v>
      </c>
      <c r="G3667" s="37">
        <v>37.5</v>
      </c>
      <c r="H3667" s="823">
        <v>45767</v>
      </c>
    </row>
    <row r="3668" spans="3:8" x14ac:dyDescent="0.25">
      <c r="C3668" s="821">
        <v>10</v>
      </c>
      <c r="D3668" s="821">
        <v>119</v>
      </c>
      <c r="E3668" s="822">
        <v>38</v>
      </c>
      <c r="F3668" s="4">
        <f t="shared" si="63"/>
        <v>-2.8132992327365765E-2</v>
      </c>
      <c r="G3668" s="37">
        <v>37.5</v>
      </c>
      <c r="H3668" s="823">
        <v>45767</v>
      </c>
    </row>
    <row r="3669" spans="3:8" x14ac:dyDescent="0.25">
      <c r="C3669" s="824" t="s">
        <v>0</v>
      </c>
      <c r="D3669" s="824" t="s">
        <v>7</v>
      </c>
      <c r="E3669" s="825" t="s">
        <v>4</v>
      </c>
      <c r="F3669" s="4" t="str">
        <f t="shared" si="63"/>
        <v/>
      </c>
      <c r="G3669" s="37">
        <v>38.1</v>
      </c>
      <c r="H3669" s="826">
        <v>45768</v>
      </c>
    </row>
    <row r="3670" spans="3:8" x14ac:dyDescent="0.25">
      <c r="C3670" s="824">
        <v>51</v>
      </c>
      <c r="D3670" s="824">
        <v>23</v>
      </c>
      <c r="E3670" s="825">
        <v>23.3</v>
      </c>
      <c r="F3670" s="4">
        <f t="shared" si="63"/>
        <v>-0.12075471698113205</v>
      </c>
      <c r="G3670" s="37">
        <v>38.1</v>
      </c>
      <c r="H3670" s="826">
        <v>45768</v>
      </c>
    </row>
    <row r="3671" spans="3:8" x14ac:dyDescent="0.25">
      <c r="C3671" s="824">
        <v>1</v>
      </c>
      <c r="D3671" s="824">
        <v>117</v>
      </c>
      <c r="E3671" s="825">
        <v>49.5</v>
      </c>
      <c r="F3671" s="4">
        <f t="shared" si="63"/>
        <v>1.6427104722792549E-2</v>
      </c>
      <c r="G3671" s="37">
        <v>38.1</v>
      </c>
      <c r="H3671" s="826">
        <v>45768</v>
      </c>
    </row>
    <row r="3672" spans="3:8" x14ac:dyDescent="0.25">
      <c r="C3672" s="824">
        <v>2</v>
      </c>
      <c r="D3672" s="824">
        <v>47</v>
      </c>
      <c r="E3672" s="825">
        <v>32.4</v>
      </c>
      <c r="F3672" s="4">
        <f t="shared" si="63"/>
        <v>-4.9853372434017676E-2</v>
      </c>
      <c r="G3672" s="37">
        <v>38.1</v>
      </c>
      <c r="H3672" s="826">
        <v>45768</v>
      </c>
    </row>
    <row r="3673" spans="3:8" x14ac:dyDescent="0.25">
      <c r="C3673" s="824">
        <v>3</v>
      </c>
      <c r="D3673" s="824">
        <v>85</v>
      </c>
      <c r="E3673" s="825">
        <v>31.3</v>
      </c>
      <c r="F3673" s="4">
        <f t="shared" si="63"/>
        <v>1.2944983818770297E-2</v>
      </c>
      <c r="G3673" s="37">
        <v>38.1</v>
      </c>
      <c r="H3673" s="826">
        <v>45768</v>
      </c>
    </row>
    <row r="3674" spans="3:8" x14ac:dyDescent="0.25">
      <c r="C3674" s="824">
        <v>4</v>
      </c>
      <c r="D3674" s="824">
        <v>90</v>
      </c>
      <c r="E3674" s="825">
        <v>24.8</v>
      </c>
      <c r="F3674" s="4">
        <f t="shared" si="63"/>
        <v>5.0847457627118613E-2</v>
      </c>
      <c r="G3674" s="37">
        <v>38.1</v>
      </c>
      <c r="H3674" s="826">
        <v>45768</v>
      </c>
    </row>
    <row r="3675" spans="3:8" x14ac:dyDescent="0.25">
      <c r="C3675" s="824">
        <v>5</v>
      </c>
      <c r="D3675" s="824">
        <v>0</v>
      </c>
      <c r="E3675" s="825"/>
      <c r="F3675" s="4" t="str">
        <f t="shared" si="63"/>
        <v/>
      </c>
      <c r="G3675" s="37">
        <v>38.1</v>
      </c>
      <c r="H3675" s="826">
        <v>45768</v>
      </c>
    </row>
    <row r="3676" spans="3:8" x14ac:dyDescent="0.25">
      <c r="C3676" s="824">
        <v>6</v>
      </c>
      <c r="D3676" s="824">
        <v>99</v>
      </c>
      <c r="E3676" s="825">
        <v>43.6</v>
      </c>
      <c r="F3676" s="4">
        <f t="shared" si="63"/>
        <v>7.9207920792079278E-2</v>
      </c>
      <c r="G3676" s="37">
        <v>38.1</v>
      </c>
      <c r="H3676" s="826">
        <v>45768</v>
      </c>
    </row>
    <row r="3677" spans="3:8" x14ac:dyDescent="0.25">
      <c r="C3677" s="824">
        <v>7</v>
      </c>
      <c r="D3677" s="824">
        <v>0</v>
      </c>
      <c r="E3677" s="825"/>
      <c r="F3677" s="4" t="str">
        <f t="shared" si="63"/>
        <v/>
      </c>
      <c r="G3677" s="37">
        <v>38.1</v>
      </c>
      <c r="H3677" s="826">
        <v>45768</v>
      </c>
    </row>
    <row r="3678" spans="3:8" x14ac:dyDescent="0.25">
      <c r="C3678" s="824">
        <v>8</v>
      </c>
      <c r="D3678" s="824">
        <v>60</v>
      </c>
      <c r="E3678" s="825">
        <v>30.5</v>
      </c>
      <c r="F3678" s="4">
        <f t="shared" si="63"/>
        <v>-2.2435897435897415E-2</v>
      </c>
      <c r="G3678" s="37">
        <v>38.1</v>
      </c>
      <c r="H3678" s="826">
        <v>45768</v>
      </c>
    </row>
    <row r="3679" spans="3:8" x14ac:dyDescent="0.25">
      <c r="C3679" s="824">
        <v>9</v>
      </c>
      <c r="D3679" s="824">
        <v>81</v>
      </c>
      <c r="E3679" s="825">
        <v>40.4</v>
      </c>
      <c r="F3679" s="4">
        <f t="shared" si="63"/>
        <v>-3.117505995203847E-2</v>
      </c>
      <c r="G3679" s="37">
        <v>38.1</v>
      </c>
      <c r="H3679" s="826">
        <v>45768</v>
      </c>
    </row>
    <row r="3680" spans="3:8" x14ac:dyDescent="0.25">
      <c r="C3680" s="824">
        <v>10</v>
      </c>
      <c r="D3680" s="824">
        <v>119</v>
      </c>
      <c r="E3680" s="825">
        <v>33.799999999999997</v>
      </c>
      <c r="F3680" s="4">
        <f t="shared" si="63"/>
        <v>-0.11052631578947376</v>
      </c>
      <c r="G3680" s="37">
        <v>38.1</v>
      </c>
      <c r="H3680" s="826">
        <v>45768</v>
      </c>
    </row>
    <row r="3681" spans="3:8" x14ac:dyDescent="0.25">
      <c r="C3681" s="827" t="s">
        <v>0</v>
      </c>
      <c r="D3681" s="827" t="s">
        <v>7</v>
      </c>
      <c r="E3681" s="828" t="s">
        <v>4</v>
      </c>
      <c r="F3681" s="4" t="str">
        <f t="shared" si="63"/>
        <v/>
      </c>
      <c r="G3681" s="37">
        <v>36.9</v>
      </c>
      <c r="H3681" s="829">
        <v>45769</v>
      </c>
    </row>
    <row r="3682" spans="3:8" x14ac:dyDescent="0.25">
      <c r="C3682" s="827">
        <v>51</v>
      </c>
      <c r="D3682" s="827">
        <v>21</v>
      </c>
      <c r="E3682" s="828">
        <v>24.6</v>
      </c>
      <c r="F3682" s="4">
        <f t="shared" si="63"/>
        <v>5.5793991416309044E-2</v>
      </c>
      <c r="G3682" s="37">
        <v>36.9</v>
      </c>
      <c r="H3682" s="829">
        <v>45769</v>
      </c>
    </row>
    <row r="3683" spans="3:8" x14ac:dyDescent="0.25">
      <c r="C3683" s="827">
        <v>1</v>
      </c>
      <c r="D3683" s="827">
        <v>117</v>
      </c>
      <c r="E3683" s="828">
        <v>48.6</v>
      </c>
      <c r="F3683" s="4">
        <f t="shared" si="63"/>
        <v>-1.8181818181818153E-2</v>
      </c>
      <c r="G3683" s="37">
        <v>36.9</v>
      </c>
      <c r="H3683" s="829">
        <v>45769</v>
      </c>
    </row>
    <row r="3684" spans="3:8" x14ac:dyDescent="0.25">
      <c r="C3684" s="827">
        <v>2</v>
      </c>
      <c r="D3684" s="827">
        <v>47</v>
      </c>
      <c r="E3684" s="828">
        <v>33.299999999999997</v>
      </c>
      <c r="F3684" s="4">
        <f t="shared" si="63"/>
        <v>2.7777777777777735E-2</v>
      </c>
      <c r="G3684" s="37">
        <v>36.9</v>
      </c>
      <c r="H3684" s="829">
        <v>45769</v>
      </c>
    </row>
    <row r="3685" spans="3:8" x14ac:dyDescent="0.25">
      <c r="C3685" s="827">
        <v>3</v>
      </c>
      <c r="D3685" s="827">
        <v>85</v>
      </c>
      <c r="E3685" s="828">
        <v>32.6</v>
      </c>
      <c r="F3685" s="4">
        <f t="shared" si="63"/>
        <v>4.1533546325878613E-2</v>
      </c>
      <c r="G3685" s="37">
        <v>36.9</v>
      </c>
      <c r="H3685" s="829">
        <v>45769</v>
      </c>
    </row>
    <row r="3686" spans="3:8" x14ac:dyDescent="0.25">
      <c r="C3686" s="827">
        <v>4</v>
      </c>
      <c r="D3686" s="827">
        <v>90</v>
      </c>
      <c r="E3686" s="828">
        <v>24.1</v>
      </c>
      <c r="F3686" s="4">
        <f t="shared" ref="F3686:F3749" si="64">IFERROR((E3686-E3674)/E3674,"")</f>
        <v>-2.8225806451612875E-2</v>
      </c>
      <c r="G3686" s="37">
        <v>36.9</v>
      </c>
      <c r="H3686" s="829">
        <v>45769</v>
      </c>
    </row>
    <row r="3687" spans="3:8" x14ac:dyDescent="0.25">
      <c r="C3687" s="827">
        <v>5</v>
      </c>
      <c r="D3687" s="827">
        <v>0</v>
      </c>
      <c r="E3687" s="828"/>
      <c r="F3687" s="4" t="str">
        <f t="shared" si="64"/>
        <v/>
      </c>
      <c r="G3687" s="37">
        <v>36.9</v>
      </c>
      <c r="H3687" s="829">
        <v>45769</v>
      </c>
    </row>
    <row r="3688" spans="3:8" x14ac:dyDescent="0.25">
      <c r="C3688" s="827">
        <v>6</v>
      </c>
      <c r="D3688" s="827">
        <v>98</v>
      </c>
      <c r="E3688" s="828">
        <v>36.200000000000003</v>
      </c>
      <c r="F3688" s="4">
        <f t="shared" si="64"/>
        <v>-0.16972477064220179</v>
      </c>
      <c r="G3688" s="37">
        <v>36.9</v>
      </c>
      <c r="H3688" s="829">
        <v>45769</v>
      </c>
    </row>
    <row r="3689" spans="3:8" x14ac:dyDescent="0.25">
      <c r="C3689" s="827">
        <v>7</v>
      </c>
      <c r="D3689" s="827">
        <v>0</v>
      </c>
      <c r="E3689" s="828"/>
      <c r="F3689" s="4" t="str">
        <f t="shared" si="64"/>
        <v/>
      </c>
      <c r="G3689" s="37">
        <v>36.9</v>
      </c>
      <c r="H3689" s="829">
        <v>45769</v>
      </c>
    </row>
    <row r="3690" spans="3:8" x14ac:dyDescent="0.25">
      <c r="C3690" s="827">
        <v>8</v>
      </c>
      <c r="D3690" s="827">
        <v>60</v>
      </c>
      <c r="E3690" s="828">
        <v>29.4</v>
      </c>
      <c r="F3690" s="4">
        <f t="shared" si="64"/>
        <v>-3.6065573770491847E-2</v>
      </c>
      <c r="G3690" s="37">
        <v>36.9</v>
      </c>
      <c r="H3690" s="829">
        <v>45769</v>
      </c>
    </row>
    <row r="3691" spans="3:8" x14ac:dyDescent="0.25">
      <c r="C3691" s="827">
        <v>9</v>
      </c>
      <c r="D3691" s="827">
        <v>81</v>
      </c>
      <c r="E3691" s="828">
        <v>40</v>
      </c>
      <c r="F3691" s="4">
        <f t="shared" si="64"/>
        <v>-9.9009900990098664E-3</v>
      </c>
      <c r="G3691" s="37">
        <v>36.9</v>
      </c>
      <c r="H3691" s="829">
        <v>45769</v>
      </c>
    </row>
    <row r="3692" spans="3:8" x14ac:dyDescent="0.25">
      <c r="C3692" s="827">
        <v>10</v>
      </c>
      <c r="D3692" s="827">
        <v>119</v>
      </c>
      <c r="E3692" s="828">
        <v>35.4</v>
      </c>
      <c r="F3692" s="4">
        <f t="shared" si="64"/>
        <v>4.7337278106508923E-2</v>
      </c>
      <c r="G3692" s="37">
        <v>36.9</v>
      </c>
      <c r="H3692" s="829">
        <v>45769</v>
      </c>
    </row>
    <row r="3693" spans="3:8" x14ac:dyDescent="0.25">
      <c r="C3693" s="830" t="s">
        <v>0</v>
      </c>
      <c r="D3693" s="830" t="s">
        <v>7</v>
      </c>
      <c r="E3693" s="831" t="s">
        <v>4</v>
      </c>
      <c r="F3693" s="4" t="str">
        <f t="shared" si="64"/>
        <v/>
      </c>
      <c r="G3693" s="37">
        <v>37.5</v>
      </c>
      <c r="H3693" s="832">
        <v>45770</v>
      </c>
    </row>
    <row r="3694" spans="3:8" x14ac:dyDescent="0.25">
      <c r="C3694" s="830">
        <v>51</v>
      </c>
      <c r="D3694" s="830">
        <v>22</v>
      </c>
      <c r="E3694" s="831">
        <v>26.4</v>
      </c>
      <c r="F3694" s="4">
        <f t="shared" si="64"/>
        <v>7.3170731707316958E-2</v>
      </c>
      <c r="G3694" s="37">
        <v>37.5</v>
      </c>
      <c r="H3694" s="832">
        <v>45770</v>
      </c>
    </row>
    <row r="3695" spans="3:8" x14ac:dyDescent="0.25">
      <c r="C3695" s="830">
        <v>1</v>
      </c>
      <c r="D3695" s="830">
        <v>115</v>
      </c>
      <c r="E3695" s="831">
        <v>49.3</v>
      </c>
      <c r="F3695" s="4">
        <f t="shared" si="64"/>
        <v>1.4403292181069871E-2</v>
      </c>
      <c r="G3695" s="37">
        <v>37.5</v>
      </c>
      <c r="H3695" s="832">
        <v>45770</v>
      </c>
    </row>
    <row r="3696" spans="3:8" x14ac:dyDescent="0.25">
      <c r="C3696" s="830">
        <v>2</v>
      </c>
      <c r="D3696" s="830">
        <v>48</v>
      </c>
      <c r="E3696" s="831">
        <v>33.700000000000003</v>
      </c>
      <c r="F3696" s="4">
        <f t="shared" si="64"/>
        <v>1.2012012012012184E-2</v>
      </c>
      <c r="G3696" s="37">
        <v>37.5</v>
      </c>
      <c r="H3696" s="832">
        <v>45770</v>
      </c>
    </row>
    <row r="3697" spans="3:8" x14ac:dyDescent="0.25">
      <c r="C3697" s="830">
        <v>3</v>
      </c>
      <c r="D3697" s="830">
        <v>85</v>
      </c>
      <c r="E3697" s="831">
        <v>32.700000000000003</v>
      </c>
      <c r="F3697" s="4">
        <f t="shared" si="64"/>
        <v>3.0674846625767306E-3</v>
      </c>
      <c r="G3697" s="37">
        <v>37.5</v>
      </c>
      <c r="H3697" s="832">
        <v>45770</v>
      </c>
    </row>
    <row r="3698" spans="3:8" x14ac:dyDescent="0.25">
      <c r="C3698" s="830">
        <v>4</v>
      </c>
      <c r="D3698" s="830">
        <v>90</v>
      </c>
      <c r="E3698" s="831">
        <v>24.1</v>
      </c>
      <c r="F3698" s="4">
        <f t="shared" si="64"/>
        <v>0</v>
      </c>
      <c r="G3698" s="37">
        <v>37.5</v>
      </c>
      <c r="H3698" s="832">
        <v>45770</v>
      </c>
    </row>
    <row r="3699" spans="3:8" x14ac:dyDescent="0.25">
      <c r="C3699" s="830">
        <v>5</v>
      </c>
      <c r="D3699" s="830">
        <v>0</v>
      </c>
      <c r="E3699" s="831"/>
      <c r="F3699" s="4" t="str">
        <f t="shared" si="64"/>
        <v/>
      </c>
      <c r="G3699" s="37">
        <v>37.5</v>
      </c>
      <c r="H3699" s="832">
        <v>45770</v>
      </c>
    </row>
    <row r="3700" spans="3:8" x14ac:dyDescent="0.25">
      <c r="C3700" s="830">
        <v>6</v>
      </c>
      <c r="D3700" s="830">
        <v>99</v>
      </c>
      <c r="E3700" s="831">
        <v>39.200000000000003</v>
      </c>
      <c r="F3700" s="4">
        <f t="shared" si="64"/>
        <v>8.2872928176795577E-2</v>
      </c>
      <c r="G3700" s="37">
        <v>37.5</v>
      </c>
      <c r="H3700" s="832">
        <v>45770</v>
      </c>
    </row>
    <row r="3701" spans="3:8" x14ac:dyDescent="0.25">
      <c r="C3701" s="830">
        <v>7</v>
      </c>
      <c r="D3701" s="830">
        <v>0</v>
      </c>
      <c r="E3701" s="831"/>
      <c r="F3701" s="4" t="str">
        <f t="shared" si="64"/>
        <v/>
      </c>
      <c r="G3701" s="37">
        <v>37.5</v>
      </c>
      <c r="H3701" s="832">
        <v>45770</v>
      </c>
    </row>
    <row r="3702" spans="3:8" x14ac:dyDescent="0.25">
      <c r="C3702" s="830">
        <v>8</v>
      </c>
      <c r="D3702" s="830">
        <v>60</v>
      </c>
      <c r="E3702" s="831">
        <v>30.6</v>
      </c>
      <c r="F3702" s="4">
        <f t="shared" si="64"/>
        <v>4.0816326530612346E-2</v>
      </c>
      <c r="G3702" s="37">
        <v>37.5</v>
      </c>
      <c r="H3702" s="832">
        <v>45770</v>
      </c>
    </row>
    <row r="3703" spans="3:8" x14ac:dyDescent="0.25">
      <c r="C3703" s="830">
        <v>9</v>
      </c>
      <c r="D3703" s="830">
        <v>82</v>
      </c>
      <c r="E3703" s="831">
        <v>40.9</v>
      </c>
      <c r="F3703" s="4">
        <f t="shared" si="64"/>
        <v>2.2499999999999964E-2</v>
      </c>
      <c r="G3703" s="37">
        <v>37.5</v>
      </c>
      <c r="H3703" s="832">
        <v>45770</v>
      </c>
    </row>
    <row r="3704" spans="3:8" x14ac:dyDescent="0.25">
      <c r="C3704" s="830">
        <v>10</v>
      </c>
      <c r="D3704" s="830">
        <v>119</v>
      </c>
      <c r="E3704" s="831">
        <v>39.299999999999997</v>
      </c>
      <c r="F3704" s="4">
        <f t="shared" si="64"/>
        <v>0.1101694915254237</v>
      </c>
      <c r="G3704" s="37">
        <v>37.5</v>
      </c>
      <c r="H3704" s="832">
        <v>45770</v>
      </c>
    </row>
    <row r="3705" spans="3:8" x14ac:dyDescent="0.25">
      <c r="C3705" s="833" t="s">
        <v>0</v>
      </c>
      <c r="D3705" s="833" t="s">
        <v>7</v>
      </c>
      <c r="E3705" s="834" t="s">
        <v>4</v>
      </c>
      <c r="F3705" s="4" t="str">
        <f t="shared" si="64"/>
        <v/>
      </c>
      <c r="G3705" s="37">
        <v>38.700000000000003</v>
      </c>
      <c r="H3705" s="835">
        <v>45771</v>
      </c>
    </row>
    <row r="3706" spans="3:8" x14ac:dyDescent="0.25">
      <c r="C3706" s="833">
        <v>51</v>
      </c>
      <c r="D3706" s="833">
        <v>23</v>
      </c>
      <c r="E3706" s="834">
        <v>29.3</v>
      </c>
      <c r="F3706" s="4">
        <f t="shared" si="64"/>
        <v>0.10984848484848493</v>
      </c>
      <c r="G3706" s="37">
        <v>38.700000000000003</v>
      </c>
      <c r="H3706" s="835">
        <v>45771</v>
      </c>
    </row>
    <row r="3707" spans="3:8" x14ac:dyDescent="0.25">
      <c r="C3707" s="833">
        <v>1</v>
      </c>
      <c r="D3707" s="833">
        <v>114</v>
      </c>
      <c r="E3707" s="834">
        <v>51</v>
      </c>
      <c r="F3707" s="4">
        <f t="shared" si="64"/>
        <v>3.4482758620689717E-2</v>
      </c>
      <c r="G3707" s="37">
        <v>38.700000000000003</v>
      </c>
      <c r="H3707" s="835">
        <v>45771</v>
      </c>
    </row>
    <row r="3708" spans="3:8" x14ac:dyDescent="0.25">
      <c r="C3708" s="833">
        <v>2</v>
      </c>
      <c r="D3708" s="833">
        <v>49</v>
      </c>
      <c r="E3708" s="834">
        <v>33</v>
      </c>
      <c r="F3708" s="4">
        <f t="shared" si="64"/>
        <v>-2.0771513353115809E-2</v>
      </c>
      <c r="G3708" s="37">
        <v>38.700000000000003</v>
      </c>
      <c r="H3708" s="835">
        <v>45771</v>
      </c>
    </row>
    <row r="3709" spans="3:8" x14ac:dyDescent="0.25">
      <c r="C3709" s="833">
        <v>3</v>
      </c>
      <c r="D3709" s="833">
        <v>84</v>
      </c>
      <c r="E3709" s="834">
        <v>31</v>
      </c>
      <c r="F3709" s="4">
        <f t="shared" si="64"/>
        <v>-5.1987767584097941E-2</v>
      </c>
      <c r="G3709" s="37">
        <v>38.700000000000003</v>
      </c>
      <c r="H3709" s="835">
        <v>45771</v>
      </c>
    </row>
    <row r="3710" spans="3:8" x14ac:dyDescent="0.25">
      <c r="C3710" s="833">
        <v>4</v>
      </c>
      <c r="D3710" s="833">
        <v>90</v>
      </c>
      <c r="E3710" s="834">
        <v>24.7</v>
      </c>
      <c r="F3710" s="4">
        <f t="shared" si="64"/>
        <v>2.4896265560165887E-2</v>
      </c>
      <c r="G3710" s="37">
        <v>38.700000000000003</v>
      </c>
      <c r="H3710" s="835">
        <v>45771</v>
      </c>
    </row>
    <row r="3711" spans="3:8" x14ac:dyDescent="0.25">
      <c r="C3711" s="833">
        <v>5</v>
      </c>
      <c r="D3711" s="833">
        <v>0</v>
      </c>
      <c r="E3711" s="834"/>
      <c r="F3711" s="4" t="str">
        <f t="shared" si="64"/>
        <v/>
      </c>
      <c r="G3711" s="37">
        <v>38.700000000000003</v>
      </c>
      <c r="H3711" s="835">
        <v>45771</v>
      </c>
    </row>
    <row r="3712" spans="3:8" x14ac:dyDescent="0.25">
      <c r="C3712" s="833">
        <v>6</v>
      </c>
      <c r="D3712" s="833">
        <v>98</v>
      </c>
      <c r="E3712" s="834">
        <v>37.5</v>
      </c>
      <c r="F3712" s="4">
        <f t="shared" si="64"/>
        <v>-4.3367346938775579E-2</v>
      </c>
      <c r="G3712" s="37">
        <v>38.700000000000003</v>
      </c>
      <c r="H3712" s="835">
        <v>45771</v>
      </c>
    </row>
    <row r="3713" spans="3:8" x14ac:dyDescent="0.25">
      <c r="C3713" s="833">
        <v>7</v>
      </c>
      <c r="D3713" s="833">
        <v>0</v>
      </c>
      <c r="E3713" s="834"/>
      <c r="F3713" s="4" t="str">
        <f t="shared" si="64"/>
        <v/>
      </c>
      <c r="G3713" s="37">
        <v>38.700000000000003</v>
      </c>
      <c r="H3713" s="835">
        <v>45771</v>
      </c>
    </row>
    <row r="3714" spans="3:8" x14ac:dyDescent="0.25">
      <c r="C3714" s="833">
        <v>8</v>
      </c>
      <c r="D3714" s="833">
        <v>58</v>
      </c>
      <c r="E3714" s="834">
        <v>31.6</v>
      </c>
      <c r="F3714" s="4">
        <f t="shared" si="64"/>
        <v>3.2679738562091505E-2</v>
      </c>
      <c r="G3714" s="37">
        <v>38.700000000000003</v>
      </c>
      <c r="H3714" s="835">
        <v>45771</v>
      </c>
    </row>
    <row r="3715" spans="3:8" x14ac:dyDescent="0.25">
      <c r="C3715" s="833">
        <v>9</v>
      </c>
      <c r="D3715" s="833">
        <v>82</v>
      </c>
      <c r="E3715" s="834">
        <v>46.4</v>
      </c>
      <c r="F3715" s="4">
        <f t="shared" si="64"/>
        <v>0.13447432762836187</v>
      </c>
      <c r="G3715" s="37">
        <v>38.700000000000003</v>
      </c>
      <c r="H3715" s="835">
        <v>45771</v>
      </c>
    </row>
    <row r="3716" spans="3:8" x14ac:dyDescent="0.25">
      <c r="C3716" s="833">
        <v>10</v>
      </c>
      <c r="D3716" s="833">
        <v>119</v>
      </c>
      <c r="E3716" s="834">
        <v>41.5</v>
      </c>
      <c r="F3716" s="4">
        <f t="shared" si="64"/>
        <v>5.5979643765903385E-2</v>
      </c>
      <c r="G3716" s="37">
        <v>38.700000000000003</v>
      </c>
      <c r="H3716" s="835">
        <v>45771</v>
      </c>
    </row>
    <row r="3717" spans="3:8" x14ac:dyDescent="0.25">
      <c r="C3717" s="836" t="s">
        <v>0</v>
      </c>
      <c r="D3717" s="836" t="s">
        <v>7</v>
      </c>
      <c r="E3717" s="837" t="s">
        <v>4</v>
      </c>
      <c r="F3717" s="4" t="str">
        <f t="shared" si="64"/>
        <v/>
      </c>
      <c r="G3717" s="37">
        <v>37.299999999999997</v>
      </c>
      <c r="H3717" s="838">
        <v>45772</v>
      </c>
    </row>
    <row r="3718" spans="3:8" x14ac:dyDescent="0.25">
      <c r="C3718" s="836">
        <v>51</v>
      </c>
      <c r="D3718" s="836">
        <v>25</v>
      </c>
      <c r="E3718" s="837">
        <v>29.3</v>
      </c>
      <c r="F3718" s="4">
        <f t="shared" si="64"/>
        <v>0</v>
      </c>
      <c r="G3718" s="37">
        <v>37.299999999999997</v>
      </c>
      <c r="H3718" s="838">
        <v>45772</v>
      </c>
    </row>
    <row r="3719" spans="3:8" x14ac:dyDescent="0.25">
      <c r="C3719" s="836">
        <v>1</v>
      </c>
      <c r="D3719" s="836">
        <v>113</v>
      </c>
      <c r="E3719" s="837">
        <v>48.8</v>
      </c>
      <c r="F3719" s="4">
        <f t="shared" si="64"/>
        <v>-4.3137254901960839E-2</v>
      </c>
      <c r="G3719" s="37">
        <v>37.299999999999997</v>
      </c>
      <c r="H3719" s="838">
        <v>45772</v>
      </c>
    </row>
    <row r="3720" spans="3:8" x14ac:dyDescent="0.25">
      <c r="C3720" s="836">
        <v>2</v>
      </c>
      <c r="D3720" s="836">
        <v>49</v>
      </c>
      <c r="E3720" s="837">
        <v>28.8</v>
      </c>
      <c r="F3720" s="4">
        <f t="shared" si="64"/>
        <v>-0.12727272727272726</v>
      </c>
      <c r="G3720" s="37">
        <v>37.299999999999997</v>
      </c>
      <c r="H3720" s="838">
        <v>45772</v>
      </c>
    </row>
    <row r="3721" spans="3:8" x14ac:dyDescent="0.25">
      <c r="C3721" s="836">
        <v>3</v>
      </c>
      <c r="D3721" s="836">
        <v>84</v>
      </c>
      <c r="E3721" s="837">
        <v>33.1</v>
      </c>
      <c r="F3721" s="4">
        <f t="shared" si="64"/>
        <v>6.7741935483871016E-2</v>
      </c>
      <c r="G3721" s="37">
        <v>37.299999999999997</v>
      </c>
      <c r="H3721" s="838">
        <v>45772</v>
      </c>
    </row>
    <row r="3722" spans="3:8" x14ac:dyDescent="0.25">
      <c r="C3722" s="836">
        <v>4</v>
      </c>
      <c r="D3722" s="836">
        <v>80</v>
      </c>
      <c r="E3722" s="837">
        <v>22.4</v>
      </c>
      <c r="F3722" s="4">
        <f t="shared" si="64"/>
        <v>-9.3117408906882623E-2</v>
      </c>
      <c r="G3722" s="37">
        <v>37.299999999999997</v>
      </c>
      <c r="H3722" s="838">
        <v>45772</v>
      </c>
    </row>
    <row r="3723" spans="3:8" x14ac:dyDescent="0.25">
      <c r="C3723" s="836">
        <v>5</v>
      </c>
      <c r="D3723" s="836">
        <v>0</v>
      </c>
      <c r="E3723" s="837"/>
      <c r="F3723" s="4" t="str">
        <f t="shared" si="64"/>
        <v/>
      </c>
      <c r="G3723" s="37">
        <v>37.299999999999997</v>
      </c>
      <c r="H3723" s="838">
        <v>45772</v>
      </c>
    </row>
    <row r="3724" spans="3:8" x14ac:dyDescent="0.25">
      <c r="C3724" s="836">
        <v>6</v>
      </c>
      <c r="D3724" s="836">
        <v>99</v>
      </c>
      <c r="E3724" s="837">
        <v>36.799999999999997</v>
      </c>
      <c r="F3724" s="4">
        <f t="shared" si="64"/>
        <v>-1.8666666666666741E-2</v>
      </c>
      <c r="G3724" s="37">
        <v>37.299999999999997</v>
      </c>
      <c r="H3724" s="838">
        <v>45772</v>
      </c>
    </row>
    <row r="3725" spans="3:8" x14ac:dyDescent="0.25">
      <c r="C3725" s="836">
        <v>7</v>
      </c>
      <c r="D3725" s="836">
        <v>0</v>
      </c>
      <c r="E3725" s="837"/>
      <c r="F3725" s="4" t="str">
        <f t="shared" si="64"/>
        <v/>
      </c>
      <c r="G3725" s="37">
        <v>37.299999999999997</v>
      </c>
      <c r="H3725" s="838">
        <v>45772</v>
      </c>
    </row>
    <row r="3726" spans="3:8" x14ac:dyDescent="0.25">
      <c r="C3726" s="836">
        <v>8</v>
      </c>
      <c r="D3726" s="836">
        <v>59</v>
      </c>
      <c r="E3726" s="837">
        <v>31.7</v>
      </c>
      <c r="F3726" s="4">
        <f t="shared" si="64"/>
        <v>3.1645569620252488E-3</v>
      </c>
      <c r="G3726" s="37">
        <v>37.299999999999997</v>
      </c>
      <c r="H3726" s="838">
        <v>45772</v>
      </c>
    </row>
    <row r="3727" spans="3:8" x14ac:dyDescent="0.25">
      <c r="C3727" s="836">
        <v>9</v>
      </c>
      <c r="D3727" s="836">
        <v>82</v>
      </c>
      <c r="E3727" s="837">
        <v>40.4</v>
      </c>
      <c r="F3727" s="4">
        <f t="shared" si="64"/>
        <v>-0.12931034482758622</v>
      </c>
      <c r="G3727" s="37">
        <v>37.299999999999997</v>
      </c>
      <c r="H3727" s="838">
        <v>45772</v>
      </c>
    </row>
    <row r="3728" spans="3:8" x14ac:dyDescent="0.25">
      <c r="C3728" s="836">
        <v>10</v>
      </c>
      <c r="D3728" s="836">
        <v>119</v>
      </c>
      <c r="E3728" s="837">
        <v>39.299999999999997</v>
      </c>
      <c r="F3728" s="4">
        <f t="shared" si="64"/>
        <v>-5.3012048192771152E-2</v>
      </c>
      <c r="G3728" s="37">
        <v>37.299999999999997</v>
      </c>
      <c r="H3728" s="838">
        <v>45772</v>
      </c>
    </row>
    <row r="3729" spans="3:8" x14ac:dyDescent="0.25">
      <c r="C3729" s="839" t="s">
        <v>0</v>
      </c>
      <c r="D3729" s="839" t="s">
        <v>7</v>
      </c>
      <c r="E3729" s="840" t="s">
        <v>4</v>
      </c>
      <c r="F3729" s="4" t="str">
        <f t="shared" si="64"/>
        <v/>
      </c>
      <c r="G3729" s="37">
        <v>37.6</v>
      </c>
      <c r="H3729" s="838">
        <v>45773</v>
      </c>
    </row>
    <row r="3730" spans="3:8" x14ac:dyDescent="0.25">
      <c r="C3730" s="839">
        <v>51</v>
      </c>
      <c r="D3730" s="839">
        <v>20</v>
      </c>
      <c r="E3730" s="840">
        <v>29.3</v>
      </c>
      <c r="F3730" s="4">
        <f t="shared" si="64"/>
        <v>0</v>
      </c>
      <c r="G3730" s="37">
        <v>37.6</v>
      </c>
      <c r="H3730" s="838">
        <v>45773</v>
      </c>
    </row>
    <row r="3731" spans="3:8" x14ac:dyDescent="0.25">
      <c r="C3731" s="839">
        <v>1</v>
      </c>
      <c r="D3731" s="839">
        <v>113</v>
      </c>
      <c r="E3731" s="840">
        <v>49.2</v>
      </c>
      <c r="F3731" s="4">
        <f t="shared" si="64"/>
        <v>8.1967213114755265E-3</v>
      </c>
      <c r="G3731" s="37">
        <v>37.6</v>
      </c>
      <c r="H3731" s="838">
        <v>45773</v>
      </c>
    </row>
    <row r="3732" spans="3:8" x14ac:dyDescent="0.25">
      <c r="C3732" s="839">
        <v>2</v>
      </c>
      <c r="D3732" s="839">
        <v>47</v>
      </c>
      <c r="E3732" s="840">
        <v>32.799999999999997</v>
      </c>
      <c r="F3732" s="4">
        <f t="shared" si="64"/>
        <v>0.13888888888888876</v>
      </c>
      <c r="G3732" s="37">
        <v>37.6</v>
      </c>
      <c r="H3732" s="838">
        <v>45773</v>
      </c>
    </row>
    <row r="3733" spans="3:8" x14ac:dyDescent="0.25">
      <c r="C3733" s="839">
        <v>3</v>
      </c>
      <c r="D3733" s="839">
        <v>85</v>
      </c>
      <c r="E3733" s="840">
        <v>30</v>
      </c>
      <c r="F3733" s="4">
        <f t="shared" si="64"/>
        <v>-9.3655589123867108E-2</v>
      </c>
      <c r="G3733" s="37">
        <v>37.6</v>
      </c>
      <c r="H3733" s="838">
        <v>45773</v>
      </c>
    </row>
    <row r="3734" spans="3:8" x14ac:dyDescent="0.25">
      <c r="C3734" s="839">
        <v>4</v>
      </c>
      <c r="D3734" s="839">
        <v>90</v>
      </c>
      <c r="E3734" s="840">
        <v>25.2</v>
      </c>
      <c r="F3734" s="4">
        <f t="shared" si="64"/>
        <v>0.12500000000000003</v>
      </c>
      <c r="G3734" s="37">
        <v>37.6</v>
      </c>
      <c r="H3734" s="838">
        <v>45773</v>
      </c>
    </row>
    <row r="3735" spans="3:8" x14ac:dyDescent="0.25">
      <c r="C3735" s="839">
        <v>5</v>
      </c>
      <c r="D3735" s="839">
        <v>2</v>
      </c>
      <c r="E3735" s="840"/>
      <c r="F3735" s="4" t="str">
        <f t="shared" si="64"/>
        <v/>
      </c>
      <c r="G3735" s="37">
        <v>37.6</v>
      </c>
      <c r="H3735" s="838">
        <v>45773</v>
      </c>
    </row>
    <row r="3736" spans="3:8" x14ac:dyDescent="0.25">
      <c r="C3736" s="839">
        <v>6</v>
      </c>
      <c r="D3736" s="839">
        <v>90</v>
      </c>
      <c r="E3736" s="840">
        <v>39.299999999999997</v>
      </c>
      <c r="F3736" s="4">
        <f t="shared" si="64"/>
        <v>6.7934782608695662E-2</v>
      </c>
      <c r="G3736" s="37">
        <v>37.6</v>
      </c>
      <c r="H3736" s="838">
        <v>45773</v>
      </c>
    </row>
    <row r="3737" spans="3:8" x14ac:dyDescent="0.25">
      <c r="C3737" s="839">
        <v>7</v>
      </c>
      <c r="D3737" s="839">
        <v>0</v>
      </c>
      <c r="E3737" s="840"/>
      <c r="F3737" s="4" t="str">
        <f t="shared" si="64"/>
        <v/>
      </c>
      <c r="G3737" s="37">
        <v>37.6</v>
      </c>
      <c r="H3737" s="838">
        <v>45773</v>
      </c>
    </row>
    <row r="3738" spans="3:8" x14ac:dyDescent="0.25">
      <c r="C3738" s="839">
        <v>8</v>
      </c>
      <c r="D3738" s="839">
        <v>62</v>
      </c>
      <c r="E3738" s="840">
        <v>31.3</v>
      </c>
      <c r="F3738" s="4">
        <f t="shared" si="64"/>
        <v>-1.2618296529968411E-2</v>
      </c>
      <c r="G3738" s="37">
        <v>37.6</v>
      </c>
      <c r="H3738" s="838">
        <v>45773</v>
      </c>
    </row>
    <row r="3739" spans="3:8" x14ac:dyDescent="0.25">
      <c r="C3739" s="839">
        <v>9</v>
      </c>
      <c r="D3739" s="839">
        <v>82</v>
      </c>
      <c r="E3739" s="840">
        <v>39</v>
      </c>
      <c r="F3739" s="4">
        <f t="shared" si="64"/>
        <v>-3.4653465346534622E-2</v>
      </c>
      <c r="G3739" s="37">
        <v>37.6</v>
      </c>
      <c r="H3739" s="838">
        <v>45773</v>
      </c>
    </row>
    <row r="3740" spans="3:8" x14ac:dyDescent="0.25">
      <c r="C3740" s="839">
        <v>10</v>
      </c>
      <c r="D3740" s="839">
        <v>119</v>
      </c>
      <c r="E3740" s="840">
        <v>39.5</v>
      </c>
      <c r="F3740" s="4">
        <f t="shared" si="64"/>
        <v>5.0890585241731004E-3</v>
      </c>
      <c r="G3740" s="37">
        <v>37.6</v>
      </c>
      <c r="H3740" s="838">
        <v>45773</v>
      </c>
    </row>
    <row r="3741" spans="3:8" x14ac:dyDescent="0.25">
      <c r="C3741" s="841" t="s">
        <v>0</v>
      </c>
      <c r="D3741" s="841" t="s">
        <v>7</v>
      </c>
      <c r="E3741" s="842" t="s">
        <v>4</v>
      </c>
      <c r="F3741" s="4" t="str">
        <f t="shared" si="64"/>
        <v/>
      </c>
      <c r="G3741" s="37">
        <v>36.6</v>
      </c>
      <c r="H3741" s="838">
        <v>45774</v>
      </c>
    </row>
    <row r="3742" spans="3:8" x14ac:dyDescent="0.25">
      <c r="C3742" s="841">
        <v>51</v>
      </c>
      <c r="D3742" s="841">
        <v>22</v>
      </c>
      <c r="E3742" s="842">
        <v>30.6</v>
      </c>
      <c r="F3742" s="4">
        <f t="shared" si="64"/>
        <v>4.4368600682593878E-2</v>
      </c>
      <c r="G3742" s="37">
        <v>36.6</v>
      </c>
      <c r="H3742" s="838">
        <v>45774</v>
      </c>
    </row>
    <row r="3743" spans="3:8" x14ac:dyDescent="0.25">
      <c r="C3743" s="841">
        <v>1</v>
      </c>
      <c r="D3743" s="841">
        <v>115</v>
      </c>
      <c r="E3743" s="842">
        <v>49.3</v>
      </c>
      <c r="F3743" s="4">
        <f t="shared" si="64"/>
        <v>2.0325203252031365E-3</v>
      </c>
      <c r="G3743" s="37">
        <v>36.6</v>
      </c>
      <c r="H3743" s="838">
        <v>45774</v>
      </c>
    </row>
    <row r="3744" spans="3:8" x14ac:dyDescent="0.25">
      <c r="C3744" s="841">
        <v>2</v>
      </c>
      <c r="D3744" s="841">
        <v>47</v>
      </c>
      <c r="E3744" s="842">
        <v>33.299999999999997</v>
      </c>
      <c r="F3744" s="4">
        <f t="shared" si="64"/>
        <v>1.5243902439024392E-2</v>
      </c>
      <c r="G3744" s="37">
        <v>36.6</v>
      </c>
      <c r="H3744" s="838">
        <v>45774</v>
      </c>
    </row>
    <row r="3745" spans="3:8" x14ac:dyDescent="0.25">
      <c r="C3745" s="841">
        <v>3</v>
      </c>
      <c r="D3745" s="841">
        <v>85</v>
      </c>
      <c r="E3745" s="842">
        <v>32.700000000000003</v>
      </c>
      <c r="F3745" s="4">
        <f t="shared" si="64"/>
        <v>9.0000000000000094E-2</v>
      </c>
      <c r="G3745" s="37">
        <v>36.6</v>
      </c>
      <c r="H3745" s="838">
        <v>45774</v>
      </c>
    </row>
    <row r="3746" spans="3:8" x14ac:dyDescent="0.25">
      <c r="C3746" s="841">
        <v>4</v>
      </c>
      <c r="D3746" s="841">
        <v>89</v>
      </c>
      <c r="E3746" s="842">
        <v>21.2</v>
      </c>
      <c r="F3746" s="4">
        <f t="shared" si="64"/>
        <v>-0.15873015873015872</v>
      </c>
      <c r="G3746" s="37">
        <v>36.6</v>
      </c>
      <c r="H3746" s="838">
        <v>45774</v>
      </c>
    </row>
    <row r="3747" spans="3:8" x14ac:dyDescent="0.25">
      <c r="C3747" s="841">
        <v>5</v>
      </c>
      <c r="D3747" s="841">
        <v>0</v>
      </c>
      <c r="E3747" s="842">
        <v>49.3</v>
      </c>
      <c r="F3747" s="4" t="str">
        <f t="shared" si="64"/>
        <v/>
      </c>
      <c r="G3747" s="37">
        <v>36.6</v>
      </c>
      <c r="H3747" s="838">
        <v>45774</v>
      </c>
    </row>
    <row r="3748" spans="3:8" x14ac:dyDescent="0.25">
      <c r="C3748" s="841">
        <v>6</v>
      </c>
      <c r="D3748" s="841">
        <v>93</v>
      </c>
      <c r="E3748" s="842">
        <v>38</v>
      </c>
      <c r="F3748" s="4">
        <f t="shared" si="64"/>
        <v>-3.307888040712461E-2</v>
      </c>
      <c r="G3748" s="37">
        <v>36.6</v>
      </c>
      <c r="H3748" s="838">
        <v>45774</v>
      </c>
    </row>
    <row r="3749" spans="3:8" x14ac:dyDescent="0.25">
      <c r="C3749" s="841">
        <v>7</v>
      </c>
      <c r="D3749" s="841">
        <v>0</v>
      </c>
      <c r="E3749" s="842"/>
      <c r="F3749" s="4" t="str">
        <f t="shared" si="64"/>
        <v/>
      </c>
      <c r="G3749" s="37">
        <v>36.6</v>
      </c>
      <c r="H3749" s="838">
        <v>45774</v>
      </c>
    </row>
    <row r="3750" spans="3:8" x14ac:dyDescent="0.25">
      <c r="C3750" s="841">
        <v>8</v>
      </c>
      <c r="D3750" s="841">
        <v>62</v>
      </c>
      <c r="E3750" s="842">
        <v>25</v>
      </c>
      <c r="F3750" s="4">
        <f t="shared" ref="F3750:F3813" si="65">IFERROR((E3750-E3738)/E3738,"")</f>
        <v>-0.2012779552715655</v>
      </c>
      <c r="G3750" s="37">
        <v>36.6</v>
      </c>
      <c r="H3750" s="838">
        <v>45774</v>
      </c>
    </row>
    <row r="3751" spans="3:8" x14ac:dyDescent="0.25">
      <c r="C3751" s="841">
        <v>9</v>
      </c>
      <c r="D3751" s="841">
        <v>82</v>
      </c>
      <c r="E3751" s="842">
        <v>40.5</v>
      </c>
      <c r="F3751" s="4">
        <f t="shared" si="65"/>
        <v>3.8461538461538464E-2</v>
      </c>
      <c r="G3751" s="37">
        <v>36.6</v>
      </c>
      <c r="H3751" s="838">
        <v>45774</v>
      </c>
    </row>
    <row r="3752" spans="3:8" x14ac:dyDescent="0.25">
      <c r="C3752" s="841">
        <v>10</v>
      </c>
      <c r="D3752" s="841">
        <v>120</v>
      </c>
      <c r="E3752" s="842">
        <v>35</v>
      </c>
      <c r="F3752" s="4">
        <f t="shared" si="65"/>
        <v>-0.11392405063291139</v>
      </c>
      <c r="G3752" s="37">
        <v>36.6</v>
      </c>
      <c r="H3752" s="838">
        <v>45774</v>
      </c>
    </row>
    <row r="3753" spans="3:8" x14ac:dyDescent="0.25">
      <c r="C3753" s="843" t="s">
        <v>0</v>
      </c>
      <c r="D3753" s="843" t="s">
        <v>7</v>
      </c>
      <c r="E3753" s="844" t="s">
        <v>4</v>
      </c>
      <c r="F3753" s="4" t="str">
        <f t="shared" si="65"/>
        <v/>
      </c>
      <c r="G3753" s="37">
        <v>37.200000000000003</v>
      </c>
      <c r="H3753" s="845">
        <v>45775</v>
      </c>
    </row>
    <row r="3754" spans="3:8" x14ac:dyDescent="0.25">
      <c r="C3754" s="843">
        <v>51</v>
      </c>
      <c r="D3754" s="843">
        <v>26</v>
      </c>
      <c r="E3754" s="844">
        <v>29.5</v>
      </c>
      <c r="F3754" s="4">
        <f t="shared" si="65"/>
        <v>-3.5947712418300699E-2</v>
      </c>
      <c r="G3754" s="37">
        <v>37.200000000000003</v>
      </c>
      <c r="H3754" s="845">
        <v>45775</v>
      </c>
    </row>
    <row r="3755" spans="3:8" x14ac:dyDescent="0.25">
      <c r="C3755" s="843">
        <v>1</v>
      </c>
      <c r="D3755" s="843">
        <v>114</v>
      </c>
      <c r="E3755" s="844">
        <v>48.9</v>
      </c>
      <c r="F3755" s="4">
        <f t="shared" si="65"/>
        <v>-8.1135902636916557E-3</v>
      </c>
      <c r="G3755" s="37">
        <v>37.200000000000003</v>
      </c>
      <c r="H3755" s="845">
        <v>45775</v>
      </c>
    </row>
    <row r="3756" spans="3:8" x14ac:dyDescent="0.25">
      <c r="C3756" s="843">
        <v>2</v>
      </c>
      <c r="D3756" s="843">
        <v>47</v>
      </c>
      <c r="E3756" s="844">
        <v>32.5</v>
      </c>
      <c r="F3756" s="4">
        <f t="shared" si="65"/>
        <v>-2.4024024024023941E-2</v>
      </c>
      <c r="G3756" s="37">
        <v>37.200000000000003</v>
      </c>
      <c r="H3756" s="845">
        <v>45775</v>
      </c>
    </row>
    <row r="3757" spans="3:8" x14ac:dyDescent="0.25">
      <c r="C3757" s="843">
        <v>3</v>
      </c>
      <c r="D3757" s="843">
        <v>85</v>
      </c>
      <c r="E3757" s="844">
        <v>32.1</v>
      </c>
      <c r="F3757" s="4">
        <f t="shared" si="65"/>
        <v>-1.8348623853211052E-2</v>
      </c>
      <c r="G3757" s="37">
        <v>37.200000000000003</v>
      </c>
      <c r="H3757" s="845">
        <v>45775</v>
      </c>
    </row>
    <row r="3758" spans="3:8" x14ac:dyDescent="0.25">
      <c r="C3758" s="843">
        <v>4</v>
      </c>
      <c r="D3758" s="843">
        <v>88</v>
      </c>
      <c r="E3758" s="844">
        <v>24.8</v>
      </c>
      <c r="F3758" s="4">
        <f t="shared" si="65"/>
        <v>0.16981132075471705</v>
      </c>
      <c r="G3758" s="37">
        <v>37.200000000000003</v>
      </c>
      <c r="H3758" s="845">
        <v>45775</v>
      </c>
    </row>
    <row r="3759" spans="3:8" x14ac:dyDescent="0.25">
      <c r="C3759" s="843">
        <v>5</v>
      </c>
      <c r="D3759" s="843">
        <v>0</v>
      </c>
      <c r="E3759" s="844"/>
      <c r="F3759" s="4">
        <f t="shared" si="65"/>
        <v>-1</v>
      </c>
      <c r="G3759" s="37">
        <v>37.200000000000003</v>
      </c>
      <c r="H3759" s="845">
        <v>45775</v>
      </c>
    </row>
    <row r="3760" spans="3:8" x14ac:dyDescent="0.25">
      <c r="C3760" s="843">
        <v>6</v>
      </c>
      <c r="D3760" s="843">
        <v>92</v>
      </c>
      <c r="E3760" s="844">
        <v>39.200000000000003</v>
      </c>
      <c r="F3760" s="4">
        <f t="shared" si="65"/>
        <v>3.157894736842113E-2</v>
      </c>
      <c r="G3760" s="37">
        <v>37.200000000000003</v>
      </c>
      <c r="H3760" s="845">
        <v>45775</v>
      </c>
    </row>
    <row r="3761" spans="3:8" x14ac:dyDescent="0.25">
      <c r="C3761" s="843">
        <v>7</v>
      </c>
      <c r="D3761" s="843">
        <v>0</v>
      </c>
      <c r="E3761" s="844"/>
      <c r="F3761" s="4" t="str">
        <f t="shared" si="65"/>
        <v/>
      </c>
      <c r="G3761" s="37">
        <v>37.200000000000003</v>
      </c>
      <c r="H3761" s="845">
        <v>45775</v>
      </c>
    </row>
    <row r="3762" spans="3:8" x14ac:dyDescent="0.25">
      <c r="C3762" s="843">
        <v>8</v>
      </c>
      <c r="D3762" s="843">
        <v>62</v>
      </c>
      <c r="E3762" s="844">
        <v>31.3</v>
      </c>
      <c r="F3762" s="4">
        <f t="shared" si="65"/>
        <v>0.252</v>
      </c>
      <c r="G3762" s="37">
        <v>37.200000000000003</v>
      </c>
      <c r="H3762" s="845">
        <v>45775</v>
      </c>
    </row>
    <row r="3763" spans="3:8" x14ac:dyDescent="0.25">
      <c r="C3763" s="843">
        <v>9</v>
      </c>
      <c r="D3763" s="843">
        <v>83</v>
      </c>
      <c r="E3763" s="844">
        <v>40.700000000000003</v>
      </c>
      <c r="F3763" s="4">
        <f t="shared" si="65"/>
        <v>4.9382716049383418E-3</v>
      </c>
      <c r="G3763" s="37">
        <v>37.200000000000003</v>
      </c>
      <c r="H3763" s="845">
        <v>45775</v>
      </c>
    </row>
    <row r="3764" spans="3:8" x14ac:dyDescent="0.25">
      <c r="C3764" s="843">
        <v>10</v>
      </c>
      <c r="D3764" s="843">
        <v>120</v>
      </c>
      <c r="E3764" s="844">
        <v>39.4</v>
      </c>
      <c r="F3764" s="4">
        <f t="shared" si="65"/>
        <v>0.12571428571428567</v>
      </c>
      <c r="G3764" s="37">
        <v>37.200000000000003</v>
      </c>
      <c r="H3764" s="845">
        <v>45775</v>
      </c>
    </row>
    <row r="3765" spans="3:8" x14ac:dyDescent="0.25">
      <c r="C3765" s="846" t="s">
        <v>0</v>
      </c>
      <c r="D3765" s="846" t="s">
        <v>7</v>
      </c>
      <c r="E3765" s="847" t="s">
        <v>4</v>
      </c>
      <c r="F3765" s="4" t="str">
        <f t="shared" si="65"/>
        <v/>
      </c>
      <c r="G3765" s="37">
        <v>37.1</v>
      </c>
      <c r="H3765" s="848">
        <v>45776</v>
      </c>
    </row>
    <row r="3766" spans="3:8" x14ac:dyDescent="0.25">
      <c r="C3766" s="846">
        <v>51</v>
      </c>
      <c r="D3766" s="846">
        <v>28</v>
      </c>
      <c r="E3766" s="847">
        <v>28.5</v>
      </c>
      <c r="F3766" s="4">
        <f t="shared" si="65"/>
        <v>-3.3898305084745763E-2</v>
      </c>
      <c r="G3766" s="37">
        <v>37.1</v>
      </c>
      <c r="H3766" s="848">
        <v>45776</v>
      </c>
    </row>
    <row r="3767" spans="3:8" x14ac:dyDescent="0.25">
      <c r="C3767" s="846">
        <v>1</v>
      </c>
      <c r="D3767" s="846">
        <v>113</v>
      </c>
      <c r="E3767" s="847">
        <v>48.9</v>
      </c>
      <c r="F3767" s="4">
        <f t="shared" si="65"/>
        <v>0</v>
      </c>
      <c r="G3767" s="37">
        <v>37.1</v>
      </c>
      <c r="H3767" s="848">
        <v>45776</v>
      </c>
    </row>
    <row r="3768" spans="3:8" x14ac:dyDescent="0.25">
      <c r="C3768" s="846">
        <v>2</v>
      </c>
      <c r="D3768" s="846">
        <v>47</v>
      </c>
      <c r="E3768" s="847">
        <v>28.4</v>
      </c>
      <c r="F3768" s="4">
        <f t="shared" si="65"/>
        <v>-0.1261538461538462</v>
      </c>
      <c r="G3768" s="37">
        <v>37.1</v>
      </c>
      <c r="H3768" s="848">
        <v>45776</v>
      </c>
    </row>
    <row r="3769" spans="3:8" x14ac:dyDescent="0.25">
      <c r="C3769" s="846">
        <v>3</v>
      </c>
      <c r="D3769" s="846">
        <v>85</v>
      </c>
      <c r="E3769" s="847">
        <v>31.3</v>
      </c>
      <c r="F3769" s="4">
        <f t="shared" si="65"/>
        <v>-2.4922118380062325E-2</v>
      </c>
      <c r="G3769" s="37">
        <v>37.1</v>
      </c>
      <c r="H3769" s="848">
        <v>45776</v>
      </c>
    </row>
    <row r="3770" spans="3:8" x14ac:dyDescent="0.25">
      <c r="C3770" s="846">
        <v>4</v>
      </c>
      <c r="D3770" s="846">
        <v>88</v>
      </c>
      <c r="E3770" s="847">
        <v>24.3</v>
      </c>
      <c r="F3770" s="4">
        <f t="shared" si="65"/>
        <v>-2.0161290322580645E-2</v>
      </c>
      <c r="G3770" s="37">
        <v>37.1</v>
      </c>
      <c r="H3770" s="848">
        <v>45776</v>
      </c>
    </row>
    <row r="3771" spans="3:8" x14ac:dyDescent="0.25">
      <c r="C3771" s="846">
        <v>5</v>
      </c>
      <c r="D3771" s="846">
        <v>0</v>
      </c>
      <c r="E3771" s="847"/>
      <c r="F3771" s="4" t="str">
        <f t="shared" si="65"/>
        <v/>
      </c>
      <c r="G3771" s="37">
        <v>37.1</v>
      </c>
      <c r="H3771" s="848">
        <v>45776</v>
      </c>
    </row>
    <row r="3772" spans="3:8" x14ac:dyDescent="0.25">
      <c r="C3772" s="846">
        <v>6</v>
      </c>
      <c r="D3772" s="846">
        <v>93</v>
      </c>
      <c r="E3772" s="847">
        <v>38.700000000000003</v>
      </c>
      <c r="F3772" s="4">
        <f t="shared" si="65"/>
        <v>-1.2755102040816325E-2</v>
      </c>
      <c r="G3772" s="37">
        <v>37.1</v>
      </c>
      <c r="H3772" s="848">
        <v>45776</v>
      </c>
    </row>
    <row r="3773" spans="3:8" x14ac:dyDescent="0.25">
      <c r="C3773" s="846">
        <v>7</v>
      </c>
      <c r="D3773" s="846">
        <v>0</v>
      </c>
      <c r="E3773" s="847"/>
      <c r="F3773" s="4" t="str">
        <f t="shared" si="65"/>
        <v/>
      </c>
      <c r="G3773" s="37">
        <v>37.1</v>
      </c>
      <c r="H3773" s="848">
        <v>45776</v>
      </c>
    </row>
    <row r="3774" spans="3:8" x14ac:dyDescent="0.25">
      <c r="C3774" s="846">
        <v>8</v>
      </c>
      <c r="D3774" s="846">
        <v>62</v>
      </c>
      <c r="E3774" s="847">
        <v>31.5</v>
      </c>
      <c r="F3774" s="4">
        <f t="shared" si="65"/>
        <v>6.3897763578274532E-3</v>
      </c>
      <c r="G3774" s="37">
        <v>37.1</v>
      </c>
      <c r="H3774" s="848">
        <v>45776</v>
      </c>
    </row>
    <row r="3775" spans="3:8" x14ac:dyDescent="0.25">
      <c r="C3775" s="846">
        <v>9</v>
      </c>
      <c r="D3775" s="846">
        <v>83</v>
      </c>
      <c r="E3775" s="847">
        <v>39.4</v>
      </c>
      <c r="F3775" s="4">
        <f t="shared" si="65"/>
        <v>-3.1941031941032046E-2</v>
      </c>
      <c r="G3775" s="37">
        <v>37.1</v>
      </c>
      <c r="H3775" s="848">
        <v>45776</v>
      </c>
    </row>
    <row r="3776" spans="3:8" x14ac:dyDescent="0.25">
      <c r="C3776" s="846">
        <v>10</v>
      </c>
      <c r="D3776" s="846">
        <v>120</v>
      </c>
      <c r="E3776" s="847">
        <v>39.9</v>
      </c>
      <c r="F3776" s="4">
        <f t="shared" si="65"/>
        <v>1.2690355329949238E-2</v>
      </c>
      <c r="G3776" s="37">
        <v>37.1</v>
      </c>
      <c r="H3776" s="848">
        <v>45776</v>
      </c>
    </row>
    <row r="3777" spans="3:8" x14ac:dyDescent="0.25">
      <c r="C3777" s="849" t="s">
        <v>0</v>
      </c>
      <c r="D3777" s="849" t="s">
        <v>7</v>
      </c>
      <c r="E3777" s="850" t="s">
        <v>4</v>
      </c>
      <c r="F3777" s="4" t="str">
        <f t="shared" si="65"/>
        <v/>
      </c>
      <c r="G3777" s="37">
        <v>38.299999999999997</v>
      </c>
      <c r="H3777" s="851">
        <v>45777</v>
      </c>
    </row>
    <row r="3778" spans="3:8" x14ac:dyDescent="0.25">
      <c r="C3778" s="849">
        <v>51</v>
      </c>
      <c r="D3778" s="849">
        <v>24</v>
      </c>
      <c r="E3778" s="850">
        <v>29.7</v>
      </c>
      <c r="F3778" s="4">
        <f t="shared" si="65"/>
        <v>4.2105263157894715E-2</v>
      </c>
      <c r="G3778" s="37">
        <v>38.299999999999997</v>
      </c>
      <c r="H3778" s="851">
        <v>45777</v>
      </c>
    </row>
    <row r="3779" spans="3:8" x14ac:dyDescent="0.25">
      <c r="C3779" s="849">
        <v>1</v>
      </c>
      <c r="D3779" s="849">
        <v>113</v>
      </c>
      <c r="E3779" s="850">
        <v>48.3</v>
      </c>
      <c r="F3779" s="4">
        <f t="shared" si="65"/>
        <v>-1.2269938650306778E-2</v>
      </c>
      <c r="G3779" s="37">
        <v>38.299999999999997</v>
      </c>
      <c r="H3779" s="851">
        <v>45777</v>
      </c>
    </row>
    <row r="3780" spans="3:8" x14ac:dyDescent="0.25">
      <c r="C3780" s="849">
        <v>2</v>
      </c>
      <c r="D3780" s="849">
        <v>48</v>
      </c>
      <c r="E3780" s="850">
        <v>33.200000000000003</v>
      </c>
      <c r="F3780" s="4">
        <f t="shared" si="65"/>
        <v>0.16901408450704242</v>
      </c>
      <c r="G3780" s="37">
        <v>38.299999999999997</v>
      </c>
      <c r="H3780" s="851">
        <v>45777</v>
      </c>
    </row>
    <row r="3781" spans="3:8" x14ac:dyDescent="0.25">
      <c r="C3781" s="849">
        <v>3</v>
      </c>
      <c r="D3781" s="849">
        <v>85</v>
      </c>
      <c r="E3781" s="850">
        <v>33.200000000000003</v>
      </c>
      <c r="F3781" s="4">
        <f t="shared" si="65"/>
        <v>6.0702875399361089E-2</v>
      </c>
      <c r="G3781" s="37">
        <v>38.299999999999997</v>
      </c>
      <c r="H3781" s="851">
        <v>45777</v>
      </c>
    </row>
    <row r="3782" spans="3:8" x14ac:dyDescent="0.25">
      <c r="C3782" s="849">
        <v>4</v>
      </c>
      <c r="D3782" s="849">
        <v>88</v>
      </c>
      <c r="E3782" s="850">
        <v>25.2</v>
      </c>
      <c r="F3782" s="4">
        <f t="shared" si="65"/>
        <v>3.7037037037036979E-2</v>
      </c>
      <c r="G3782" s="37">
        <v>38.299999999999997</v>
      </c>
      <c r="H3782" s="851">
        <v>45777</v>
      </c>
    </row>
    <row r="3783" spans="3:8" x14ac:dyDescent="0.25">
      <c r="C3783" s="849">
        <v>5</v>
      </c>
      <c r="D3783" s="849">
        <v>0</v>
      </c>
      <c r="E3783" s="850"/>
      <c r="F3783" s="4" t="str">
        <f t="shared" si="65"/>
        <v/>
      </c>
      <c r="G3783" s="37">
        <v>38.299999999999997</v>
      </c>
      <c r="H3783" s="851">
        <v>45777</v>
      </c>
    </row>
    <row r="3784" spans="3:8" x14ac:dyDescent="0.25">
      <c r="C3784" s="849">
        <v>6</v>
      </c>
      <c r="D3784" s="849">
        <v>98</v>
      </c>
      <c r="E3784" s="850">
        <v>39.700000000000003</v>
      </c>
      <c r="F3784" s="4">
        <f t="shared" si="65"/>
        <v>2.5839793281653745E-2</v>
      </c>
      <c r="G3784" s="37">
        <v>38.299999999999997</v>
      </c>
      <c r="H3784" s="851">
        <v>45777</v>
      </c>
    </row>
    <row r="3785" spans="3:8" x14ac:dyDescent="0.25">
      <c r="C3785" s="849">
        <v>7</v>
      </c>
      <c r="D3785" s="849">
        <v>0</v>
      </c>
      <c r="E3785" s="850"/>
      <c r="F3785" s="4" t="str">
        <f t="shared" si="65"/>
        <v/>
      </c>
      <c r="G3785" s="37">
        <v>38.299999999999997</v>
      </c>
      <c r="H3785" s="851">
        <v>45777</v>
      </c>
    </row>
    <row r="3786" spans="3:8" x14ac:dyDescent="0.25">
      <c r="C3786" s="849">
        <v>8</v>
      </c>
      <c r="D3786" s="849">
        <v>62</v>
      </c>
      <c r="E3786" s="850">
        <v>28.3</v>
      </c>
      <c r="F3786" s="4">
        <f t="shared" si="65"/>
        <v>-0.10158730158730156</v>
      </c>
      <c r="G3786" s="37">
        <v>38.299999999999997</v>
      </c>
      <c r="H3786" s="851">
        <v>45777</v>
      </c>
    </row>
    <row r="3787" spans="3:8" x14ac:dyDescent="0.25">
      <c r="C3787" s="849">
        <v>9</v>
      </c>
      <c r="D3787" s="849">
        <v>82</v>
      </c>
      <c r="E3787" s="850">
        <v>39.9</v>
      </c>
      <c r="F3787" s="4">
        <f t="shared" si="65"/>
        <v>1.2690355329949238E-2</v>
      </c>
      <c r="G3787" s="37">
        <v>38.299999999999997</v>
      </c>
      <c r="H3787" s="851">
        <v>45777</v>
      </c>
    </row>
    <row r="3788" spans="3:8" x14ac:dyDescent="0.25">
      <c r="C3788" s="849">
        <v>10</v>
      </c>
      <c r="D3788" s="849">
        <v>120</v>
      </c>
      <c r="E3788" s="850">
        <v>40.799999999999997</v>
      </c>
      <c r="F3788" s="4">
        <f t="shared" si="65"/>
        <v>2.2556390977443573E-2</v>
      </c>
      <c r="G3788" s="37">
        <v>38.299999999999997</v>
      </c>
      <c r="H3788" s="851">
        <v>45777</v>
      </c>
    </row>
    <row r="3789" spans="3:8" x14ac:dyDescent="0.25">
      <c r="C3789" s="852" t="s">
        <v>0</v>
      </c>
      <c r="D3789" s="852" t="s">
        <v>7</v>
      </c>
      <c r="E3789" s="853" t="s">
        <v>4</v>
      </c>
      <c r="F3789" s="4" t="str">
        <f t="shared" si="65"/>
        <v/>
      </c>
      <c r="G3789" s="37">
        <v>40</v>
      </c>
      <c r="H3789" s="854">
        <v>45778</v>
      </c>
    </row>
    <row r="3790" spans="3:8" x14ac:dyDescent="0.25">
      <c r="C3790" s="852">
        <v>51</v>
      </c>
      <c r="D3790" s="852">
        <v>23</v>
      </c>
      <c r="E3790" s="853">
        <v>27.4</v>
      </c>
      <c r="F3790" s="4">
        <f t="shared" si="65"/>
        <v>-7.7441077441077463E-2</v>
      </c>
      <c r="G3790" s="37">
        <v>40</v>
      </c>
      <c r="H3790" s="854">
        <v>45778</v>
      </c>
    </row>
    <row r="3791" spans="3:8" x14ac:dyDescent="0.25">
      <c r="C3791" s="852">
        <v>1</v>
      </c>
      <c r="D3791" s="852">
        <v>113</v>
      </c>
      <c r="E3791" s="853">
        <v>49</v>
      </c>
      <c r="F3791" s="4">
        <f t="shared" si="65"/>
        <v>1.4492753623188465E-2</v>
      </c>
      <c r="G3791" s="37">
        <v>40</v>
      </c>
      <c r="H3791" s="854">
        <v>45778</v>
      </c>
    </row>
    <row r="3792" spans="3:8" x14ac:dyDescent="0.25">
      <c r="C3792" s="852">
        <v>2</v>
      </c>
      <c r="D3792" s="852">
        <v>50</v>
      </c>
      <c r="E3792" s="853">
        <v>27.8</v>
      </c>
      <c r="F3792" s="4">
        <f t="shared" si="65"/>
        <v>-0.16265060240963861</v>
      </c>
      <c r="G3792" s="37">
        <v>40</v>
      </c>
      <c r="H3792" s="854">
        <v>45778</v>
      </c>
    </row>
    <row r="3793" spans="3:8" x14ac:dyDescent="0.25">
      <c r="C3793" s="852">
        <v>3</v>
      </c>
      <c r="D3793" s="852">
        <v>85</v>
      </c>
      <c r="E3793" s="853">
        <v>36.5</v>
      </c>
      <c r="F3793" s="4">
        <f t="shared" si="65"/>
        <v>9.9397590361445687E-2</v>
      </c>
      <c r="G3793" s="37">
        <v>40</v>
      </c>
      <c r="H3793" s="854">
        <v>45778</v>
      </c>
    </row>
    <row r="3794" spans="3:8" x14ac:dyDescent="0.25">
      <c r="C3794" s="852">
        <v>4</v>
      </c>
      <c r="D3794" s="852">
        <v>88</v>
      </c>
      <c r="E3794" s="853">
        <v>22.6</v>
      </c>
      <c r="F3794" s="4">
        <f t="shared" si="65"/>
        <v>-0.1031746031746031</v>
      </c>
      <c r="G3794" s="37">
        <v>40</v>
      </c>
      <c r="H3794" s="854">
        <v>45778</v>
      </c>
    </row>
    <row r="3795" spans="3:8" x14ac:dyDescent="0.25">
      <c r="C3795" s="852">
        <v>5</v>
      </c>
      <c r="D3795" s="852">
        <v>0</v>
      </c>
      <c r="E3795" s="853"/>
      <c r="F3795" s="4" t="str">
        <f t="shared" si="65"/>
        <v/>
      </c>
      <c r="G3795" s="37">
        <v>40</v>
      </c>
      <c r="H3795" s="854">
        <v>45778</v>
      </c>
    </row>
    <row r="3796" spans="3:8" x14ac:dyDescent="0.25">
      <c r="C3796" s="852">
        <v>6</v>
      </c>
      <c r="D3796" s="852">
        <v>100</v>
      </c>
      <c r="E3796" s="853">
        <v>42.6</v>
      </c>
      <c r="F3796" s="4">
        <f t="shared" si="65"/>
        <v>7.3047858942065447E-2</v>
      </c>
      <c r="G3796" s="37">
        <v>40</v>
      </c>
      <c r="H3796" s="854">
        <v>45778</v>
      </c>
    </row>
    <row r="3797" spans="3:8" x14ac:dyDescent="0.25">
      <c r="C3797" s="852">
        <v>7</v>
      </c>
      <c r="D3797" s="852">
        <v>82</v>
      </c>
      <c r="E3797" s="853"/>
      <c r="F3797" s="4" t="str">
        <f t="shared" si="65"/>
        <v/>
      </c>
      <c r="G3797" s="37">
        <v>40</v>
      </c>
      <c r="H3797" s="854">
        <v>45778</v>
      </c>
    </row>
    <row r="3798" spans="3:8" x14ac:dyDescent="0.25">
      <c r="C3798" s="852">
        <v>8</v>
      </c>
      <c r="D3798" s="852">
        <v>62</v>
      </c>
      <c r="E3798" s="853">
        <v>25.5</v>
      </c>
      <c r="F3798" s="4">
        <f t="shared" si="65"/>
        <v>-9.8939929328621931E-2</v>
      </c>
      <c r="G3798" s="37">
        <v>40</v>
      </c>
      <c r="H3798" s="854">
        <v>45778</v>
      </c>
    </row>
    <row r="3799" spans="3:8" x14ac:dyDescent="0.25">
      <c r="C3799" s="852">
        <v>9</v>
      </c>
      <c r="D3799" s="852">
        <v>0</v>
      </c>
      <c r="E3799" s="853">
        <v>39.799999999999997</v>
      </c>
      <c r="F3799" s="4">
        <f t="shared" si="65"/>
        <v>-2.5062656641604369E-3</v>
      </c>
      <c r="G3799" s="37">
        <v>40</v>
      </c>
      <c r="H3799" s="854">
        <v>45778</v>
      </c>
    </row>
    <row r="3800" spans="3:8" x14ac:dyDescent="0.25">
      <c r="C3800" s="852">
        <v>10</v>
      </c>
      <c r="D3800" s="852">
        <v>120</v>
      </c>
      <c r="E3800" s="853">
        <v>45.9</v>
      </c>
      <c r="F3800" s="4">
        <f t="shared" si="65"/>
        <v>0.12500000000000006</v>
      </c>
      <c r="G3800" s="37">
        <v>40</v>
      </c>
      <c r="H3800" s="854">
        <v>45778</v>
      </c>
    </row>
    <row r="3801" spans="3:8" x14ac:dyDescent="0.25">
      <c r="C3801" s="855" t="s">
        <v>0</v>
      </c>
      <c r="D3801" s="855" t="s">
        <v>7</v>
      </c>
      <c r="E3801" s="856" t="s">
        <v>4</v>
      </c>
      <c r="F3801" s="4" t="str">
        <f t="shared" si="65"/>
        <v/>
      </c>
      <c r="G3801" s="37">
        <v>37.5</v>
      </c>
      <c r="H3801" s="857">
        <v>45779</v>
      </c>
    </row>
    <row r="3802" spans="3:8" x14ac:dyDescent="0.25">
      <c r="C3802" s="855">
        <v>51</v>
      </c>
      <c r="D3802" s="855">
        <v>23</v>
      </c>
      <c r="E3802" s="856">
        <v>24.9</v>
      </c>
      <c r="F3802" s="4">
        <f t="shared" si="65"/>
        <v>-9.1240875912408759E-2</v>
      </c>
      <c r="G3802" s="37">
        <v>37.5</v>
      </c>
      <c r="H3802" s="857">
        <v>45779</v>
      </c>
    </row>
    <row r="3803" spans="3:8" x14ac:dyDescent="0.25">
      <c r="C3803" s="855">
        <v>1</v>
      </c>
      <c r="D3803" s="855">
        <v>113</v>
      </c>
      <c r="E3803" s="856">
        <v>46.6</v>
      </c>
      <c r="F3803" s="4">
        <f t="shared" si="65"/>
        <v>-4.8979591836734664E-2</v>
      </c>
      <c r="G3803" s="37">
        <v>37.5</v>
      </c>
      <c r="H3803" s="857">
        <v>45779</v>
      </c>
    </row>
    <row r="3804" spans="3:8" x14ac:dyDescent="0.25">
      <c r="C3804" s="855">
        <v>2</v>
      </c>
      <c r="D3804" s="855">
        <v>50</v>
      </c>
      <c r="E3804" s="856">
        <v>33.1</v>
      </c>
      <c r="F3804" s="4">
        <f t="shared" si="65"/>
        <v>0.1906474820143885</v>
      </c>
      <c r="G3804" s="37">
        <v>37.5</v>
      </c>
      <c r="H3804" s="857">
        <v>45779</v>
      </c>
    </row>
    <row r="3805" spans="3:8" x14ac:dyDescent="0.25">
      <c r="C3805" s="855">
        <v>3</v>
      </c>
      <c r="D3805" s="855">
        <v>85</v>
      </c>
      <c r="E3805" s="856">
        <v>33.1</v>
      </c>
      <c r="F3805" s="4">
        <f t="shared" si="65"/>
        <v>-9.3150684931506814E-2</v>
      </c>
      <c r="G3805" s="37">
        <v>37.5</v>
      </c>
      <c r="H3805" s="857">
        <v>45779</v>
      </c>
    </row>
    <row r="3806" spans="3:8" x14ac:dyDescent="0.25">
      <c r="C3806" s="855">
        <v>4</v>
      </c>
      <c r="D3806" s="855">
        <v>70</v>
      </c>
      <c r="E3806" s="856">
        <v>22.8</v>
      </c>
      <c r="F3806" s="4">
        <f t="shared" si="65"/>
        <v>8.8495575221238625E-3</v>
      </c>
      <c r="G3806" s="37">
        <v>37.5</v>
      </c>
      <c r="H3806" s="857">
        <v>45779</v>
      </c>
    </row>
    <row r="3807" spans="3:8" x14ac:dyDescent="0.25">
      <c r="C3807" s="855">
        <v>5</v>
      </c>
      <c r="D3807" s="855">
        <v>0</v>
      </c>
      <c r="E3807" s="856"/>
      <c r="F3807" s="4" t="str">
        <f t="shared" si="65"/>
        <v/>
      </c>
      <c r="G3807" s="37">
        <v>37.5</v>
      </c>
      <c r="H3807" s="857">
        <v>45779</v>
      </c>
    </row>
    <row r="3808" spans="3:8" x14ac:dyDescent="0.25">
      <c r="C3808" s="855">
        <v>6</v>
      </c>
      <c r="D3808" s="855">
        <v>100</v>
      </c>
      <c r="E3808" s="856">
        <v>40</v>
      </c>
      <c r="F3808" s="4">
        <f t="shared" si="65"/>
        <v>-6.1032863849765293E-2</v>
      </c>
      <c r="G3808" s="37">
        <v>37.5</v>
      </c>
      <c r="H3808" s="857">
        <v>45779</v>
      </c>
    </row>
    <row r="3809" spans="3:8" x14ac:dyDescent="0.25">
      <c r="C3809" s="855">
        <v>7</v>
      </c>
      <c r="D3809" s="855">
        <v>82</v>
      </c>
      <c r="E3809" s="856">
        <v>39.799999999999997</v>
      </c>
      <c r="F3809" s="4" t="str">
        <f t="shared" si="65"/>
        <v/>
      </c>
      <c r="G3809" s="37">
        <v>37.5</v>
      </c>
      <c r="H3809" s="857">
        <v>45779</v>
      </c>
    </row>
    <row r="3810" spans="3:8" x14ac:dyDescent="0.25">
      <c r="C3810" s="855">
        <v>8</v>
      </c>
      <c r="D3810" s="855">
        <v>62</v>
      </c>
      <c r="E3810" s="856">
        <v>31.2</v>
      </c>
      <c r="F3810" s="4">
        <f t="shared" si="65"/>
        <v>0.22352941176470587</v>
      </c>
      <c r="G3810" s="37">
        <v>37.5</v>
      </c>
      <c r="H3810" s="857">
        <v>45779</v>
      </c>
    </row>
    <row r="3811" spans="3:8" x14ac:dyDescent="0.25">
      <c r="C3811" s="855">
        <v>9</v>
      </c>
      <c r="D3811" s="855">
        <v>0</v>
      </c>
      <c r="E3811" s="856"/>
      <c r="F3811" s="4">
        <f t="shared" si="65"/>
        <v>-1</v>
      </c>
      <c r="G3811" s="37">
        <v>37.5</v>
      </c>
      <c r="H3811" s="857">
        <v>45779</v>
      </c>
    </row>
    <row r="3812" spans="3:8" x14ac:dyDescent="0.25">
      <c r="C3812" s="855">
        <v>10</v>
      </c>
      <c r="D3812" s="855">
        <v>120</v>
      </c>
      <c r="E3812" s="856">
        <v>39.799999999999997</v>
      </c>
      <c r="F3812" s="4">
        <f t="shared" si="65"/>
        <v>-0.13289760348583882</v>
      </c>
      <c r="G3812" s="37">
        <v>37.5</v>
      </c>
      <c r="H3812" s="857">
        <v>45779</v>
      </c>
    </row>
    <row r="3813" spans="3:8" x14ac:dyDescent="0.25">
      <c r="C3813" s="858" t="s">
        <v>0</v>
      </c>
      <c r="D3813" s="858" t="s">
        <v>7</v>
      </c>
      <c r="E3813" s="859" t="s">
        <v>4</v>
      </c>
      <c r="F3813" s="4" t="str">
        <f t="shared" si="65"/>
        <v/>
      </c>
      <c r="G3813" s="37">
        <v>39.299999999999997</v>
      </c>
      <c r="H3813" s="857">
        <v>45780</v>
      </c>
    </row>
    <row r="3814" spans="3:8" x14ac:dyDescent="0.25">
      <c r="C3814" s="858">
        <v>51</v>
      </c>
      <c r="D3814" s="858">
        <v>23</v>
      </c>
      <c r="E3814" s="859">
        <v>28.6</v>
      </c>
      <c r="F3814" s="4">
        <f t="shared" ref="F3814:F3877" si="66">IFERROR((E3814-E3802)/E3802,"")</f>
        <v>0.14859437751004029</v>
      </c>
      <c r="G3814" s="37">
        <v>39.299999999999997</v>
      </c>
      <c r="H3814" s="857">
        <v>45780</v>
      </c>
    </row>
    <row r="3815" spans="3:8" x14ac:dyDescent="0.25">
      <c r="C3815" s="858">
        <v>1</v>
      </c>
      <c r="D3815" s="858">
        <v>120</v>
      </c>
      <c r="E3815" s="859">
        <v>48.8</v>
      </c>
      <c r="F3815" s="4">
        <f t="shared" si="66"/>
        <v>4.7210300429184456E-2</v>
      </c>
      <c r="G3815" s="37">
        <v>39.299999999999997</v>
      </c>
      <c r="H3815" s="857">
        <v>45780</v>
      </c>
    </row>
    <row r="3816" spans="3:8" x14ac:dyDescent="0.25">
      <c r="C3816" s="858">
        <v>2</v>
      </c>
      <c r="D3816" s="858">
        <v>47</v>
      </c>
      <c r="E3816" s="859">
        <v>33</v>
      </c>
      <c r="F3816" s="4">
        <f t="shared" si="66"/>
        <v>-3.0211480362538194E-3</v>
      </c>
      <c r="G3816" s="37">
        <v>39.299999999999997</v>
      </c>
      <c r="H3816" s="857">
        <v>45780</v>
      </c>
    </row>
    <row r="3817" spans="3:8" x14ac:dyDescent="0.25">
      <c r="C3817" s="858">
        <v>3</v>
      </c>
      <c r="D3817" s="858">
        <v>77</v>
      </c>
      <c r="E3817" s="859">
        <v>33</v>
      </c>
      <c r="F3817" s="4">
        <f t="shared" si="66"/>
        <v>-3.0211480362538194E-3</v>
      </c>
      <c r="G3817" s="37">
        <v>39.299999999999997</v>
      </c>
      <c r="H3817" s="857">
        <v>45780</v>
      </c>
    </row>
    <row r="3818" spans="3:8" x14ac:dyDescent="0.25">
      <c r="C3818" s="858">
        <v>4</v>
      </c>
      <c r="D3818" s="858">
        <v>81</v>
      </c>
      <c r="E3818" s="859">
        <v>28.3</v>
      </c>
      <c r="F3818" s="4">
        <f t="shared" si="66"/>
        <v>0.2412280701754386</v>
      </c>
      <c r="G3818" s="37">
        <v>39.299999999999997</v>
      </c>
      <c r="H3818" s="857">
        <v>45780</v>
      </c>
    </row>
    <row r="3819" spans="3:8" x14ac:dyDescent="0.25">
      <c r="C3819" s="858">
        <v>5</v>
      </c>
      <c r="D3819" s="858">
        <v>0</v>
      </c>
      <c r="E3819" s="859"/>
      <c r="F3819" s="4" t="str">
        <f t="shared" si="66"/>
        <v/>
      </c>
      <c r="G3819" s="37">
        <v>39.299999999999997</v>
      </c>
      <c r="H3819" s="857">
        <v>45780</v>
      </c>
    </row>
    <row r="3820" spans="3:8" x14ac:dyDescent="0.25">
      <c r="C3820" s="858">
        <v>6</v>
      </c>
      <c r="D3820" s="858">
        <v>93</v>
      </c>
      <c r="E3820" s="859">
        <v>43</v>
      </c>
      <c r="F3820" s="4">
        <f t="shared" si="66"/>
        <v>7.4999999999999997E-2</v>
      </c>
      <c r="G3820" s="37">
        <v>39.299999999999997</v>
      </c>
      <c r="H3820" s="857">
        <v>45780</v>
      </c>
    </row>
    <row r="3821" spans="3:8" x14ac:dyDescent="0.25">
      <c r="C3821" s="858">
        <v>7</v>
      </c>
      <c r="D3821" s="858">
        <v>82</v>
      </c>
      <c r="E3821" s="859">
        <v>41</v>
      </c>
      <c r="F3821" s="4">
        <f t="shared" si="66"/>
        <v>3.0150753768844296E-2</v>
      </c>
      <c r="G3821" s="37">
        <v>39.299999999999997</v>
      </c>
      <c r="H3821" s="857">
        <v>45780</v>
      </c>
    </row>
    <row r="3822" spans="3:8" x14ac:dyDescent="0.25">
      <c r="C3822" s="858">
        <v>8</v>
      </c>
      <c r="D3822" s="858">
        <v>61</v>
      </c>
      <c r="E3822" s="859">
        <v>32.9</v>
      </c>
      <c r="F3822" s="4">
        <f t="shared" si="66"/>
        <v>5.4487179487179467E-2</v>
      </c>
      <c r="G3822" s="37">
        <v>39.299999999999997</v>
      </c>
      <c r="H3822" s="857">
        <v>45780</v>
      </c>
    </row>
    <row r="3823" spans="3:8" x14ac:dyDescent="0.25">
      <c r="C3823" s="858">
        <v>9</v>
      </c>
      <c r="D3823" s="858">
        <v>0</v>
      </c>
      <c r="E3823" s="859"/>
      <c r="F3823" s="4" t="str">
        <f t="shared" si="66"/>
        <v/>
      </c>
      <c r="G3823" s="37">
        <v>39.299999999999997</v>
      </c>
      <c r="H3823" s="857">
        <v>45780</v>
      </c>
    </row>
    <row r="3824" spans="3:8" x14ac:dyDescent="0.25">
      <c r="C3824" s="858">
        <v>10</v>
      </c>
      <c r="D3824" s="858">
        <v>120</v>
      </c>
      <c r="E3824" s="859">
        <v>39.299999999999997</v>
      </c>
      <c r="F3824" s="4">
        <f t="shared" si="66"/>
        <v>-1.2562814070351759E-2</v>
      </c>
      <c r="G3824" s="37">
        <v>39.299999999999997</v>
      </c>
      <c r="H3824" s="857">
        <v>45780</v>
      </c>
    </row>
    <row r="3825" spans="3:8" x14ac:dyDescent="0.25">
      <c r="C3825" s="860" t="s">
        <v>0</v>
      </c>
      <c r="D3825" s="860" t="s">
        <v>7</v>
      </c>
      <c r="E3825" s="861" t="s">
        <v>4</v>
      </c>
      <c r="F3825" s="4" t="str">
        <f t="shared" si="66"/>
        <v/>
      </c>
      <c r="G3825" s="37">
        <v>38.6</v>
      </c>
      <c r="H3825" s="862">
        <v>45781</v>
      </c>
    </row>
    <row r="3826" spans="3:8" x14ac:dyDescent="0.25">
      <c r="C3826" s="860">
        <v>51</v>
      </c>
      <c r="D3826" s="860">
        <v>28</v>
      </c>
      <c r="E3826" s="861">
        <v>27.6</v>
      </c>
      <c r="F3826" s="4">
        <f t="shared" si="66"/>
        <v>-3.4965034965034961E-2</v>
      </c>
      <c r="G3826" s="37">
        <v>38.6</v>
      </c>
      <c r="H3826" s="862">
        <v>45781</v>
      </c>
    </row>
    <row r="3827" spans="3:8" x14ac:dyDescent="0.25">
      <c r="C3827" s="860">
        <v>1</v>
      </c>
      <c r="D3827" s="860">
        <v>120</v>
      </c>
      <c r="E3827" s="861">
        <v>48.5</v>
      </c>
      <c r="F3827" s="4">
        <f t="shared" si="66"/>
        <v>-6.1475409836064992E-3</v>
      </c>
      <c r="G3827" s="37">
        <v>38.6</v>
      </c>
      <c r="H3827" s="862">
        <v>45781</v>
      </c>
    </row>
    <row r="3828" spans="3:8" x14ac:dyDescent="0.25">
      <c r="C3828" s="860">
        <v>2</v>
      </c>
      <c r="D3828" s="860">
        <v>47</v>
      </c>
      <c r="E3828" s="861">
        <v>34.4</v>
      </c>
      <c r="F3828" s="4">
        <f t="shared" si="66"/>
        <v>4.2424242424242378E-2</v>
      </c>
      <c r="G3828" s="37">
        <v>38.6</v>
      </c>
      <c r="H3828" s="862">
        <v>45781</v>
      </c>
    </row>
    <row r="3829" spans="3:8" x14ac:dyDescent="0.25">
      <c r="C3829" s="860">
        <v>3</v>
      </c>
      <c r="D3829" s="860">
        <v>77</v>
      </c>
      <c r="E3829" s="861">
        <v>33.5</v>
      </c>
      <c r="F3829" s="4">
        <f t="shared" si="66"/>
        <v>1.5151515151515152E-2</v>
      </c>
      <c r="G3829" s="37">
        <v>38.6</v>
      </c>
      <c r="H3829" s="862">
        <v>45781</v>
      </c>
    </row>
    <row r="3830" spans="3:8" x14ac:dyDescent="0.25">
      <c r="C3830" s="860">
        <v>4</v>
      </c>
      <c r="D3830" s="860">
        <v>81</v>
      </c>
      <c r="E3830" s="861">
        <v>27.7</v>
      </c>
      <c r="F3830" s="4">
        <f t="shared" si="66"/>
        <v>-2.1201413427561887E-2</v>
      </c>
      <c r="G3830" s="37">
        <v>38.6</v>
      </c>
      <c r="H3830" s="862">
        <v>45781</v>
      </c>
    </row>
    <row r="3831" spans="3:8" x14ac:dyDescent="0.25">
      <c r="C3831" s="860">
        <v>5</v>
      </c>
      <c r="D3831" s="860">
        <v>0</v>
      </c>
      <c r="E3831" s="861"/>
      <c r="F3831" s="4" t="str">
        <f t="shared" si="66"/>
        <v/>
      </c>
      <c r="G3831" s="37">
        <v>38.6</v>
      </c>
      <c r="H3831" s="862">
        <v>45781</v>
      </c>
    </row>
    <row r="3832" spans="3:8" x14ac:dyDescent="0.25">
      <c r="C3832" s="860">
        <v>6</v>
      </c>
      <c r="D3832" s="860">
        <v>92</v>
      </c>
      <c r="E3832" s="861">
        <v>40.4</v>
      </c>
      <c r="F3832" s="4">
        <f t="shared" si="66"/>
        <v>-6.0465116279069801E-2</v>
      </c>
      <c r="G3832" s="37">
        <v>38.6</v>
      </c>
      <c r="H3832" s="862">
        <v>45781</v>
      </c>
    </row>
    <row r="3833" spans="3:8" x14ac:dyDescent="0.25">
      <c r="C3833" s="860">
        <v>7</v>
      </c>
      <c r="D3833" s="860">
        <v>82</v>
      </c>
      <c r="E3833" s="861">
        <v>41.1</v>
      </c>
      <c r="F3833" s="4">
        <f t="shared" si="66"/>
        <v>2.4390243902439371E-3</v>
      </c>
      <c r="G3833" s="37">
        <v>38.6</v>
      </c>
      <c r="H3833" s="862">
        <v>45781</v>
      </c>
    </row>
    <row r="3834" spans="3:8" x14ac:dyDescent="0.25">
      <c r="C3834" s="860">
        <v>8</v>
      </c>
      <c r="D3834" s="860">
        <v>60</v>
      </c>
      <c r="E3834" s="861">
        <v>31</v>
      </c>
      <c r="F3834" s="4">
        <f t="shared" si="66"/>
        <v>-5.7750759878419412E-2</v>
      </c>
      <c r="G3834" s="37">
        <v>38.6</v>
      </c>
      <c r="H3834" s="862">
        <v>45781</v>
      </c>
    </row>
    <row r="3835" spans="3:8" x14ac:dyDescent="0.25">
      <c r="C3835" s="860">
        <v>9</v>
      </c>
      <c r="D3835" s="860">
        <v>0</v>
      </c>
      <c r="E3835" s="861"/>
      <c r="F3835" s="4" t="str">
        <f t="shared" si="66"/>
        <v/>
      </c>
      <c r="G3835" s="37">
        <v>38.6</v>
      </c>
      <c r="H3835" s="862">
        <v>45781</v>
      </c>
    </row>
    <row r="3836" spans="3:8" x14ac:dyDescent="0.25">
      <c r="C3836" s="860">
        <v>10</v>
      </c>
      <c r="D3836" s="860">
        <v>120</v>
      </c>
      <c r="E3836" s="861">
        <v>41.4</v>
      </c>
      <c r="F3836" s="4">
        <f t="shared" si="66"/>
        <v>5.3435114503816834E-2</v>
      </c>
      <c r="G3836" s="37">
        <v>38.6</v>
      </c>
      <c r="H3836" s="862">
        <v>45781</v>
      </c>
    </row>
    <row r="3837" spans="3:8" x14ac:dyDescent="0.25">
      <c r="C3837" s="863" t="s">
        <v>0</v>
      </c>
      <c r="D3837" s="863" t="s">
        <v>7</v>
      </c>
      <c r="E3837" s="864" t="s">
        <v>4</v>
      </c>
      <c r="F3837" s="4" t="str">
        <f t="shared" si="66"/>
        <v/>
      </c>
      <c r="G3837" s="37">
        <v>38.1</v>
      </c>
      <c r="H3837" s="865">
        <v>45782</v>
      </c>
    </row>
    <row r="3838" spans="3:8" x14ac:dyDescent="0.25">
      <c r="C3838" s="863">
        <v>51</v>
      </c>
      <c r="D3838" s="863">
        <v>33</v>
      </c>
      <c r="E3838" s="864">
        <v>25.6</v>
      </c>
      <c r="F3838" s="4">
        <f t="shared" si="66"/>
        <v>-7.2463768115942032E-2</v>
      </c>
      <c r="G3838" s="37">
        <v>38.1</v>
      </c>
      <c r="H3838" s="865">
        <v>45782</v>
      </c>
    </row>
    <row r="3839" spans="3:8" x14ac:dyDescent="0.25">
      <c r="C3839" s="863">
        <v>1</v>
      </c>
      <c r="D3839" s="863">
        <v>120</v>
      </c>
      <c r="E3839" s="864">
        <v>46.2</v>
      </c>
      <c r="F3839" s="4">
        <f t="shared" si="66"/>
        <v>-4.7422680412371077E-2</v>
      </c>
      <c r="G3839" s="37">
        <v>38.1</v>
      </c>
      <c r="H3839" s="865">
        <v>45782</v>
      </c>
    </row>
    <row r="3840" spans="3:8" x14ac:dyDescent="0.25">
      <c r="C3840" s="863">
        <v>2</v>
      </c>
      <c r="D3840" s="863">
        <v>49</v>
      </c>
      <c r="E3840" s="864">
        <v>34</v>
      </c>
      <c r="F3840" s="4">
        <f t="shared" si="66"/>
        <v>-1.1627906976744146E-2</v>
      </c>
      <c r="G3840" s="37">
        <v>38.1</v>
      </c>
      <c r="H3840" s="865">
        <v>45782</v>
      </c>
    </row>
    <row r="3841" spans="3:8" x14ac:dyDescent="0.25">
      <c r="C3841" s="863">
        <v>3</v>
      </c>
      <c r="D3841" s="863">
        <v>77</v>
      </c>
      <c r="E3841" s="864">
        <v>32.799999999999997</v>
      </c>
      <c r="F3841" s="4">
        <f t="shared" si="66"/>
        <v>-2.0895522388059785E-2</v>
      </c>
      <c r="G3841" s="37">
        <v>38.1</v>
      </c>
      <c r="H3841" s="865">
        <v>45782</v>
      </c>
    </row>
    <row r="3842" spans="3:8" x14ac:dyDescent="0.25">
      <c r="C3842" s="863">
        <v>4</v>
      </c>
      <c r="D3842" s="863">
        <v>81</v>
      </c>
      <c r="E3842" s="864">
        <v>27.2</v>
      </c>
      <c r="F3842" s="4">
        <f t="shared" si="66"/>
        <v>-1.8050541516245487E-2</v>
      </c>
      <c r="G3842" s="37">
        <v>38.1</v>
      </c>
      <c r="H3842" s="865">
        <v>45782</v>
      </c>
    </row>
    <row r="3843" spans="3:8" x14ac:dyDescent="0.25">
      <c r="C3843" s="863">
        <v>5</v>
      </c>
      <c r="D3843" s="863">
        <v>0</v>
      </c>
      <c r="E3843" s="864"/>
      <c r="F3843" s="4" t="str">
        <f t="shared" si="66"/>
        <v/>
      </c>
      <c r="G3843" s="37">
        <v>38.1</v>
      </c>
      <c r="H3843" s="865">
        <v>45782</v>
      </c>
    </row>
    <row r="3844" spans="3:8" x14ac:dyDescent="0.25">
      <c r="C3844" s="863">
        <v>6</v>
      </c>
      <c r="D3844" s="863">
        <v>92</v>
      </c>
      <c r="E3844" s="864">
        <v>37.4</v>
      </c>
      <c r="F3844" s="4">
        <f t="shared" si="66"/>
        <v>-7.4257425742574254E-2</v>
      </c>
      <c r="G3844" s="37">
        <v>38.1</v>
      </c>
      <c r="H3844" s="865">
        <v>45782</v>
      </c>
    </row>
    <row r="3845" spans="3:8" x14ac:dyDescent="0.25">
      <c r="C3845" s="863">
        <v>7</v>
      </c>
      <c r="D3845" s="863">
        <v>82</v>
      </c>
      <c r="E3845" s="864">
        <v>40.1</v>
      </c>
      <c r="F3845" s="4">
        <f t="shared" si="66"/>
        <v>-2.4330900243309E-2</v>
      </c>
      <c r="G3845" s="37">
        <v>38.1</v>
      </c>
      <c r="H3845" s="865">
        <v>45782</v>
      </c>
    </row>
    <row r="3846" spans="3:8" x14ac:dyDescent="0.25">
      <c r="C3846" s="863">
        <v>8</v>
      </c>
      <c r="D3846" s="863">
        <v>61</v>
      </c>
      <c r="E3846" s="864">
        <v>26.5</v>
      </c>
      <c r="F3846" s="4">
        <f t="shared" si="66"/>
        <v>-0.14516129032258066</v>
      </c>
      <c r="G3846" s="37">
        <v>38.1</v>
      </c>
      <c r="H3846" s="865">
        <v>45782</v>
      </c>
    </row>
    <row r="3847" spans="3:8" x14ac:dyDescent="0.25">
      <c r="C3847" s="863">
        <v>9</v>
      </c>
      <c r="D3847" s="863">
        <v>0</v>
      </c>
      <c r="E3847" s="864"/>
      <c r="F3847" s="4" t="str">
        <f t="shared" si="66"/>
        <v/>
      </c>
      <c r="G3847" s="37">
        <v>38.1</v>
      </c>
      <c r="H3847" s="865">
        <v>45782</v>
      </c>
    </row>
    <row r="3848" spans="3:8" x14ac:dyDescent="0.25">
      <c r="C3848" s="863">
        <v>10</v>
      </c>
      <c r="D3848" s="863">
        <v>120</v>
      </c>
      <c r="E3848" s="864">
        <v>41.3</v>
      </c>
      <c r="F3848" s="4">
        <f t="shared" si="66"/>
        <v>-2.4154589371981022E-3</v>
      </c>
      <c r="G3848" s="37">
        <v>38.1</v>
      </c>
      <c r="H3848" s="865">
        <v>45782</v>
      </c>
    </row>
    <row r="3849" spans="3:8" x14ac:dyDescent="0.25">
      <c r="C3849" s="866" t="s">
        <v>0</v>
      </c>
      <c r="D3849" s="866" t="s">
        <v>7</v>
      </c>
      <c r="E3849" s="867" t="s">
        <v>4</v>
      </c>
      <c r="F3849" s="4" t="str">
        <f t="shared" si="66"/>
        <v/>
      </c>
      <c r="G3849" s="37">
        <v>38.299999999999997</v>
      </c>
      <c r="H3849" s="868">
        <v>45783</v>
      </c>
    </row>
    <row r="3850" spans="3:8" x14ac:dyDescent="0.25">
      <c r="C3850" s="866">
        <v>51</v>
      </c>
      <c r="D3850" s="866">
        <v>29</v>
      </c>
      <c r="E3850" s="867">
        <v>25.5</v>
      </c>
      <c r="F3850" s="4">
        <f t="shared" si="66"/>
        <v>-3.9062500000000555E-3</v>
      </c>
      <c r="G3850" s="37">
        <v>38.299999999999997</v>
      </c>
      <c r="H3850" s="868">
        <v>45783</v>
      </c>
    </row>
    <row r="3851" spans="3:8" x14ac:dyDescent="0.25">
      <c r="C3851" s="866">
        <v>1</v>
      </c>
      <c r="D3851" s="866">
        <v>120</v>
      </c>
      <c r="E3851" s="867">
        <v>49</v>
      </c>
      <c r="F3851" s="4">
        <f t="shared" si="66"/>
        <v>6.0606060606060538E-2</v>
      </c>
      <c r="G3851" s="37">
        <v>38.299999999999997</v>
      </c>
      <c r="H3851" s="868">
        <v>45783</v>
      </c>
    </row>
    <row r="3852" spans="3:8" x14ac:dyDescent="0.25">
      <c r="C3852" s="866">
        <v>2</v>
      </c>
      <c r="D3852" s="866">
        <v>46</v>
      </c>
      <c r="E3852" s="867">
        <v>33.700000000000003</v>
      </c>
      <c r="F3852" s="4">
        <f t="shared" si="66"/>
        <v>-8.8235294117646225E-3</v>
      </c>
      <c r="G3852" s="37">
        <v>38.299999999999997</v>
      </c>
      <c r="H3852" s="868">
        <v>45783</v>
      </c>
    </row>
    <row r="3853" spans="3:8" x14ac:dyDescent="0.25">
      <c r="C3853" s="866">
        <v>3</v>
      </c>
      <c r="D3853" s="866">
        <v>71</v>
      </c>
      <c r="E3853" s="867">
        <v>31</v>
      </c>
      <c r="F3853" s="4">
        <f t="shared" si="66"/>
        <v>-5.4878048780487722E-2</v>
      </c>
      <c r="G3853" s="37">
        <v>38.299999999999997</v>
      </c>
      <c r="H3853" s="868">
        <v>45783</v>
      </c>
    </row>
    <row r="3854" spans="3:8" x14ac:dyDescent="0.25">
      <c r="C3854" s="866">
        <v>4</v>
      </c>
      <c r="D3854" s="866">
        <v>92</v>
      </c>
      <c r="E3854" s="867">
        <v>25</v>
      </c>
      <c r="F3854" s="4">
        <f t="shared" si="66"/>
        <v>-8.0882352941176447E-2</v>
      </c>
      <c r="G3854" s="37">
        <v>38.299999999999997</v>
      </c>
      <c r="H3854" s="868">
        <v>45783</v>
      </c>
    </row>
    <row r="3855" spans="3:8" x14ac:dyDescent="0.25">
      <c r="C3855" s="866">
        <v>5</v>
      </c>
      <c r="D3855" s="866">
        <v>0</v>
      </c>
      <c r="E3855" s="867"/>
      <c r="F3855" s="4" t="str">
        <f t="shared" si="66"/>
        <v/>
      </c>
      <c r="G3855" s="37">
        <v>38.299999999999997</v>
      </c>
      <c r="H3855" s="868">
        <v>45783</v>
      </c>
    </row>
    <row r="3856" spans="3:8" x14ac:dyDescent="0.25">
      <c r="C3856" s="866">
        <v>6</v>
      </c>
      <c r="D3856" s="866">
        <v>93</v>
      </c>
      <c r="E3856" s="867">
        <v>37.200000000000003</v>
      </c>
      <c r="F3856" s="4">
        <f t="shared" si="66"/>
        <v>-5.3475935828875866E-3</v>
      </c>
      <c r="G3856" s="37">
        <v>38.299999999999997</v>
      </c>
      <c r="H3856" s="868">
        <v>45783</v>
      </c>
    </row>
    <row r="3857" spans="3:8" x14ac:dyDescent="0.25">
      <c r="C3857" s="866">
        <v>7</v>
      </c>
      <c r="D3857" s="866">
        <v>82</v>
      </c>
      <c r="E3857" s="867">
        <v>34.799999999999997</v>
      </c>
      <c r="F3857" s="4">
        <f t="shared" si="66"/>
        <v>-0.13216957605985047</v>
      </c>
      <c r="G3857" s="37">
        <v>38.299999999999997</v>
      </c>
      <c r="H3857" s="868">
        <v>45783</v>
      </c>
    </row>
    <row r="3858" spans="3:8" x14ac:dyDescent="0.25">
      <c r="C3858" s="866">
        <v>8</v>
      </c>
      <c r="D3858" s="866">
        <v>61</v>
      </c>
      <c r="E3858" s="867">
        <v>27</v>
      </c>
      <c r="F3858" s="4">
        <f t="shared" si="66"/>
        <v>1.8867924528301886E-2</v>
      </c>
      <c r="G3858" s="37">
        <v>38.299999999999997</v>
      </c>
      <c r="H3858" s="868">
        <v>45783</v>
      </c>
    </row>
    <row r="3859" spans="3:8" x14ac:dyDescent="0.25">
      <c r="C3859" s="866">
        <v>9</v>
      </c>
      <c r="D3859" s="866">
        <v>0</v>
      </c>
      <c r="E3859" s="867"/>
      <c r="F3859" s="4" t="str">
        <f t="shared" si="66"/>
        <v/>
      </c>
      <c r="G3859" s="37">
        <v>38.299999999999997</v>
      </c>
      <c r="H3859" s="868">
        <v>45783</v>
      </c>
    </row>
    <row r="3860" spans="3:8" x14ac:dyDescent="0.25">
      <c r="C3860" s="866">
        <v>10</v>
      </c>
      <c r="D3860" s="866">
        <v>120</v>
      </c>
      <c r="E3860" s="867">
        <v>41.7</v>
      </c>
      <c r="F3860" s="4">
        <f t="shared" si="66"/>
        <v>9.6852300242132126E-3</v>
      </c>
      <c r="G3860" s="37">
        <v>38.299999999999997</v>
      </c>
      <c r="H3860" s="868">
        <v>45783</v>
      </c>
    </row>
    <row r="3861" spans="3:8" x14ac:dyDescent="0.25">
      <c r="C3861" s="869" t="s">
        <v>0</v>
      </c>
      <c r="D3861" s="869" t="s">
        <v>7</v>
      </c>
      <c r="E3861" s="870" t="s">
        <v>4</v>
      </c>
      <c r="F3861" s="4" t="str">
        <f t="shared" si="66"/>
        <v/>
      </c>
      <c r="G3861" s="37">
        <v>38.799999999999997</v>
      </c>
      <c r="H3861" s="871">
        <v>45784</v>
      </c>
    </row>
    <row r="3862" spans="3:8" x14ac:dyDescent="0.25">
      <c r="C3862" s="869">
        <v>51</v>
      </c>
      <c r="D3862" s="869">
        <v>32</v>
      </c>
      <c r="E3862" s="870">
        <v>26</v>
      </c>
      <c r="F3862" s="4">
        <f t="shared" si="66"/>
        <v>1.9607843137254902E-2</v>
      </c>
      <c r="G3862" s="37">
        <v>38.799999999999997</v>
      </c>
      <c r="H3862" s="871">
        <v>45784</v>
      </c>
    </row>
    <row r="3863" spans="3:8" x14ac:dyDescent="0.25">
      <c r="C3863" s="869">
        <v>1</v>
      </c>
      <c r="D3863" s="869">
        <v>119</v>
      </c>
      <c r="E3863" s="870">
        <v>49.1</v>
      </c>
      <c r="F3863" s="4">
        <f t="shared" si="66"/>
        <v>2.0408163265306411E-3</v>
      </c>
      <c r="G3863" s="37">
        <v>38.799999999999997</v>
      </c>
      <c r="H3863" s="871">
        <v>45784</v>
      </c>
    </row>
    <row r="3864" spans="3:8" x14ac:dyDescent="0.25">
      <c r="C3864" s="869">
        <v>2</v>
      </c>
      <c r="D3864" s="869">
        <v>46</v>
      </c>
      <c r="E3864" s="870">
        <v>28.2</v>
      </c>
      <c r="F3864" s="4">
        <f t="shared" si="66"/>
        <v>-0.1632047477744808</v>
      </c>
      <c r="G3864" s="37">
        <v>38.799999999999997</v>
      </c>
      <c r="H3864" s="871">
        <v>45784</v>
      </c>
    </row>
    <row r="3865" spans="3:8" x14ac:dyDescent="0.25">
      <c r="C3865" s="869">
        <v>3</v>
      </c>
      <c r="D3865" s="869">
        <v>71</v>
      </c>
      <c r="E3865" s="870">
        <v>33.700000000000003</v>
      </c>
      <c r="F3865" s="4">
        <f t="shared" si="66"/>
        <v>8.7096774193548485E-2</v>
      </c>
      <c r="G3865" s="37">
        <v>38.799999999999997</v>
      </c>
      <c r="H3865" s="871">
        <v>45784</v>
      </c>
    </row>
    <row r="3866" spans="3:8" x14ac:dyDescent="0.25">
      <c r="C3866" s="869">
        <v>4</v>
      </c>
      <c r="D3866" s="869">
        <v>92</v>
      </c>
      <c r="E3866" s="870">
        <v>28.2</v>
      </c>
      <c r="F3866" s="4">
        <f t="shared" si="66"/>
        <v>0.12799999999999997</v>
      </c>
      <c r="G3866" s="37">
        <v>38.799999999999997</v>
      </c>
      <c r="H3866" s="871">
        <v>45784</v>
      </c>
    </row>
    <row r="3867" spans="3:8" x14ac:dyDescent="0.25">
      <c r="C3867" s="869">
        <v>5</v>
      </c>
      <c r="D3867" s="869">
        <v>0</v>
      </c>
      <c r="E3867" s="870"/>
      <c r="F3867" s="4" t="str">
        <f t="shared" si="66"/>
        <v/>
      </c>
      <c r="G3867" s="37">
        <v>38.799999999999997</v>
      </c>
      <c r="H3867" s="871">
        <v>45784</v>
      </c>
    </row>
    <row r="3868" spans="3:8" x14ac:dyDescent="0.25">
      <c r="C3868" s="869">
        <v>6</v>
      </c>
      <c r="D3868" s="869">
        <v>94</v>
      </c>
      <c r="E3868" s="870">
        <v>40</v>
      </c>
      <c r="F3868" s="4">
        <f t="shared" si="66"/>
        <v>7.5268817204300995E-2</v>
      </c>
      <c r="G3868" s="37">
        <v>38.799999999999997</v>
      </c>
      <c r="H3868" s="871">
        <v>45784</v>
      </c>
    </row>
    <row r="3869" spans="3:8" x14ac:dyDescent="0.25">
      <c r="C3869" s="869">
        <v>7</v>
      </c>
      <c r="D3869" s="869">
        <v>82</v>
      </c>
      <c r="E3869" s="870">
        <v>41.7</v>
      </c>
      <c r="F3869" s="4">
        <f t="shared" si="66"/>
        <v>0.19827586206896569</v>
      </c>
      <c r="G3869" s="37">
        <v>38.799999999999997</v>
      </c>
      <c r="H3869" s="871">
        <v>45784</v>
      </c>
    </row>
    <row r="3870" spans="3:8" x14ac:dyDescent="0.25">
      <c r="C3870" s="869">
        <v>8</v>
      </c>
      <c r="D3870" s="869">
        <v>62</v>
      </c>
      <c r="E3870" s="870">
        <v>32.299999999999997</v>
      </c>
      <c r="F3870" s="4">
        <f t="shared" si="66"/>
        <v>0.19629629629629619</v>
      </c>
      <c r="G3870" s="37">
        <v>38.799999999999997</v>
      </c>
      <c r="H3870" s="871">
        <v>45784</v>
      </c>
    </row>
    <row r="3871" spans="3:8" x14ac:dyDescent="0.25">
      <c r="C3871" s="869">
        <v>9</v>
      </c>
      <c r="D3871" s="869">
        <v>0</v>
      </c>
      <c r="E3871" s="870"/>
      <c r="F3871" s="4" t="str">
        <f t="shared" si="66"/>
        <v/>
      </c>
      <c r="G3871" s="37">
        <v>38.799999999999997</v>
      </c>
      <c r="H3871" s="871">
        <v>45784</v>
      </c>
    </row>
    <row r="3872" spans="3:8" x14ac:dyDescent="0.25">
      <c r="C3872" s="869">
        <v>10</v>
      </c>
      <c r="D3872" s="869">
        <v>119</v>
      </c>
      <c r="E3872" s="870">
        <v>39.6</v>
      </c>
      <c r="F3872" s="4">
        <f t="shared" si="66"/>
        <v>-5.0359712230215861E-2</v>
      </c>
      <c r="G3872" s="37">
        <v>38.799999999999997</v>
      </c>
      <c r="H3872" s="871">
        <v>45784</v>
      </c>
    </row>
    <row r="3873" spans="3:8" x14ac:dyDescent="0.25">
      <c r="C3873" s="872" t="s">
        <v>0</v>
      </c>
      <c r="D3873" s="872" t="s">
        <v>7</v>
      </c>
      <c r="E3873" s="873" t="s">
        <v>4</v>
      </c>
      <c r="F3873" s="4" t="str">
        <f t="shared" si="66"/>
        <v/>
      </c>
      <c r="G3873" s="37">
        <v>38.6</v>
      </c>
      <c r="H3873" s="874">
        <v>45785</v>
      </c>
    </row>
    <row r="3874" spans="3:8" x14ac:dyDescent="0.25">
      <c r="C3874" s="872">
        <v>51</v>
      </c>
      <c r="D3874" s="872">
        <v>32</v>
      </c>
      <c r="E3874" s="873">
        <v>21.9</v>
      </c>
      <c r="F3874" s="4">
        <f t="shared" si="66"/>
        <v>-0.15769230769230774</v>
      </c>
      <c r="G3874" s="37">
        <v>38.6</v>
      </c>
      <c r="H3874" s="874">
        <v>45785</v>
      </c>
    </row>
    <row r="3875" spans="3:8" x14ac:dyDescent="0.25">
      <c r="C3875" s="872">
        <v>1</v>
      </c>
      <c r="D3875" s="872">
        <v>119</v>
      </c>
      <c r="E3875" s="873">
        <v>47</v>
      </c>
      <c r="F3875" s="4">
        <f t="shared" si="66"/>
        <v>-4.2769857433808581E-2</v>
      </c>
      <c r="G3875" s="37">
        <v>38.6</v>
      </c>
      <c r="H3875" s="874">
        <v>45785</v>
      </c>
    </row>
    <row r="3876" spans="3:8" x14ac:dyDescent="0.25">
      <c r="C3876" s="872">
        <v>2</v>
      </c>
      <c r="D3876" s="872">
        <v>46</v>
      </c>
      <c r="E3876" s="873">
        <v>34.799999999999997</v>
      </c>
      <c r="F3876" s="4">
        <f t="shared" si="66"/>
        <v>0.23404255319148928</v>
      </c>
      <c r="G3876" s="37">
        <v>38.6</v>
      </c>
      <c r="H3876" s="874">
        <v>45785</v>
      </c>
    </row>
    <row r="3877" spans="3:8" x14ac:dyDescent="0.25">
      <c r="C3877" s="872">
        <v>3</v>
      </c>
      <c r="D3877" s="872">
        <v>71</v>
      </c>
      <c r="E3877" s="873">
        <v>34.4</v>
      </c>
      <c r="F3877" s="4">
        <f t="shared" si="66"/>
        <v>2.0771513353115598E-2</v>
      </c>
      <c r="G3877" s="37">
        <v>38.6</v>
      </c>
      <c r="H3877" s="874">
        <v>45785</v>
      </c>
    </row>
    <row r="3878" spans="3:8" x14ac:dyDescent="0.25">
      <c r="C3878" s="872">
        <v>4</v>
      </c>
      <c r="D3878" s="872">
        <v>92</v>
      </c>
      <c r="E3878" s="873">
        <v>28.6</v>
      </c>
      <c r="F3878" s="4">
        <f t="shared" ref="F3878:F3941" si="67">IFERROR((E3878-E3866)/E3866,"")</f>
        <v>1.4184397163120643E-2</v>
      </c>
      <c r="G3878" s="37">
        <v>38.6</v>
      </c>
      <c r="H3878" s="874">
        <v>45785</v>
      </c>
    </row>
    <row r="3879" spans="3:8" x14ac:dyDescent="0.25">
      <c r="C3879" s="872">
        <v>5</v>
      </c>
      <c r="D3879" s="872">
        <v>0</v>
      </c>
      <c r="E3879" s="873"/>
      <c r="F3879" s="4" t="str">
        <f t="shared" si="67"/>
        <v/>
      </c>
      <c r="G3879" s="37">
        <v>38.6</v>
      </c>
      <c r="H3879" s="874">
        <v>45785</v>
      </c>
    </row>
    <row r="3880" spans="3:8" x14ac:dyDescent="0.25">
      <c r="C3880" s="872">
        <v>6</v>
      </c>
      <c r="D3880" s="872">
        <v>97</v>
      </c>
      <c r="E3880" s="873">
        <v>40.799999999999997</v>
      </c>
      <c r="F3880" s="4">
        <f t="shared" si="67"/>
        <v>1.9999999999999928E-2</v>
      </c>
      <c r="G3880" s="37">
        <v>38.6</v>
      </c>
      <c r="H3880" s="874">
        <v>45785</v>
      </c>
    </row>
    <row r="3881" spans="3:8" x14ac:dyDescent="0.25">
      <c r="C3881" s="872">
        <v>7</v>
      </c>
      <c r="D3881" s="872">
        <v>82</v>
      </c>
      <c r="E3881" s="873">
        <v>40.700000000000003</v>
      </c>
      <c r="F3881" s="4">
        <f t="shared" si="67"/>
        <v>-2.3980815347721823E-2</v>
      </c>
      <c r="G3881" s="37">
        <v>38.6</v>
      </c>
      <c r="H3881" s="874">
        <v>45785</v>
      </c>
    </row>
    <row r="3882" spans="3:8" x14ac:dyDescent="0.25">
      <c r="C3882" s="872">
        <v>8</v>
      </c>
      <c r="D3882" s="872">
        <v>61</v>
      </c>
      <c r="E3882" s="873">
        <v>32.799999999999997</v>
      </c>
      <c r="F3882" s="4">
        <f t="shared" si="67"/>
        <v>1.5479876160990714E-2</v>
      </c>
      <c r="G3882" s="37">
        <v>38.6</v>
      </c>
      <c r="H3882" s="874">
        <v>45785</v>
      </c>
    </row>
    <row r="3883" spans="3:8" x14ac:dyDescent="0.25">
      <c r="C3883" s="872">
        <v>9</v>
      </c>
      <c r="D3883" s="872">
        <v>0</v>
      </c>
      <c r="E3883" s="873"/>
      <c r="F3883" s="4" t="str">
        <f t="shared" si="67"/>
        <v/>
      </c>
      <c r="G3883" s="37">
        <v>38.6</v>
      </c>
      <c r="H3883" s="874">
        <v>45785</v>
      </c>
    </row>
    <row r="3884" spans="3:8" x14ac:dyDescent="0.25">
      <c r="C3884" s="872">
        <v>10</v>
      </c>
      <c r="D3884" s="872">
        <v>117</v>
      </c>
      <c r="E3884" s="873">
        <v>40.700000000000003</v>
      </c>
      <c r="F3884" s="4">
        <f t="shared" si="67"/>
        <v>2.7777777777777814E-2</v>
      </c>
      <c r="G3884" s="37">
        <v>38.6</v>
      </c>
      <c r="H3884" s="874">
        <v>45785</v>
      </c>
    </row>
    <row r="3885" spans="3:8" x14ac:dyDescent="0.25">
      <c r="C3885" s="875" t="s">
        <v>0</v>
      </c>
      <c r="D3885" s="875" t="s">
        <v>7</v>
      </c>
      <c r="E3885" s="876" t="s">
        <v>4</v>
      </c>
      <c r="F3885" s="4" t="str">
        <f t="shared" si="67"/>
        <v/>
      </c>
      <c r="G3885" s="37">
        <v>38.9</v>
      </c>
      <c r="H3885" s="877">
        <v>45786</v>
      </c>
    </row>
    <row r="3886" spans="3:8" x14ac:dyDescent="0.25">
      <c r="C3886" s="875">
        <v>51</v>
      </c>
      <c r="D3886" s="875">
        <v>33</v>
      </c>
      <c r="E3886" s="876">
        <v>23.4</v>
      </c>
      <c r="F3886" s="4">
        <f t="shared" si="67"/>
        <v>6.8493150684931517E-2</v>
      </c>
      <c r="G3886" s="37">
        <v>38.9</v>
      </c>
      <c r="H3886" s="877">
        <v>45786</v>
      </c>
    </row>
    <row r="3887" spans="3:8" x14ac:dyDescent="0.25">
      <c r="C3887" s="875">
        <v>1</v>
      </c>
      <c r="D3887" s="875">
        <v>119</v>
      </c>
      <c r="E3887" s="876">
        <v>48.6</v>
      </c>
      <c r="F3887" s="4">
        <f t="shared" si="67"/>
        <v>3.404255319148939E-2</v>
      </c>
      <c r="G3887" s="37">
        <v>38.9</v>
      </c>
      <c r="H3887" s="877">
        <v>45786</v>
      </c>
    </row>
    <row r="3888" spans="3:8" x14ac:dyDescent="0.25">
      <c r="C3888" s="875">
        <v>2</v>
      </c>
      <c r="D3888" s="875">
        <v>46</v>
      </c>
      <c r="E3888" s="876">
        <v>30.9</v>
      </c>
      <c r="F3888" s="4">
        <f t="shared" si="67"/>
        <v>-0.11206896551724135</v>
      </c>
      <c r="G3888" s="37">
        <v>38.9</v>
      </c>
      <c r="H3888" s="877">
        <v>45786</v>
      </c>
    </row>
    <row r="3889" spans="3:8" x14ac:dyDescent="0.25">
      <c r="C3889" s="875">
        <v>3</v>
      </c>
      <c r="D3889" s="875">
        <v>70</v>
      </c>
      <c r="E3889" s="876">
        <v>33.6</v>
      </c>
      <c r="F3889" s="4">
        <f t="shared" si="67"/>
        <v>-2.3255813953488292E-2</v>
      </c>
      <c r="G3889" s="37">
        <v>38.9</v>
      </c>
      <c r="H3889" s="877">
        <v>45786</v>
      </c>
    </row>
    <row r="3890" spans="3:8" x14ac:dyDescent="0.25">
      <c r="C3890" s="875">
        <v>4</v>
      </c>
      <c r="D3890" s="875">
        <v>86</v>
      </c>
      <c r="E3890" s="876">
        <v>27.1</v>
      </c>
      <c r="F3890" s="4">
        <f t="shared" si="67"/>
        <v>-5.2447552447552448E-2</v>
      </c>
      <c r="G3890" s="37">
        <v>38.9</v>
      </c>
      <c r="H3890" s="877">
        <v>45786</v>
      </c>
    </row>
    <row r="3891" spans="3:8" x14ac:dyDescent="0.25">
      <c r="C3891" s="875">
        <v>5</v>
      </c>
      <c r="D3891" s="875">
        <v>0</v>
      </c>
      <c r="E3891" s="876"/>
      <c r="F3891" s="4" t="str">
        <f t="shared" si="67"/>
        <v/>
      </c>
      <c r="G3891" s="37">
        <v>38.9</v>
      </c>
      <c r="H3891" s="877">
        <v>45786</v>
      </c>
    </row>
    <row r="3892" spans="3:8" x14ac:dyDescent="0.25">
      <c r="C3892" s="875">
        <v>6</v>
      </c>
      <c r="D3892" s="875">
        <v>95</v>
      </c>
      <c r="E3892" s="876">
        <v>34.9</v>
      </c>
      <c r="F3892" s="4">
        <f t="shared" si="67"/>
        <v>-0.14460784313725489</v>
      </c>
      <c r="G3892" s="37">
        <v>38.9</v>
      </c>
      <c r="H3892" s="877">
        <v>45786</v>
      </c>
    </row>
    <row r="3893" spans="3:8" x14ac:dyDescent="0.25">
      <c r="C3893" s="875">
        <v>7</v>
      </c>
      <c r="D3893" s="875">
        <v>82</v>
      </c>
      <c r="E3893" s="876">
        <v>41.2</v>
      </c>
      <c r="F3893" s="4">
        <f t="shared" si="67"/>
        <v>1.2285012285012284E-2</v>
      </c>
      <c r="G3893" s="37">
        <v>38.9</v>
      </c>
      <c r="H3893" s="877">
        <v>45786</v>
      </c>
    </row>
    <row r="3894" spans="3:8" x14ac:dyDescent="0.25">
      <c r="C3894" s="875">
        <v>8</v>
      </c>
      <c r="D3894" s="875">
        <v>61</v>
      </c>
      <c r="E3894" s="876">
        <v>33.6</v>
      </c>
      <c r="F3894" s="4">
        <f t="shared" si="67"/>
        <v>2.4390243902439157E-2</v>
      </c>
      <c r="G3894" s="37">
        <v>38.9</v>
      </c>
      <c r="H3894" s="877">
        <v>45786</v>
      </c>
    </row>
    <row r="3895" spans="3:8" x14ac:dyDescent="0.25">
      <c r="C3895" s="875">
        <v>9</v>
      </c>
      <c r="D3895" s="875">
        <v>0</v>
      </c>
      <c r="E3895" s="876"/>
      <c r="F3895" s="4" t="str">
        <f t="shared" si="67"/>
        <v/>
      </c>
      <c r="G3895" s="37">
        <v>38.9</v>
      </c>
      <c r="H3895" s="877">
        <v>45786</v>
      </c>
    </row>
    <row r="3896" spans="3:8" x14ac:dyDescent="0.25">
      <c r="C3896" s="875">
        <v>10</v>
      </c>
      <c r="D3896" s="875">
        <v>117</v>
      </c>
      <c r="E3896" s="876">
        <v>40.4</v>
      </c>
      <c r="F3896" s="4">
        <f t="shared" si="67"/>
        <v>-7.3710073710074753E-3</v>
      </c>
      <c r="G3896" s="37">
        <v>38.9</v>
      </c>
      <c r="H3896" s="877">
        <v>45786</v>
      </c>
    </row>
    <row r="3897" spans="3:8" x14ac:dyDescent="0.25">
      <c r="C3897" s="878" t="s">
        <v>0</v>
      </c>
      <c r="D3897" s="878" t="s">
        <v>7</v>
      </c>
      <c r="E3897" s="879" t="s">
        <v>4</v>
      </c>
      <c r="F3897" s="4" t="str">
        <f t="shared" si="67"/>
        <v/>
      </c>
      <c r="G3897" s="37">
        <v>38.5</v>
      </c>
      <c r="H3897" s="877">
        <v>45787</v>
      </c>
    </row>
    <row r="3898" spans="3:8" x14ac:dyDescent="0.25">
      <c r="C3898" s="878">
        <v>51</v>
      </c>
      <c r="D3898" s="878">
        <v>30</v>
      </c>
      <c r="E3898" s="879">
        <v>24.5</v>
      </c>
      <c r="F3898" s="4">
        <f t="shared" si="67"/>
        <v>4.7008547008547071E-2</v>
      </c>
      <c r="G3898" s="37">
        <v>38.5</v>
      </c>
      <c r="H3898" s="877">
        <v>45787</v>
      </c>
    </row>
    <row r="3899" spans="3:8" x14ac:dyDescent="0.25">
      <c r="C3899" s="878">
        <v>1</v>
      </c>
      <c r="D3899" s="878">
        <v>119</v>
      </c>
      <c r="E3899" s="879">
        <v>48.5</v>
      </c>
      <c r="F3899" s="4">
        <f t="shared" si="67"/>
        <v>-2.0576131687243091E-3</v>
      </c>
      <c r="G3899" s="37">
        <v>38.5</v>
      </c>
      <c r="H3899" s="877">
        <v>45787</v>
      </c>
    </row>
    <row r="3900" spans="3:8" x14ac:dyDescent="0.25">
      <c r="C3900" s="878">
        <v>2</v>
      </c>
      <c r="D3900" s="878">
        <v>44</v>
      </c>
      <c r="E3900" s="879">
        <v>34.6</v>
      </c>
      <c r="F3900" s="4">
        <f t="shared" si="67"/>
        <v>0.1197411003236247</v>
      </c>
      <c r="G3900" s="37">
        <v>38.5</v>
      </c>
      <c r="H3900" s="877">
        <v>45787</v>
      </c>
    </row>
    <row r="3901" spans="3:8" x14ac:dyDescent="0.25">
      <c r="C3901" s="878">
        <v>3</v>
      </c>
      <c r="D3901" s="878">
        <v>73</v>
      </c>
      <c r="E3901" s="879">
        <v>34.200000000000003</v>
      </c>
      <c r="F3901" s="4">
        <f t="shared" si="67"/>
        <v>1.7857142857142898E-2</v>
      </c>
      <c r="G3901" s="37">
        <v>38.5</v>
      </c>
      <c r="H3901" s="877">
        <v>45787</v>
      </c>
    </row>
    <row r="3902" spans="3:8" x14ac:dyDescent="0.25">
      <c r="C3902" s="878">
        <v>4</v>
      </c>
      <c r="D3902" s="878">
        <v>0</v>
      </c>
      <c r="E3902" s="879">
        <v>27.6</v>
      </c>
      <c r="F3902" s="4">
        <f t="shared" si="67"/>
        <v>1.8450184501845018E-2</v>
      </c>
      <c r="G3902" s="37">
        <v>38.5</v>
      </c>
      <c r="H3902" s="877">
        <v>45787</v>
      </c>
    </row>
    <row r="3903" spans="3:8" x14ac:dyDescent="0.25">
      <c r="C3903" s="878">
        <v>5</v>
      </c>
      <c r="D3903" s="878">
        <v>86</v>
      </c>
      <c r="E3903" s="879"/>
      <c r="F3903" s="4" t="str">
        <f t="shared" si="67"/>
        <v/>
      </c>
      <c r="G3903" s="37">
        <v>38.5</v>
      </c>
      <c r="H3903" s="877">
        <v>45787</v>
      </c>
    </row>
    <row r="3904" spans="3:8" x14ac:dyDescent="0.25">
      <c r="C3904" s="878">
        <v>6</v>
      </c>
      <c r="D3904" s="878">
        <v>94</v>
      </c>
      <c r="E3904" s="879">
        <v>39.6</v>
      </c>
      <c r="F3904" s="4">
        <f t="shared" si="67"/>
        <v>0.13467048710601728</v>
      </c>
      <c r="G3904" s="37">
        <v>38.5</v>
      </c>
      <c r="H3904" s="877">
        <v>45787</v>
      </c>
    </row>
    <row r="3905" spans="3:8" x14ac:dyDescent="0.25">
      <c r="C3905" s="878">
        <v>7</v>
      </c>
      <c r="D3905" s="878">
        <v>82</v>
      </c>
      <c r="E3905" s="879">
        <v>39.5</v>
      </c>
      <c r="F3905" s="4">
        <f t="shared" si="67"/>
        <v>-4.1262135922330162E-2</v>
      </c>
      <c r="G3905" s="37">
        <v>38.5</v>
      </c>
      <c r="H3905" s="877">
        <v>45787</v>
      </c>
    </row>
    <row r="3906" spans="3:8" x14ac:dyDescent="0.25">
      <c r="C3906" s="878">
        <v>8</v>
      </c>
      <c r="D3906" s="878">
        <v>66</v>
      </c>
      <c r="E3906" s="879">
        <v>28.2</v>
      </c>
      <c r="F3906" s="4">
        <f t="shared" si="67"/>
        <v>-0.16071428571428578</v>
      </c>
      <c r="G3906" s="37">
        <v>38.5</v>
      </c>
      <c r="H3906" s="877">
        <v>45787</v>
      </c>
    </row>
    <row r="3907" spans="3:8" x14ac:dyDescent="0.25">
      <c r="C3907" s="878">
        <v>9</v>
      </c>
      <c r="D3907" s="878">
        <v>0</v>
      </c>
      <c r="E3907" s="879"/>
      <c r="F3907" s="4" t="str">
        <f t="shared" si="67"/>
        <v/>
      </c>
      <c r="G3907" s="37">
        <v>38.5</v>
      </c>
      <c r="H3907" s="877">
        <v>45787</v>
      </c>
    </row>
    <row r="3908" spans="3:8" x14ac:dyDescent="0.25">
      <c r="C3908" s="878">
        <v>10</v>
      </c>
      <c r="D3908" s="878">
        <v>116</v>
      </c>
      <c r="E3908" s="879">
        <v>41.4</v>
      </c>
      <c r="F3908" s="4">
        <f t="shared" si="67"/>
        <v>2.4752475247524754E-2</v>
      </c>
      <c r="G3908" s="37">
        <v>38.5</v>
      </c>
      <c r="H3908" s="877">
        <v>45787</v>
      </c>
    </row>
    <row r="3909" spans="3:8" x14ac:dyDescent="0.25">
      <c r="C3909" s="880" t="s">
        <v>0</v>
      </c>
      <c r="D3909" s="880" t="s">
        <v>7</v>
      </c>
      <c r="E3909" s="881" t="s">
        <v>4</v>
      </c>
      <c r="F3909" s="4" t="str">
        <f t="shared" si="67"/>
        <v/>
      </c>
      <c r="G3909" s="37">
        <v>38.299999999999997</v>
      </c>
      <c r="H3909" s="882">
        <v>45788</v>
      </c>
    </row>
    <row r="3910" spans="3:8" x14ac:dyDescent="0.25">
      <c r="C3910" s="880">
        <v>51</v>
      </c>
      <c r="D3910" s="880">
        <v>33</v>
      </c>
      <c r="E3910" s="881">
        <v>25.9</v>
      </c>
      <c r="F3910" s="4">
        <f t="shared" si="67"/>
        <v>5.7142857142857086E-2</v>
      </c>
      <c r="G3910" s="37">
        <v>38.299999999999997</v>
      </c>
      <c r="H3910" s="882">
        <v>45788</v>
      </c>
    </row>
    <row r="3911" spans="3:8" x14ac:dyDescent="0.25">
      <c r="C3911" s="880">
        <v>1</v>
      </c>
      <c r="D3911" s="880">
        <v>118</v>
      </c>
      <c r="E3911" s="881">
        <v>47.4</v>
      </c>
      <c r="F3911" s="4">
        <f t="shared" si="67"/>
        <v>-2.2680412371134051E-2</v>
      </c>
      <c r="G3911" s="37">
        <v>38.299999999999997</v>
      </c>
      <c r="H3911" s="882">
        <v>45788</v>
      </c>
    </row>
    <row r="3912" spans="3:8" x14ac:dyDescent="0.25">
      <c r="C3912" s="880">
        <v>2</v>
      </c>
      <c r="D3912" s="880">
        <v>44</v>
      </c>
      <c r="E3912" s="881">
        <v>34.9</v>
      </c>
      <c r="F3912" s="4">
        <f t="shared" si="67"/>
        <v>8.6705202312137904E-3</v>
      </c>
      <c r="G3912" s="37">
        <v>38.299999999999997</v>
      </c>
      <c r="H3912" s="882">
        <v>45788</v>
      </c>
    </row>
    <row r="3913" spans="3:8" x14ac:dyDescent="0.25">
      <c r="C3913" s="880">
        <v>3</v>
      </c>
      <c r="D3913" s="880">
        <v>73</v>
      </c>
      <c r="E3913" s="881">
        <v>34.200000000000003</v>
      </c>
      <c r="F3913" s="4">
        <f t="shared" si="67"/>
        <v>0</v>
      </c>
      <c r="G3913" s="37">
        <v>38.299999999999997</v>
      </c>
      <c r="H3913" s="882">
        <v>45788</v>
      </c>
    </row>
    <row r="3914" spans="3:8" x14ac:dyDescent="0.25">
      <c r="C3914" s="880">
        <v>4</v>
      </c>
      <c r="D3914" s="880">
        <v>0</v>
      </c>
      <c r="E3914" s="881"/>
      <c r="F3914" s="4">
        <f t="shared" si="67"/>
        <v>-1</v>
      </c>
      <c r="G3914" s="37">
        <v>38.299999999999997</v>
      </c>
      <c r="H3914" s="882">
        <v>45788</v>
      </c>
    </row>
    <row r="3915" spans="3:8" x14ac:dyDescent="0.25">
      <c r="C3915" s="880">
        <v>5</v>
      </c>
      <c r="D3915" s="880">
        <v>86</v>
      </c>
      <c r="E3915" s="881">
        <v>27.6</v>
      </c>
      <c r="F3915" s="4" t="str">
        <f t="shared" si="67"/>
        <v/>
      </c>
      <c r="G3915" s="37">
        <v>38.299999999999997</v>
      </c>
      <c r="H3915" s="882">
        <v>45788</v>
      </c>
    </row>
    <row r="3916" spans="3:8" x14ac:dyDescent="0.25">
      <c r="C3916" s="880">
        <v>6</v>
      </c>
      <c r="D3916" s="880">
        <v>94</v>
      </c>
      <c r="E3916" s="881">
        <v>39.6</v>
      </c>
      <c r="F3916" s="4">
        <f t="shared" si="67"/>
        <v>0</v>
      </c>
      <c r="G3916" s="37">
        <v>38.299999999999997</v>
      </c>
      <c r="H3916" s="882">
        <v>45788</v>
      </c>
    </row>
    <row r="3917" spans="3:8" x14ac:dyDescent="0.25">
      <c r="C3917" s="880">
        <v>7</v>
      </c>
      <c r="D3917" s="880">
        <v>82</v>
      </c>
      <c r="E3917" s="881">
        <v>39.200000000000003</v>
      </c>
      <c r="F3917" s="4">
        <f t="shared" si="67"/>
        <v>-7.5949367088606872E-3</v>
      </c>
      <c r="G3917" s="37">
        <v>38.299999999999997</v>
      </c>
      <c r="H3917" s="882">
        <v>45788</v>
      </c>
    </row>
    <row r="3918" spans="3:8" x14ac:dyDescent="0.25">
      <c r="C3918" s="880">
        <v>8</v>
      </c>
      <c r="D3918" s="880">
        <v>66</v>
      </c>
      <c r="E3918" s="881">
        <v>32.799999999999997</v>
      </c>
      <c r="F3918" s="4">
        <f t="shared" si="67"/>
        <v>0.16312056737588645</v>
      </c>
      <c r="G3918" s="37">
        <v>38.299999999999997</v>
      </c>
      <c r="H3918" s="882">
        <v>45788</v>
      </c>
    </row>
    <row r="3919" spans="3:8" x14ac:dyDescent="0.25">
      <c r="C3919" s="880">
        <v>9</v>
      </c>
      <c r="D3919" s="880">
        <v>0</v>
      </c>
      <c r="E3919" s="881"/>
      <c r="F3919" s="4" t="str">
        <f t="shared" si="67"/>
        <v/>
      </c>
      <c r="G3919" s="37">
        <v>38.299999999999997</v>
      </c>
      <c r="H3919" s="882">
        <v>45788</v>
      </c>
    </row>
    <row r="3920" spans="3:8" x14ac:dyDescent="0.25">
      <c r="C3920" s="880">
        <v>10</v>
      </c>
      <c r="D3920" s="880">
        <v>116</v>
      </c>
      <c r="E3920" s="881">
        <v>40.5</v>
      </c>
      <c r="F3920" s="4">
        <f t="shared" si="67"/>
        <v>-2.1739130434782573E-2</v>
      </c>
      <c r="G3920" s="37">
        <v>38.299999999999997</v>
      </c>
      <c r="H3920" s="882">
        <v>45788</v>
      </c>
    </row>
    <row r="3921" spans="3:8" x14ac:dyDescent="0.25">
      <c r="C3921" s="883" t="s">
        <v>0</v>
      </c>
      <c r="D3921" s="883" t="s">
        <v>7</v>
      </c>
      <c r="E3921" s="884" t="s">
        <v>4</v>
      </c>
      <c r="F3921" s="4" t="str">
        <f t="shared" si="67"/>
        <v/>
      </c>
      <c r="G3921" s="37">
        <v>38.200000000000003</v>
      </c>
      <c r="H3921" s="882">
        <v>45789</v>
      </c>
    </row>
    <row r="3922" spans="3:8" x14ac:dyDescent="0.25">
      <c r="C3922" s="883">
        <v>51</v>
      </c>
      <c r="D3922" s="883">
        <v>27</v>
      </c>
      <c r="E3922" s="884">
        <v>24.9</v>
      </c>
      <c r="F3922" s="4">
        <f t="shared" si="67"/>
        <v>-3.8610038610038609E-2</v>
      </c>
      <c r="G3922" s="37">
        <v>38.200000000000003</v>
      </c>
      <c r="H3922" s="882">
        <v>45789</v>
      </c>
    </row>
    <row r="3923" spans="3:8" x14ac:dyDescent="0.25">
      <c r="C3923" s="883">
        <v>1</v>
      </c>
      <c r="D3923" s="883">
        <v>118</v>
      </c>
      <c r="E3923" s="884">
        <v>43.6</v>
      </c>
      <c r="F3923" s="4">
        <f t="shared" si="67"/>
        <v>-8.0168776371307954E-2</v>
      </c>
      <c r="G3923" s="37">
        <v>38.200000000000003</v>
      </c>
      <c r="H3923" s="882">
        <v>45789</v>
      </c>
    </row>
    <row r="3924" spans="3:8" x14ac:dyDescent="0.25">
      <c r="C3924" s="883">
        <v>2</v>
      </c>
      <c r="D3924" s="883">
        <v>44</v>
      </c>
      <c r="E3924" s="884">
        <v>28.6</v>
      </c>
      <c r="F3924" s="4">
        <f t="shared" si="67"/>
        <v>-0.18051575931232083</v>
      </c>
      <c r="G3924" s="37">
        <v>38.200000000000003</v>
      </c>
      <c r="H3924" s="882">
        <v>45789</v>
      </c>
    </row>
    <row r="3925" spans="3:8" x14ac:dyDescent="0.25">
      <c r="C3925" s="883">
        <v>3</v>
      </c>
      <c r="D3925" s="883">
        <v>73</v>
      </c>
      <c r="E3925" s="884">
        <v>34.4</v>
      </c>
      <c r="F3925" s="4">
        <f t="shared" si="67"/>
        <v>5.8479532163741438E-3</v>
      </c>
      <c r="G3925" s="37">
        <v>38.200000000000003</v>
      </c>
      <c r="H3925" s="882">
        <v>45789</v>
      </c>
    </row>
    <row r="3926" spans="3:8" x14ac:dyDescent="0.25">
      <c r="C3926" s="883">
        <v>4</v>
      </c>
      <c r="D3926" s="883">
        <v>0</v>
      </c>
      <c r="E3926" s="884"/>
      <c r="F3926" s="4" t="str">
        <f t="shared" si="67"/>
        <v/>
      </c>
      <c r="G3926" s="37">
        <v>38.200000000000003</v>
      </c>
      <c r="H3926" s="882">
        <v>45789</v>
      </c>
    </row>
    <row r="3927" spans="3:8" x14ac:dyDescent="0.25">
      <c r="C3927" s="883">
        <v>5</v>
      </c>
      <c r="D3927" s="883">
        <v>86</v>
      </c>
      <c r="E3927" s="884">
        <v>27.2</v>
      </c>
      <c r="F3927" s="4">
        <f t="shared" si="67"/>
        <v>-1.4492753623188482E-2</v>
      </c>
      <c r="G3927" s="37">
        <v>38.200000000000003</v>
      </c>
      <c r="H3927" s="882">
        <v>45789</v>
      </c>
    </row>
    <row r="3928" spans="3:8" x14ac:dyDescent="0.25">
      <c r="C3928" s="883">
        <v>6</v>
      </c>
      <c r="D3928" s="883">
        <v>95</v>
      </c>
      <c r="E3928" s="884">
        <v>39.9</v>
      </c>
      <c r="F3928" s="4">
        <f t="shared" si="67"/>
        <v>7.575757575757504E-3</v>
      </c>
      <c r="G3928" s="37">
        <v>38.200000000000003</v>
      </c>
      <c r="H3928" s="882">
        <v>45789</v>
      </c>
    </row>
    <row r="3929" spans="3:8" x14ac:dyDescent="0.25">
      <c r="C3929" s="883">
        <v>7</v>
      </c>
      <c r="D3929" s="883">
        <v>81</v>
      </c>
      <c r="E3929" s="884">
        <v>38.799999999999997</v>
      </c>
      <c r="F3929" s="4">
        <f t="shared" si="67"/>
        <v>-1.0204081632653206E-2</v>
      </c>
      <c r="G3929" s="37">
        <v>38.200000000000003</v>
      </c>
      <c r="H3929" s="882">
        <v>45789</v>
      </c>
    </row>
    <row r="3930" spans="3:8" x14ac:dyDescent="0.25">
      <c r="C3930" s="883">
        <v>8</v>
      </c>
      <c r="D3930" s="883">
        <v>66</v>
      </c>
      <c r="E3930" s="884">
        <v>31</v>
      </c>
      <c r="F3930" s="4">
        <f t="shared" si="67"/>
        <v>-5.4878048780487722E-2</v>
      </c>
      <c r="G3930" s="37">
        <v>38.200000000000003</v>
      </c>
      <c r="H3930" s="882">
        <v>45789</v>
      </c>
    </row>
    <row r="3931" spans="3:8" x14ac:dyDescent="0.25">
      <c r="C3931" s="883">
        <v>9</v>
      </c>
      <c r="D3931" s="883">
        <v>0</v>
      </c>
      <c r="E3931" s="884"/>
      <c r="F3931" s="4" t="str">
        <f t="shared" si="67"/>
        <v/>
      </c>
      <c r="G3931" s="37">
        <v>38.200000000000003</v>
      </c>
      <c r="H3931" s="882">
        <v>45789</v>
      </c>
    </row>
    <row r="3932" spans="3:8" x14ac:dyDescent="0.25">
      <c r="C3932" s="883">
        <v>10</v>
      </c>
      <c r="D3932" s="883">
        <v>116</v>
      </c>
      <c r="E3932" s="884">
        <v>33.799999999999997</v>
      </c>
      <c r="F3932" s="4">
        <f t="shared" si="67"/>
        <v>-0.16543209876543216</v>
      </c>
      <c r="G3932" s="37">
        <v>38.200000000000003</v>
      </c>
      <c r="H3932" s="882">
        <v>45789</v>
      </c>
    </row>
    <row r="3933" spans="3:8" x14ac:dyDescent="0.25">
      <c r="C3933" s="885" t="s">
        <v>0</v>
      </c>
      <c r="D3933" s="885" t="s">
        <v>7</v>
      </c>
      <c r="E3933" s="886" t="s">
        <v>4</v>
      </c>
      <c r="F3933" s="4" t="str">
        <f t="shared" si="67"/>
        <v/>
      </c>
      <c r="G3933" s="37">
        <v>38.6</v>
      </c>
      <c r="H3933" s="887">
        <v>45790</v>
      </c>
    </row>
    <row r="3934" spans="3:8" x14ac:dyDescent="0.25">
      <c r="C3934" s="885">
        <v>51</v>
      </c>
      <c r="D3934" s="885">
        <v>29</v>
      </c>
      <c r="E3934" s="886">
        <v>27</v>
      </c>
      <c r="F3934" s="4">
        <f t="shared" si="67"/>
        <v>8.4337349397590425E-2</v>
      </c>
      <c r="G3934" s="37">
        <v>38.6</v>
      </c>
      <c r="H3934" s="887">
        <v>45790</v>
      </c>
    </row>
    <row r="3935" spans="3:8" x14ac:dyDescent="0.25">
      <c r="C3935" s="885">
        <v>1</v>
      </c>
      <c r="D3935" s="885">
        <v>118</v>
      </c>
      <c r="E3935" s="886">
        <v>47.8</v>
      </c>
      <c r="F3935" s="4">
        <f t="shared" si="67"/>
        <v>9.6330275229357692E-2</v>
      </c>
      <c r="G3935" s="37">
        <v>38.6</v>
      </c>
      <c r="H3935" s="887">
        <v>45790</v>
      </c>
    </row>
    <row r="3936" spans="3:8" x14ac:dyDescent="0.25">
      <c r="C3936" s="885">
        <v>2</v>
      </c>
      <c r="D3936" s="885">
        <v>44</v>
      </c>
      <c r="E3936" s="886">
        <v>34.799999999999997</v>
      </c>
      <c r="F3936" s="4">
        <f t="shared" si="67"/>
        <v>0.21678321678321663</v>
      </c>
      <c r="G3936" s="37">
        <v>38.6</v>
      </c>
      <c r="H3936" s="887">
        <v>45790</v>
      </c>
    </row>
    <row r="3937" spans="3:8" x14ac:dyDescent="0.25">
      <c r="C3937" s="885">
        <v>3</v>
      </c>
      <c r="D3937" s="885">
        <v>73</v>
      </c>
      <c r="E3937" s="886">
        <v>33.6</v>
      </c>
      <c r="F3937" s="4">
        <f t="shared" si="67"/>
        <v>-2.3255813953488292E-2</v>
      </c>
      <c r="G3937" s="37">
        <v>38.6</v>
      </c>
      <c r="H3937" s="887">
        <v>45790</v>
      </c>
    </row>
    <row r="3938" spans="3:8" x14ac:dyDescent="0.25">
      <c r="C3938" s="885">
        <v>4</v>
      </c>
      <c r="D3938" s="885">
        <v>0</v>
      </c>
      <c r="E3938" s="886"/>
      <c r="F3938" s="4" t="str">
        <f t="shared" si="67"/>
        <v/>
      </c>
      <c r="G3938" s="37">
        <v>38.6</v>
      </c>
      <c r="H3938" s="887">
        <v>45790</v>
      </c>
    </row>
    <row r="3939" spans="3:8" x14ac:dyDescent="0.25">
      <c r="C3939" s="885">
        <v>5</v>
      </c>
      <c r="D3939" s="885">
        <v>86</v>
      </c>
      <c r="E3939" s="886">
        <v>26.7</v>
      </c>
      <c r="F3939" s="4">
        <f t="shared" si="67"/>
        <v>-1.8382352941176471E-2</v>
      </c>
      <c r="G3939" s="37">
        <v>38.6</v>
      </c>
      <c r="H3939" s="887">
        <v>45790</v>
      </c>
    </row>
    <row r="3940" spans="3:8" x14ac:dyDescent="0.25">
      <c r="C3940" s="885">
        <v>6</v>
      </c>
      <c r="D3940" s="885">
        <v>94</v>
      </c>
      <c r="E3940" s="886">
        <v>37.700000000000003</v>
      </c>
      <c r="F3940" s="4">
        <f t="shared" si="67"/>
        <v>-5.5137844611528715E-2</v>
      </c>
      <c r="G3940" s="37">
        <v>38.6</v>
      </c>
      <c r="H3940" s="887">
        <v>45790</v>
      </c>
    </row>
    <row r="3941" spans="3:8" x14ac:dyDescent="0.25">
      <c r="C3941" s="885">
        <v>7</v>
      </c>
      <c r="D3941" s="885">
        <v>81</v>
      </c>
      <c r="E3941" s="886">
        <v>47</v>
      </c>
      <c r="F3941" s="4">
        <f t="shared" si="67"/>
        <v>0.21134020618556709</v>
      </c>
      <c r="G3941" s="37">
        <v>38.6</v>
      </c>
      <c r="H3941" s="887">
        <v>45790</v>
      </c>
    </row>
    <row r="3942" spans="3:8" x14ac:dyDescent="0.25">
      <c r="C3942" s="885">
        <v>8</v>
      </c>
      <c r="D3942" s="885">
        <v>67</v>
      </c>
      <c r="E3942" s="886">
        <v>28.8</v>
      </c>
      <c r="F3942" s="4">
        <f t="shared" ref="F3942:F4005" si="68">IFERROR((E3942-E3930)/E3930,"")</f>
        <v>-7.0967741935483844E-2</v>
      </c>
      <c r="G3942" s="37">
        <v>38.6</v>
      </c>
      <c r="H3942" s="887">
        <v>45790</v>
      </c>
    </row>
    <row r="3943" spans="3:8" x14ac:dyDescent="0.25">
      <c r="C3943" s="885">
        <v>9</v>
      </c>
      <c r="D3943" s="885">
        <v>0</v>
      </c>
      <c r="E3943" s="886"/>
      <c r="F3943" s="4" t="str">
        <f t="shared" si="68"/>
        <v/>
      </c>
      <c r="G3943" s="37">
        <v>38.6</v>
      </c>
      <c r="H3943" s="887">
        <v>45790</v>
      </c>
    </row>
    <row r="3944" spans="3:8" x14ac:dyDescent="0.25">
      <c r="C3944" s="885">
        <v>10</v>
      </c>
      <c r="D3944" s="885">
        <v>116</v>
      </c>
      <c r="E3944" s="886">
        <v>40</v>
      </c>
      <c r="F3944" s="4">
        <f t="shared" si="68"/>
        <v>0.183431952662722</v>
      </c>
      <c r="G3944" s="37">
        <v>38.6</v>
      </c>
      <c r="H3944" s="887">
        <v>45790</v>
      </c>
    </row>
    <row r="3945" spans="3:8" x14ac:dyDescent="0.25">
      <c r="C3945" s="888" t="s">
        <v>0</v>
      </c>
      <c r="D3945" s="888" t="s">
        <v>7</v>
      </c>
      <c r="E3945" s="889" t="s">
        <v>4</v>
      </c>
      <c r="F3945" s="4" t="str">
        <f t="shared" si="68"/>
        <v/>
      </c>
      <c r="G3945" s="37">
        <v>39.1</v>
      </c>
      <c r="H3945" s="887">
        <v>45791</v>
      </c>
    </row>
    <row r="3946" spans="3:8" x14ac:dyDescent="0.25">
      <c r="C3946" s="888">
        <v>51</v>
      </c>
      <c r="D3946" s="888">
        <v>34</v>
      </c>
      <c r="E3946" s="889">
        <v>27.8</v>
      </c>
      <c r="F3946" s="4">
        <f t="shared" si="68"/>
        <v>2.9629629629629655E-2</v>
      </c>
      <c r="G3946" s="37">
        <v>39.1</v>
      </c>
      <c r="H3946" s="887">
        <v>45791</v>
      </c>
    </row>
    <row r="3947" spans="3:8" x14ac:dyDescent="0.25">
      <c r="C3947" s="888">
        <v>1</v>
      </c>
      <c r="D3947" s="888">
        <v>118</v>
      </c>
      <c r="E3947" s="889">
        <v>48.9</v>
      </c>
      <c r="F3947" s="4">
        <f t="shared" si="68"/>
        <v>2.3012552301255262E-2</v>
      </c>
      <c r="G3947" s="37">
        <v>39.1</v>
      </c>
      <c r="H3947" s="887">
        <v>45791</v>
      </c>
    </row>
    <row r="3948" spans="3:8" x14ac:dyDescent="0.25">
      <c r="C3948" s="888">
        <v>2</v>
      </c>
      <c r="D3948" s="888">
        <v>44</v>
      </c>
      <c r="E3948" s="889">
        <v>33.200000000000003</v>
      </c>
      <c r="F3948" s="4">
        <f t="shared" si="68"/>
        <v>-4.5977011494252713E-2</v>
      </c>
      <c r="G3948" s="37">
        <v>39.1</v>
      </c>
      <c r="H3948" s="887">
        <v>45791</v>
      </c>
    </row>
    <row r="3949" spans="3:8" x14ac:dyDescent="0.25">
      <c r="C3949" s="888">
        <v>3</v>
      </c>
      <c r="D3949" s="888">
        <v>73</v>
      </c>
      <c r="E3949" s="889">
        <v>34.1</v>
      </c>
      <c r="F3949" s="4">
        <f t="shared" si="68"/>
        <v>1.488095238095238E-2</v>
      </c>
      <c r="G3949" s="37">
        <v>39.1</v>
      </c>
      <c r="H3949" s="887">
        <v>45791</v>
      </c>
    </row>
    <row r="3950" spans="3:8" x14ac:dyDescent="0.25">
      <c r="C3950" s="888">
        <v>4</v>
      </c>
      <c r="D3950" s="888">
        <v>0</v>
      </c>
      <c r="E3950" s="889"/>
      <c r="F3950" s="4" t="str">
        <f t="shared" si="68"/>
        <v/>
      </c>
      <c r="G3950" s="37">
        <v>39.1</v>
      </c>
      <c r="H3950" s="887">
        <v>45791</v>
      </c>
    </row>
    <row r="3951" spans="3:8" x14ac:dyDescent="0.25">
      <c r="C3951" s="888">
        <v>5</v>
      </c>
      <c r="D3951" s="888">
        <v>86</v>
      </c>
      <c r="E3951" s="889">
        <v>27.1</v>
      </c>
      <c r="F3951" s="4">
        <f t="shared" si="68"/>
        <v>1.498127340823978E-2</v>
      </c>
      <c r="G3951" s="37">
        <v>39.1</v>
      </c>
      <c r="H3951" s="887">
        <v>45791</v>
      </c>
    </row>
    <row r="3952" spans="3:8" x14ac:dyDescent="0.25">
      <c r="C3952" s="888">
        <v>6</v>
      </c>
      <c r="D3952" s="888">
        <v>94</v>
      </c>
      <c r="E3952" s="889">
        <v>46.5</v>
      </c>
      <c r="F3952" s="4">
        <f t="shared" si="68"/>
        <v>0.23342175066312987</v>
      </c>
      <c r="G3952" s="37">
        <v>39.1</v>
      </c>
      <c r="H3952" s="887">
        <v>45791</v>
      </c>
    </row>
    <row r="3953" spans="3:8" x14ac:dyDescent="0.25">
      <c r="C3953" s="888">
        <v>7</v>
      </c>
      <c r="D3953" s="888">
        <v>80</v>
      </c>
      <c r="E3953" s="889">
        <v>39.700000000000003</v>
      </c>
      <c r="F3953" s="4">
        <f t="shared" si="68"/>
        <v>-0.15531914893617016</v>
      </c>
      <c r="G3953" s="37">
        <v>39.1</v>
      </c>
      <c r="H3953" s="887">
        <v>45791</v>
      </c>
    </row>
    <row r="3954" spans="3:8" x14ac:dyDescent="0.25">
      <c r="C3954" s="888">
        <v>8</v>
      </c>
      <c r="D3954" s="888">
        <v>67</v>
      </c>
      <c r="E3954" s="889">
        <v>32</v>
      </c>
      <c r="F3954" s="4">
        <f t="shared" si="68"/>
        <v>0.11111111111111108</v>
      </c>
      <c r="G3954" s="37">
        <v>39.1</v>
      </c>
      <c r="H3954" s="887">
        <v>45791</v>
      </c>
    </row>
    <row r="3955" spans="3:8" x14ac:dyDescent="0.25">
      <c r="C3955" s="888">
        <v>9</v>
      </c>
      <c r="D3955" s="888">
        <v>0</v>
      </c>
      <c r="E3955" s="889"/>
      <c r="F3955" s="4" t="str">
        <f t="shared" si="68"/>
        <v/>
      </c>
      <c r="G3955" s="37">
        <v>39.1</v>
      </c>
      <c r="H3955" s="887">
        <v>45791</v>
      </c>
    </row>
    <row r="3956" spans="3:8" x14ac:dyDescent="0.25">
      <c r="C3956" s="888">
        <v>10</v>
      </c>
      <c r="D3956" s="888">
        <v>116</v>
      </c>
      <c r="E3956" s="889">
        <v>35.9</v>
      </c>
      <c r="F3956" s="4">
        <f t="shared" si="68"/>
        <v>-0.10250000000000004</v>
      </c>
      <c r="G3956" s="37">
        <v>39.1</v>
      </c>
      <c r="H3956" s="887">
        <v>45791</v>
      </c>
    </row>
    <row r="3957" spans="3:8" x14ac:dyDescent="0.25">
      <c r="C3957" s="890" t="s">
        <v>0</v>
      </c>
      <c r="D3957" s="890" t="s">
        <v>7</v>
      </c>
      <c r="E3957" s="891" t="s">
        <v>4</v>
      </c>
      <c r="F3957" s="4" t="str">
        <f t="shared" si="68"/>
        <v/>
      </c>
      <c r="G3957" s="37">
        <v>38.1</v>
      </c>
      <c r="H3957" s="892">
        <v>45792</v>
      </c>
    </row>
    <row r="3958" spans="3:8" x14ac:dyDescent="0.25">
      <c r="C3958" s="890">
        <v>51</v>
      </c>
      <c r="D3958" s="890">
        <v>30</v>
      </c>
      <c r="E3958" s="891">
        <v>28.1</v>
      </c>
      <c r="F3958" s="4">
        <f t="shared" si="68"/>
        <v>1.0791366906474845E-2</v>
      </c>
      <c r="G3958" s="37">
        <v>38.1</v>
      </c>
      <c r="H3958" s="892">
        <v>45792</v>
      </c>
    </row>
    <row r="3959" spans="3:8" x14ac:dyDescent="0.25">
      <c r="C3959" s="890">
        <v>1</v>
      </c>
      <c r="D3959" s="890">
        <v>118</v>
      </c>
      <c r="E3959" s="891">
        <v>47.3</v>
      </c>
      <c r="F3959" s="4">
        <f t="shared" si="68"/>
        <v>-3.2719836400818027E-2</v>
      </c>
      <c r="G3959" s="37">
        <v>38.1</v>
      </c>
      <c r="H3959" s="892">
        <v>45792</v>
      </c>
    </row>
    <row r="3960" spans="3:8" x14ac:dyDescent="0.25">
      <c r="C3960" s="890">
        <v>2</v>
      </c>
      <c r="D3960" s="890">
        <v>47</v>
      </c>
      <c r="E3960" s="891">
        <v>29.9</v>
      </c>
      <c r="F3960" s="4">
        <f t="shared" si="68"/>
        <v>-9.9397590361445909E-2</v>
      </c>
      <c r="G3960" s="37">
        <v>38.1</v>
      </c>
      <c r="H3960" s="892">
        <v>45792</v>
      </c>
    </row>
    <row r="3961" spans="3:8" x14ac:dyDescent="0.25">
      <c r="C3961" s="890">
        <v>3</v>
      </c>
      <c r="D3961" s="890">
        <v>74</v>
      </c>
      <c r="E3961" s="891">
        <v>35.799999999999997</v>
      </c>
      <c r="F3961" s="4">
        <f t="shared" si="68"/>
        <v>4.9853372434017468E-2</v>
      </c>
      <c r="G3961" s="37">
        <v>38.1</v>
      </c>
      <c r="H3961" s="892">
        <v>45792</v>
      </c>
    </row>
    <row r="3962" spans="3:8" x14ac:dyDescent="0.25">
      <c r="C3962" s="890">
        <v>4</v>
      </c>
      <c r="D3962" s="890">
        <v>0</v>
      </c>
      <c r="E3962" s="891"/>
      <c r="F3962" s="4" t="str">
        <f t="shared" si="68"/>
        <v/>
      </c>
      <c r="G3962" s="37">
        <v>38.1</v>
      </c>
      <c r="H3962" s="892">
        <v>45792</v>
      </c>
    </row>
    <row r="3963" spans="3:8" x14ac:dyDescent="0.25">
      <c r="C3963" s="890">
        <v>5</v>
      </c>
      <c r="D3963" s="890">
        <v>86</v>
      </c>
      <c r="E3963" s="891">
        <v>27.7</v>
      </c>
      <c r="F3963" s="4">
        <f t="shared" si="68"/>
        <v>2.2140221402213941E-2</v>
      </c>
      <c r="G3963" s="37">
        <v>38.1</v>
      </c>
      <c r="H3963" s="892">
        <v>45792</v>
      </c>
    </row>
    <row r="3964" spans="3:8" x14ac:dyDescent="0.25">
      <c r="C3964" s="890">
        <v>6</v>
      </c>
      <c r="D3964" s="890">
        <v>93</v>
      </c>
      <c r="E3964" s="891">
        <v>38.5</v>
      </c>
      <c r="F3964" s="4">
        <f t="shared" si="68"/>
        <v>-0.17204301075268819</v>
      </c>
      <c r="G3964" s="37">
        <v>38.1</v>
      </c>
      <c r="H3964" s="892">
        <v>45792</v>
      </c>
    </row>
    <row r="3965" spans="3:8" x14ac:dyDescent="0.25">
      <c r="C3965" s="890">
        <v>7</v>
      </c>
      <c r="D3965" s="890">
        <v>80</v>
      </c>
      <c r="E3965" s="891">
        <v>33.200000000000003</v>
      </c>
      <c r="F3965" s="4">
        <f t="shared" si="68"/>
        <v>-0.16372795969773299</v>
      </c>
      <c r="G3965" s="37">
        <v>38.1</v>
      </c>
      <c r="H3965" s="892">
        <v>45792</v>
      </c>
    </row>
    <row r="3966" spans="3:8" x14ac:dyDescent="0.25">
      <c r="C3966" s="890">
        <v>8</v>
      </c>
      <c r="D3966" s="890">
        <v>66</v>
      </c>
      <c r="E3966" s="891">
        <v>31</v>
      </c>
      <c r="F3966" s="4">
        <f t="shared" si="68"/>
        <v>-3.125E-2</v>
      </c>
      <c r="G3966" s="37">
        <v>38.1</v>
      </c>
      <c r="H3966" s="892">
        <v>45792</v>
      </c>
    </row>
    <row r="3967" spans="3:8" x14ac:dyDescent="0.25">
      <c r="C3967" s="890">
        <v>9</v>
      </c>
      <c r="D3967" s="890">
        <v>0</v>
      </c>
      <c r="E3967" s="891"/>
      <c r="F3967" s="4" t="str">
        <f t="shared" si="68"/>
        <v/>
      </c>
      <c r="G3967" s="37">
        <v>38.1</v>
      </c>
      <c r="H3967" s="892">
        <v>45792</v>
      </c>
    </row>
    <row r="3968" spans="3:8" x14ac:dyDescent="0.25">
      <c r="C3968" s="890">
        <v>10</v>
      </c>
      <c r="D3968" s="890">
        <v>116</v>
      </c>
      <c r="E3968" s="891">
        <v>41.4</v>
      </c>
      <c r="F3968" s="4">
        <f t="shared" si="68"/>
        <v>0.15320334261838442</v>
      </c>
      <c r="G3968" s="37">
        <v>38.1</v>
      </c>
      <c r="H3968" s="892">
        <v>45792</v>
      </c>
    </row>
    <row r="3969" spans="3:8" x14ac:dyDescent="0.25">
      <c r="C3969" s="893" t="s">
        <v>0</v>
      </c>
      <c r="D3969" s="893" t="s">
        <v>7</v>
      </c>
      <c r="E3969" s="894" t="s">
        <v>4</v>
      </c>
      <c r="F3969" s="4" t="str">
        <f t="shared" si="68"/>
        <v/>
      </c>
      <c r="G3969" s="37">
        <v>38.5</v>
      </c>
      <c r="H3969" s="895">
        <v>45793</v>
      </c>
    </row>
    <row r="3970" spans="3:8" x14ac:dyDescent="0.25">
      <c r="C3970" s="893">
        <v>51</v>
      </c>
      <c r="D3970" s="893">
        <v>33</v>
      </c>
      <c r="E3970" s="894">
        <v>28.4</v>
      </c>
      <c r="F3970" s="4">
        <f t="shared" si="68"/>
        <v>1.0676156583629791E-2</v>
      </c>
      <c r="G3970" s="37">
        <v>38.5</v>
      </c>
      <c r="H3970" s="895">
        <v>45793</v>
      </c>
    </row>
    <row r="3971" spans="3:8" x14ac:dyDescent="0.25">
      <c r="C3971" s="893">
        <v>1</v>
      </c>
      <c r="D3971" s="893">
        <v>118</v>
      </c>
      <c r="E3971" s="894">
        <v>48.1</v>
      </c>
      <c r="F3971" s="4">
        <f t="shared" si="68"/>
        <v>1.6913319238900725E-2</v>
      </c>
      <c r="G3971" s="37">
        <v>38.5</v>
      </c>
      <c r="H3971" s="895">
        <v>45793</v>
      </c>
    </row>
    <row r="3972" spans="3:8" x14ac:dyDescent="0.25">
      <c r="C3972" s="893">
        <v>2</v>
      </c>
      <c r="D3972" s="893">
        <v>47</v>
      </c>
      <c r="E3972" s="894">
        <v>27.8</v>
      </c>
      <c r="F3972" s="4">
        <f t="shared" si="68"/>
        <v>-7.0234113712374507E-2</v>
      </c>
      <c r="G3972" s="37">
        <v>38.5</v>
      </c>
      <c r="H3972" s="895">
        <v>45793</v>
      </c>
    </row>
    <row r="3973" spans="3:8" x14ac:dyDescent="0.25">
      <c r="C3973" s="893">
        <v>3</v>
      </c>
      <c r="D3973" s="893">
        <v>74</v>
      </c>
      <c r="E3973" s="894">
        <v>34.799999999999997</v>
      </c>
      <c r="F3973" s="4">
        <f t="shared" si="68"/>
        <v>-2.793296089385475E-2</v>
      </c>
      <c r="G3973" s="37">
        <v>38.5</v>
      </c>
      <c r="H3973" s="895">
        <v>45793</v>
      </c>
    </row>
    <row r="3974" spans="3:8" x14ac:dyDescent="0.25">
      <c r="C3974" s="893">
        <v>4</v>
      </c>
      <c r="D3974" s="893">
        <v>0</v>
      </c>
      <c r="E3974" s="894"/>
      <c r="F3974" s="4" t="str">
        <f t="shared" si="68"/>
        <v/>
      </c>
      <c r="G3974" s="37">
        <v>38.5</v>
      </c>
      <c r="H3974" s="895">
        <v>45793</v>
      </c>
    </row>
    <row r="3975" spans="3:8" x14ac:dyDescent="0.25">
      <c r="C3975" s="893">
        <v>5</v>
      </c>
      <c r="D3975" s="893">
        <v>82</v>
      </c>
      <c r="E3975" s="894">
        <v>26.6</v>
      </c>
      <c r="F3975" s="4">
        <f t="shared" si="68"/>
        <v>-3.9711191335739998E-2</v>
      </c>
      <c r="G3975" s="37">
        <v>38.5</v>
      </c>
      <c r="H3975" s="895">
        <v>45793</v>
      </c>
    </row>
    <row r="3976" spans="3:8" x14ac:dyDescent="0.25">
      <c r="C3976" s="893">
        <v>6</v>
      </c>
      <c r="D3976" s="893">
        <v>92</v>
      </c>
      <c r="E3976" s="894">
        <v>37.700000000000003</v>
      </c>
      <c r="F3976" s="4">
        <f t="shared" si="68"/>
        <v>-2.0779220779220706E-2</v>
      </c>
      <c r="G3976" s="37">
        <v>38.5</v>
      </c>
      <c r="H3976" s="895">
        <v>45793</v>
      </c>
    </row>
    <row r="3977" spans="3:8" x14ac:dyDescent="0.25">
      <c r="C3977" s="893">
        <v>7</v>
      </c>
      <c r="D3977" s="893">
        <v>80</v>
      </c>
      <c r="E3977" s="894">
        <v>37.799999999999997</v>
      </c>
      <c r="F3977" s="4">
        <f t="shared" si="68"/>
        <v>0.13855421686746969</v>
      </c>
      <c r="G3977" s="37">
        <v>38.5</v>
      </c>
      <c r="H3977" s="895">
        <v>45793</v>
      </c>
    </row>
    <row r="3978" spans="3:8" x14ac:dyDescent="0.25">
      <c r="C3978" s="893">
        <v>8</v>
      </c>
      <c r="D3978" s="893">
        <v>66</v>
      </c>
      <c r="E3978" s="894">
        <v>31.8</v>
      </c>
      <c r="F3978" s="4">
        <f t="shared" si="68"/>
        <v>2.580645161290325E-2</v>
      </c>
      <c r="G3978" s="37">
        <v>38.5</v>
      </c>
      <c r="H3978" s="895">
        <v>45793</v>
      </c>
    </row>
    <row r="3979" spans="3:8" x14ac:dyDescent="0.25">
      <c r="C3979" s="893">
        <v>9</v>
      </c>
      <c r="D3979" s="893">
        <v>0</v>
      </c>
      <c r="E3979" s="894"/>
      <c r="F3979" s="4" t="str">
        <f t="shared" si="68"/>
        <v/>
      </c>
      <c r="G3979" s="37">
        <v>38.5</v>
      </c>
      <c r="H3979" s="895">
        <v>45793</v>
      </c>
    </row>
    <row r="3980" spans="3:8" x14ac:dyDescent="0.25">
      <c r="C3980" s="893">
        <v>10</v>
      </c>
      <c r="D3980" s="893">
        <v>116</v>
      </c>
      <c r="E3980" s="894">
        <v>36.299999999999997</v>
      </c>
      <c r="F3980" s="4">
        <f t="shared" si="68"/>
        <v>-0.12318840579710148</v>
      </c>
      <c r="G3980" s="37">
        <v>38.5</v>
      </c>
      <c r="H3980" s="895">
        <v>45793</v>
      </c>
    </row>
    <row r="3981" spans="3:8" x14ac:dyDescent="0.25">
      <c r="C3981" s="896" t="s">
        <v>0</v>
      </c>
      <c r="D3981" s="896" t="s">
        <v>7</v>
      </c>
      <c r="E3981" s="897" t="s">
        <v>4</v>
      </c>
      <c r="F3981" s="4" t="str">
        <f t="shared" si="68"/>
        <v/>
      </c>
      <c r="G3981" s="37">
        <v>38.200000000000003</v>
      </c>
      <c r="H3981" s="895">
        <v>45794</v>
      </c>
    </row>
    <row r="3982" spans="3:8" x14ac:dyDescent="0.25">
      <c r="C3982" s="896">
        <v>51</v>
      </c>
      <c r="D3982" s="896">
        <v>28</v>
      </c>
      <c r="E3982" s="897">
        <v>33.299999999999997</v>
      </c>
      <c r="F3982" s="4">
        <f t="shared" si="68"/>
        <v>0.1725352112676056</v>
      </c>
      <c r="G3982" s="37">
        <v>38.200000000000003</v>
      </c>
      <c r="H3982" s="895">
        <v>45794</v>
      </c>
    </row>
    <row r="3983" spans="3:8" x14ac:dyDescent="0.25">
      <c r="C3983" s="896">
        <v>1</v>
      </c>
      <c r="D3983" s="896">
        <v>118</v>
      </c>
      <c r="E3983" s="897">
        <v>48.5</v>
      </c>
      <c r="F3983" s="4">
        <f t="shared" si="68"/>
        <v>8.316008316008287E-3</v>
      </c>
      <c r="G3983" s="37">
        <v>38.200000000000003</v>
      </c>
      <c r="H3983" s="895">
        <v>45794</v>
      </c>
    </row>
    <row r="3984" spans="3:8" x14ac:dyDescent="0.25">
      <c r="C3984" s="896">
        <v>2</v>
      </c>
      <c r="D3984" s="896">
        <v>49</v>
      </c>
      <c r="E3984" s="897">
        <v>33.700000000000003</v>
      </c>
      <c r="F3984" s="4">
        <f t="shared" si="68"/>
        <v>0.2122302158273382</v>
      </c>
      <c r="G3984" s="37">
        <v>38.200000000000003</v>
      </c>
      <c r="H3984" s="895">
        <v>45794</v>
      </c>
    </row>
    <row r="3985" spans="3:8" x14ac:dyDescent="0.25">
      <c r="C3985" s="896">
        <v>3</v>
      </c>
      <c r="D3985" s="896">
        <v>70</v>
      </c>
      <c r="E3985" s="897">
        <v>29.6</v>
      </c>
      <c r="F3985" s="4">
        <f t="shared" si="68"/>
        <v>-0.14942528735632174</v>
      </c>
      <c r="G3985" s="37">
        <v>38.200000000000003</v>
      </c>
      <c r="H3985" s="895">
        <v>45794</v>
      </c>
    </row>
    <row r="3986" spans="3:8" x14ac:dyDescent="0.25">
      <c r="C3986" s="896">
        <v>4</v>
      </c>
      <c r="D3986" s="896">
        <v>0</v>
      </c>
      <c r="E3986" s="897"/>
      <c r="F3986" s="4" t="str">
        <f t="shared" si="68"/>
        <v/>
      </c>
      <c r="G3986" s="37">
        <v>38.200000000000003</v>
      </c>
      <c r="H3986" s="895">
        <v>45794</v>
      </c>
    </row>
    <row r="3987" spans="3:8" x14ac:dyDescent="0.25">
      <c r="C3987" s="896">
        <v>5</v>
      </c>
      <c r="D3987" s="896">
        <v>90</v>
      </c>
      <c r="E3987" s="897">
        <v>25.9</v>
      </c>
      <c r="F3987" s="4">
        <f t="shared" si="68"/>
        <v>-2.6315789473684317E-2</v>
      </c>
      <c r="G3987" s="37">
        <v>38.200000000000003</v>
      </c>
      <c r="H3987" s="895">
        <v>45794</v>
      </c>
    </row>
    <row r="3988" spans="3:8" x14ac:dyDescent="0.25">
      <c r="C3988" s="896">
        <v>6</v>
      </c>
      <c r="D3988" s="896">
        <v>96</v>
      </c>
      <c r="E3988" s="897">
        <v>38.799999999999997</v>
      </c>
      <c r="F3988" s="4">
        <f t="shared" si="68"/>
        <v>2.9177718832891095E-2</v>
      </c>
      <c r="G3988" s="37">
        <v>38.200000000000003</v>
      </c>
      <c r="H3988" s="895">
        <v>45794</v>
      </c>
    </row>
    <row r="3989" spans="3:8" x14ac:dyDescent="0.25">
      <c r="C3989" s="896">
        <v>7</v>
      </c>
      <c r="D3989" s="896">
        <v>80</v>
      </c>
      <c r="E3989" s="897">
        <v>36.299999999999997</v>
      </c>
      <c r="F3989" s="4">
        <f t="shared" si="68"/>
        <v>-3.9682539682539687E-2</v>
      </c>
      <c r="G3989" s="37">
        <v>38.200000000000003</v>
      </c>
      <c r="H3989" s="895">
        <v>45794</v>
      </c>
    </row>
    <row r="3990" spans="3:8" x14ac:dyDescent="0.25">
      <c r="C3990" s="896">
        <v>8</v>
      </c>
      <c r="D3990" s="896">
        <v>62</v>
      </c>
      <c r="E3990" s="897">
        <v>31.3</v>
      </c>
      <c r="F3990" s="4">
        <f t="shared" si="68"/>
        <v>-1.5723270440251572E-2</v>
      </c>
      <c r="G3990" s="37">
        <v>38.200000000000003</v>
      </c>
      <c r="H3990" s="895">
        <v>45794</v>
      </c>
    </row>
    <row r="3991" spans="3:8" x14ac:dyDescent="0.25">
      <c r="C3991" s="896">
        <v>9</v>
      </c>
      <c r="D3991" s="896">
        <v>0</v>
      </c>
      <c r="E3991" s="897"/>
      <c r="F3991" s="4" t="str">
        <f t="shared" si="68"/>
        <v/>
      </c>
      <c r="G3991" s="37">
        <v>38.200000000000003</v>
      </c>
      <c r="H3991" s="895">
        <v>45794</v>
      </c>
    </row>
    <row r="3992" spans="3:8" x14ac:dyDescent="0.25">
      <c r="C3992" s="896">
        <v>10</v>
      </c>
      <c r="D3992" s="896">
        <v>116</v>
      </c>
      <c r="E3992" s="897">
        <v>41.6</v>
      </c>
      <c r="F3992" s="4">
        <f t="shared" si="68"/>
        <v>0.14600550964187339</v>
      </c>
      <c r="G3992" s="37">
        <v>38.200000000000003</v>
      </c>
      <c r="H3992" s="895">
        <v>45794</v>
      </c>
    </row>
    <row r="3993" spans="3:8" x14ac:dyDescent="0.25">
      <c r="C3993" s="898" t="s">
        <v>0</v>
      </c>
      <c r="D3993" s="898" t="s">
        <v>7</v>
      </c>
      <c r="E3993" s="899" t="s">
        <v>4</v>
      </c>
      <c r="F3993" s="4" t="str">
        <f t="shared" si="68"/>
        <v/>
      </c>
      <c r="G3993" s="37">
        <v>38.1</v>
      </c>
      <c r="H3993" s="895">
        <v>45795</v>
      </c>
    </row>
    <row r="3994" spans="3:8" x14ac:dyDescent="0.25">
      <c r="C3994" s="898">
        <v>51</v>
      </c>
      <c r="D3994" s="898">
        <v>28</v>
      </c>
      <c r="E3994" s="899">
        <v>28.9</v>
      </c>
      <c r="F3994" s="4">
        <f t="shared" si="68"/>
        <v>-0.1321321321321321</v>
      </c>
      <c r="G3994" s="37">
        <v>38.1</v>
      </c>
      <c r="H3994" s="895">
        <v>45795</v>
      </c>
    </row>
    <row r="3995" spans="3:8" x14ac:dyDescent="0.25">
      <c r="C3995" s="898">
        <v>1</v>
      </c>
      <c r="D3995" s="898">
        <v>118</v>
      </c>
      <c r="E3995" s="899">
        <v>47.4</v>
      </c>
      <c r="F3995" s="4">
        <f t="shared" si="68"/>
        <v>-2.2680412371134051E-2</v>
      </c>
      <c r="G3995" s="37">
        <v>38.1</v>
      </c>
      <c r="H3995" s="895">
        <v>45795</v>
      </c>
    </row>
    <row r="3996" spans="3:8" x14ac:dyDescent="0.25">
      <c r="C3996" s="898">
        <v>2</v>
      </c>
      <c r="D3996" s="898">
        <v>49</v>
      </c>
      <c r="E3996" s="899">
        <v>33.700000000000003</v>
      </c>
      <c r="F3996" s="4">
        <f t="shared" si="68"/>
        <v>0</v>
      </c>
      <c r="G3996" s="37">
        <v>38.1</v>
      </c>
      <c r="H3996" s="895">
        <v>45795</v>
      </c>
    </row>
    <row r="3997" spans="3:8" x14ac:dyDescent="0.25">
      <c r="C3997" s="898">
        <v>3</v>
      </c>
      <c r="D3997" s="898">
        <v>70</v>
      </c>
      <c r="E3997" s="899">
        <v>33.5</v>
      </c>
      <c r="F3997" s="4">
        <f t="shared" si="68"/>
        <v>0.13175675675675672</v>
      </c>
      <c r="G3997" s="37">
        <v>38.1</v>
      </c>
      <c r="H3997" s="895">
        <v>45795</v>
      </c>
    </row>
    <row r="3998" spans="3:8" x14ac:dyDescent="0.25">
      <c r="C3998" s="898">
        <v>4</v>
      </c>
      <c r="D3998" s="898">
        <v>0</v>
      </c>
      <c r="E3998" s="899"/>
      <c r="F3998" s="4" t="str">
        <f t="shared" si="68"/>
        <v/>
      </c>
      <c r="G3998" s="37">
        <v>38.1</v>
      </c>
      <c r="H3998" s="895">
        <v>45795</v>
      </c>
    </row>
    <row r="3999" spans="3:8" x14ac:dyDescent="0.25">
      <c r="C3999" s="898">
        <v>5</v>
      </c>
      <c r="D3999" s="898">
        <v>90</v>
      </c>
      <c r="E3999" s="899">
        <v>28.4</v>
      </c>
      <c r="F3999" s="4">
        <f t="shared" si="68"/>
        <v>9.6525096525096526E-2</v>
      </c>
      <c r="G3999" s="37">
        <v>38.1</v>
      </c>
      <c r="H3999" s="895">
        <v>45795</v>
      </c>
    </row>
    <row r="4000" spans="3:8" x14ac:dyDescent="0.25">
      <c r="C4000" s="898">
        <v>6</v>
      </c>
      <c r="D4000" s="898">
        <v>97</v>
      </c>
      <c r="E4000" s="899">
        <v>38.4</v>
      </c>
      <c r="F4000" s="4">
        <f t="shared" si="68"/>
        <v>-1.0309278350515427E-2</v>
      </c>
      <c r="G4000" s="37">
        <v>38.1</v>
      </c>
      <c r="H4000" s="895">
        <v>45795</v>
      </c>
    </row>
    <row r="4001" spans="3:8" x14ac:dyDescent="0.25">
      <c r="C4001" s="898">
        <v>7</v>
      </c>
      <c r="D4001" s="898">
        <v>80</v>
      </c>
      <c r="E4001" s="899">
        <v>40.5</v>
      </c>
      <c r="F4001" s="4">
        <f t="shared" si="68"/>
        <v>0.11570247933884306</v>
      </c>
      <c r="G4001" s="37">
        <v>38.1</v>
      </c>
      <c r="H4001" s="895">
        <v>45795</v>
      </c>
    </row>
    <row r="4002" spans="3:8" x14ac:dyDescent="0.25">
      <c r="C4002" s="898">
        <v>8</v>
      </c>
      <c r="D4002" s="898">
        <v>62</v>
      </c>
      <c r="E4002" s="899">
        <v>32.1</v>
      </c>
      <c r="F4002" s="4">
        <f t="shared" si="68"/>
        <v>2.5559105431309927E-2</v>
      </c>
      <c r="G4002" s="37">
        <v>38.1</v>
      </c>
      <c r="H4002" s="895">
        <v>45795</v>
      </c>
    </row>
    <row r="4003" spans="3:8" x14ac:dyDescent="0.25">
      <c r="C4003" s="898">
        <v>9</v>
      </c>
      <c r="D4003" s="898">
        <v>0</v>
      </c>
      <c r="E4003" s="899"/>
      <c r="F4003" s="4" t="str">
        <f t="shared" si="68"/>
        <v/>
      </c>
      <c r="G4003" s="37">
        <v>38.1</v>
      </c>
      <c r="H4003" s="895">
        <v>45795</v>
      </c>
    </row>
    <row r="4004" spans="3:8" x14ac:dyDescent="0.25">
      <c r="C4004" s="898">
        <v>10</v>
      </c>
      <c r="D4004" s="898">
        <v>116</v>
      </c>
      <c r="E4004" s="899">
        <v>38.4</v>
      </c>
      <c r="F4004" s="4">
        <f t="shared" si="68"/>
        <v>-7.6923076923076983E-2</v>
      </c>
      <c r="G4004" s="37">
        <v>38.1</v>
      </c>
      <c r="H4004" s="895">
        <v>45795</v>
      </c>
    </row>
    <row r="4005" spans="3:8" x14ac:dyDescent="0.25">
      <c r="C4005" s="900" t="s">
        <v>0</v>
      </c>
      <c r="D4005" s="900" t="s">
        <v>7</v>
      </c>
      <c r="E4005" s="901" t="s">
        <v>4</v>
      </c>
      <c r="F4005" s="4" t="str">
        <f t="shared" si="68"/>
        <v/>
      </c>
      <c r="G4005" s="37">
        <v>38.299999999999997</v>
      </c>
      <c r="H4005" s="902">
        <v>45796</v>
      </c>
    </row>
    <row r="4006" spans="3:8" x14ac:dyDescent="0.25">
      <c r="C4006" s="900">
        <v>51</v>
      </c>
      <c r="D4006" s="900">
        <v>31</v>
      </c>
      <c r="E4006" s="901">
        <v>29.7</v>
      </c>
      <c r="F4006" s="4">
        <f t="shared" ref="F4006:F4069" si="69">IFERROR((E4006-E3994)/E3994,"")</f>
        <v>2.7681660899654004E-2</v>
      </c>
      <c r="G4006" s="37">
        <v>38.299999999999997</v>
      </c>
      <c r="H4006" s="902">
        <v>45796</v>
      </c>
    </row>
    <row r="4007" spans="3:8" x14ac:dyDescent="0.25">
      <c r="C4007" s="900">
        <v>1</v>
      </c>
      <c r="D4007" s="900">
        <v>118</v>
      </c>
      <c r="E4007" s="901">
        <v>47.2</v>
      </c>
      <c r="F4007" s="4">
        <f t="shared" si="69"/>
        <v>-4.2194092827003322E-3</v>
      </c>
      <c r="G4007" s="37">
        <v>38.299999999999997</v>
      </c>
      <c r="H4007" s="902">
        <v>45796</v>
      </c>
    </row>
    <row r="4008" spans="3:8" x14ac:dyDescent="0.25">
      <c r="C4008" s="900">
        <v>2</v>
      </c>
      <c r="D4008" s="900">
        <v>49</v>
      </c>
      <c r="E4008" s="901">
        <v>34.299999999999997</v>
      </c>
      <c r="F4008" s="4">
        <f t="shared" si="69"/>
        <v>1.7804154302670454E-2</v>
      </c>
      <c r="G4008" s="37">
        <v>38.299999999999997</v>
      </c>
      <c r="H4008" s="902">
        <v>45796</v>
      </c>
    </row>
    <row r="4009" spans="3:8" x14ac:dyDescent="0.25">
      <c r="C4009" s="900">
        <v>3</v>
      </c>
      <c r="D4009" s="900">
        <v>70</v>
      </c>
      <c r="E4009" s="901">
        <v>34.1</v>
      </c>
      <c r="F4009" s="4">
        <f t="shared" si="69"/>
        <v>1.7910447761194073E-2</v>
      </c>
      <c r="G4009" s="37">
        <v>38.299999999999997</v>
      </c>
      <c r="H4009" s="902">
        <v>45796</v>
      </c>
    </row>
    <row r="4010" spans="3:8" x14ac:dyDescent="0.25">
      <c r="C4010" s="900">
        <v>4</v>
      </c>
      <c r="D4010" s="900">
        <v>0</v>
      </c>
      <c r="E4010" s="901"/>
      <c r="F4010" s="4" t="str">
        <f t="shared" si="69"/>
        <v/>
      </c>
      <c r="G4010" s="37">
        <v>38.299999999999997</v>
      </c>
      <c r="H4010" s="902">
        <v>45796</v>
      </c>
    </row>
    <row r="4011" spans="3:8" x14ac:dyDescent="0.25">
      <c r="C4011" s="900">
        <v>5</v>
      </c>
      <c r="D4011" s="900">
        <v>90</v>
      </c>
      <c r="E4011" s="901">
        <v>27.7</v>
      </c>
      <c r="F4011" s="4">
        <f t="shared" si="69"/>
        <v>-2.464788732394364E-2</v>
      </c>
      <c r="G4011" s="37">
        <v>38.299999999999997</v>
      </c>
      <c r="H4011" s="902">
        <v>45796</v>
      </c>
    </row>
    <row r="4012" spans="3:8" x14ac:dyDescent="0.25">
      <c r="C4012" s="900">
        <v>6</v>
      </c>
      <c r="D4012" s="900">
        <v>97</v>
      </c>
      <c r="E4012" s="901">
        <v>37.700000000000003</v>
      </c>
      <c r="F4012" s="4">
        <f t="shared" si="69"/>
        <v>-1.8229166666666557E-2</v>
      </c>
      <c r="G4012" s="37">
        <v>38.299999999999997</v>
      </c>
      <c r="H4012" s="902">
        <v>45796</v>
      </c>
    </row>
    <row r="4013" spans="3:8" x14ac:dyDescent="0.25">
      <c r="C4013" s="900">
        <v>7</v>
      </c>
      <c r="D4013" s="900">
        <v>80</v>
      </c>
      <c r="E4013" s="901">
        <v>41</v>
      </c>
      <c r="F4013" s="4">
        <f t="shared" si="69"/>
        <v>1.2345679012345678E-2</v>
      </c>
      <c r="G4013" s="37">
        <v>38.299999999999997</v>
      </c>
      <c r="H4013" s="902">
        <v>45796</v>
      </c>
    </row>
    <row r="4014" spans="3:8" x14ac:dyDescent="0.25">
      <c r="C4014" s="900">
        <v>8</v>
      </c>
      <c r="D4014" s="900">
        <v>62</v>
      </c>
      <c r="E4014" s="901">
        <v>33</v>
      </c>
      <c r="F4014" s="4">
        <f t="shared" si="69"/>
        <v>2.8037383177570048E-2</v>
      </c>
      <c r="G4014" s="37">
        <v>38.299999999999997</v>
      </c>
      <c r="H4014" s="902">
        <v>45796</v>
      </c>
    </row>
    <row r="4015" spans="3:8" x14ac:dyDescent="0.25">
      <c r="C4015" s="900">
        <v>9</v>
      </c>
      <c r="D4015" s="900">
        <v>0</v>
      </c>
      <c r="E4015" s="901"/>
      <c r="F4015" s="4" t="str">
        <f t="shared" si="69"/>
        <v/>
      </c>
      <c r="G4015" s="37">
        <v>38.299999999999997</v>
      </c>
      <c r="H4015" s="902">
        <v>45796</v>
      </c>
    </row>
    <row r="4016" spans="3:8" x14ac:dyDescent="0.25">
      <c r="C4016" s="900">
        <v>10</v>
      </c>
      <c r="D4016" s="900">
        <v>116</v>
      </c>
      <c r="E4016" s="901">
        <v>42.2</v>
      </c>
      <c r="F4016" s="4">
        <f t="shared" si="69"/>
        <v>9.8958333333333454E-2</v>
      </c>
      <c r="G4016" s="37">
        <v>38.299999999999997</v>
      </c>
      <c r="H4016" s="902">
        <v>45796</v>
      </c>
    </row>
    <row r="4017" spans="3:8" x14ac:dyDescent="0.25">
      <c r="C4017" s="903" t="s">
        <v>0</v>
      </c>
      <c r="D4017" s="903" t="s">
        <v>7</v>
      </c>
      <c r="E4017" s="904" t="s">
        <v>4</v>
      </c>
      <c r="F4017" s="4" t="str">
        <f t="shared" si="69"/>
        <v/>
      </c>
      <c r="G4017" s="37">
        <v>37.4</v>
      </c>
      <c r="H4017" s="905">
        <v>45797</v>
      </c>
    </row>
    <row r="4018" spans="3:8" x14ac:dyDescent="0.25">
      <c r="C4018" s="903">
        <v>51</v>
      </c>
      <c r="D4018" s="903">
        <v>28</v>
      </c>
      <c r="E4018" s="904">
        <v>29.7</v>
      </c>
      <c r="F4018" s="4">
        <f t="shared" si="69"/>
        <v>0</v>
      </c>
      <c r="G4018" s="37">
        <v>37.4</v>
      </c>
      <c r="H4018" s="905">
        <v>45797</v>
      </c>
    </row>
    <row r="4019" spans="3:8" x14ac:dyDescent="0.25">
      <c r="C4019" s="903">
        <v>1</v>
      </c>
      <c r="D4019" s="903">
        <v>118</v>
      </c>
      <c r="E4019" s="904">
        <v>41.7</v>
      </c>
      <c r="F4019" s="4">
        <f t="shared" si="69"/>
        <v>-0.11652542372881355</v>
      </c>
      <c r="G4019" s="37">
        <v>37.4</v>
      </c>
      <c r="H4019" s="905">
        <v>45797</v>
      </c>
    </row>
    <row r="4020" spans="3:8" x14ac:dyDescent="0.25">
      <c r="C4020" s="903">
        <v>2</v>
      </c>
      <c r="D4020" s="903">
        <v>45</v>
      </c>
      <c r="E4020" s="904">
        <v>33.6</v>
      </c>
      <c r="F4020" s="4">
        <f t="shared" si="69"/>
        <v>-2.0408163265305999E-2</v>
      </c>
      <c r="G4020" s="37">
        <v>37.4</v>
      </c>
      <c r="H4020" s="905">
        <v>45797</v>
      </c>
    </row>
    <row r="4021" spans="3:8" x14ac:dyDescent="0.25">
      <c r="C4021" s="903">
        <v>3</v>
      </c>
      <c r="D4021" s="903">
        <v>81</v>
      </c>
      <c r="E4021" s="904">
        <v>28.8</v>
      </c>
      <c r="F4021" s="4">
        <f t="shared" si="69"/>
        <v>-0.15542521994134897</v>
      </c>
      <c r="G4021" s="37">
        <v>37.4</v>
      </c>
      <c r="H4021" s="905">
        <v>45797</v>
      </c>
    </row>
    <row r="4022" spans="3:8" x14ac:dyDescent="0.25">
      <c r="C4022" s="903">
        <v>4</v>
      </c>
      <c r="D4022" s="903">
        <v>0</v>
      </c>
      <c r="E4022" s="904"/>
      <c r="F4022" s="4" t="str">
        <f t="shared" si="69"/>
        <v/>
      </c>
      <c r="G4022" s="37">
        <v>37.4</v>
      </c>
      <c r="H4022" s="905">
        <v>45797</v>
      </c>
    </row>
    <row r="4023" spans="3:8" x14ac:dyDescent="0.25">
      <c r="C4023" s="903">
        <v>5</v>
      </c>
      <c r="D4023" s="903">
        <v>87</v>
      </c>
      <c r="E4023" s="904">
        <v>22.9</v>
      </c>
      <c r="F4023" s="4">
        <f t="shared" si="69"/>
        <v>-0.1732851985559567</v>
      </c>
      <c r="G4023" s="37">
        <v>37.4</v>
      </c>
      <c r="H4023" s="905">
        <v>45797</v>
      </c>
    </row>
    <row r="4024" spans="3:8" x14ac:dyDescent="0.25">
      <c r="C4024" s="903">
        <v>6</v>
      </c>
      <c r="D4024" s="903">
        <v>95</v>
      </c>
      <c r="E4024" s="904">
        <v>36.4</v>
      </c>
      <c r="F4024" s="4">
        <f t="shared" si="69"/>
        <v>-3.4482758620689766E-2</v>
      </c>
      <c r="G4024" s="37">
        <v>37.4</v>
      </c>
      <c r="H4024" s="905">
        <v>45797</v>
      </c>
    </row>
    <row r="4025" spans="3:8" x14ac:dyDescent="0.25">
      <c r="C4025" s="903">
        <v>7</v>
      </c>
      <c r="D4025" s="903">
        <v>80</v>
      </c>
      <c r="E4025" s="904">
        <v>38.9</v>
      </c>
      <c r="F4025" s="4">
        <f t="shared" si="69"/>
        <v>-5.1219512195121983E-2</v>
      </c>
      <c r="G4025" s="37">
        <v>37.4</v>
      </c>
      <c r="H4025" s="905">
        <v>45797</v>
      </c>
    </row>
    <row r="4026" spans="3:8" x14ac:dyDescent="0.25">
      <c r="C4026" s="903">
        <v>8</v>
      </c>
      <c r="D4026" s="903">
        <v>61</v>
      </c>
      <c r="E4026" s="904">
        <v>30.7</v>
      </c>
      <c r="F4026" s="4">
        <f t="shared" si="69"/>
        <v>-6.9696969696969716E-2</v>
      </c>
      <c r="G4026" s="37">
        <v>37.4</v>
      </c>
      <c r="H4026" s="905">
        <v>45797</v>
      </c>
    </row>
    <row r="4027" spans="3:8" x14ac:dyDescent="0.25">
      <c r="C4027" s="903">
        <v>9</v>
      </c>
      <c r="D4027" s="903">
        <v>0</v>
      </c>
      <c r="E4027" s="904"/>
      <c r="F4027" s="4" t="str">
        <f t="shared" si="69"/>
        <v/>
      </c>
      <c r="G4027" s="37">
        <v>37.4</v>
      </c>
      <c r="H4027" s="905">
        <v>45797</v>
      </c>
    </row>
    <row r="4028" spans="3:8" x14ac:dyDescent="0.25">
      <c r="C4028" s="903">
        <v>10</v>
      </c>
      <c r="D4028" s="903">
        <v>116</v>
      </c>
      <c r="E4028" s="904">
        <v>40.200000000000003</v>
      </c>
      <c r="F4028" s="4">
        <f t="shared" si="69"/>
        <v>-4.7393364928909949E-2</v>
      </c>
      <c r="G4028" s="37">
        <v>37.4</v>
      </c>
      <c r="H4028" s="905">
        <v>45797</v>
      </c>
    </row>
    <row r="4029" spans="3:8" x14ac:dyDescent="0.25">
      <c r="C4029" s="906" t="s">
        <v>0</v>
      </c>
      <c r="D4029" s="906" t="s">
        <v>7</v>
      </c>
      <c r="E4029" s="907" t="s">
        <v>4</v>
      </c>
      <c r="F4029" s="4" t="str">
        <f t="shared" si="69"/>
        <v/>
      </c>
      <c r="G4029" s="37">
        <v>37.6</v>
      </c>
      <c r="H4029" s="908">
        <v>45798</v>
      </c>
    </row>
    <row r="4030" spans="3:8" x14ac:dyDescent="0.25">
      <c r="C4030" s="906">
        <v>51</v>
      </c>
      <c r="D4030" s="906">
        <v>27</v>
      </c>
      <c r="E4030" s="907">
        <v>28</v>
      </c>
      <c r="F4030" s="4">
        <f t="shared" si="69"/>
        <v>-5.7239057239057214E-2</v>
      </c>
      <c r="G4030" s="37">
        <v>37.6</v>
      </c>
      <c r="H4030" s="908">
        <v>45798</v>
      </c>
    </row>
    <row r="4031" spans="3:8" x14ac:dyDescent="0.25">
      <c r="C4031" s="906">
        <v>1</v>
      </c>
      <c r="D4031" s="906">
        <v>118</v>
      </c>
      <c r="E4031" s="907">
        <v>44.4</v>
      </c>
      <c r="F4031" s="4">
        <f t="shared" si="69"/>
        <v>6.474820143884881E-2</v>
      </c>
      <c r="G4031" s="37">
        <v>37.6</v>
      </c>
      <c r="H4031" s="908">
        <v>45798</v>
      </c>
    </row>
    <row r="4032" spans="3:8" x14ac:dyDescent="0.25">
      <c r="C4032" s="906">
        <v>2</v>
      </c>
      <c r="D4032" s="906">
        <v>45</v>
      </c>
      <c r="E4032" s="907">
        <v>34.700000000000003</v>
      </c>
      <c r="F4032" s="4">
        <f t="shared" si="69"/>
        <v>3.2738095238095281E-2</v>
      </c>
      <c r="G4032" s="37">
        <v>37.6</v>
      </c>
      <c r="H4032" s="908">
        <v>45798</v>
      </c>
    </row>
    <row r="4033" spans="3:8" x14ac:dyDescent="0.25">
      <c r="C4033" s="906">
        <v>3</v>
      </c>
      <c r="D4033" s="906">
        <v>69</v>
      </c>
      <c r="E4033" s="907">
        <v>33.299999999999997</v>
      </c>
      <c r="F4033" s="4">
        <f t="shared" si="69"/>
        <v>0.15624999999999986</v>
      </c>
      <c r="G4033" s="37">
        <v>37.6</v>
      </c>
      <c r="H4033" s="908">
        <v>45798</v>
      </c>
    </row>
    <row r="4034" spans="3:8" x14ac:dyDescent="0.25">
      <c r="C4034" s="906">
        <v>4</v>
      </c>
      <c r="D4034" s="906">
        <v>0</v>
      </c>
      <c r="E4034" s="907"/>
      <c r="F4034" s="4" t="str">
        <f t="shared" si="69"/>
        <v/>
      </c>
      <c r="G4034" s="37">
        <v>37.6</v>
      </c>
      <c r="H4034" s="908">
        <v>45798</v>
      </c>
    </row>
    <row r="4035" spans="3:8" x14ac:dyDescent="0.25">
      <c r="C4035" s="906">
        <v>5</v>
      </c>
      <c r="D4035" s="906">
        <v>87</v>
      </c>
      <c r="E4035" s="907">
        <v>24.1</v>
      </c>
      <c r="F4035" s="4">
        <f t="shared" si="69"/>
        <v>5.2401746724890959E-2</v>
      </c>
      <c r="G4035" s="37">
        <v>37.6</v>
      </c>
      <c r="H4035" s="908">
        <v>45798</v>
      </c>
    </row>
    <row r="4036" spans="3:8" x14ac:dyDescent="0.25">
      <c r="C4036" s="906">
        <v>6</v>
      </c>
      <c r="D4036" s="906">
        <v>96</v>
      </c>
      <c r="E4036" s="907">
        <v>40.1</v>
      </c>
      <c r="F4036" s="4">
        <f t="shared" si="69"/>
        <v>0.10164835164835173</v>
      </c>
      <c r="G4036" s="37">
        <v>37.6</v>
      </c>
      <c r="H4036" s="908">
        <v>45798</v>
      </c>
    </row>
    <row r="4037" spans="3:8" x14ac:dyDescent="0.25">
      <c r="C4037" s="906">
        <v>7</v>
      </c>
      <c r="D4037" s="906">
        <v>80</v>
      </c>
      <c r="E4037" s="907">
        <v>36.700000000000003</v>
      </c>
      <c r="F4037" s="4">
        <f t="shared" si="69"/>
        <v>-5.655526992287907E-2</v>
      </c>
      <c r="G4037" s="37">
        <v>37.6</v>
      </c>
      <c r="H4037" s="908">
        <v>45798</v>
      </c>
    </row>
    <row r="4038" spans="3:8" x14ac:dyDescent="0.25">
      <c r="C4038" s="906">
        <v>8</v>
      </c>
      <c r="D4038" s="906">
        <v>61</v>
      </c>
      <c r="E4038" s="907">
        <v>32.299999999999997</v>
      </c>
      <c r="F4038" s="4">
        <f t="shared" si="69"/>
        <v>5.2117263843648141E-2</v>
      </c>
      <c r="G4038" s="37">
        <v>37.6</v>
      </c>
      <c r="H4038" s="908">
        <v>45798</v>
      </c>
    </row>
    <row r="4039" spans="3:8" x14ac:dyDescent="0.25">
      <c r="C4039" s="906">
        <v>9</v>
      </c>
      <c r="D4039" s="906">
        <v>0</v>
      </c>
      <c r="E4039" s="907"/>
      <c r="F4039" s="4" t="str">
        <f t="shared" si="69"/>
        <v/>
      </c>
      <c r="G4039" s="37">
        <v>37.6</v>
      </c>
      <c r="H4039" s="908">
        <v>45798</v>
      </c>
    </row>
    <row r="4040" spans="3:8" x14ac:dyDescent="0.25">
      <c r="C4040" s="906">
        <v>10</v>
      </c>
      <c r="D4040" s="906">
        <v>116</v>
      </c>
      <c r="E4040" s="907">
        <v>43.3</v>
      </c>
      <c r="F4040" s="4">
        <f t="shared" si="69"/>
        <v>7.7114427860696375E-2</v>
      </c>
      <c r="G4040" s="37">
        <v>37.6</v>
      </c>
      <c r="H4040" s="908">
        <v>45798</v>
      </c>
    </row>
    <row r="4041" spans="3:8" x14ac:dyDescent="0.25">
      <c r="C4041" s="909" t="s">
        <v>0</v>
      </c>
      <c r="D4041" s="909" t="s">
        <v>7</v>
      </c>
      <c r="E4041" s="910" t="s">
        <v>4</v>
      </c>
      <c r="F4041" s="4" t="str">
        <f t="shared" si="69"/>
        <v/>
      </c>
      <c r="G4041" s="37">
        <v>38.6</v>
      </c>
      <c r="H4041" s="911">
        <v>45799</v>
      </c>
    </row>
    <row r="4042" spans="3:8" x14ac:dyDescent="0.25">
      <c r="C4042" s="909">
        <v>51</v>
      </c>
      <c r="D4042" s="909">
        <v>23</v>
      </c>
      <c r="E4042" s="910">
        <v>31.4</v>
      </c>
      <c r="F4042" s="4">
        <f>IFERROR((E4042-E4030)/E4030,"")</f>
        <v>0.12142857142857137</v>
      </c>
      <c r="G4042" s="37">
        <v>38.6</v>
      </c>
      <c r="H4042" s="911">
        <v>45799</v>
      </c>
    </row>
    <row r="4043" spans="3:8" x14ac:dyDescent="0.25">
      <c r="C4043" s="909">
        <v>1</v>
      </c>
      <c r="D4043" s="909">
        <v>118</v>
      </c>
      <c r="E4043" s="910">
        <v>51.2</v>
      </c>
      <c r="F4043" s="4">
        <f t="shared" si="69"/>
        <v>0.15315315315315325</v>
      </c>
      <c r="G4043" s="37">
        <v>38.6</v>
      </c>
      <c r="H4043" s="911">
        <v>45799</v>
      </c>
    </row>
    <row r="4044" spans="3:8" x14ac:dyDescent="0.25">
      <c r="C4044" s="909">
        <v>2</v>
      </c>
      <c r="D4044" s="909">
        <v>45</v>
      </c>
      <c r="E4044" s="910">
        <v>31.1</v>
      </c>
      <c r="F4044" s="4">
        <f t="shared" si="69"/>
        <v>-0.10374639769452453</v>
      </c>
      <c r="G4044" s="37">
        <v>38.6</v>
      </c>
      <c r="H4044" s="911">
        <v>45799</v>
      </c>
    </row>
    <row r="4045" spans="3:8" x14ac:dyDescent="0.25">
      <c r="C4045" s="909">
        <v>3</v>
      </c>
      <c r="D4045" s="909">
        <v>69</v>
      </c>
      <c r="E4045" s="910">
        <v>30.1</v>
      </c>
      <c r="F4045" s="4">
        <f t="shared" si="69"/>
        <v>-9.609609609609597E-2</v>
      </c>
      <c r="G4045" s="37">
        <v>38.6</v>
      </c>
      <c r="H4045" s="911">
        <v>45799</v>
      </c>
    </row>
    <row r="4046" spans="3:8" x14ac:dyDescent="0.25">
      <c r="C4046" s="909">
        <v>4</v>
      </c>
      <c r="D4046" s="909">
        <v>0</v>
      </c>
      <c r="E4046" s="910"/>
      <c r="F4046" s="4" t="str">
        <f t="shared" si="69"/>
        <v/>
      </c>
      <c r="G4046" s="37">
        <v>38.6</v>
      </c>
      <c r="H4046" s="911">
        <v>45799</v>
      </c>
    </row>
    <row r="4047" spans="3:8" x14ac:dyDescent="0.25">
      <c r="C4047" s="909">
        <v>5</v>
      </c>
      <c r="D4047" s="909">
        <v>86</v>
      </c>
      <c r="E4047" s="910">
        <v>26.4</v>
      </c>
      <c r="F4047" s="4">
        <f t="shared" si="69"/>
        <v>9.5435684647302788E-2</v>
      </c>
      <c r="G4047" s="37">
        <v>38.6</v>
      </c>
      <c r="H4047" s="911">
        <v>45799</v>
      </c>
    </row>
    <row r="4048" spans="3:8" x14ac:dyDescent="0.25">
      <c r="C4048" s="909">
        <v>6</v>
      </c>
      <c r="D4048" s="909">
        <v>94</v>
      </c>
      <c r="E4048" s="910">
        <v>29</v>
      </c>
      <c r="F4048" s="4">
        <f t="shared" si="69"/>
        <v>-0.27680798004987534</v>
      </c>
      <c r="G4048" s="37">
        <v>38.6</v>
      </c>
      <c r="H4048" s="911">
        <v>45799</v>
      </c>
    </row>
    <row r="4049" spans="3:8" x14ac:dyDescent="0.25">
      <c r="C4049" s="909">
        <v>7</v>
      </c>
      <c r="D4049" s="909">
        <v>80</v>
      </c>
      <c r="E4049" s="910">
        <v>40.299999999999997</v>
      </c>
      <c r="F4049" s="4">
        <f t="shared" si="69"/>
        <v>9.8092643051770956E-2</v>
      </c>
      <c r="G4049" s="37">
        <v>38.6</v>
      </c>
      <c r="H4049" s="911">
        <v>45799</v>
      </c>
    </row>
    <row r="4050" spans="3:8" x14ac:dyDescent="0.25">
      <c r="C4050" s="909">
        <v>8</v>
      </c>
      <c r="D4050" s="909">
        <v>61</v>
      </c>
      <c r="E4050" s="910">
        <v>32.4</v>
      </c>
      <c r="F4050" s="4">
        <f t="shared" si="69"/>
        <v>3.0959752321981868E-3</v>
      </c>
      <c r="G4050" s="37">
        <v>38.6</v>
      </c>
      <c r="H4050" s="911">
        <v>45799</v>
      </c>
    </row>
    <row r="4051" spans="3:8" x14ac:dyDescent="0.25">
      <c r="C4051" s="909">
        <v>9</v>
      </c>
      <c r="D4051" s="909">
        <v>0</v>
      </c>
      <c r="E4051" s="910"/>
      <c r="F4051" s="4" t="str">
        <f t="shared" si="69"/>
        <v/>
      </c>
      <c r="G4051" s="37">
        <v>38.6</v>
      </c>
      <c r="H4051" s="911">
        <v>45799</v>
      </c>
    </row>
    <row r="4052" spans="3:8" x14ac:dyDescent="0.25">
      <c r="C4052" s="909">
        <v>10</v>
      </c>
      <c r="D4052" s="909">
        <v>116</v>
      </c>
      <c r="E4052" s="910">
        <v>40.700000000000003</v>
      </c>
      <c r="F4052" s="4">
        <f t="shared" si="69"/>
        <v>-6.0046189376443293E-2</v>
      </c>
      <c r="G4052" s="37">
        <v>38.6</v>
      </c>
      <c r="H4052" s="911">
        <v>45799</v>
      </c>
    </row>
    <row r="4053" spans="3:8" x14ac:dyDescent="0.25">
      <c r="C4053" s="912" t="s">
        <v>0</v>
      </c>
      <c r="D4053" s="912" t="s">
        <v>7</v>
      </c>
      <c r="E4053" s="913" t="s">
        <v>4</v>
      </c>
      <c r="F4053" s="4" t="str">
        <f t="shared" si="69"/>
        <v/>
      </c>
      <c r="G4053" s="37">
        <v>38.1</v>
      </c>
      <c r="H4053" s="914">
        <v>45800</v>
      </c>
    </row>
    <row r="4054" spans="3:8" x14ac:dyDescent="0.25">
      <c r="C4054" s="912">
        <v>51</v>
      </c>
      <c r="D4054" s="912">
        <v>15</v>
      </c>
      <c r="E4054" s="913">
        <v>32.6</v>
      </c>
      <c r="F4054" s="4">
        <f t="shared" si="69"/>
        <v>3.8216560509554236E-2</v>
      </c>
      <c r="G4054" s="37">
        <v>38.1</v>
      </c>
      <c r="H4054" s="914">
        <v>45800</v>
      </c>
    </row>
    <row r="4055" spans="3:8" x14ac:dyDescent="0.25">
      <c r="C4055" s="912">
        <v>1</v>
      </c>
      <c r="D4055" s="912">
        <v>118</v>
      </c>
      <c r="E4055" s="913">
        <v>41.1</v>
      </c>
      <c r="F4055" s="4">
        <f t="shared" si="69"/>
        <v>-0.19726562500000003</v>
      </c>
      <c r="G4055" s="37">
        <v>38.1</v>
      </c>
      <c r="H4055" s="914">
        <v>45800</v>
      </c>
    </row>
    <row r="4056" spans="3:8" x14ac:dyDescent="0.25">
      <c r="C4056" s="912">
        <v>2</v>
      </c>
      <c r="D4056" s="912">
        <v>48</v>
      </c>
      <c r="E4056" s="913">
        <v>34.9</v>
      </c>
      <c r="F4056" s="4">
        <f t="shared" si="69"/>
        <v>0.12218649517684878</v>
      </c>
      <c r="G4056" s="37">
        <v>38.1</v>
      </c>
      <c r="H4056" s="914">
        <v>45800</v>
      </c>
    </row>
    <row r="4057" spans="3:8" x14ac:dyDescent="0.25">
      <c r="C4057" s="912">
        <v>3</v>
      </c>
      <c r="D4057" s="912">
        <v>69</v>
      </c>
      <c r="E4057" s="913">
        <v>44.8</v>
      </c>
      <c r="F4057" s="4">
        <f t="shared" si="69"/>
        <v>0.48837209302325563</v>
      </c>
      <c r="G4057" s="37">
        <v>38.1</v>
      </c>
      <c r="H4057" s="914">
        <v>45800</v>
      </c>
    </row>
    <row r="4058" spans="3:8" x14ac:dyDescent="0.25">
      <c r="C4058" s="912">
        <v>4</v>
      </c>
      <c r="D4058" s="912">
        <v>0</v>
      </c>
      <c r="E4058" s="913"/>
      <c r="F4058" s="4" t="str">
        <f t="shared" si="69"/>
        <v/>
      </c>
      <c r="G4058" s="37">
        <v>38.1</v>
      </c>
      <c r="H4058" s="914">
        <v>45800</v>
      </c>
    </row>
    <row r="4059" spans="3:8" x14ac:dyDescent="0.25">
      <c r="C4059" s="912">
        <v>5</v>
      </c>
      <c r="D4059" s="912">
        <v>82</v>
      </c>
      <c r="E4059" s="913">
        <v>22.8</v>
      </c>
      <c r="F4059" s="4">
        <f t="shared" si="69"/>
        <v>-0.1363636363636363</v>
      </c>
      <c r="G4059" s="37">
        <v>38.1</v>
      </c>
      <c r="H4059" s="914">
        <v>45800</v>
      </c>
    </row>
    <row r="4060" spans="3:8" x14ac:dyDescent="0.25">
      <c r="C4060" s="912">
        <v>6</v>
      </c>
      <c r="D4060" s="912">
        <v>97</v>
      </c>
      <c r="E4060" s="913">
        <v>33.200000000000003</v>
      </c>
      <c r="F4060" s="4">
        <f t="shared" si="69"/>
        <v>0.14482758620689665</v>
      </c>
      <c r="G4060" s="37">
        <v>38.1</v>
      </c>
      <c r="H4060" s="914">
        <v>45800</v>
      </c>
    </row>
    <row r="4061" spans="3:8" x14ac:dyDescent="0.25">
      <c r="C4061" s="912">
        <v>7</v>
      </c>
      <c r="D4061" s="912">
        <v>80</v>
      </c>
      <c r="E4061" s="913">
        <v>34</v>
      </c>
      <c r="F4061" s="4">
        <f t="shared" si="69"/>
        <v>-0.15632754342431757</v>
      </c>
      <c r="G4061" s="37">
        <v>38.1</v>
      </c>
      <c r="H4061" s="914">
        <v>45800</v>
      </c>
    </row>
    <row r="4062" spans="3:8" x14ac:dyDescent="0.25">
      <c r="C4062" s="912">
        <v>8</v>
      </c>
      <c r="D4062" s="912">
        <v>61</v>
      </c>
      <c r="E4062" s="913">
        <v>31.6</v>
      </c>
      <c r="F4062" s="4">
        <f t="shared" si="69"/>
        <v>-2.469135802469127E-2</v>
      </c>
      <c r="G4062" s="37">
        <v>38.1</v>
      </c>
      <c r="H4062" s="914">
        <v>45800</v>
      </c>
    </row>
    <row r="4063" spans="3:8" x14ac:dyDescent="0.25">
      <c r="C4063" s="912">
        <v>9</v>
      </c>
      <c r="D4063" s="912">
        <v>0</v>
      </c>
      <c r="E4063" s="913"/>
      <c r="F4063" s="4" t="str">
        <f t="shared" si="69"/>
        <v/>
      </c>
      <c r="G4063" s="37">
        <v>38.1</v>
      </c>
      <c r="H4063" s="914">
        <v>45800</v>
      </c>
    </row>
    <row r="4064" spans="3:8" x14ac:dyDescent="0.25">
      <c r="C4064" s="912">
        <v>10</v>
      </c>
      <c r="D4064" s="912">
        <v>116</v>
      </c>
      <c r="E4064" s="913">
        <v>35.299999999999997</v>
      </c>
      <c r="F4064" s="4">
        <f t="shared" si="69"/>
        <v>-0.1326781326781328</v>
      </c>
      <c r="G4064" s="37">
        <v>38.1</v>
      </c>
      <c r="H4064" s="914">
        <v>45800</v>
      </c>
    </row>
    <row r="4065" spans="3:8" x14ac:dyDescent="0.25">
      <c r="C4065" s="915" t="s">
        <v>0</v>
      </c>
      <c r="D4065" s="915" t="s">
        <v>7</v>
      </c>
      <c r="E4065" s="916" t="s">
        <v>4</v>
      </c>
      <c r="F4065" s="4" t="str">
        <f t="shared" si="69"/>
        <v/>
      </c>
      <c r="G4065" s="37">
        <v>37.799999999999997</v>
      </c>
      <c r="H4065" s="914">
        <v>45801</v>
      </c>
    </row>
    <row r="4066" spans="3:8" x14ac:dyDescent="0.25">
      <c r="C4066" s="915">
        <v>51</v>
      </c>
      <c r="D4066" s="915">
        <v>15</v>
      </c>
      <c r="E4066" s="916">
        <v>32.9</v>
      </c>
      <c r="F4066" s="4">
        <f t="shared" si="69"/>
        <v>9.2024539877299735E-3</v>
      </c>
      <c r="G4066" s="37">
        <v>37.799999999999997</v>
      </c>
      <c r="H4066" s="914">
        <v>45801</v>
      </c>
    </row>
    <row r="4067" spans="3:8" x14ac:dyDescent="0.25">
      <c r="C4067" s="915">
        <v>1</v>
      </c>
      <c r="D4067" s="915">
        <v>117</v>
      </c>
      <c r="E4067" s="916">
        <v>44.9</v>
      </c>
      <c r="F4067" s="4">
        <f t="shared" si="69"/>
        <v>9.2457420924574138E-2</v>
      </c>
      <c r="G4067" s="37">
        <v>37.799999999999997</v>
      </c>
      <c r="H4067" s="914">
        <v>45801</v>
      </c>
    </row>
    <row r="4068" spans="3:8" x14ac:dyDescent="0.25">
      <c r="C4068" s="915">
        <v>2</v>
      </c>
      <c r="D4068" s="915">
        <v>44</v>
      </c>
      <c r="E4068" s="916">
        <v>34.6</v>
      </c>
      <c r="F4068" s="4">
        <f t="shared" si="69"/>
        <v>-8.5959885386818671E-3</v>
      </c>
      <c r="G4068" s="37">
        <v>37.799999999999997</v>
      </c>
      <c r="H4068" s="914">
        <v>45801</v>
      </c>
    </row>
    <row r="4069" spans="3:8" x14ac:dyDescent="0.25">
      <c r="C4069" s="915">
        <v>3</v>
      </c>
      <c r="D4069" s="915">
        <v>69</v>
      </c>
      <c r="E4069" s="916">
        <v>30.4</v>
      </c>
      <c r="F4069" s="4">
        <f t="shared" si="69"/>
        <v>-0.3214285714285714</v>
      </c>
      <c r="G4069" s="37">
        <v>37.799999999999997</v>
      </c>
      <c r="H4069" s="914">
        <v>45801</v>
      </c>
    </row>
    <row r="4070" spans="3:8" x14ac:dyDescent="0.25">
      <c r="C4070" s="915">
        <v>4</v>
      </c>
      <c r="D4070" s="915">
        <v>0</v>
      </c>
      <c r="E4070" s="916"/>
      <c r="F4070" s="4" t="str">
        <f t="shared" ref="F4070:F4133" si="70">IFERROR((E4070-E4058)/E4058,"")</f>
        <v/>
      </c>
      <c r="G4070" s="37">
        <v>37.799999999999997</v>
      </c>
      <c r="H4070" s="914">
        <v>45801</v>
      </c>
    </row>
    <row r="4071" spans="3:8" x14ac:dyDescent="0.25">
      <c r="C4071" s="915">
        <v>5</v>
      </c>
      <c r="D4071" s="915">
        <v>92</v>
      </c>
      <c r="E4071" s="916">
        <v>25.6</v>
      </c>
      <c r="F4071" s="4">
        <f t="shared" si="70"/>
        <v>0.12280701754385967</v>
      </c>
      <c r="G4071" s="37">
        <v>37.799999999999997</v>
      </c>
      <c r="H4071" s="914">
        <v>45801</v>
      </c>
    </row>
    <row r="4072" spans="3:8" x14ac:dyDescent="0.25">
      <c r="C4072" s="915">
        <v>6</v>
      </c>
      <c r="D4072" s="915">
        <v>96</v>
      </c>
      <c r="E4072" s="916">
        <v>36.200000000000003</v>
      </c>
      <c r="F4072" s="4">
        <f t="shared" si="70"/>
        <v>9.0361445783132516E-2</v>
      </c>
      <c r="G4072" s="37">
        <v>37.799999999999997</v>
      </c>
      <c r="H4072" s="914">
        <v>45801</v>
      </c>
    </row>
    <row r="4073" spans="3:8" x14ac:dyDescent="0.25">
      <c r="C4073" s="915">
        <v>7</v>
      </c>
      <c r="D4073" s="915">
        <v>80</v>
      </c>
      <c r="E4073" s="916">
        <v>40.4</v>
      </c>
      <c r="F4073" s="4">
        <f t="shared" si="70"/>
        <v>0.18823529411764703</v>
      </c>
      <c r="G4073" s="37">
        <v>37.799999999999997</v>
      </c>
      <c r="H4073" s="914">
        <v>45801</v>
      </c>
    </row>
    <row r="4074" spans="3:8" x14ac:dyDescent="0.25">
      <c r="C4074" s="915">
        <v>8</v>
      </c>
      <c r="D4074" s="915">
        <v>55</v>
      </c>
      <c r="E4074" s="916">
        <v>31.4</v>
      </c>
      <c r="F4074" s="4">
        <f t="shared" si="70"/>
        <v>-6.3291139240507222E-3</v>
      </c>
      <c r="G4074" s="37">
        <v>37.799999999999997</v>
      </c>
      <c r="H4074" s="914">
        <v>45801</v>
      </c>
    </row>
    <row r="4075" spans="3:8" x14ac:dyDescent="0.25">
      <c r="C4075" s="915">
        <v>9</v>
      </c>
      <c r="D4075" s="915">
        <v>0</v>
      </c>
      <c r="E4075" s="916"/>
      <c r="F4075" s="4" t="str">
        <f t="shared" si="70"/>
        <v/>
      </c>
      <c r="G4075" s="37">
        <v>37.799999999999997</v>
      </c>
      <c r="H4075" s="914">
        <v>45801</v>
      </c>
    </row>
    <row r="4076" spans="3:8" x14ac:dyDescent="0.25">
      <c r="C4076" s="915">
        <v>10</v>
      </c>
      <c r="D4076" s="915">
        <v>116</v>
      </c>
      <c r="E4076" s="916">
        <v>39.6</v>
      </c>
      <c r="F4076" s="4">
        <f t="shared" si="70"/>
        <v>0.12181303116147321</v>
      </c>
      <c r="G4076" s="37">
        <v>37.799999999999997</v>
      </c>
      <c r="H4076" s="914">
        <v>45801</v>
      </c>
    </row>
    <row r="4077" spans="3:8" x14ac:dyDescent="0.25">
      <c r="C4077" s="917" t="s">
        <v>0</v>
      </c>
      <c r="D4077" s="917" t="s">
        <v>7</v>
      </c>
      <c r="E4077" s="918" t="s">
        <v>4</v>
      </c>
      <c r="F4077" s="4" t="str">
        <f t="shared" si="70"/>
        <v/>
      </c>
      <c r="G4077" s="37">
        <v>39.299999999999997</v>
      </c>
      <c r="H4077" s="919">
        <v>45802</v>
      </c>
    </row>
    <row r="4078" spans="3:8" x14ac:dyDescent="0.25">
      <c r="C4078" s="917">
        <v>51</v>
      </c>
      <c r="D4078" s="917">
        <v>18</v>
      </c>
      <c r="E4078" s="918">
        <v>27.7</v>
      </c>
      <c r="F4078" s="4">
        <f t="shared" si="70"/>
        <v>-0.1580547112462006</v>
      </c>
      <c r="G4078" s="37">
        <v>39.299999999999997</v>
      </c>
      <c r="H4078" s="919">
        <v>45802</v>
      </c>
    </row>
    <row r="4079" spans="3:8" x14ac:dyDescent="0.25">
      <c r="C4079" s="917">
        <v>1</v>
      </c>
      <c r="D4079" s="917">
        <v>117</v>
      </c>
      <c r="E4079" s="918">
        <v>48.9</v>
      </c>
      <c r="F4079" s="4">
        <f t="shared" si="70"/>
        <v>8.9086859688195991E-2</v>
      </c>
      <c r="G4079" s="37">
        <v>39.299999999999997</v>
      </c>
      <c r="H4079" s="919">
        <v>45802</v>
      </c>
    </row>
    <row r="4080" spans="3:8" x14ac:dyDescent="0.25">
      <c r="C4080" s="917">
        <v>2</v>
      </c>
      <c r="D4080" s="917">
        <v>44</v>
      </c>
      <c r="E4080" s="918">
        <v>27.6</v>
      </c>
      <c r="F4080" s="4">
        <f t="shared" si="70"/>
        <v>-0.20231213872832368</v>
      </c>
      <c r="G4080" s="37">
        <v>39.299999999999997</v>
      </c>
      <c r="H4080" s="919">
        <v>45802</v>
      </c>
    </row>
    <row r="4081" spans="3:8" x14ac:dyDescent="0.25">
      <c r="C4081" s="917">
        <v>3</v>
      </c>
      <c r="D4081" s="917">
        <v>68</v>
      </c>
      <c r="E4081" s="918">
        <v>29.5</v>
      </c>
      <c r="F4081" s="4">
        <f t="shared" si="70"/>
        <v>-2.960526315789469E-2</v>
      </c>
      <c r="G4081" s="37">
        <v>39.299999999999997</v>
      </c>
      <c r="H4081" s="919">
        <v>45802</v>
      </c>
    </row>
    <row r="4082" spans="3:8" x14ac:dyDescent="0.25">
      <c r="C4082" s="917">
        <v>4</v>
      </c>
      <c r="D4082" s="917">
        <v>0</v>
      </c>
      <c r="E4082" s="918"/>
      <c r="F4082" s="4" t="str">
        <f t="shared" si="70"/>
        <v/>
      </c>
      <c r="G4082" s="37">
        <v>39.299999999999997</v>
      </c>
      <c r="H4082" s="919">
        <v>45802</v>
      </c>
    </row>
    <row r="4083" spans="3:8" x14ac:dyDescent="0.25">
      <c r="C4083" s="917">
        <v>5</v>
      </c>
      <c r="D4083" s="917">
        <v>93</v>
      </c>
      <c r="E4083" s="918">
        <v>24.3</v>
      </c>
      <c r="F4083" s="4">
        <f t="shared" si="70"/>
        <v>-5.0781250000000028E-2</v>
      </c>
      <c r="G4083" s="37">
        <v>39.299999999999997</v>
      </c>
      <c r="H4083" s="919">
        <v>45802</v>
      </c>
    </row>
    <row r="4084" spans="3:8" x14ac:dyDescent="0.25">
      <c r="C4084" s="917">
        <v>6</v>
      </c>
      <c r="D4084" s="917">
        <v>94</v>
      </c>
      <c r="E4084" s="918">
        <v>34.700000000000003</v>
      </c>
      <c r="F4084" s="4">
        <f t="shared" si="70"/>
        <v>-4.1436464088397788E-2</v>
      </c>
      <c r="G4084" s="37">
        <v>39.299999999999997</v>
      </c>
      <c r="H4084" s="919">
        <v>45802</v>
      </c>
    </row>
    <row r="4085" spans="3:8" x14ac:dyDescent="0.25">
      <c r="C4085" s="917">
        <v>7</v>
      </c>
      <c r="D4085" s="917">
        <v>80</v>
      </c>
      <c r="E4085" s="918">
        <v>44.8</v>
      </c>
      <c r="F4085" s="4">
        <f t="shared" si="70"/>
        <v>0.10891089108910888</v>
      </c>
      <c r="G4085" s="37">
        <v>39.299999999999997</v>
      </c>
      <c r="H4085" s="919">
        <v>45802</v>
      </c>
    </row>
    <row r="4086" spans="3:8" x14ac:dyDescent="0.25">
      <c r="C4086" s="917">
        <v>8</v>
      </c>
      <c r="D4086" s="917">
        <v>55</v>
      </c>
      <c r="E4086" s="918">
        <v>25.8</v>
      </c>
      <c r="F4086" s="4">
        <f t="shared" si="70"/>
        <v>-0.17834394904458592</v>
      </c>
      <c r="G4086" s="37">
        <v>39.299999999999997</v>
      </c>
      <c r="H4086" s="919">
        <v>45802</v>
      </c>
    </row>
    <row r="4087" spans="3:8" x14ac:dyDescent="0.25">
      <c r="C4087" s="917">
        <v>9</v>
      </c>
      <c r="D4087" s="917">
        <v>0</v>
      </c>
      <c r="E4087" s="918"/>
      <c r="F4087" s="4" t="str">
        <f t="shared" si="70"/>
        <v/>
      </c>
      <c r="G4087" s="37">
        <v>39.299999999999997</v>
      </c>
      <c r="H4087" s="919">
        <v>45802</v>
      </c>
    </row>
    <row r="4088" spans="3:8" x14ac:dyDescent="0.25">
      <c r="C4088" s="917">
        <v>10</v>
      </c>
      <c r="D4088" s="917">
        <v>115</v>
      </c>
      <c r="E4088" s="918">
        <v>37.6</v>
      </c>
      <c r="F4088" s="4">
        <f t="shared" si="70"/>
        <v>-5.0505050505050504E-2</v>
      </c>
      <c r="G4088" s="37">
        <v>39.299999999999997</v>
      </c>
      <c r="H4088" s="919">
        <v>45802</v>
      </c>
    </row>
    <row r="4089" spans="3:8" x14ac:dyDescent="0.25">
      <c r="C4089" s="920" t="s">
        <v>0</v>
      </c>
      <c r="D4089" s="920" t="s">
        <v>7</v>
      </c>
      <c r="E4089" s="921" t="s">
        <v>4</v>
      </c>
      <c r="F4089" s="4" t="str">
        <f t="shared" si="70"/>
        <v/>
      </c>
      <c r="G4089" s="37">
        <v>38.6</v>
      </c>
      <c r="H4089" s="919">
        <v>45803</v>
      </c>
    </row>
    <row r="4090" spans="3:8" x14ac:dyDescent="0.25">
      <c r="C4090" s="920">
        <v>51</v>
      </c>
      <c r="D4090" s="920">
        <v>20</v>
      </c>
      <c r="E4090" s="921">
        <v>31.1</v>
      </c>
      <c r="F4090" s="4">
        <f t="shared" si="70"/>
        <v>0.12274368231046939</v>
      </c>
      <c r="G4090" s="37">
        <v>38.6</v>
      </c>
      <c r="H4090" s="919">
        <v>45803</v>
      </c>
    </row>
    <row r="4091" spans="3:8" x14ac:dyDescent="0.25">
      <c r="C4091" s="920">
        <v>1</v>
      </c>
      <c r="D4091" s="920">
        <v>117</v>
      </c>
      <c r="E4091" s="921">
        <v>46.3</v>
      </c>
      <c r="F4091" s="4">
        <f t="shared" si="70"/>
        <v>-5.3169734151329272E-2</v>
      </c>
      <c r="G4091" s="37">
        <v>38.6</v>
      </c>
      <c r="H4091" s="919">
        <v>45803</v>
      </c>
    </row>
    <row r="4092" spans="3:8" x14ac:dyDescent="0.25">
      <c r="C4092" s="920">
        <v>2</v>
      </c>
      <c r="D4092" s="920">
        <v>44</v>
      </c>
      <c r="E4092" s="921">
        <v>33.700000000000003</v>
      </c>
      <c r="F4092" s="4">
        <f t="shared" si="70"/>
        <v>0.22101449275362323</v>
      </c>
      <c r="G4092" s="37">
        <v>38.6</v>
      </c>
      <c r="H4092" s="919">
        <v>45803</v>
      </c>
    </row>
    <row r="4093" spans="3:8" x14ac:dyDescent="0.25">
      <c r="C4093" s="920">
        <v>3</v>
      </c>
      <c r="D4093" s="920">
        <v>68</v>
      </c>
      <c r="E4093" s="921">
        <v>32.299999999999997</v>
      </c>
      <c r="F4093" s="4">
        <f t="shared" si="70"/>
        <v>9.4915254237288041E-2</v>
      </c>
      <c r="G4093" s="37">
        <v>38.6</v>
      </c>
      <c r="H4093" s="919">
        <v>45803</v>
      </c>
    </row>
    <row r="4094" spans="3:8" x14ac:dyDescent="0.25">
      <c r="C4094" s="920">
        <v>4</v>
      </c>
      <c r="D4094" s="920">
        <v>0</v>
      </c>
      <c r="E4094" s="921"/>
      <c r="F4094" s="4" t="str">
        <f t="shared" si="70"/>
        <v/>
      </c>
      <c r="G4094" s="37">
        <v>38.6</v>
      </c>
      <c r="H4094" s="919">
        <v>45803</v>
      </c>
    </row>
    <row r="4095" spans="3:8" x14ac:dyDescent="0.25">
      <c r="C4095" s="920">
        <v>5</v>
      </c>
      <c r="D4095" s="920">
        <v>92</v>
      </c>
      <c r="E4095" s="921">
        <v>22.5</v>
      </c>
      <c r="F4095" s="4">
        <f t="shared" si="70"/>
        <v>-7.4074074074074098E-2</v>
      </c>
      <c r="G4095" s="37">
        <v>38.6</v>
      </c>
      <c r="H4095" s="919">
        <v>45803</v>
      </c>
    </row>
    <row r="4096" spans="3:8" x14ac:dyDescent="0.25">
      <c r="C4096" s="920">
        <v>6</v>
      </c>
      <c r="D4096" s="920">
        <v>95</v>
      </c>
      <c r="E4096" s="921">
        <v>39.1</v>
      </c>
      <c r="F4096" s="4">
        <f t="shared" si="70"/>
        <v>0.12680115273775211</v>
      </c>
      <c r="G4096" s="37">
        <v>38.6</v>
      </c>
      <c r="H4096" s="919">
        <v>45803</v>
      </c>
    </row>
    <row r="4097" spans="3:8" x14ac:dyDescent="0.25">
      <c r="C4097" s="920">
        <v>7</v>
      </c>
      <c r="D4097" s="920">
        <v>80</v>
      </c>
      <c r="E4097" s="921">
        <v>36.1</v>
      </c>
      <c r="F4097" s="4">
        <f t="shared" si="70"/>
        <v>-0.19419642857142849</v>
      </c>
      <c r="G4097" s="37">
        <v>38.6</v>
      </c>
      <c r="H4097" s="919">
        <v>45803</v>
      </c>
    </row>
    <row r="4098" spans="3:8" x14ac:dyDescent="0.25">
      <c r="C4098" s="920">
        <v>8</v>
      </c>
      <c r="D4098" s="920">
        <v>55</v>
      </c>
      <c r="E4098" s="921">
        <v>28.6</v>
      </c>
      <c r="F4098" s="4">
        <f t="shared" si="70"/>
        <v>0.10852713178294576</v>
      </c>
      <c r="G4098" s="37">
        <v>38.6</v>
      </c>
      <c r="H4098" s="919">
        <v>45803</v>
      </c>
    </row>
    <row r="4099" spans="3:8" x14ac:dyDescent="0.25">
      <c r="C4099" s="920">
        <v>9</v>
      </c>
      <c r="D4099" s="920">
        <v>0</v>
      </c>
      <c r="E4099" s="921"/>
      <c r="F4099" s="4" t="str">
        <f t="shared" si="70"/>
        <v/>
      </c>
      <c r="G4099" s="37">
        <v>38.6</v>
      </c>
      <c r="H4099" s="919">
        <v>45803</v>
      </c>
    </row>
    <row r="4100" spans="3:8" x14ac:dyDescent="0.25">
      <c r="C4100" s="920">
        <v>10</v>
      </c>
      <c r="D4100" s="920">
        <v>116</v>
      </c>
      <c r="E4100" s="921">
        <v>37.6</v>
      </c>
      <c r="F4100" s="4">
        <f t="shared" si="70"/>
        <v>0</v>
      </c>
      <c r="G4100" s="37">
        <v>38.6</v>
      </c>
      <c r="H4100" s="919">
        <v>45803</v>
      </c>
    </row>
    <row r="4101" spans="3:8" x14ac:dyDescent="0.25">
      <c r="C4101" s="922" t="s">
        <v>0</v>
      </c>
      <c r="D4101" s="922" t="s">
        <v>7</v>
      </c>
      <c r="E4101" s="923" t="s">
        <v>4</v>
      </c>
      <c r="F4101" s="4" t="str">
        <f t="shared" si="70"/>
        <v/>
      </c>
      <c r="G4101" s="37">
        <v>36.4</v>
      </c>
      <c r="H4101" s="924">
        <v>45804</v>
      </c>
    </row>
    <row r="4102" spans="3:8" x14ac:dyDescent="0.25">
      <c r="C4102" s="922">
        <v>51</v>
      </c>
      <c r="D4102" s="922">
        <v>16</v>
      </c>
      <c r="E4102" s="923">
        <v>34.799999999999997</v>
      </c>
      <c r="F4102" s="4">
        <f t="shared" si="70"/>
        <v>0.11897106109324744</v>
      </c>
      <c r="G4102" s="37">
        <v>36.4</v>
      </c>
      <c r="H4102" s="924">
        <v>45804</v>
      </c>
    </row>
    <row r="4103" spans="3:8" x14ac:dyDescent="0.25">
      <c r="C4103" s="922">
        <v>1</v>
      </c>
      <c r="D4103" s="922">
        <v>117</v>
      </c>
      <c r="E4103" s="923">
        <v>45.2</v>
      </c>
      <c r="F4103" s="4">
        <f t="shared" si="70"/>
        <v>-2.3758099352051715E-2</v>
      </c>
      <c r="G4103" s="37">
        <v>36.4</v>
      </c>
      <c r="H4103" s="924">
        <v>45804</v>
      </c>
    </row>
    <row r="4104" spans="3:8" x14ac:dyDescent="0.25">
      <c r="C4104" s="922">
        <v>2</v>
      </c>
      <c r="D4104" s="922">
        <v>46</v>
      </c>
      <c r="E4104" s="923">
        <v>33.799999999999997</v>
      </c>
      <c r="F4104" s="4">
        <f t="shared" si="70"/>
        <v>2.9673590504449348E-3</v>
      </c>
      <c r="G4104" s="37">
        <v>36.4</v>
      </c>
      <c r="H4104" s="924">
        <v>45804</v>
      </c>
    </row>
    <row r="4105" spans="3:8" x14ac:dyDescent="0.25">
      <c r="C4105" s="922">
        <v>3</v>
      </c>
      <c r="D4105" s="922">
        <v>68</v>
      </c>
      <c r="E4105" s="923">
        <v>30.9</v>
      </c>
      <c r="F4105" s="4">
        <f t="shared" si="70"/>
        <v>-4.3343653250773953E-2</v>
      </c>
      <c r="G4105" s="37">
        <v>36.4</v>
      </c>
      <c r="H4105" s="924">
        <v>45804</v>
      </c>
    </row>
    <row r="4106" spans="3:8" x14ac:dyDescent="0.25">
      <c r="C4106" s="922">
        <v>4</v>
      </c>
      <c r="D4106" s="922">
        <v>0</v>
      </c>
      <c r="E4106" s="923"/>
      <c r="F4106" s="4" t="str">
        <f t="shared" si="70"/>
        <v/>
      </c>
      <c r="G4106" s="37">
        <v>36.4</v>
      </c>
      <c r="H4106" s="924">
        <v>45804</v>
      </c>
    </row>
    <row r="4107" spans="3:8" x14ac:dyDescent="0.25">
      <c r="C4107" s="922">
        <v>5</v>
      </c>
      <c r="D4107" s="922">
        <v>92</v>
      </c>
      <c r="E4107" s="923">
        <v>25</v>
      </c>
      <c r="F4107" s="4">
        <f t="shared" si="70"/>
        <v>0.1111111111111111</v>
      </c>
      <c r="G4107" s="37">
        <v>36.4</v>
      </c>
      <c r="H4107" s="924">
        <v>45804</v>
      </c>
    </row>
    <row r="4108" spans="3:8" x14ac:dyDescent="0.25">
      <c r="C4108" s="922">
        <v>6</v>
      </c>
      <c r="D4108" s="922">
        <v>100</v>
      </c>
      <c r="E4108" s="923">
        <v>37.4</v>
      </c>
      <c r="F4108" s="4">
        <f t="shared" si="70"/>
        <v>-4.3478260869565286E-2</v>
      </c>
      <c r="G4108" s="37">
        <v>36.4</v>
      </c>
      <c r="H4108" s="924">
        <v>45804</v>
      </c>
    </row>
    <row r="4109" spans="3:8" x14ac:dyDescent="0.25">
      <c r="C4109" s="922">
        <v>7</v>
      </c>
      <c r="D4109" s="922">
        <v>80</v>
      </c>
      <c r="E4109" s="923">
        <v>39.200000000000003</v>
      </c>
      <c r="F4109" s="4">
        <f t="shared" si="70"/>
        <v>8.5872576177285359E-2</v>
      </c>
      <c r="G4109" s="37">
        <v>36.4</v>
      </c>
      <c r="H4109" s="924">
        <v>45804</v>
      </c>
    </row>
    <row r="4110" spans="3:8" x14ac:dyDescent="0.25">
      <c r="C4110" s="922">
        <v>8</v>
      </c>
      <c r="D4110" s="922">
        <v>55</v>
      </c>
      <c r="E4110" s="923">
        <v>32.5</v>
      </c>
      <c r="F4110" s="4">
        <f t="shared" si="70"/>
        <v>0.1363636363636363</v>
      </c>
      <c r="G4110" s="37">
        <v>36.4</v>
      </c>
      <c r="H4110" s="924">
        <v>45804</v>
      </c>
    </row>
    <row r="4111" spans="3:8" x14ac:dyDescent="0.25">
      <c r="C4111" s="922">
        <v>9</v>
      </c>
      <c r="D4111" s="922">
        <v>0</v>
      </c>
      <c r="E4111" s="923"/>
      <c r="F4111" s="4" t="str">
        <f t="shared" si="70"/>
        <v/>
      </c>
      <c r="G4111" s="37">
        <v>36.4</v>
      </c>
      <c r="H4111" s="924">
        <v>45804</v>
      </c>
    </row>
    <row r="4112" spans="3:8" x14ac:dyDescent="0.25">
      <c r="C4112" s="922">
        <v>10</v>
      </c>
      <c r="D4112" s="922">
        <v>116</v>
      </c>
      <c r="E4112" s="923">
        <v>40</v>
      </c>
      <c r="F4112" s="4">
        <f t="shared" si="70"/>
        <v>6.3829787234042507E-2</v>
      </c>
      <c r="G4112" s="37">
        <v>36.4</v>
      </c>
      <c r="H4112" s="924">
        <v>45804</v>
      </c>
    </row>
    <row r="4113" spans="3:8" x14ac:dyDescent="0.25">
      <c r="C4113" s="925" t="s">
        <v>0</v>
      </c>
      <c r="D4113" s="925" t="s">
        <v>7</v>
      </c>
      <c r="E4113" s="926" t="s">
        <v>4</v>
      </c>
      <c r="F4113" s="4" t="str">
        <f t="shared" si="70"/>
        <v/>
      </c>
      <c r="G4113" s="37">
        <v>36.6</v>
      </c>
      <c r="H4113" s="927">
        <v>45805</v>
      </c>
    </row>
    <row r="4114" spans="3:8" x14ac:dyDescent="0.25">
      <c r="C4114" s="925">
        <v>51</v>
      </c>
      <c r="D4114" s="925">
        <v>19</v>
      </c>
      <c r="E4114" s="926">
        <v>30.7</v>
      </c>
      <c r="F4114" s="4">
        <f t="shared" si="70"/>
        <v>-0.11781609195402294</v>
      </c>
      <c r="G4114" s="37">
        <v>36.6</v>
      </c>
      <c r="H4114" s="927">
        <v>45805</v>
      </c>
    </row>
    <row r="4115" spans="3:8" x14ac:dyDescent="0.25">
      <c r="C4115" s="925">
        <v>1</v>
      </c>
      <c r="D4115" s="925">
        <v>117</v>
      </c>
      <c r="E4115" s="926">
        <v>45.2</v>
      </c>
      <c r="F4115" s="4">
        <f t="shared" si="70"/>
        <v>0</v>
      </c>
      <c r="G4115" s="37">
        <v>36.6</v>
      </c>
      <c r="H4115" s="927">
        <v>45805</v>
      </c>
    </row>
    <row r="4116" spans="3:8" x14ac:dyDescent="0.25">
      <c r="C4116" s="925">
        <v>2</v>
      </c>
      <c r="D4116" s="925">
        <v>46</v>
      </c>
      <c r="E4116" s="926">
        <v>33.1</v>
      </c>
      <c r="F4116" s="4">
        <f t="shared" si="70"/>
        <v>-2.071005917159751E-2</v>
      </c>
      <c r="G4116" s="37">
        <v>36.6</v>
      </c>
      <c r="H4116" s="927">
        <v>45805</v>
      </c>
    </row>
    <row r="4117" spans="3:8" x14ac:dyDescent="0.25">
      <c r="C4117" s="925">
        <v>3</v>
      </c>
      <c r="D4117" s="925">
        <v>67</v>
      </c>
      <c r="E4117" s="926">
        <v>33</v>
      </c>
      <c r="F4117" s="4">
        <f t="shared" si="70"/>
        <v>6.7961165048543742E-2</v>
      </c>
      <c r="G4117" s="37">
        <v>36.6</v>
      </c>
      <c r="H4117" s="927">
        <v>45805</v>
      </c>
    </row>
    <row r="4118" spans="3:8" x14ac:dyDescent="0.25">
      <c r="C4118" s="925">
        <v>4</v>
      </c>
      <c r="D4118" s="925">
        <v>0</v>
      </c>
      <c r="E4118" s="926"/>
      <c r="F4118" s="4" t="str">
        <f t="shared" si="70"/>
        <v/>
      </c>
      <c r="G4118" s="37">
        <v>36.6</v>
      </c>
      <c r="H4118" s="927">
        <v>45805</v>
      </c>
    </row>
    <row r="4119" spans="3:8" x14ac:dyDescent="0.25">
      <c r="C4119" s="925">
        <v>5</v>
      </c>
      <c r="D4119" s="925">
        <v>92</v>
      </c>
      <c r="E4119" s="926">
        <v>25.9</v>
      </c>
      <c r="F4119" s="4">
        <f t="shared" si="70"/>
        <v>3.5999999999999942E-2</v>
      </c>
      <c r="G4119" s="37">
        <v>36.6</v>
      </c>
      <c r="H4119" s="927">
        <v>45805</v>
      </c>
    </row>
    <row r="4120" spans="3:8" x14ac:dyDescent="0.25">
      <c r="C4120" s="925">
        <v>6</v>
      </c>
      <c r="D4120" s="925">
        <v>100</v>
      </c>
      <c r="E4120" s="926">
        <v>35.6</v>
      </c>
      <c r="F4120" s="4">
        <f t="shared" si="70"/>
        <v>-4.8128342245989233E-2</v>
      </c>
      <c r="G4120" s="37">
        <v>36.6</v>
      </c>
      <c r="H4120" s="927">
        <v>45805</v>
      </c>
    </row>
    <row r="4121" spans="3:8" x14ac:dyDescent="0.25">
      <c r="C4121" s="925">
        <v>7</v>
      </c>
      <c r="D4121" s="925">
        <v>80</v>
      </c>
      <c r="E4121" s="926">
        <v>37.700000000000003</v>
      </c>
      <c r="F4121" s="4">
        <f t="shared" si="70"/>
        <v>-3.8265306122448974E-2</v>
      </c>
      <c r="G4121" s="37">
        <v>36.6</v>
      </c>
      <c r="H4121" s="927">
        <v>45805</v>
      </c>
    </row>
    <row r="4122" spans="3:8" x14ac:dyDescent="0.25">
      <c r="C4122" s="925">
        <v>8</v>
      </c>
      <c r="D4122" s="925">
        <v>54</v>
      </c>
      <c r="E4122" s="926">
        <v>31.6</v>
      </c>
      <c r="F4122" s="4">
        <f t="shared" si="70"/>
        <v>-2.7692307692307648E-2</v>
      </c>
      <c r="G4122" s="37">
        <v>36.6</v>
      </c>
      <c r="H4122" s="927">
        <v>45805</v>
      </c>
    </row>
    <row r="4123" spans="3:8" x14ac:dyDescent="0.25">
      <c r="C4123" s="925">
        <v>9</v>
      </c>
      <c r="D4123" s="925">
        <v>0</v>
      </c>
      <c r="E4123" s="926"/>
      <c r="F4123" s="4" t="str">
        <f t="shared" si="70"/>
        <v/>
      </c>
      <c r="G4123" s="37">
        <v>36.6</v>
      </c>
      <c r="H4123" s="927">
        <v>45805</v>
      </c>
    </row>
    <row r="4124" spans="3:8" x14ac:dyDescent="0.25">
      <c r="C4124" s="925">
        <v>10</v>
      </c>
      <c r="D4124" s="925">
        <v>116</v>
      </c>
      <c r="E4124" s="926">
        <v>39.200000000000003</v>
      </c>
      <c r="F4124" s="4">
        <f t="shared" si="70"/>
        <v>-1.9999999999999928E-2</v>
      </c>
      <c r="G4124" s="37">
        <v>36.6</v>
      </c>
      <c r="H4124" s="927">
        <v>45805</v>
      </c>
    </row>
    <row r="4125" spans="3:8" x14ac:dyDescent="0.25">
      <c r="C4125" s="928" t="s">
        <v>0</v>
      </c>
      <c r="D4125" s="928" t="s">
        <v>7</v>
      </c>
      <c r="E4125" s="929" t="s">
        <v>4</v>
      </c>
      <c r="F4125" s="4" t="str">
        <f t="shared" si="70"/>
        <v/>
      </c>
      <c r="G4125" s="37">
        <v>38.1</v>
      </c>
      <c r="H4125" s="930">
        <v>45806</v>
      </c>
    </row>
    <row r="4126" spans="3:8" x14ac:dyDescent="0.25">
      <c r="C4126" s="928">
        <v>51</v>
      </c>
      <c r="D4126" s="928">
        <v>20</v>
      </c>
      <c r="E4126" s="929">
        <v>30.9</v>
      </c>
      <c r="F4126" s="4">
        <f t="shared" si="70"/>
        <v>6.5146579804560029E-3</v>
      </c>
      <c r="G4126" s="37">
        <v>38.1</v>
      </c>
      <c r="H4126" s="930">
        <v>45806</v>
      </c>
    </row>
    <row r="4127" spans="3:8" x14ac:dyDescent="0.25">
      <c r="C4127" s="928">
        <v>1</v>
      </c>
      <c r="D4127" s="928">
        <v>115</v>
      </c>
      <c r="E4127" s="929">
        <v>46.5</v>
      </c>
      <c r="F4127" s="4">
        <f t="shared" si="70"/>
        <v>2.8761061946902589E-2</v>
      </c>
      <c r="G4127" s="37">
        <v>38.1</v>
      </c>
      <c r="H4127" s="930">
        <v>45806</v>
      </c>
    </row>
    <row r="4128" spans="3:8" x14ac:dyDescent="0.25">
      <c r="C4128" s="928">
        <v>2</v>
      </c>
      <c r="D4128" s="928">
        <v>46</v>
      </c>
      <c r="E4128" s="929">
        <v>35.5</v>
      </c>
      <c r="F4128" s="4">
        <f t="shared" si="70"/>
        <v>7.2507552870090586E-2</v>
      </c>
      <c r="G4128" s="37">
        <v>38.1</v>
      </c>
      <c r="H4128" s="930">
        <v>45806</v>
      </c>
    </row>
    <row r="4129" spans="3:8" x14ac:dyDescent="0.25">
      <c r="C4129" s="928">
        <v>3</v>
      </c>
      <c r="D4129" s="928">
        <v>67</v>
      </c>
      <c r="E4129" s="929">
        <v>34.299999999999997</v>
      </c>
      <c r="F4129" s="4">
        <f t="shared" si="70"/>
        <v>3.9393939393939308E-2</v>
      </c>
      <c r="G4129" s="37">
        <v>38.1</v>
      </c>
      <c r="H4129" s="930">
        <v>45806</v>
      </c>
    </row>
    <row r="4130" spans="3:8" x14ac:dyDescent="0.25">
      <c r="C4130" s="928">
        <v>4</v>
      </c>
      <c r="D4130" s="928">
        <v>0</v>
      </c>
      <c r="E4130" s="929"/>
      <c r="F4130" s="4" t="str">
        <f t="shared" si="70"/>
        <v/>
      </c>
      <c r="G4130" s="37">
        <v>38.1</v>
      </c>
      <c r="H4130" s="930">
        <v>45806</v>
      </c>
    </row>
    <row r="4131" spans="3:8" x14ac:dyDescent="0.25">
      <c r="C4131" s="928">
        <v>5</v>
      </c>
      <c r="D4131" s="928">
        <v>92</v>
      </c>
      <c r="E4131" s="929">
        <v>27.1</v>
      </c>
      <c r="F4131" s="4">
        <f t="shared" si="70"/>
        <v>4.6332046332046448E-2</v>
      </c>
      <c r="G4131" s="37">
        <v>38.1</v>
      </c>
      <c r="H4131" s="930">
        <v>45806</v>
      </c>
    </row>
    <row r="4132" spans="3:8" x14ac:dyDescent="0.25">
      <c r="C4132" s="928">
        <v>6</v>
      </c>
      <c r="D4132" s="928">
        <v>100</v>
      </c>
      <c r="E4132" s="929">
        <v>38.200000000000003</v>
      </c>
      <c r="F4132" s="4">
        <f t="shared" si="70"/>
        <v>7.3033707865168579E-2</v>
      </c>
      <c r="G4132" s="37">
        <v>38.1</v>
      </c>
      <c r="H4132" s="930">
        <v>45806</v>
      </c>
    </row>
    <row r="4133" spans="3:8" x14ac:dyDescent="0.25">
      <c r="C4133" s="928">
        <v>7</v>
      </c>
      <c r="D4133" s="928">
        <v>80</v>
      </c>
      <c r="E4133" s="929">
        <v>40</v>
      </c>
      <c r="F4133" s="4">
        <f t="shared" si="70"/>
        <v>6.1007957559681615E-2</v>
      </c>
      <c r="G4133" s="37">
        <v>38.1</v>
      </c>
      <c r="H4133" s="930">
        <v>45806</v>
      </c>
    </row>
    <row r="4134" spans="3:8" x14ac:dyDescent="0.25">
      <c r="C4134" s="928">
        <v>8</v>
      </c>
      <c r="D4134" s="928">
        <v>54</v>
      </c>
      <c r="E4134" s="929">
        <v>32.799999999999997</v>
      </c>
      <c r="F4134" s="4">
        <f t="shared" ref="F4134:F4197" si="71">IFERROR((E4134-E4122)/E4122,"")</f>
        <v>3.797468354430366E-2</v>
      </c>
      <c r="G4134" s="37">
        <v>38.1</v>
      </c>
      <c r="H4134" s="930">
        <v>45806</v>
      </c>
    </row>
    <row r="4135" spans="3:8" x14ac:dyDescent="0.25">
      <c r="C4135" s="928">
        <v>9</v>
      </c>
      <c r="D4135" s="928">
        <v>120</v>
      </c>
      <c r="E4135" s="929"/>
      <c r="F4135" s="4" t="str">
        <f t="shared" si="71"/>
        <v/>
      </c>
      <c r="G4135" s="37">
        <v>38.1</v>
      </c>
      <c r="H4135" s="930">
        <v>45806</v>
      </c>
    </row>
    <row r="4136" spans="3:8" x14ac:dyDescent="0.25">
      <c r="C4136" s="928">
        <v>10</v>
      </c>
      <c r="D4136" s="928">
        <v>116</v>
      </c>
      <c r="E4136" s="929">
        <v>41.6</v>
      </c>
      <c r="F4136" s="4">
        <f t="shared" si="71"/>
        <v>6.1224489795918324E-2</v>
      </c>
      <c r="G4136" s="37">
        <v>38.1</v>
      </c>
      <c r="H4136" s="930">
        <v>45806</v>
      </c>
    </row>
    <row r="4137" spans="3:8" x14ac:dyDescent="0.25">
      <c r="C4137" s="931" t="s">
        <v>0</v>
      </c>
      <c r="D4137" s="931" t="s">
        <v>7</v>
      </c>
      <c r="E4137" s="932" t="s">
        <v>4</v>
      </c>
      <c r="F4137" s="4" t="str">
        <f t="shared" si="71"/>
        <v/>
      </c>
      <c r="G4137" s="37">
        <v>36.4</v>
      </c>
      <c r="H4137" s="933">
        <v>45807</v>
      </c>
    </row>
    <row r="4138" spans="3:8" x14ac:dyDescent="0.25">
      <c r="C4138" s="931">
        <v>51</v>
      </c>
      <c r="D4138" s="931">
        <v>23</v>
      </c>
      <c r="E4138" s="932">
        <v>28.4</v>
      </c>
      <c r="F4138" s="4">
        <f t="shared" si="71"/>
        <v>-8.0906148867313926E-2</v>
      </c>
      <c r="G4138" s="37">
        <v>36.4</v>
      </c>
      <c r="H4138" s="933">
        <v>45807</v>
      </c>
    </row>
    <row r="4139" spans="3:8" x14ac:dyDescent="0.25">
      <c r="C4139" s="931">
        <v>1</v>
      </c>
      <c r="D4139" s="931">
        <v>114</v>
      </c>
      <c r="E4139" s="932">
        <v>45.2</v>
      </c>
      <c r="F4139" s="4">
        <f t="shared" si="71"/>
        <v>-2.7956989247311766E-2</v>
      </c>
      <c r="G4139" s="37">
        <v>36.4</v>
      </c>
      <c r="H4139" s="933">
        <v>45807</v>
      </c>
    </row>
    <row r="4140" spans="3:8" x14ac:dyDescent="0.25">
      <c r="C4140" s="931">
        <v>2</v>
      </c>
      <c r="D4140" s="931">
        <v>45</v>
      </c>
      <c r="E4140" s="932">
        <v>32.200000000000003</v>
      </c>
      <c r="F4140" s="4">
        <f t="shared" si="71"/>
        <v>-9.2957746478873157E-2</v>
      </c>
      <c r="G4140" s="37">
        <v>36.4</v>
      </c>
      <c r="H4140" s="933">
        <v>45807</v>
      </c>
    </row>
    <row r="4141" spans="3:8" x14ac:dyDescent="0.25">
      <c r="C4141" s="931">
        <v>3</v>
      </c>
      <c r="D4141" s="931">
        <v>67</v>
      </c>
      <c r="E4141" s="932">
        <v>33.200000000000003</v>
      </c>
      <c r="F4141" s="4">
        <f t="shared" si="71"/>
        <v>-3.206997084548089E-2</v>
      </c>
      <c r="G4141" s="37">
        <v>36.4</v>
      </c>
      <c r="H4141" s="933">
        <v>45807</v>
      </c>
    </row>
    <row r="4142" spans="3:8" x14ac:dyDescent="0.25">
      <c r="C4142" s="931">
        <v>4</v>
      </c>
      <c r="D4142" s="931">
        <v>0</v>
      </c>
      <c r="E4142" s="932"/>
      <c r="F4142" s="4" t="str">
        <f t="shared" si="71"/>
        <v/>
      </c>
      <c r="G4142" s="37">
        <v>36.4</v>
      </c>
      <c r="H4142" s="933">
        <v>45807</v>
      </c>
    </row>
    <row r="4143" spans="3:8" x14ac:dyDescent="0.25">
      <c r="C4143" s="931">
        <v>5</v>
      </c>
      <c r="D4143" s="931">
        <v>87</v>
      </c>
      <c r="E4143" s="932">
        <v>24.8</v>
      </c>
      <c r="F4143" s="4">
        <f t="shared" si="71"/>
        <v>-8.4870848708487101E-2</v>
      </c>
      <c r="G4143" s="37">
        <v>36.4</v>
      </c>
      <c r="H4143" s="933">
        <v>45807</v>
      </c>
    </row>
    <row r="4144" spans="3:8" x14ac:dyDescent="0.25">
      <c r="C4144" s="931">
        <v>6</v>
      </c>
      <c r="D4144" s="931">
        <v>100</v>
      </c>
      <c r="E4144" s="932">
        <v>37</v>
      </c>
      <c r="F4144" s="4">
        <f t="shared" si="71"/>
        <v>-3.1413612565445101E-2</v>
      </c>
      <c r="G4144" s="37">
        <v>36.4</v>
      </c>
      <c r="H4144" s="933">
        <v>45807</v>
      </c>
    </row>
    <row r="4145" spans="3:8" x14ac:dyDescent="0.25">
      <c r="C4145" s="931">
        <v>7</v>
      </c>
      <c r="D4145" s="931">
        <v>80</v>
      </c>
      <c r="E4145" s="932">
        <v>37.6</v>
      </c>
      <c r="F4145" s="4">
        <f t="shared" si="71"/>
        <v>-5.9999999999999963E-2</v>
      </c>
      <c r="G4145" s="37">
        <v>36.4</v>
      </c>
      <c r="H4145" s="933">
        <v>45807</v>
      </c>
    </row>
    <row r="4146" spans="3:8" x14ac:dyDescent="0.25">
      <c r="C4146" s="931">
        <v>8</v>
      </c>
      <c r="D4146" s="931">
        <v>54</v>
      </c>
      <c r="E4146" s="932">
        <v>32.5</v>
      </c>
      <c r="F4146" s="4">
        <f t="shared" si="71"/>
        <v>-9.1463414634145486E-3</v>
      </c>
      <c r="G4146" s="37">
        <v>36.4</v>
      </c>
      <c r="H4146" s="933">
        <v>45807</v>
      </c>
    </row>
    <row r="4147" spans="3:8" x14ac:dyDescent="0.25">
      <c r="C4147" s="931">
        <v>9</v>
      </c>
      <c r="D4147" s="931">
        <v>120</v>
      </c>
      <c r="E4147" s="932">
        <v>32.299999999999997</v>
      </c>
      <c r="F4147" s="4" t="str">
        <f t="shared" si="71"/>
        <v/>
      </c>
      <c r="G4147" s="37">
        <v>36.4</v>
      </c>
      <c r="H4147" s="933">
        <v>45807</v>
      </c>
    </row>
    <row r="4148" spans="3:8" x14ac:dyDescent="0.25">
      <c r="C4148" s="931">
        <v>10</v>
      </c>
      <c r="D4148" s="931">
        <v>116</v>
      </c>
      <c r="E4148" s="932">
        <v>38.799999999999997</v>
      </c>
      <c r="F4148" s="4">
        <f t="shared" si="71"/>
        <v>-6.7307692307692402E-2</v>
      </c>
      <c r="G4148" s="37">
        <v>36.4</v>
      </c>
      <c r="H4148" s="933">
        <v>45807</v>
      </c>
    </row>
    <row r="4149" spans="3:8" x14ac:dyDescent="0.25">
      <c r="C4149" s="934" t="s">
        <v>0</v>
      </c>
      <c r="D4149" s="934" t="s">
        <v>7</v>
      </c>
      <c r="E4149" s="935" t="s">
        <v>4</v>
      </c>
      <c r="F4149" s="4" t="str">
        <f t="shared" si="71"/>
        <v/>
      </c>
      <c r="G4149" s="37">
        <v>38.299999999999997</v>
      </c>
      <c r="H4149" s="936">
        <v>45808</v>
      </c>
    </row>
    <row r="4150" spans="3:8" x14ac:dyDescent="0.25">
      <c r="C4150" s="934">
        <v>51</v>
      </c>
      <c r="D4150" s="934">
        <v>13</v>
      </c>
      <c r="E4150" s="935">
        <v>30.2</v>
      </c>
      <c r="F4150" s="4">
        <f>IFERROR((E4150-E4138)/E4138,"")</f>
        <v>6.3380281690140872E-2</v>
      </c>
      <c r="G4150" s="37">
        <v>38.299999999999997</v>
      </c>
      <c r="H4150" s="936">
        <v>45808</v>
      </c>
    </row>
    <row r="4151" spans="3:8" x14ac:dyDescent="0.25">
      <c r="C4151" s="934">
        <v>1</v>
      </c>
      <c r="D4151" s="934">
        <v>120</v>
      </c>
      <c r="E4151" s="935">
        <v>43.8</v>
      </c>
      <c r="F4151" s="4">
        <f t="shared" si="71"/>
        <v>-3.0973451327433753E-2</v>
      </c>
      <c r="G4151" s="37">
        <v>38.299999999999997</v>
      </c>
      <c r="H4151" s="936">
        <v>45808</v>
      </c>
    </row>
    <row r="4152" spans="3:8" x14ac:dyDescent="0.25">
      <c r="C4152" s="934">
        <v>2</v>
      </c>
      <c r="D4152" s="934">
        <v>41</v>
      </c>
      <c r="E4152" s="935">
        <v>33.1</v>
      </c>
      <c r="F4152" s="4">
        <f t="shared" si="71"/>
        <v>2.7950310559006163E-2</v>
      </c>
      <c r="G4152" s="37">
        <v>38.299999999999997</v>
      </c>
      <c r="H4152" s="936">
        <v>45808</v>
      </c>
    </row>
    <row r="4153" spans="3:8" x14ac:dyDescent="0.25">
      <c r="C4153" s="934">
        <v>3</v>
      </c>
      <c r="D4153" s="934">
        <v>65</v>
      </c>
      <c r="E4153" s="935">
        <v>34.200000000000003</v>
      </c>
      <c r="F4153" s="4">
        <f t="shared" si="71"/>
        <v>3.012048192771084E-2</v>
      </c>
      <c r="G4153" s="37">
        <v>38.299999999999997</v>
      </c>
      <c r="H4153" s="936">
        <v>45808</v>
      </c>
    </row>
    <row r="4154" spans="3:8" x14ac:dyDescent="0.25">
      <c r="C4154" s="934">
        <v>4</v>
      </c>
      <c r="D4154" s="934">
        <v>0</v>
      </c>
      <c r="E4154" s="935"/>
      <c r="F4154" s="4" t="str">
        <f t="shared" si="71"/>
        <v/>
      </c>
      <c r="G4154" s="37">
        <v>38.299999999999997</v>
      </c>
      <c r="H4154" s="936">
        <v>45808</v>
      </c>
    </row>
    <row r="4155" spans="3:8" x14ac:dyDescent="0.25">
      <c r="C4155" s="934">
        <v>5</v>
      </c>
      <c r="D4155" s="934">
        <v>94</v>
      </c>
      <c r="E4155" s="935">
        <v>27.1</v>
      </c>
      <c r="F4155" s="4">
        <f t="shared" si="71"/>
        <v>9.2741935483870996E-2</v>
      </c>
      <c r="G4155" s="37">
        <v>38.299999999999997</v>
      </c>
      <c r="H4155" s="936">
        <v>45808</v>
      </c>
    </row>
    <row r="4156" spans="3:8" x14ac:dyDescent="0.25">
      <c r="C4156" s="934">
        <v>6</v>
      </c>
      <c r="D4156" s="934">
        <v>99</v>
      </c>
      <c r="E4156" s="935">
        <v>38.700000000000003</v>
      </c>
      <c r="F4156" s="4">
        <f t="shared" si="71"/>
        <v>4.5945945945946025E-2</v>
      </c>
      <c r="G4156" s="37">
        <v>38.299999999999997</v>
      </c>
      <c r="H4156" s="936">
        <v>45808</v>
      </c>
    </row>
    <row r="4157" spans="3:8" x14ac:dyDescent="0.25">
      <c r="C4157" s="934">
        <v>7</v>
      </c>
      <c r="D4157" s="934">
        <v>79</v>
      </c>
      <c r="E4157" s="935">
        <v>38.299999999999997</v>
      </c>
      <c r="F4157" s="4">
        <f t="shared" si="71"/>
        <v>1.8617021276595629E-2</v>
      </c>
      <c r="G4157" s="37">
        <v>38.299999999999997</v>
      </c>
      <c r="H4157" s="936">
        <v>45808</v>
      </c>
    </row>
    <row r="4158" spans="3:8" x14ac:dyDescent="0.25">
      <c r="C4158" s="934">
        <v>8</v>
      </c>
      <c r="D4158" s="934">
        <v>57</v>
      </c>
      <c r="E4158" s="935">
        <v>33.200000000000003</v>
      </c>
      <c r="F4158" s="4">
        <f t="shared" si="71"/>
        <v>2.1538461538461624E-2</v>
      </c>
      <c r="G4158" s="37">
        <v>38.299999999999997</v>
      </c>
      <c r="H4158" s="936">
        <v>45808</v>
      </c>
    </row>
    <row r="4159" spans="3:8" x14ac:dyDescent="0.25">
      <c r="C4159" s="934">
        <v>9</v>
      </c>
      <c r="D4159" s="934">
        <v>120</v>
      </c>
      <c r="E4159" s="935">
        <v>38.299999999999997</v>
      </c>
      <c r="F4159" s="4">
        <f t="shared" si="71"/>
        <v>0.18575851393188855</v>
      </c>
      <c r="G4159" s="37">
        <v>38.299999999999997</v>
      </c>
      <c r="H4159" s="936">
        <v>45808</v>
      </c>
    </row>
    <row r="4160" spans="3:8" x14ac:dyDescent="0.25">
      <c r="C4160" s="934">
        <v>10</v>
      </c>
      <c r="D4160" s="934">
        <v>116</v>
      </c>
      <c r="E4160" s="935">
        <v>41.8</v>
      </c>
      <c r="F4160" s="4">
        <f t="shared" si="71"/>
        <v>7.7319587628865982E-2</v>
      </c>
      <c r="G4160" s="37">
        <v>38.299999999999997</v>
      </c>
      <c r="H4160" s="936">
        <v>45808</v>
      </c>
    </row>
    <row r="4161" spans="3:8" x14ac:dyDescent="0.25">
      <c r="C4161" s="937" t="s">
        <v>0</v>
      </c>
      <c r="D4161" s="937" t="s">
        <v>7</v>
      </c>
      <c r="E4161" s="938" t="s">
        <v>4</v>
      </c>
      <c r="F4161" s="4" t="str">
        <f t="shared" si="71"/>
        <v/>
      </c>
      <c r="G4161" s="37">
        <v>39</v>
      </c>
      <c r="H4161" s="936">
        <v>45809</v>
      </c>
    </row>
    <row r="4162" spans="3:8" x14ac:dyDescent="0.25">
      <c r="C4162" s="937">
        <v>51</v>
      </c>
      <c r="D4162" s="937">
        <v>15</v>
      </c>
      <c r="E4162" s="938">
        <v>23.9</v>
      </c>
      <c r="F4162" s="4">
        <f t="shared" si="71"/>
        <v>-0.20860927152317885</v>
      </c>
      <c r="G4162" s="37">
        <v>39</v>
      </c>
      <c r="H4162" s="936">
        <v>45809</v>
      </c>
    </row>
    <row r="4163" spans="3:8" x14ac:dyDescent="0.25">
      <c r="C4163" s="937">
        <v>1</v>
      </c>
      <c r="D4163" s="937">
        <v>120</v>
      </c>
      <c r="E4163" s="938">
        <v>41.5</v>
      </c>
      <c r="F4163" s="4">
        <f t="shared" si="71"/>
        <v>-5.2511415525114097E-2</v>
      </c>
      <c r="G4163" s="37">
        <v>39</v>
      </c>
      <c r="H4163" s="936">
        <v>45809</v>
      </c>
    </row>
    <row r="4164" spans="3:8" x14ac:dyDescent="0.25">
      <c r="C4164" s="937">
        <v>2</v>
      </c>
      <c r="D4164" s="937">
        <v>42</v>
      </c>
      <c r="E4164" s="938">
        <v>32.5</v>
      </c>
      <c r="F4164" s="4">
        <f t="shared" si="71"/>
        <v>-1.8126888217522702E-2</v>
      </c>
      <c r="G4164" s="37">
        <v>39</v>
      </c>
      <c r="H4164" s="936">
        <v>45809</v>
      </c>
    </row>
    <row r="4165" spans="3:8" x14ac:dyDescent="0.25">
      <c r="C4165" s="937">
        <v>3</v>
      </c>
      <c r="D4165" s="937">
        <v>65</v>
      </c>
      <c r="E4165" s="938">
        <v>30.5</v>
      </c>
      <c r="F4165" s="4">
        <f t="shared" si="71"/>
        <v>-0.10818713450292405</v>
      </c>
      <c r="G4165" s="37">
        <v>39</v>
      </c>
      <c r="H4165" s="936">
        <v>45809</v>
      </c>
    </row>
    <row r="4166" spans="3:8" x14ac:dyDescent="0.25">
      <c r="C4166" s="937">
        <v>4</v>
      </c>
      <c r="D4166" s="937">
        <v>0</v>
      </c>
      <c r="E4166" s="938"/>
      <c r="F4166" s="4" t="str">
        <f t="shared" si="71"/>
        <v/>
      </c>
      <c r="G4166" s="37">
        <v>39</v>
      </c>
      <c r="H4166" s="936">
        <v>45809</v>
      </c>
    </row>
    <row r="4167" spans="3:8" x14ac:dyDescent="0.25">
      <c r="C4167" s="937">
        <v>5</v>
      </c>
      <c r="D4167" s="937">
        <v>94</v>
      </c>
      <c r="E4167" s="938">
        <v>26.6</v>
      </c>
      <c r="F4167" s="4">
        <f t="shared" si="71"/>
        <v>-1.8450184501845018E-2</v>
      </c>
      <c r="G4167" s="37">
        <v>39</v>
      </c>
      <c r="H4167" s="936">
        <v>45809</v>
      </c>
    </row>
    <row r="4168" spans="3:8" x14ac:dyDescent="0.25">
      <c r="C4168" s="937">
        <v>6</v>
      </c>
      <c r="D4168" s="937">
        <v>99</v>
      </c>
      <c r="E4168" s="938">
        <v>39.299999999999997</v>
      </c>
      <c r="F4168" s="4">
        <f t="shared" si="71"/>
        <v>1.55038759689921E-2</v>
      </c>
      <c r="G4168" s="37">
        <v>39</v>
      </c>
      <c r="H4168" s="936">
        <v>45809</v>
      </c>
    </row>
    <row r="4169" spans="3:8" x14ac:dyDescent="0.25">
      <c r="C4169" s="937">
        <v>7</v>
      </c>
      <c r="D4169" s="937">
        <v>79</v>
      </c>
      <c r="E4169" s="938">
        <v>37.4</v>
      </c>
      <c r="F4169" s="4">
        <f t="shared" si="71"/>
        <v>-2.3498694516971244E-2</v>
      </c>
      <c r="G4169" s="37">
        <v>39</v>
      </c>
      <c r="H4169" s="936">
        <v>45809</v>
      </c>
    </row>
    <row r="4170" spans="3:8" x14ac:dyDescent="0.25">
      <c r="C4170" s="937">
        <v>8</v>
      </c>
      <c r="D4170" s="937">
        <v>57</v>
      </c>
      <c r="E4170" s="938">
        <v>28</v>
      </c>
      <c r="F4170" s="4">
        <f t="shared" si="71"/>
        <v>-0.15662650602409645</v>
      </c>
      <c r="G4170" s="37">
        <v>39</v>
      </c>
      <c r="H4170" s="936">
        <v>45809</v>
      </c>
    </row>
    <row r="4171" spans="3:8" x14ac:dyDescent="0.25">
      <c r="C4171" s="937">
        <v>9</v>
      </c>
      <c r="D4171" s="937">
        <v>120</v>
      </c>
      <c r="E4171" s="938">
        <v>33.9</v>
      </c>
      <c r="F4171" s="4">
        <f t="shared" si="71"/>
        <v>-0.11488250652741512</v>
      </c>
      <c r="G4171" s="37">
        <v>39</v>
      </c>
      <c r="H4171" s="936">
        <v>45809</v>
      </c>
    </row>
    <row r="4172" spans="3:8" x14ac:dyDescent="0.25">
      <c r="C4172" s="937">
        <v>10</v>
      </c>
      <c r="D4172" s="937">
        <v>116</v>
      </c>
      <c r="E4172" s="938">
        <v>38.200000000000003</v>
      </c>
      <c r="F4172" s="4">
        <f t="shared" si="71"/>
        <v>-8.6124401913875465E-2</v>
      </c>
      <c r="G4172" s="37">
        <v>39</v>
      </c>
      <c r="H4172" s="936">
        <v>45809</v>
      </c>
    </row>
    <row r="4173" spans="3:8" x14ac:dyDescent="0.25">
      <c r="C4173" s="939" t="s">
        <v>0</v>
      </c>
      <c r="D4173" s="939" t="s">
        <v>7</v>
      </c>
      <c r="E4173" s="940" t="s">
        <v>4</v>
      </c>
      <c r="F4173" s="4" t="str">
        <f t="shared" si="71"/>
        <v/>
      </c>
      <c r="G4173" s="37">
        <v>37.9</v>
      </c>
      <c r="H4173" s="941">
        <v>45810</v>
      </c>
    </row>
    <row r="4174" spans="3:8" x14ac:dyDescent="0.25">
      <c r="C4174" s="939">
        <v>51</v>
      </c>
      <c r="D4174" s="939">
        <v>16</v>
      </c>
      <c r="E4174" s="940">
        <v>25.2</v>
      </c>
      <c r="F4174" s="4">
        <f t="shared" si="71"/>
        <v>5.4393305439330575E-2</v>
      </c>
      <c r="G4174" s="37">
        <v>37.9</v>
      </c>
      <c r="H4174" s="941">
        <v>45810</v>
      </c>
    </row>
    <row r="4175" spans="3:8" x14ac:dyDescent="0.25">
      <c r="C4175" s="939">
        <v>1</v>
      </c>
      <c r="D4175" s="939">
        <v>120</v>
      </c>
      <c r="E4175" s="940">
        <v>44.8</v>
      </c>
      <c r="F4175" s="4">
        <f t="shared" si="71"/>
        <v>7.9518072289156555E-2</v>
      </c>
      <c r="G4175" s="37">
        <v>37.9</v>
      </c>
      <c r="H4175" s="941">
        <v>45810</v>
      </c>
    </row>
    <row r="4176" spans="3:8" x14ac:dyDescent="0.25">
      <c r="C4176" s="939">
        <v>2</v>
      </c>
      <c r="D4176" s="939">
        <v>42</v>
      </c>
      <c r="E4176" s="940">
        <v>34.1</v>
      </c>
      <c r="F4176" s="4">
        <f t="shared" si="71"/>
        <v>4.9230769230769272E-2</v>
      </c>
      <c r="G4176" s="37">
        <v>37.9</v>
      </c>
      <c r="H4176" s="941">
        <v>45810</v>
      </c>
    </row>
    <row r="4177" spans="3:8" x14ac:dyDescent="0.25">
      <c r="C4177" s="939">
        <v>3</v>
      </c>
      <c r="D4177" s="939">
        <v>66</v>
      </c>
      <c r="E4177" s="940">
        <v>33.799999999999997</v>
      </c>
      <c r="F4177" s="4">
        <f t="shared" si="71"/>
        <v>0.10819672131147531</v>
      </c>
      <c r="G4177" s="37">
        <v>37.9</v>
      </c>
      <c r="H4177" s="941">
        <v>45810</v>
      </c>
    </row>
    <row r="4178" spans="3:8" x14ac:dyDescent="0.25">
      <c r="C4178" s="939">
        <v>4</v>
      </c>
      <c r="D4178" s="939">
        <v>0</v>
      </c>
      <c r="E4178" s="940"/>
      <c r="F4178" s="4" t="str">
        <f t="shared" si="71"/>
        <v/>
      </c>
      <c r="G4178" s="37">
        <v>37.9</v>
      </c>
      <c r="H4178" s="941">
        <v>45810</v>
      </c>
    </row>
    <row r="4179" spans="3:8" x14ac:dyDescent="0.25">
      <c r="C4179" s="939">
        <v>5</v>
      </c>
      <c r="D4179" s="939">
        <v>93</v>
      </c>
      <c r="E4179" s="940">
        <v>26.9</v>
      </c>
      <c r="F4179" s="4">
        <f t="shared" si="71"/>
        <v>1.1278195488721696E-2</v>
      </c>
      <c r="G4179" s="37">
        <v>37.9</v>
      </c>
      <c r="H4179" s="941">
        <v>45810</v>
      </c>
    </row>
    <row r="4180" spans="3:8" x14ac:dyDescent="0.25">
      <c r="C4180" s="939">
        <v>6</v>
      </c>
      <c r="D4180" s="939">
        <v>100</v>
      </c>
      <c r="E4180" s="940">
        <v>37.6</v>
      </c>
      <c r="F4180" s="4">
        <f t="shared" si="71"/>
        <v>-4.3256997455470632E-2</v>
      </c>
      <c r="G4180" s="37">
        <v>37.9</v>
      </c>
      <c r="H4180" s="941">
        <v>45810</v>
      </c>
    </row>
    <row r="4181" spans="3:8" x14ac:dyDescent="0.25">
      <c r="C4181" s="939">
        <v>7</v>
      </c>
      <c r="D4181" s="939">
        <v>79</v>
      </c>
      <c r="E4181" s="940">
        <v>38.1</v>
      </c>
      <c r="F4181" s="4">
        <f t="shared" si="71"/>
        <v>1.871657754010703E-2</v>
      </c>
      <c r="G4181" s="37">
        <v>37.9</v>
      </c>
      <c r="H4181" s="941">
        <v>45810</v>
      </c>
    </row>
    <row r="4182" spans="3:8" x14ac:dyDescent="0.25">
      <c r="C4182" s="939">
        <v>8</v>
      </c>
      <c r="D4182" s="939">
        <v>57</v>
      </c>
      <c r="E4182" s="940">
        <v>34.299999999999997</v>
      </c>
      <c r="F4182" s="4">
        <f t="shared" si="71"/>
        <v>0.22499999999999989</v>
      </c>
      <c r="G4182" s="37">
        <v>37.9</v>
      </c>
      <c r="H4182" s="941">
        <v>45810</v>
      </c>
    </row>
    <row r="4183" spans="3:8" x14ac:dyDescent="0.25">
      <c r="C4183" s="939">
        <v>9</v>
      </c>
      <c r="D4183" s="939">
        <v>120</v>
      </c>
      <c r="E4183" s="940">
        <v>39.299999999999997</v>
      </c>
      <c r="F4183" s="4">
        <f t="shared" si="71"/>
        <v>0.15929203539823006</v>
      </c>
      <c r="G4183" s="37">
        <v>37.9</v>
      </c>
      <c r="H4183" s="941">
        <v>45810</v>
      </c>
    </row>
    <row r="4184" spans="3:8" x14ac:dyDescent="0.25">
      <c r="C4184" s="939">
        <v>10</v>
      </c>
      <c r="D4184" s="939">
        <v>116</v>
      </c>
      <c r="E4184" s="940">
        <v>39.1</v>
      </c>
      <c r="F4184" s="4">
        <f t="shared" si="71"/>
        <v>2.3560209424083732E-2</v>
      </c>
      <c r="G4184" s="37">
        <v>37.9</v>
      </c>
      <c r="H4184" s="941">
        <v>45810</v>
      </c>
    </row>
    <row r="4185" spans="3:8" x14ac:dyDescent="0.25">
      <c r="C4185" s="942" t="s">
        <v>0</v>
      </c>
      <c r="D4185" s="942" t="s">
        <v>7</v>
      </c>
      <c r="E4185" s="943" t="s">
        <v>4</v>
      </c>
      <c r="F4185" s="4" t="str">
        <f t="shared" si="71"/>
        <v/>
      </c>
      <c r="G4185" s="37">
        <v>37.200000000000003</v>
      </c>
      <c r="H4185" s="944">
        <v>45811</v>
      </c>
    </row>
    <row r="4186" spans="3:8" x14ac:dyDescent="0.25">
      <c r="C4186" s="942">
        <v>51</v>
      </c>
      <c r="D4186" s="942">
        <v>20</v>
      </c>
      <c r="E4186" s="943">
        <v>23.8</v>
      </c>
      <c r="F4186" s="4">
        <f t="shared" si="71"/>
        <v>-5.5555555555555504E-2</v>
      </c>
      <c r="G4186" s="37">
        <v>37.200000000000003</v>
      </c>
      <c r="H4186" s="944">
        <v>45811</v>
      </c>
    </row>
    <row r="4187" spans="3:8" x14ac:dyDescent="0.25">
      <c r="C4187" s="942">
        <v>1</v>
      </c>
      <c r="D4187" s="942">
        <v>120</v>
      </c>
      <c r="E4187" s="943">
        <v>44.8</v>
      </c>
      <c r="F4187" s="4">
        <f t="shared" si="71"/>
        <v>0</v>
      </c>
      <c r="G4187" s="37">
        <v>37.200000000000003</v>
      </c>
      <c r="H4187" s="944">
        <v>45811</v>
      </c>
    </row>
    <row r="4188" spans="3:8" x14ac:dyDescent="0.25">
      <c r="C4188" s="942">
        <v>2</v>
      </c>
      <c r="D4188" s="942">
        <v>42</v>
      </c>
      <c r="E4188" s="943">
        <v>33.9</v>
      </c>
      <c r="F4188" s="4">
        <f t="shared" si="71"/>
        <v>-5.8651026392962709E-3</v>
      </c>
      <c r="G4188" s="37">
        <v>37.200000000000003</v>
      </c>
      <c r="H4188" s="944">
        <v>45811</v>
      </c>
    </row>
    <row r="4189" spans="3:8" x14ac:dyDescent="0.25">
      <c r="C4189" s="942">
        <v>3</v>
      </c>
      <c r="D4189" s="942">
        <v>66</v>
      </c>
      <c r="E4189" s="943">
        <v>33.299999999999997</v>
      </c>
      <c r="F4189" s="4">
        <f t="shared" si="71"/>
        <v>-1.4792899408284025E-2</v>
      </c>
      <c r="G4189" s="37">
        <v>37.200000000000003</v>
      </c>
      <c r="H4189" s="944">
        <v>45811</v>
      </c>
    </row>
    <row r="4190" spans="3:8" x14ac:dyDescent="0.25">
      <c r="C4190" s="942">
        <v>4</v>
      </c>
      <c r="D4190" s="942">
        <v>0</v>
      </c>
      <c r="E4190" s="943"/>
      <c r="F4190" s="4" t="str">
        <f t="shared" si="71"/>
        <v/>
      </c>
      <c r="G4190" s="37">
        <v>37.200000000000003</v>
      </c>
      <c r="H4190" s="944">
        <v>45811</v>
      </c>
    </row>
    <row r="4191" spans="3:8" x14ac:dyDescent="0.25">
      <c r="C4191" s="942">
        <v>5</v>
      </c>
      <c r="D4191" s="942">
        <v>93</v>
      </c>
      <c r="E4191" s="943">
        <v>26.5</v>
      </c>
      <c r="F4191" s="4">
        <f t="shared" si="71"/>
        <v>-1.4869888475836378E-2</v>
      </c>
      <c r="G4191" s="37">
        <v>37.200000000000003</v>
      </c>
      <c r="H4191" s="944">
        <v>45811</v>
      </c>
    </row>
    <row r="4192" spans="3:8" x14ac:dyDescent="0.25">
      <c r="C4192" s="942">
        <v>6</v>
      </c>
      <c r="D4192" s="942">
        <v>94</v>
      </c>
      <c r="E4192" s="943">
        <v>36.6</v>
      </c>
      <c r="F4192" s="4">
        <f t="shared" si="71"/>
        <v>-2.6595744680851064E-2</v>
      </c>
      <c r="G4192" s="37">
        <v>37.200000000000003</v>
      </c>
      <c r="H4192" s="944">
        <v>45811</v>
      </c>
    </row>
    <row r="4193" spans="3:8" x14ac:dyDescent="0.25">
      <c r="C4193" s="942">
        <v>7</v>
      </c>
      <c r="D4193" s="942">
        <v>79</v>
      </c>
      <c r="E4193" s="943">
        <v>36.799999999999997</v>
      </c>
      <c r="F4193" s="4">
        <f t="shared" si="71"/>
        <v>-3.4120734908136593E-2</v>
      </c>
      <c r="G4193" s="37">
        <v>37.200000000000003</v>
      </c>
      <c r="H4193" s="944">
        <v>45811</v>
      </c>
    </row>
    <row r="4194" spans="3:8" x14ac:dyDescent="0.25">
      <c r="C4194" s="942">
        <v>8</v>
      </c>
      <c r="D4194" s="942">
        <v>63</v>
      </c>
      <c r="E4194" s="943">
        <v>32.799999999999997</v>
      </c>
      <c r="F4194" s="4">
        <f t="shared" si="71"/>
        <v>-4.3731778425655982E-2</v>
      </c>
      <c r="G4194" s="37">
        <v>37.200000000000003</v>
      </c>
      <c r="H4194" s="944">
        <v>45811</v>
      </c>
    </row>
    <row r="4195" spans="3:8" x14ac:dyDescent="0.25">
      <c r="C4195" s="942">
        <v>9</v>
      </c>
      <c r="D4195" s="942">
        <v>119</v>
      </c>
      <c r="E4195" s="943">
        <v>37.6</v>
      </c>
      <c r="F4195" s="4">
        <f t="shared" si="71"/>
        <v>-4.3256997455470632E-2</v>
      </c>
      <c r="G4195" s="37">
        <v>37.200000000000003</v>
      </c>
      <c r="H4195" s="944">
        <v>45811</v>
      </c>
    </row>
    <row r="4196" spans="3:8" x14ac:dyDescent="0.25">
      <c r="C4196" s="942">
        <v>10</v>
      </c>
      <c r="D4196" s="942">
        <v>115</v>
      </c>
      <c r="E4196" s="943">
        <v>39.799999999999997</v>
      </c>
      <c r="F4196" s="4">
        <f t="shared" si="71"/>
        <v>1.7902813299232628E-2</v>
      </c>
      <c r="G4196" s="37">
        <v>37.200000000000003</v>
      </c>
      <c r="H4196" s="944">
        <v>45811</v>
      </c>
    </row>
    <row r="4197" spans="3:8" x14ac:dyDescent="0.25">
      <c r="C4197" s="945" t="s">
        <v>0</v>
      </c>
      <c r="D4197" s="945" t="s">
        <v>7</v>
      </c>
      <c r="E4197" s="946" t="s">
        <v>4</v>
      </c>
      <c r="F4197" s="4" t="str">
        <f t="shared" si="71"/>
        <v/>
      </c>
      <c r="G4197" s="37">
        <v>38.799999999999997</v>
      </c>
      <c r="H4197" s="947">
        <v>45812</v>
      </c>
    </row>
    <row r="4198" spans="3:8" x14ac:dyDescent="0.25">
      <c r="C4198" s="945">
        <v>51</v>
      </c>
      <c r="D4198" s="945">
        <v>18</v>
      </c>
      <c r="E4198" s="946">
        <v>28.3</v>
      </c>
      <c r="F4198" s="4">
        <f>IFERROR((E4198-E4186)/E4186,"")</f>
        <v>0.18907563025210083</v>
      </c>
      <c r="G4198" s="37">
        <v>38.799999999999997</v>
      </c>
      <c r="H4198" s="947">
        <v>45812</v>
      </c>
    </row>
    <row r="4199" spans="3:8" x14ac:dyDescent="0.25">
      <c r="C4199" s="945">
        <v>1</v>
      </c>
      <c r="D4199" s="945">
        <v>120</v>
      </c>
      <c r="E4199" s="946">
        <v>42.9</v>
      </c>
      <c r="F4199" s="4">
        <f t="shared" ref="F4199:F4262" si="72">IFERROR((E4199-E4187)/E4187,"")</f>
        <v>-4.241071428571426E-2</v>
      </c>
      <c r="G4199" s="37">
        <v>38.799999999999997</v>
      </c>
      <c r="H4199" s="947">
        <v>45812</v>
      </c>
    </row>
    <row r="4200" spans="3:8" x14ac:dyDescent="0.25">
      <c r="C4200" s="945">
        <v>2</v>
      </c>
      <c r="D4200" s="945">
        <v>43</v>
      </c>
      <c r="E4200" s="946">
        <v>33.9</v>
      </c>
      <c r="F4200" s="4">
        <f t="shared" si="72"/>
        <v>0</v>
      </c>
      <c r="G4200" s="37">
        <v>38.799999999999997</v>
      </c>
      <c r="H4200" s="947">
        <v>45812</v>
      </c>
    </row>
    <row r="4201" spans="3:8" x14ac:dyDescent="0.25">
      <c r="C4201" s="945">
        <v>3</v>
      </c>
      <c r="D4201" s="945">
        <v>66</v>
      </c>
      <c r="E4201" s="946">
        <v>32.5</v>
      </c>
      <c r="F4201" s="4">
        <f t="shared" si="72"/>
        <v>-2.4024024024023941E-2</v>
      </c>
      <c r="G4201" s="37">
        <v>38.799999999999997</v>
      </c>
      <c r="H4201" s="947">
        <v>45812</v>
      </c>
    </row>
    <row r="4202" spans="3:8" x14ac:dyDescent="0.25">
      <c r="C4202" s="945">
        <v>4</v>
      </c>
      <c r="D4202" s="945">
        <v>0</v>
      </c>
      <c r="E4202" s="946"/>
      <c r="F4202" s="4" t="str">
        <f t="shared" si="72"/>
        <v/>
      </c>
      <c r="G4202" s="37">
        <v>38.799999999999997</v>
      </c>
      <c r="H4202" s="947">
        <v>45812</v>
      </c>
    </row>
    <row r="4203" spans="3:8" x14ac:dyDescent="0.25">
      <c r="C4203" s="945">
        <v>5</v>
      </c>
      <c r="D4203" s="945">
        <v>93</v>
      </c>
      <c r="E4203" s="946">
        <v>26.1</v>
      </c>
      <c r="F4203" s="4">
        <f t="shared" si="72"/>
        <v>-1.5094339622641456E-2</v>
      </c>
      <c r="G4203" s="37">
        <v>38.799999999999997</v>
      </c>
      <c r="H4203" s="947">
        <v>45812</v>
      </c>
    </row>
    <row r="4204" spans="3:8" x14ac:dyDescent="0.25">
      <c r="C4204" s="945">
        <v>6</v>
      </c>
      <c r="D4204" s="945">
        <v>95</v>
      </c>
      <c r="E4204" s="946">
        <v>39.299999999999997</v>
      </c>
      <c r="F4204" s="4">
        <f t="shared" si="72"/>
        <v>7.3770491803278562E-2</v>
      </c>
      <c r="G4204" s="37">
        <v>38.799999999999997</v>
      </c>
      <c r="H4204" s="947">
        <v>45812</v>
      </c>
    </row>
    <row r="4205" spans="3:8" x14ac:dyDescent="0.25">
      <c r="C4205" s="945">
        <v>7</v>
      </c>
      <c r="D4205" s="945">
        <v>79</v>
      </c>
      <c r="E4205" s="946">
        <v>37</v>
      </c>
      <c r="F4205" s="4">
        <f t="shared" si="72"/>
        <v>5.4347826086957301E-3</v>
      </c>
      <c r="G4205" s="37">
        <v>38.799999999999997</v>
      </c>
      <c r="H4205" s="947">
        <v>45812</v>
      </c>
    </row>
    <row r="4206" spans="3:8" x14ac:dyDescent="0.25">
      <c r="C4206" s="945">
        <v>8</v>
      </c>
      <c r="D4206" s="945">
        <v>63</v>
      </c>
      <c r="E4206" s="946">
        <v>34</v>
      </c>
      <c r="F4206" s="4">
        <f t="shared" si="72"/>
        <v>3.6585365853658625E-2</v>
      </c>
      <c r="G4206" s="37">
        <v>38.799999999999997</v>
      </c>
      <c r="H4206" s="947">
        <v>45812</v>
      </c>
    </row>
    <row r="4207" spans="3:8" x14ac:dyDescent="0.25">
      <c r="C4207" s="945">
        <v>9</v>
      </c>
      <c r="D4207" s="945">
        <v>119</v>
      </c>
      <c r="E4207" s="946">
        <v>36.299999999999997</v>
      </c>
      <c r="F4207" s="4">
        <f t="shared" si="72"/>
        <v>-3.4574468085106495E-2</v>
      </c>
      <c r="G4207" s="37">
        <v>38.799999999999997</v>
      </c>
      <c r="H4207" s="947">
        <v>45812</v>
      </c>
    </row>
    <row r="4208" spans="3:8" x14ac:dyDescent="0.25">
      <c r="C4208" s="945">
        <v>10</v>
      </c>
      <c r="D4208" s="945">
        <v>115</v>
      </c>
      <c r="E4208" s="946">
        <v>42.8</v>
      </c>
      <c r="F4208" s="4">
        <f t="shared" si="72"/>
        <v>7.537688442211056E-2</v>
      </c>
      <c r="G4208" s="37">
        <v>38.799999999999997</v>
      </c>
      <c r="H4208" s="947">
        <v>45812</v>
      </c>
    </row>
    <row r="4209" spans="3:8" x14ac:dyDescent="0.25">
      <c r="C4209" s="948" t="s">
        <v>0</v>
      </c>
      <c r="D4209" s="948" t="s">
        <v>7</v>
      </c>
      <c r="E4209" s="949" t="s">
        <v>4</v>
      </c>
      <c r="F4209" s="4" t="str">
        <f t="shared" si="72"/>
        <v/>
      </c>
      <c r="G4209" s="37">
        <v>36.799999999999997</v>
      </c>
      <c r="H4209" s="947">
        <v>45813</v>
      </c>
    </row>
    <row r="4210" spans="3:8" x14ac:dyDescent="0.25">
      <c r="C4210" s="948">
        <v>51</v>
      </c>
      <c r="D4210" s="948">
        <v>20</v>
      </c>
      <c r="E4210" s="949">
        <v>27.8</v>
      </c>
      <c r="F4210" s="4">
        <f t="shared" si="72"/>
        <v>-1.7667844522968199E-2</v>
      </c>
      <c r="G4210" s="37">
        <v>36.799999999999997</v>
      </c>
      <c r="H4210" s="947">
        <v>45813</v>
      </c>
    </row>
    <row r="4211" spans="3:8" x14ac:dyDescent="0.25">
      <c r="C4211" s="948">
        <v>1</v>
      </c>
      <c r="D4211" s="948">
        <v>119</v>
      </c>
      <c r="E4211" s="949">
        <v>43.6</v>
      </c>
      <c r="F4211" s="4">
        <f t="shared" si="72"/>
        <v>1.6317016317016386E-2</v>
      </c>
      <c r="G4211" s="37">
        <v>36.799999999999997</v>
      </c>
      <c r="H4211" s="947">
        <v>45813</v>
      </c>
    </row>
    <row r="4212" spans="3:8" x14ac:dyDescent="0.25">
      <c r="C4212" s="948">
        <v>2</v>
      </c>
      <c r="D4212" s="948">
        <v>43</v>
      </c>
      <c r="E4212" s="949">
        <v>33</v>
      </c>
      <c r="F4212" s="4">
        <f t="shared" si="72"/>
        <v>-2.6548672566371639E-2</v>
      </c>
      <c r="G4212" s="37">
        <v>36.799999999999997</v>
      </c>
      <c r="H4212" s="947">
        <v>45813</v>
      </c>
    </row>
    <row r="4213" spans="3:8" x14ac:dyDescent="0.25">
      <c r="C4213" s="948">
        <v>3</v>
      </c>
      <c r="D4213" s="948">
        <v>65</v>
      </c>
      <c r="E4213" s="949">
        <v>30.8</v>
      </c>
      <c r="F4213" s="4">
        <f t="shared" si="72"/>
        <v>-5.2307692307692284E-2</v>
      </c>
      <c r="G4213" s="37">
        <v>36.799999999999997</v>
      </c>
      <c r="H4213" s="947">
        <v>45813</v>
      </c>
    </row>
    <row r="4214" spans="3:8" x14ac:dyDescent="0.25">
      <c r="C4214" s="948">
        <v>4</v>
      </c>
      <c r="D4214" s="948">
        <v>0</v>
      </c>
      <c r="E4214" s="949"/>
      <c r="F4214" s="4" t="str">
        <f t="shared" si="72"/>
        <v/>
      </c>
      <c r="G4214" s="37">
        <v>36.799999999999997</v>
      </c>
      <c r="H4214" s="947">
        <v>45813</v>
      </c>
    </row>
    <row r="4215" spans="3:8" x14ac:dyDescent="0.25">
      <c r="C4215" s="948">
        <v>5</v>
      </c>
      <c r="D4215" s="948">
        <v>93</v>
      </c>
      <c r="E4215" s="949">
        <v>25.6</v>
      </c>
      <c r="F4215" s="4">
        <f t="shared" si="72"/>
        <v>-1.9157088122605363E-2</v>
      </c>
      <c r="G4215" s="37">
        <v>36.799999999999997</v>
      </c>
      <c r="H4215" s="947">
        <v>45813</v>
      </c>
    </row>
    <row r="4216" spans="3:8" x14ac:dyDescent="0.25">
      <c r="C4216" s="948">
        <v>6</v>
      </c>
      <c r="D4216" s="948">
        <v>93</v>
      </c>
      <c r="E4216" s="949">
        <v>37.1</v>
      </c>
      <c r="F4216" s="4">
        <f t="shared" si="72"/>
        <v>-5.5979643765903205E-2</v>
      </c>
      <c r="G4216" s="37">
        <v>36.799999999999997</v>
      </c>
      <c r="H4216" s="947">
        <v>45813</v>
      </c>
    </row>
    <row r="4217" spans="3:8" x14ac:dyDescent="0.25">
      <c r="C4217" s="948">
        <v>7</v>
      </c>
      <c r="D4217" s="948">
        <v>79</v>
      </c>
      <c r="E4217" s="949">
        <v>35.5</v>
      </c>
      <c r="F4217" s="4">
        <f t="shared" si="72"/>
        <v>-4.0540540540540543E-2</v>
      </c>
      <c r="G4217" s="37">
        <v>36.799999999999997</v>
      </c>
      <c r="H4217" s="947">
        <v>45813</v>
      </c>
    </row>
    <row r="4218" spans="3:8" x14ac:dyDescent="0.25">
      <c r="C4218" s="948">
        <v>8</v>
      </c>
      <c r="D4218" s="948">
        <v>63</v>
      </c>
      <c r="E4218" s="949">
        <v>32.299999999999997</v>
      </c>
      <c r="F4218" s="4">
        <f t="shared" si="72"/>
        <v>-5.0000000000000086E-2</v>
      </c>
      <c r="G4218" s="37">
        <v>36.799999999999997</v>
      </c>
      <c r="H4218" s="947">
        <v>45813</v>
      </c>
    </row>
    <row r="4219" spans="3:8" x14ac:dyDescent="0.25">
      <c r="C4219" s="948">
        <v>9</v>
      </c>
      <c r="D4219" s="948">
        <v>119</v>
      </c>
      <c r="E4219" s="949">
        <v>39.5</v>
      </c>
      <c r="F4219" s="4">
        <f t="shared" si="72"/>
        <v>8.8154269972451876E-2</v>
      </c>
      <c r="G4219" s="37">
        <v>36.799999999999997</v>
      </c>
      <c r="H4219" s="947">
        <v>45813</v>
      </c>
    </row>
    <row r="4220" spans="3:8" x14ac:dyDescent="0.25">
      <c r="C4220" s="948">
        <v>10</v>
      </c>
      <c r="D4220" s="948">
        <v>115</v>
      </c>
      <c r="E4220" s="949">
        <v>37.299999999999997</v>
      </c>
      <c r="F4220" s="4">
        <f t="shared" si="72"/>
        <v>-0.12850467289719628</v>
      </c>
      <c r="G4220" s="37">
        <v>36.799999999999997</v>
      </c>
      <c r="H4220" s="947">
        <v>45813</v>
      </c>
    </row>
    <row r="4221" spans="3:8" x14ac:dyDescent="0.25">
      <c r="C4221" s="950" t="s">
        <v>0</v>
      </c>
      <c r="D4221" s="950" t="s">
        <v>7</v>
      </c>
      <c r="E4221" s="951" t="s">
        <v>4</v>
      </c>
      <c r="F4221" s="4" t="str">
        <f t="shared" si="72"/>
        <v/>
      </c>
      <c r="G4221" s="37">
        <v>38.700000000000003</v>
      </c>
      <c r="H4221" s="947">
        <v>45814</v>
      </c>
    </row>
    <row r="4222" spans="3:8" x14ac:dyDescent="0.25">
      <c r="C4222" s="950">
        <v>51</v>
      </c>
      <c r="D4222" s="950">
        <v>21</v>
      </c>
      <c r="E4222" s="951">
        <v>26.8</v>
      </c>
      <c r="F4222" s="4">
        <f t="shared" si="72"/>
        <v>-3.5971223021582732E-2</v>
      </c>
      <c r="G4222" s="37">
        <v>38.700000000000003</v>
      </c>
      <c r="H4222" s="947">
        <v>45814</v>
      </c>
    </row>
    <row r="4223" spans="3:8" x14ac:dyDescent="0.25">
      <c r="C4223" s="950">
        <v>1</v>
      </c>
      <c r="D4223" s="950">
        <v>119</v>
      </c>
      <c r="E4223" s="951">
        <v>45.6</v>
      </c>
      <c r="F4223" s="4">
        <f t="shared" si="72"/>
        <v>4.5871559633027519E-2</v>
      </c>
      <c r="G4223" s="37">
        <v>38.700000000000003</v>
      </c>
      <c r="H4223" s="947">
        <v>45814</v>
      </c>
    </row>
    <row r="4224" spans="3:8" x14ac:dyDescent="0.25">
      <c r="C4224" s="950">
        <v>2</v>
      </c>
      <c r="D4224" s="950">
        <v>43</v>
      </c>
      <c r="E4224" s="951">
        <v>34.700000000000003</v>
      </c>
      <c r="F4224" s="4">
        <f t="shared" si="72"/>
        <v>5.1515151515151604E-2</v>
      </c>
      <c r="G4224" s="37">
        <v>38.700000000000003</v>
      </c>
      <c r="H4224" s="947">
        <v>45814</v>
      </c>
    </row>
    <row r="4225" spans="3:8" x14ac:dyDescent="0.25">
      <c r="C4225" s="950">
        <v>3</v>
      </c>
      <c r="D4225" s="950">
        <v>65</v>
      </c>
      <c r="E4225" s="951">
        <v>34.6</v>
      </c>
      <c r="F4225" s="4">
        <f t="shared" si="72"/>
        <v>0.12337662337662339</v>
      </c>
      <c r="G4225" s="37">
        <v>38.700000000000003</v>
      </c>
      <c r="H4225" s="947">
        <v>45814</v>
      </c>
    </row>
    <row r="4226" spans="3:8" x14ac:dyDescent="0.25">
      <c r="C4226" s="950">
        <v>4</v>
      </c>
      <c r="D4226" s="950">
        <v>0</v>
      </c>
      <c r="E4226" s="951"/>
      <c r="F4226" s="4" t="str">
        <f t="shared" si="72"/>
        <v/>
      </c>
      <c r="G4226" s="37">
        <v>38.700000000000003</v>
      </c>
      <c r="H4226" s="947">
        <v>45814</v>
      </c>
    </row>
    <row r="4227" spans="3:8" x14ac:dyDescent="0.25">
      <c r="C4227" s="950">
        <v>5</v>
      </c>
      <c r="D4227" s="950">
        <v>80</v>
      </c>
      <c r="E4227" s="951">
        <v>23.7</v>
      </c>
      <c r="F4227" s="4">
        <f t="shared" si="72"/>
        <v>-7.4218750000000083E-2</v>
      </c>
      <c r="G4227" s="37">
        <v>38.700000000000003</v>
      </c>
      <c r="H4227" s="947">
        <v>45814</v>
      </c>
    </row>
    <row r="4228" spans="3:8" x14ac:dyDescent="0.25">
      <c r="C4228" s="950">
        <v>6</v>
      </c>
      <c r="D4228" s="950">
        <v>93</v>
      </c>
      <c r="E4228" s="951">
        <v>37.200000000000003</v>
      </c>
      <c r="F4228" s="4">
        <f t="shared" si="72"/>
        <v>2.6954177897574507E-3</v>
      </c>
      <c r="G4228" s="37">
        <v>38.700000000000003</v>
      </c>
      <c r="H4228" s="947">
        <v>45814</v>
      </c>
    </row>
    <row r="4229" spans="3:8" x14ac:dyDescent="0.25">
      <c r="C4229" s="950">
        <v>7</v>
      </c>
      <c r="D4229" s="950">
        <v>79</v>
      </c>
      <c r="E4229" s="951">
        <v>38.5</v>
      </c>
      <c r="F4229" s="4">
        <f t="shared" si="72"/>
        <v>8.4507042253521125E-2</v>
      </c>
      <c r="G4229" s="37">
        <v>38.700000000000003</v>
      </c>
      <c r="H4229" s="947">
        <v>45814</v>
      </c>
    </row>
    <row r="4230" spans="3:8" x14ac:dyDescent="0.25">
      <c r="C4230" s="950">
        <v>8</v>
      </c>
      <c r="D4230" s="950">
        <v>63</v>
      </c>
      <c r="E4230" s="951">
        <v>33.200000000000003</v>
      </c>
      <c r="F4230" s="4">
        <f t="shared" si="72"/>
        <v>2.7863777089783461E-2</v>
      </c>
      <c r="G4230" s="37">
        <v>38.700000000000003</v>
      </c>
      <c r="H4230" s="947">
        <v>45814</v>
      </c>
    </row>
    <row r="4231" spans="3:8" x14ac:dyDescent="0.25">
      <c r="C4231" s="950">
        <v>9</v>
      </c>
      <c r="D4231" s="950">
        <v>119</v>
      </c>
      <c r="E4231" s="951">
        <v>38.5</v>
      </c>
      <c r="F4231" s="4">
        <f t="shared" si="72"/>
        <v>-2.5316455696202531E-2</v>
      </c>
      <c r="G4231" s="37">
        <v>38.700000000000003</v>
      </c>
      <c r="H4231" s="947">
        <v>45814</v>
      </c>
    </row>
    <row r="4232" spans="3:8" x14ac:dyDescent="0.25">
      <c r="C4232" s="950">
        <v>10</v>
      </c>
      <c r="D4232" s="950">
        <v>115</v>
      </c>
      <c r="E4232" s="951">
        <v>41.1</v>
      </c>
      <c r="F4232" s="4">
        <f t="shared" si="72"/>
        <v>0.10187667560321728</v>
      </c>
      <c r="G4232" s="37">
        <v>38.700000000000003</v>
      </c>
      <c r="H4232" s="947">
        <v>45814</v>
      </c>
    </row>
    <row r="4233" spans="3:8" x14ac:dyDescent="0.25">
      <c r="C4233" s="952" t="s">
        <v>0</v>
      </c>
      <c r="D4233" s="952" t="s">
        <v>7</v>
      </c>
      <c r="E4233" s="953" t="s">
        <v>4</v>
      </c>
      <c r="F4233" s="4" t="str">
        <f t="shared" si="72"/>
        <v/>
      </c>
      <c r="G4233" s="37">
        <v>37</v>
      </c>
      <c r="H4233" s="954">
        <v>45815</v>
      </c>
    </row>
    <row r="4234" spans="3:8" x14ac:dyDescent="0.25">
      <c r="C4234" s="952">
        <v>51</v>
      </c>
      <c r="D4234" s="952">
        <v>23</v>
      </c>
      <c r="E4234" s="953">
        <v>27.2</v>
      </c>
      <c r="F4234" s="4">
        <f t="shared" si="72"/>
        <v>1.4925373134328304E-2</v>
      </c>
      <c r="G4234" s="37">
        <v>37</v>
      </c>
      <c r="H4234" s="954">
        <v>45815</v>
      </c>
    </row>
    <row r="4235" spans="3:8" x14ac:dyDescent="0.25">
      <c r="C4235" s="952">
        <v>1</v>
      </c>
      <c r="D4235" s="952">
        <v>119</v>
      </c>
      <c r="E4235" s="953">
        <v>43.8</v>
      </c>
      <c r="F4235" s="4">
        <f t="shared" si="72"/>
        <v>-3.9473684210526411E-2</v>
      </c>
      <c r="G4235" s="37">
        <v>37</v>
      </c>
      <c r="H4235" s="954">
        <v>45815</v>
      </c>
    </row>
    <row r="4236" spans="3:8" x14ac:dyDescent="0.25">
      <c r="C4236" s="952">
        <v>2</v>
      </c>
      <c r="D4236" s="952">
        <v>40</v>
      </c>
      <c r="E4236" s="953">
        <v>34.299999999999997</v>
      </c>
      <c r="F4236" s="4">
        <f t="shared" si="72"/>
        <v>-1.1527377521613995E-2</v>
      </c>
      <c r="G4236" s="37">
        <v>37</v>
      </c>
      <c r="H4236" s="954">
        <v>45815</v>
      </c>
    </row>
    <row r="4237" spans="3:8" x14ac:dyDescent="0.25">
      <c r="C4237" s="952">
        <v>3</v>
      </c>
      <c r="D4237" s="952">
        <v>61</v>
      </c>
      <c r="E4237" s="953">
        <v>32.4</v>
      </c>
      <c r="F4237" s="4">
        <f t="shared" si="72"/>
        <v>-6.3583815028901813E-2</v>
      </c>
      <c r="G4237" s="37">
        <v>37</v>
      </c>
      <c r="H4237" s="954">
        <v>45815</v>
      </c>
    </row>
    <row r="4238" spans="3:8" x14ac:dyDescent="0.25">
      <c r="C4238" s="952">
        <v>4</v>
      </c>
      <c r="D4238" s="952">
        <v>0</v>
      </c>
      <c r="E4238" s="953"/>
      <c r="F4238" s="4" t="str">
        <f t="shared" si="72"/>
        <v/>
      </c>
      <c r="G4238" s="37">
        <v>37</v>
      </c>
      <c r="H4238" s="954">
        <v>45815</v>
      </c>
    </row>
    <row r="4239" spans="3:8" x14ac:dyDescent="0.25">
      <c r="C4239" s="952">
        <v>5</v>
      </c>
      <c r="D4239" s="952">
        <v>93</v>
      </c>
      <c r="E4239" s="953">
        <v>25.3</v>
      </c>
      <c r="F4239" s="4">
        <f t="shared" si="72"/>
        <v>6.7510548523206815E-2</v>
      </c>
      <c r="G4239" s="37">
        <v>37</v>
      </c>
      <c r="H4239" s="954">
        <v>45815</v>
      </c>
    </row>
    <row r="4240" spans="3:8" x14ac:dyDescent="0.25">
      <c r="C4240" s="952">
        <v>6</v>
      </c>
      <c r="D4240" s="952">
        <v>87</v>
      </c>
      <c r="E4240" s="953">
        <v>36</v>
      </c>
      <c r="F4240" s="4">
        <f t="shared" si="72"/>
        <v>-3.2258064516129108E-2</v>
      </c>
      <c r="G4240" s="37">
        <v>37</v>
      </c>
      <c r="H4240" s="954">
        <v>45815</v>
      </c>
    </row>
    <row r="4241" spans="3:8" x14ac:dyDescent="0.25">
      <c r="C4241" s="952">
        <v>7</v>
      </c>
      <c r="D4241" s="952">
        <v>79</v>
      </c>
      <c r="E4241" s="953">
        <v>30</v>
      </c>
      <c r="F4241" s="4">
        <f t="shared" si="72"/>
        <v>-0.22077922077922077</v>
      </c>
      <c r="G4241" s="37">
        <v>37</v>
      </c>
      <c r="H4241" s="954">
        <v>45815</v>
      </c>
    </row>
    <row r="4242" spans="3:8" x14ac:dyDescent="0.25">
      <c r="C4242" s="952">
        <v>8</v>
      </c>
      <c r="D4242" s="952">
        <v>63</v>
      </c>
      <c r="E4242" s="953">
        <v>29.9</v>
      </c>
      <c r="F4242" s="4">
        <f t="shared" si="72"/>
        <v>-9.9397590361445909E-2</v>
      </c>
      <c r="G4242" s="37">
        <v>37</v>
      </c>
      <c r="H4242" s="954">
        <v>45815</v>
      </c>
    </row>
    <row r="4243" spans="3:8" x14ac:dyDescent="0.25">
      <c r="C4243" s="952">
        <v>9</v>
      </c>
      <c r="D4243" s="952">
        <v>118</v>
      </c>
      <c r="E4243" s="953">
        <v>38.799999999999997</v>
      </c>
      <c r="F4243" s="4">
        <f t="shared" si="72"/>
        <v>7.7922077922077185E-3</v>
      </c>
      <c r="G4243" s="37">
        <v>37</v>
      </c>
      <c r="H4243" s="954">
        <v>45815</v>
      </c>
    </row>
    <row r="4244" spans="3:8" x14ac:dyDescent="0.25">
      <c r="C4244" s="952">
        <v>10</v>
      </c>
      <c r="D4244" s="952">
        <v>115</v>
      </c>
      <c r="E4244" s="953">
        <v>35.9</v>
      </c>
      <c r="F4244" s="4">
        <f t="shared" si="72"/>
        <v>-0.12652068126520688</v>
      </c>
      <c r="G4244" s="37">
        <v>37</v>
      </c>
      <c r="H4244" s="954">
        <v>45815</v>
      </c>
    </row>
    <row r="4245" spans="3:8" x14ac:dyDescent="0.25">
      <c r="C4245" s="955" t="s">
        <v>0</v>
      </c>
      <c r="D4245" s="955" t="s">
        <v>7</v>
      </c>
      <c r="E4245" s="956" t="s">
        <v>4</v>
      </c>
      <c r="F4245" s="4" t="str">
        <f t="shared" si="72"/>
        <v/>
      </c>
      <c r="G4245" s="37">
        <v>39.4</v>
      </c>
      <c r="H4245" s="957">
        <v>45816</v>
      </c>
    </row>
    <row r="4246" spans="3:8" x14ac:dyDescent="0.25">
      <c r="C4246" s="955">
        <v>51</v>
      </c>
      <c r="D4246" s="955">
        <v>23</v>
      </c>
      <c r="E4246" s="956">
        <v>28.3</v>
      </c>
      <c r="F4246" s="4">
        <f t="shared" si="72"/>
        <v>4.0441176470588286E-2</v>
      </c>
      <c r="G4246" s="37">
        <v>39.4</v>
      </c>
      <c r="H4246" s="957">
        <v>45816</v>
      </c>
    </row>
    <row r="4247" spans="3:8" x14ac:dyDescent="0.25">
      <c r="C4247" s="955">
        <v>1</v>
      </c>
      <c r="D4247" s="955">
        <v>119</v>
      </c>
      <c r="E4247" s="956">
        <v>40.700000000000003</v>
      </c>
      <c r="F4247" s="4">
        <f t="shared" si="72"/>
        <v>-7.0776255707762428E-2</v>
      </c>
      <c r="G4247" s="37">
        <v>39.4</v>
      </c>
      <c r="H4247" s="957">
        <v>45816</v>
      </c>
    </row>
    <row r="4248" spans="3:8" x14ac:dyDescent="0.25">
      <c r="C4248" s="955">
        <v>2</v>
      </c>
      <c r="D4248" s="955">
        <v>40</v>
      </c>
      <c r="E4248" s="956">
        <v>29.3</v>
      </c>
      <c r="F4248" s="4">
        <f t="shared" si="72"/>
        <v>-0.14577259475218649</v>
      </c>
      <c r="G4248" s="37">
        <v>39.4</v>
      </c>
      <c r="H4248" s="957">
        <v>45816</v>
      </c>
    </row>
    <row r="4249" spans="3:8" x14ac:dyDescent="0.25">
      <c r="C4249" s="955">
        <v>3</v>
      </c>
      <c r="D4249" s="955">
        <v>61</v>
      </c>
      <c r="E4249" s="956">
        <v>32.9</v>
      </c>
      <c r="F4249" s="4">
        <f t="shared" si="72"/>
        <v>1.54320987654321E-2</v>
      </c>
      <c r="G4249" s="37">
        <v>39.4</v>
      </c>
      <c r="H4249" s="957">
        <v>45816</v>
      </c>
    </row>
    <row r="4250" spans="3:8" x14ac:dyDescent="0.25">
      <c r="C4250" s="955">
        <v>4</v>
      </c>
      <c r="D4250" s="955">
        <v>0</v>
      </c>
      <c r="E4250" s="956"/>
      <c r="F4250" s="4" t="str">
        <f t="shared" si="72"/>
        <v/>
      </c>
      <c r="G4250" s="37">
        <v>39.4</v>
      </c>
      <c r="H4250" s="957">
        <v>45816</v>
      </c>
    </row>
    <row r="4251" spans="3:8" x14ac:dyDescent="0.25">
      <c r="C4251" s="955">
        <v>5</v>
      </c>
      <c r="D4251" s="955">
        <v>93</v>
      </c>
      <c r="E4251" s="956">
        <v>25.7</v>
      </c>
      <c r="F4251" s="4">
        <f t="shared" si="72"/>
        <v>1.5810276679841841E-2</v>
      </c>
      <c r="G4251" s="37">
        <v>39.4</v>
      </c>
      <c r="H4251" s="957">
        <v>45816</v>
      </c>
    </row>
    <row r="4252" spans="3:8" x14ac:dyDescent="0.25">
      <c r="C4252" s="955">
        <v>6</v>
      </c>
      <c r="D4252" s="955">
        <v>87</v>
      </c>
      <c r="E4252" s="956">
        <v>39.200000000000003</v>
      </c>
      <c r="F4252" s="4">
        <f t="shared" si="72"/>
        <v>8.8888888888888962E-2</v>
      </c>
      <c r="G4252" s="37">
        <v>39.4</v>
      </c>
      <c r="H4252" s="957">
        <v>45816</v>
      </c>
    </row>
    <row r="4253" spans="3:8" x14ac:dyDescent="0.25">
      <c r="C4253" s="955">
        <v>7</v>
      </c>
      <c r="D4253" s="955">
        <v>79</v>
      </c>
      <c r="E4253" s="956">
        <v>36.9</v>
      </c>
      <c r="F4253" s="4">
        <f t="shared" si="72"/>
        <v>0.22999999999999995</v>
      </c>
      <c r="G4253" s="37">
        <v>39.4</v>
      </c>
      <c r="H4253" s="957">
        <v>45816</v>
      </c>
    </row>
    <row r="4254" spans="3:8" x14ac:dyDescent="0.25">
      <c r="C4254" s="955">
        <v>8</v>
      </c>
      <c r="D4254" s="955">
        <v>63</v>
      </c>
      <c r="E4254" s="956">
        <v>32.5</v>
      </c>
      <c r="F4254" s="4">
        <f t="shared" si="72"/>
        <v>8.6956521739130488E-2</v>
      </c>
      <c r="G4254" s="37">
        <v>39.4</v>
      </c>
      <c r="H4254" s="957">
        <v>45816</v>
      </c>
    </row>
    <row r="4255" spans="3:8" x14ac:dyDescent="0.25">
      <c r="C4255" s="955">
        <v>9</v>
      </c>
      <c r="D4255" s="955">
        <v>118</v>
      </c>
      <c r="E4255" s="956">
        <v>46.8</v>
      </c>
      <c r="F4255" s="4">
        <f t="shared" si="72"/>
        <v>0.2061855670103093</v>
      </c>
      <c r="G4255" s="37">
        <v>39.4</v>
      </c>
      <c r="H4255" s="957">
        <v>45816</v>
      </c>
    </row>
    <row r="4256" spans="3:8" x14ac:dyDescent="0.25">
      <c r="C4256" s="955">
        <v>10</v>
      </c>
      <c r="D4256" s="955">
        <v>115</v>
      </c>
      <c r="E4256" s="956">
        <v>36.700000000000003</v>
      </c>
      <c r="F4256" s="4">
        <f t="shared" si="72"/>
        <v>2.2284122562674213E-2</v>
      </c>
      <c r="G4256" s="37">
        <v>39.4</v>
      </c>
      <c r="H4256" s="957">
        <v>45816</v>
      </c>
    </row>
    <row r="4257" spans="3:8" x14ac:dyDescent="0.25">
      <c r="C4257" s="958" t="s">
        <v>0</v>
      </c>
      <c r="D4257" s="958" t="s">
        <v>7</v>
      </c>
      <c r="E4257" s="959" t="s">
        <v>4</v>
      </c>
      <c r="F4257" s="4" t="str">
        <f t="shared" si="72"/>
        <v/>
      </c>
      <c r="G4257" s="37">
        <v>38.4</v>
      </c>
      <c r="H4257" s="960">
        <v>45817</v>
      </c>
    </row>
    <row r="4258" spans="3:8" x14ac:dyDescent="0.25">
      <c r="C4258" s="958">
        <v>51</v>
      </c>
      <c r="D4258" s="958">
        <v>22</v>
      </c>
      <c r="E4258" s="959">
        <v>26.9</v>
      </c>
      <c r="F4258" s="4">
        <f t="shared" si="72"/>
        <v>-4.9469964664311028E-2</v>
      </c>
      <c r="G4258" s="37">
        <v>38.4</v>
      </c>
      <c r="H4258" s="960">
        <v>45817</v>
      </c>
    </row>
    <row r="4259" spans="3:8" x14ac:dyDescent="0.25">
      <c r="C4259" s="958">
        <v>1</v>
      </c>
      <c r="D4259" s="958">
        <v>118</v>
      </c>
      <c r="E4259" s="959">
        <v>43.7</v>
      </c>
      <c r="F4259" s="4">
        <f t="shared" si="72"/>
        <v>7.3710073710073709E-2</v>
      </c>
      <c r="G4259" s="37">
        <v>38.4</v>
      </c>
      <c r="H4259" s="960">
        <v>45817</v>
      </c>
    </row>
    <row r="4260" spans="3:8" x14ac:dyDescent="0.25">
      <c r="C4260" s="958">
        <v>2</v>
      </c>
      <c r="D4260" s="958">
        <v>40</v>
      </c>
      <c r="E4260" s="959">
        <v>33.4</v>
      </c>
      <c r="F4260" s="4">
        <f t="shared" si="72"/>
        <v>0.13993174061433439</v>
      </c>
      <c r="G4260" s="37">
        <v>38.4</v>
      </c>
      <c r="H4260" s="960">
        <v>45817</v>
      </c>
    </row>
    <row r="4261" spans="3:8" x14ac:dyDescent="0.25">
      <c r="C4261" s="958">
        <v>3</v>
      </c>
      <c r="D4261" s="958">
        <v>61</v>
      </c>
      <c r="E4261" s="959">
        <v>33.200000000000003</v>
      </c>
      <c r="F4261" s="4">
        <f t="shared" si="72"/>
        <v>9.1185410334347801E-3</v>
      </c>
      <c r="G4261" s="37">
        <v>38.4</v>
      </c>
      <c r="H4261" s="960">
        <v>45817</v>
      </c>
    </row>
    <row r="4262" spans="3:8" x14ac:dyDescent="0.25">
      <c r="C4262" s="958">
        <v>4</v>
      </c>
      <c r="D4262" s="958">
        <v>0</v>
      </c>
      <c r="E4262" s="959"/>
      <c r="F4262" s="4" t="str">
        <f t="shared" si="72"/>
        <v/>
      </c>
      <c r="G4262" s="37">
        <v>38.4</v>
      </c>
      <c r="H4262" s="960">
        <v>45817</v>
      </c>
    </row>
    <row r="4263" spans="3:8" x14ac:dyDescent="0.25">
      <c r="C4263" s="958">
        <v>5</v>
      </c>
      <c r="D4263" s="958">
        <v>93</v>
      </c>
      <c r="E4263" s="959">
        <v>25.4</v>
      </c>
      <c r="F4263" s="4">
        <f t="shared" ref="F4263:F4326" si="73">IFERROR((E4263-E4251)/E4251,"")</f>
        <v>-1.1673151750972791E-2</v>
      </c>
      <c r="G4263" s="37">
        <v>38.4</v>
      </c>
      <c r="H4263" s="960">
        <v>45817</v>
      </c>
    </row>
    <row r="4264" spans="3:8" x14ac:dyDescent="0.25">
      <c r="C4264" s="958">
        <v>6</v>
      </c>
      <c r="D4264" s="958">
        <v>88</v>
      </c>
      <c r="E4264" s="959">
        <v>38</v>
      </c>
      <c r="F4264" s="4">
        <f t="shared" si="73"/>
        <v>-3.0612244897959252E-2</v>
      </c>
      <c r="G4264" s="37">
        <v>38.4</v>
      </c>
      <c r="H4264" s="960">
        <v>45817</v>
      </c>
    </row>
    <row r="4265" spans="3:8" x14ac:dyDescent="0.25">
      <c r="C4265" s="958">
        <v>7</v>
      </c>
      <c r="D4265" s="958">
        <v>80</v>
      </c>
      <c r="E4265" s="959">
        <v>37.5</v>
      </c>
      <c r="F4265" s="4">
        <f t="shared" si="73"/>
        <v>1.6260162601626056E-2</v>
      </c>
      <c r="G4265" s="37">
        <v>38.4</v>
      </c>
      <c r="H4265" s="960">
        <v>45817</v>
      </c>
    </row>
    <row r="4266" spans="3:8" x14ac:dyDescent="0.25">
      <c r="C4266" s="958">
        <v>8</v>
      </c>
      <c r="D4266" s="958">
        <v>63</v>
      </c>
      <c r="E4266" s="959">
        <v>33.5</v>
      </c>
      <c r="F4266" s="4">
        <f t="shared" si="73"/>
        <v>3.0769230769230771E-2</v>
      </c>
      <c r="G4266" s="37">
        <v>38.4</v>
      </c>
      <c r="H4266" s="960">
        <v>45817</v>
      </c>
    </row>
    <row r="4267" spans="3:8" x14ac:dyDescent="0.25">
      <c r="C4267" s="958">
        <v>9</v>
      </c>
      <c r="D4267" s="958">
        <v>118</v>
      </c>
      <c r="E4267" s="959">
        <v>40.5</v>
      </c>
      <c r="F4267" s="4">
        <f t="shared" si="73"/>
        <v>-0.13461538461538455</v>
      </c>
      <c r="G4267" s="37">
        <v>38.4</v>
      </c>
      <c r="H4267" s="960">
        <v>45817</v>
      </c>
    </row>
    <row r="4268" spans="3:8" x14ac:dyDescent="0.25">
      <c r="C4268" s="958">
        <v>10</v>
      </c>
      <c r="D4268" s="958">
        <v>114</v>
      </c>
      <c r="E4268" s="959">
        <v>40.6</v>
      </c>
      <c r="F4268" s="4">
        <f t="shared" si="73"/>
        <v>0.106267029972752</v>
      </c>
      <c r="G4268" s="37">
        <v>38.4</v>
      </c>
      <c r="H4268" s="960">
        <v>45817</v>
      </c>
    </row>
    <row r="4269" spans="3:8" x14ac:dyDescent="0.25">
      <c r="C4269" s="961" t="s">
        <v>0</v>
      </c>
      <c r="D4269" s="961" t="s">
        <v>7</v>
      </c>
      <c r="E4269" s="962" t="s">
        <v>4</v>
      </c>
      <c r="F4269" s="4" t="str">
        <f t="shared" si="73"/>
        <v/>
      </c>
      <c r="G4269" s="37">
        <v>38.5</v>
      </c>
      <c r="H4269" s="963">
        <v>45818</v>
      </c>
    </row>
    <row r="4270" spans="3:8" x14ac:dyDescent="0.25">
      <c r="C4270" s="961">
        <v>51</v>
      </c>
      <c r="D4270" s="961">
        <v>15</v>
      </c>
      <c r="E4270" s="962">
        <v>31.5</v>
      </c>
      <c r="F4270" s="4">
        <f t="shared" si="73"/>
        <v>0.17100371747211901</v>
      </c>
      <c r="G4270" s="37">
        <v>38.5</v>
      </c>
      <c r="H4270" s="963">
        <v>45818</v>
      </c>
    </row>
    <row r="4271" spans="3:8" x14ac:dyDescent="0.25">
      <c r="C4271" s="961">
        <v>1</v>
      </c>
      <c r="D4271" s="961">
        <v>118</v>
      </c>
      <c r="E4271" s="962">
        <v>39.1</v>
      </c>
      <c r="F4271" s="4">
        <f t="shared" si="73"/>
        <v>-0.10526315789473686</v>
      </c>
      <c r="G4271" s="37">
        <v>38.5</v>
      </c>
      <c r="H4271" s="963">
        <v>45818</v>
      </c>
    </row>
    <row r="4272" spans="3:8" x14ac:dyDescent="0.25">
      <c r="C4272" s="961">
        <v>2</v>
      </c>
      <c r="D4272" s="961">
        <v>40</v>
      </c>
      <c r="E4272" s="962">
        <v>35</v>
      </c>
      <c r="F4272" s="4">
        <f t="shared" si="73"/>
        <v>4.7904191616766512E-2</v>
      </c>
      <c r="G4272" s="37">
        <v>38.5</v>
      </c>
      <c r="H4272" s="963">
        <v>45818</v>
      </c>
    </row>
    <row r="4273" spans="3:8" x14ac:dyDescent="0.25">
      <c r="C4273" s="961">
        <v>3</v>
      </c>
      <c r="D4273" s="961">
        <v>61</v>
      </c>
      <c r="E4273" s="962">
        <v>42.1</v>
      </c>
      <c r="F4273" s="4">
        <f t="shared" si="73"/>
        <v>0.26807228915662645</v>
      </c>
      <c r="G4273" s="37">
        <v>38.5</v>
      </c>
      <c r="H4273" s="963">
        <v>45818</v>
      </c>
    </row>
    <row r="4274" spans="3:8" x14ac:dyDescent="0.25">
      <c r="C4274" s="961">
        <v>4</v>
      </c>
      <c r="D4274" s="961">
        <v>0</v>
      </c>
      <c r="E4274" s="962"/>
      <c r="F4274" s="4" t="str">
        <f t="shared" si="73"/>
        <v/>
      </c>
      <c r="G4274" s="37">
        <v>38.5</v>
      </c>
      <c r="H4274" s="963">
        <v>45818</v>
      </c>
    </row>
    <row r="4275" spans="3:8" x14ac:dyDescent="0.25">
      <c r="C4275" s="961">
        <v>5</v>
      </c>
      <c r="D4275" s="961">
        <v>94</v>
      </c>
      <c r="E4275" s="962">
        <v>24.3</v>
      </c>
      <c r="F4275" s="4">
        <f t="shared" si="73"/>
        <v>-4.3307086614173144E-2</v>
      </c>
      <c r="G4275" s="37">
        <v>38.5</v>
      </c>
      <c r="H4275" s="963">
        <v>45818</v>
      </c>
    </row>
    <row r="4276" spans="3:8" x14ac:dyDescent="0.25">
      <c r="C4276" s="961">
        <v>6</v>
      </c>
      <c r="D4276" s="961">
        <v>93</v>
      </c>
      <c r="E4276" s="962">
        <v>34.9</v>
      </c>
      <c r="F4276" s="4">
        <f t="shared" si="73"/>
        <v>-8.1578947368421084E-2</v>
      </c>
      <c r="G4276" s="37">
        <v>38.5</v>
      </c>
      <c r="H4276" s="963">
        <v>45818</v>
      </c>
    </row>
    <row r="4277" spans="3:8" x14ac:dyDescent="0.25">
      <c r="C4277" s="961">
        <v>7</v>
      </c>
      <c r="D4277" s="961">
        <v>80</v>
      </c>
      <c r="E4277" s="962">
        <v>37.200000000000003</v>
      </c>
      <c r="F4277" s="4">
        <f t="shared" si="73"/>
        <v>-7.9999999999999238E-3</v>
      </c>
      <c r="G4277" s="37">
        <v>38.5</v>
      </c>
      <c r="H4277" s="963">
        <v>45818</v>
      </c>
    </row>
    <row r="4278" spans="3:8" x14ac:dyDescent="0.25">
      <c r="C4278" s="961">
        <v>8</v>
      </c>
      <c r="D4278" s="961">
        <v>61</v>
      </c>
      <c r="E4278" s="962">
        <v>31.6</v>
      </c>
      <c r="F4278" s="4">
        <f t="shared" si="73"/>
        <v>-5.6716417910447715E-2</v>
      </c>
      <c r="G4278" s="37">
        <v>38.5</v>
      </c>
      <c r="H4278" s="963">
        <v>45818</v>
      </c>
    </row>
    <row r="4279" spans="3:8" x14ac:dyDescent="0.25">
      <c r="C4279" s="961">
        <v>9</v>
      </c>
      <c r="D4279" s="961">
        <v>118</v>
      </c>
      <c r="E4279" s="962">
        <v>35.4</v>
      </c>
      <c r="F4279" s="4">
        <f t="shared" si="73"/>
        <v>-0.12592592592592597</v>
      </c>
      <c r="G4279" s="37">
        <v>38.5</v>
      </c>
      <c r="H4279" s="963">
        <v>45818</v>
      </c>
    </row>
    <row r="4280" spans="3:8" x14ac:dyDescent="0.25">
      <c r="C4280" s="961">
        <v>10</v>
      </c>
      <c r="D4280" s="961">
        <v>115</v>
      </c>
      <c r="E4280" s="962">
        <v>37.6</v>
      </c>
      <c r="F4280" s="4">
        <f t="shared" si="73"/>
        <v>-7.389162561576354E-2</v>
      </c>
      <c r="G4280" s="37">
        <v>38.5</v>
      </c>
      <c r="H4280" s="963">
        <v>45818</v>
      </c>
    </row>
    <row r="4281" spans="3:8" x14ac:dyDescent="0.25">
      <c r="C4281" s="964" t="s">
        <v>0</v>
      </c>
      <c r="D4281" s="964" t="s">
        <v>7</v>
      </c>
      <c r="E4281" s="965" t="s">
        <v>4</v>
      </c>
      <c r="F4281" s="4" t="str">
        <f t="shared" si="73"/>
        <v/>
      </c>
      <c r="G4281" s="37">
        <v>40.200000000000003</v>
      </c>
      <c r="H4281" s="966">
        <v>45819</v>
      </c>
    </row>
    <row r="4282" spans="3:8" x14ac:dyDescent="0.25">
      <c r="C4282" s="964">
        <v>51</v>
      </c>
      <c r="D4282" s="964">
        <v>13</v>
      </c>
      <c r="E4282" s="965">
        <v>30.8</v>
      </c>
      <c r="F4282" s="4">
        <f t="shared" si="73"/>
        <v>-2.2222222222222199E-2</v>
      </c>
      <c r="G4282" s="37">
        <v>40.200000000000003</v>
      </c>
      <c r="H4282" s="966">
        <v>45819</v>
      </c>
    </row>
    <row r="4283" spans="3:8" x14ac:dyDescent="0.25">
      <c r="C4283" s="964">
        <v>1</v>
      </c>
      <c r="D4283" s="964">
        <v>118</v>
      </c>
      <c r="E4283" s="965">
        <v>42.6</v>
      </c>
      <c r="F4283" s="4">
        <f t="shared" si="73"/>
        <v>8.9514066496163683E-2</v>
      </c>
      <c r="G4283" s="37">
        <v>40.200000000000003</v>
      </c>
      <c r="H4283" s="966">
        <v>45819</v>
      </c>
    </row>
    <row r="4284" spans="3:8" x14ac:dyDescent="0.25">
      <c r="C4284" s="964">
        <v>2</v>
      </c>
      <c r="D4284" s="964">
        <v>40</v>
      </c>
      <c r="E4284" s="965">
        <v>68.900000000000006</v>
      </c>
      <c r="F4284" s="4">
        <f t="shared" si="73"/>
        <v>0.96857142857142875</v>
      </c>
      <c r="G4284" s="37">
        <v>40.200000000000003</v>
      </c>
      <c r="H4284" s="966">
        <v>45819</v>
      </c>
    </row>
    <row r="4285" spans="3:8" x14ac:dyDescent="0.25">
      <c r="C4285" s="964">
        <v>3</v>
      </c>
      <c r="D4285" s="964">
        <v>61</v>
      </c>
      <c r="E4285" s="965">
        <v>28.5</v>
      </c>
      <c r="F4285" s="4">
        <f t="shared" si="73"/>
        <v>-0.32304038004750596</v>
      </c>
      <c r="G4285" s="37">
        <v>40.200000000000003</v>
      </c>
      <c r="H4285" s="966">
        <v>45819</v>
      </c>
    </row>
    <row r="4286" spans="3:8" x14ac:dyDescent="0.25">
      <c r="C4286" s="964">
        <v>4</v>
      </c>
      <c r="D4286" s="964">
        <v>0</v>
      </c>
      <c r="E4286" s="965"/>
      <c r="F4286" s="4" t="str">
        <f t="shared" si="73"/>
        <v/>
      </c>
      <c r="G4286" s="37">
        <v>40.200000000000003</v>
      </c>
      <c r="H4286" s="966">
        <v>45819</v>
      </c>
    </row>
    <row r="4287" spans="3:8" x14ac:dyDescent="0.25">
      <c r="C4287" s="964">
        <v>5</v>
      </c>
      <c r="D4287" s="964">
        <v>94</v>
      </c>
      <c r="E4287" s="965">
        <v>25.6</v>
      </c>
      <c r="F4287" s="4">
        <f t="shared" si="73"/>
        <v>5.3497942386831303E-2</v>
      </c>
      <c r="G4287" s="37">
        <v>40.200000000000003</v>
      </c>
      <c r="H4287" s="966">
        <v>45819</v>
      </c>
    </row>
    <row r="4288" spans="3:8" x14ac:dyDescent="0.25">
      <c r="C4288" s="964">
        <v>6</v>
      </c>
      <c r="D4288" s="964">
        <v>93</v>
      </c>
      <c r="E4288" s="965">
        <v>33.9</v>
      </c>
      <c r="F4288" s="4">
        <f t="shared" si="73"/>
        <v>-2.865329512893983E-2</v>
      </c>
      <c r="G4288" s="37">
        <v>40.200000000000003</v>
      </c>
      <c r="H4288" s="966">
        <v>45819</v>
      </c>
    </row>
    <row r="4289" spans="3:8" x14ac:dyDescent="0.25">
      <c r="C4289" s="964">
        <v>7</v>
      </c>
      <c r="D4289" s="964">
        <v>75</v>
      </c>
      <c r="E4289" s="965">
        <v>38.6</v>
      </c>
      <c r="F4289" s="4">
        <f t="shared" si="73"/>
        <v>3.7634408602150497E-2</v>
      </c>
      <c r="G4289" s="37">
        <v>40.200000000000003</v>
      </c>
      <c r="H4289" s="966">
        <v>45819</v>
      </c>
    </row>
    <row r="4290" spans="3:8" x14ac:dyDescent="0.25">
      <c r="C4290" s="964">
        <v>8</v>
      </c>
      <c r="D4290" s="964">
        <v>61</v>
      </c>
      <c r="E4290" s="965">
        <v>37.6</v>
      </c>
      <c r="F4290" s="4">
        <f t="shared" si="73"/>
        <v>0.18987341772151897</v>
      </c>
      <c r="G4290" s="37">
        <v>40.200000000000003</v>
      </c>
      <c r="H4290" s="966">
        <v>45819</v>
      </c>
    </row>
    <row r="4291" spans="3:8" x14ac:dyDescent="0.25">
      <c r="C4291" s="964">
        <v>9</v>
      </c>
      <c r="D4291" s="964">
        <v>118</v>
      </c>
      <c r="E4291" s="965">
        <v>40.799999999999997</v>
      </c>
      <c r="F4291" s="4">
        <f t="shared" si="73"/>
        <v>0.15254237288135589</v>
      </c>
      <c r="G4291" s="37">
        <v>40.200000000000003</v>
      </c>
      <c r="H4291" s="966">
        <v>45819</v>
      </c>
    </row>
    <row r="4292" spans="3:8" x14ac:dyDescent="0.25">
      <c r="C4292" s="964">
        <v>10</v>
      </c>
      <c r="D4292" s="964">
        <v>120</v>
      </c>
      <c r="E4292" s="965">
        <v>34.4</v>
      </c>
      <c r="F4292" s="4">
        <f t="shared" si="73"/>
        <v>-8.5106382978723472E-2</v>
      </c>
      <c r="G4292" s="37">
        <v>40.200000000000003</v>
      </c>
      <c r="H4292" s="966">
        <v>45819</v>
      </c>
    </row>
    <row r="4293" spans="3:8" x14ac:dyDescent="0.25">
      <c r="C4293" s="967" t="s">
        <v>0</v>
      </c>
      <c r="D4293" s="967" t="s">
        <v>7</v>
      </c>
      <c r="E4293" s="968" t="s">
        <v>4</v>
      </c>
      <c r="F4293" s="4" t="str">
        <f t="shared" si="73"/>
        <v/>
      </c>
      <c r="G4293" s="37">
        <v>41.5</v>
      </c>
      <c r="H4293" s="969">
        <v>45820</v>
      </c>
    </row>
    <row r="4294" spans="3:8" x14ac:dyDescent="0.25">
      <c r="C4294" s="967">
        <v>51</v>
      </c>
      <c r="D4294" s="967">
        <v>15</v>
      </c>
      <c r="E4294" s="968">
        <v>35.700000000000003</v>
      </c>
      <c r="F4294" s="4">
        <f t="shared" si="73"/>
        <v>0.15909090909090914</v>
      </c>
      <c r="G4294" s="37">
        <v>41.5</v>
      </c>
      <c r="H4294" s="969">
        <v>45820</v>
      </c>
    </row>
    <row r="4295" spans="3:8" x14ac:dyDescent="0.25">
      <c r="C4295" s="967">
        <v>1</v>
      </c>
      <c r="D4295" s="967">
        <v>118</v>
      </c>
      <c r="E4295" s="968">
        <v>39.4</v>
      </c>
      <c r="F4295" s="4">
        <f t="shared" si="73"/>
        <v>-7.511737089201885E-2</v>
      </c>
      <c r="G4295" s="37">
        <v>41.5</v>
      </c>
      <c r="H4295" s="969">
        <v>45820</v>
      </c>
    </row>
    <row r="4296" spans="3:8" x14ac:dyDescent="0.25">
      <c r="C4296" s="967">
        <v>2</v>
      </c>
      <c r="D4296" s="967">
        <v>39</v>
      </c>
      <c r="E4296" s="968">
        <v>30.8</v>
      </c>
      <c r="F4296" s="4">
        <f t="shared" si="73"/>
        <v>-0.55297532656023229</v>
      </c>
      <c r="G4296" s="37">
        <v>41.5</v>
      </c>
      <c r="H4296" s="969">
        <v>45820</v>
      </c>
    </row>
    <row r="4297" spans="3:8" x14ac:dyDescent="0.25">
      <c r="C4297" s="967">
        <v>3</v>
      </c>
      <c r="D4297" s="967">
        <v>61</v>
      </c>
      <c r="E4297" s="968">
        <v>28.8</v>
      </c>
      <c r="F4297" s="4">
        <f t="shared" si="73"/>
        <v>1.052631578947371E-2</v>
      </c>
      <c r="G4297" s="37">
        <v>41.5</v>
      </c>
      <c r="H4297" s="969">
        <v>45820</v>
      </c>
    </row>
    <row r="4298" spans="3:8" x14ac:dyDescent="0.25">
      <c r="C4298" s="967">
        <v>4</v>
      </c>
      <c r="D4298" s="967">
        <v>0</v>
      </c>
      <c r="E4298" s="968"/>
      <c r="F4298" s="4" t="str">
        <f t="shared" si="73"/>
        <v/>
      </c>
      <c r="G4298" s="37">
        <v>41.5</v>
      </c>
      <c r="H4298" s="969">
        <v>45820</v>
      </c>
    </row>
    <row r="4299" spans="3:8" x14ac:dyDescent="0.25">
      <c r="C4299" s="967">
        <v>5</v>
      </c>
      <c r="D4299" s="967">
        <v>94</v>
      </c>
      <c r="E4299" s="968">
        <v>27.3</v>
      </c>
      <c r="F4299" s="4">
        <f t="shared" si="73"/>
        <v>6.6406249999999972E-2</v>
      </c>
      <c r="G4299" s="37">
        <v>41.5</v>
      </c>
      <c r="H4299" s="969">
        <v>45820</v>
      </c>
    </row>
    <row r="4300" spans="3:8" x14ac:dyDescent="0.25">
      <c r="C4300" s="967">
        <v>6</v>
      </c>
      <c r="D4300" s="967">
        <v>93</v>
      </c>
      <c r="E4300" s="968">
        <v>33.700000000000003</v>
      </c>
      <c r="F4300" s="4">
        <f t="shared" si="73"/>
        <v>-5.8997050147491367E-3</v>
      </c>
      <c r="G4300" s="37">
        <v>41.5</v>
      </c>
      <c r="H4300" s="969">
        <v>45820</v>
      </c>
    </row>
    <row r="4301" spans="3:8" x14ac:dyDescent="0.25">
      <c r="C4301" s="967">
        <v>7</v>
      </c>
      <c r="D4301" s="967">
        <v>74</v>
      </c>
      <c r="E4301" s="968">
        <v>39.1</v>
      </c>
      <c r="F4301" s="4">
        <f t="shared" si="73"/>
        <v>1.2953367875647668E-2</v>
      </c>
      <c r="G4301" s="37">
        <v>41.5</v>
      </c>
      <c r="H4301" s="969">
        <v>45820</v>
      </c>
    </row>
    <row r="4302" spans="3:8" x14ac:dyDescent="0.25">
      <c r="C4302" s="967">
        <v>8</v>
      </c>
      <c r="D4302" s="967">
        <v>61</v>
      </c>
      <c r="E4302" s="968">
        <v>33.799999999999997</v>
      </c>
      <c r="F4302" s="4">
        <f t="shared" si="73"/>
        <v>-0.10106382978723415</v>
      </c>
      <c r="G4302" s="37">
        <v>41.5</v>
      </c>
      <c r="H4302" s="969">
        <v>45820</v>
      </c>
    </row>
    <row r="4303" spans="3:8" x14ac:dyDescent="0.25">
      <c r="C4303" s="967">
        <v>9</v>
      </c>
      <c r="D4303" s="967">
        <v>118</v>
      </c>
      <c r="E4303" s="968">
        <v>40</v>
      </c>
      <c r="F4303" s="4">
        <f t="shared" si="73"/>
        <v>-1.9607843137254832E-2</v>
      </c>
      <c r="G4303" s="37">
        <v>41.5</v>
      </c>
      <c r="H4303" s="969">
        <v>45820</v>
      </c>
    </row>
    <row r="4304" spans="3:8" x14ac:dyDescent="0.25">
      <c r="C4304" s="967">
        <v>10</v>
      </c>
      <c r="D4304" s="967">
        <v>120</v>
      </c>
      <c r="E4304" s="968">
        <v>41.8</v>
      </c>
      <c r="F4304" s="4">
        <f t="shared" si="73"/>
        <v>0.21511627906976741</v>
      </c>
      <c r="G4304" s="37">
        <v>41.5</v>
      </c>
      <c r="H4304" s="969">
        <v>45820</v>
      </c>
    </row>
    <row r="4305" spans="3:8" x14ac:dyDescent="0.25">
      <c r="C4305" s="970" t="s">
        <v>0</v>
      </c>
      <c r="D4305" s="970" t="s">
        <v>7</v>
      </c>
      <c r="E4305" s="971" t="s">
        <v>4</v>
      </c>
      <c r="F4305" s="4" t="str">
        <f t="shared" si="73"/>
        <v/>
      </c>
      <c r="G4305" s="37">
        <v>37.5</v>
      </c>
      <c r="H4305" s="972">
        <v>45821</v>
      </c>
    </row>
    <row r="4306" spans="3:8" x14ac:dyDescent="0.25">
      <c r="C4306" s="970">
        <v>51</v>
      </c>
      <c r="D4306" s="970">
        <v>15</v>
      </c>
      <c r="E4306" s="971">
        <v>33.6</v>
      </c>
      <c r="F4306" s="4">
        <f t="shared" si="73"/>
        <v>-5.882352941176474E-2</v>
      </c>
      <c r="G4306" s="37">
        <v>37.5</v>
      </c>
      <c r="H4306" s="972">
        <v>45821</v>
      </c>
    </row>
    <row r="4307" spans="3:8" x14ac:dyDescent="0.25">
      <c r="C4307" s="970">
        <v>1</v>
      </c>
      <c r="D4307" s="970">
        <v>117</v>
      </c>
      <c r="E4307" s="971">
        <v>38.4</v>
      </c>
      <c r="F4307" s="4">
        <f t="shared" si="73"/>
        <v>-2.5380710659898477E-2</v>
      </c>
      <c r="G4307" s="37">
        <v>37.5</v>
      </c>
      <c r="H4307" s="972">
        <v>45821</v>
      </c>
    </row>
    <row r="4308" spans="3:8" x14ac:dyDescent="0.25">
      <c r="C4308" s="970">
        <v>2</v>
      </c>
      <c r="D4308" s="970">
        <v>61</v>
      </c>
      <c r="E4308" s="971">
        <v>35.4</v>
      </c>
      <c r="F4308" s="4">
        <f t="shared" si="73"/>
        <v>0.14935064935064929</v>
      </c>
      <c r="G4308" s="37">
        <v>37.5</v>
      </c>
      <c r="H4308" s="972">
        <v>45821</v>
      </c>
    </row>
    <row r="4309" spans="3:8" x14ac:dyDescent="0.25">
      <c r="C4309" s="970">
        <v>3</v>
      </c>
      <c r="D4309" s="970">
        <v>94</v>
      </c>
      <c r="E4309" s="971">
        <v>31.7</v>
      </c>
      <c r="F4309" s="4">
        <f t="shared" si="73"/>
        <v>0.10069444444444439</v>
      </c>
      <c r="G4309" s="37">
        <v>37.5</v>
      </c>
      <c r="H4309" s="972">
        <v>45821</v>
      </c>
    </row>
    <row r="4310" spans="3:8" x14ac:dyDescent="0.25">
      <c r="C4310" s="970">
        <v>4</v>
      </c>
      <c r="D4310" s="970">
        <v>0</v>
      </c>
      <c r="E4310" s="971"/>
      <c r="F4310" s="4" t="str">
        <f t="shared" si="73"/>
        <v/>
      </c>
      <c r="G4310" s="37">
        <v>37.5</v>
      </c>
      <c r="H4310" s="972">
        <v>45821</v>
      </c>
    </row>
    <row r="4311" spans="3:8" x14ac:dyDescent="0.25">
      <c r="C4311" s="970">
        <v>5</v>
      </c>
      <c r="D4311" s="970">
        <v>94</v>
      </c>
      <c r="E4311" s="971">
        <v>24.5</v>
      </c>
      <c r="F4311" s="4">
        <f t="shared" si="73"/>
        <v>-0.10256410256410259</v>
      </c>
      <c r="G4311" s="37">
        <v>37.5</v>
      </c>
      <c r="H4311" s="972">
        <v>45821</v>
      </c>
    </row>
    <row r="4312" spans="3:8" x14ac:dyDescent="0.25">
      <c r="C4312" s="970">
        <v>6</v>
      </c>
      <c r="D4312" s="970">
        <v>93</v>
      </c>
      <c r="E4312" s="971">
        <v>33.700000000000003</v>
      </c>
      <c r="F4312" s="4">
        <f t="shared" si="73"/>
        <v>0</v>
      </c>
      <c r="G4312" s="37">
        <v>37.5</v>
      </c>
      <c r="H4312" s="972">
        <v>45821</v>
      </c>
    </row>
    <row r="4313" spans="3:8" x14ac:dyDescent="0.25">
      <c r="C4313" s="970">
        <v>7</v>
      </c>
      <c r="D4313" s="970">
        <v>74</v>
      </c>
      <c r="E4313" s="971">
        <v>40</v>
      </c>
      <c r="F4313" s="4">
        <f t="shared" si="73"/>
        <v>2.3017902813299195E-2</v>
      </c>
      <c r="G4313" s="37">
        <v>37.5</v>
      </c>
      <c r="H4313" s="972">
        <v>45821</v>
      </c>
    </row>
    <row r="4314" spans="3:8" x14ac:dyDescent="0.25">
      <c r="C4314" s="970">
        <v>8</v>
      </c>
      <c r="D4314" s="970">
        <v>0</v>
      </c>
      <c r="E4314" s="971">
        <v>35.4</v>
      </c>
      <c r="F4314" s="4">
        <f t="shared" si="73"/>
        <v>4.7337278106508923E-2</v>
      </c>
      <c r="G4314" s="37">
        <v>37.5</v>
      </c>
      <c r="H4314" s="972">
        <v>45821</v>
      </c>
    </row>
    <row r="4315" spans="3:8" x14ac:dyDescent="0.25">
      <c r="C4315" s="970">
        <v>9</v>
      </c>
      <c r="D4315" s="970">
        <v>118</v>
      </c>
      <c r="E4315" s="971">
        <v>38</v>
      </c>
      <c r="F4315" s="4">
        <f t="shared" si="73"/>
        <v>-0.05</v>
      </c>
      <c r="G4315" s="37">
        <v>37.5</v>
      </c>
      <c r="H4315" s="972">
        <v>45821</v>
      </c>
    </row>
    <row r="4316" spans="3:8" x14ac:dyDescent="0.25">
      <c r="C4316" s="970">
        <v>10</v>
      </c>
      <c r="D4316" s="970">
        <v>120</v>
      </c>
      <c r="E4316" s="971">
        <v>35.6</v>
      </c>
      <c r="F4316" s="4">
        <f t="shared" si="73"/>
        <v>-0.14832535885167455</v>
      </c>
      <c r="G4316" s="37">
        <v>37.5</v>
      </c>
      <c r="H4316" s="972">
        <v>45821</v>
      </c>
    </row>
    <row r="4317" spans="3:8" x14ac:dyDescent="0.25">
      <c r="C4317" s="973" t="s">
        <v>0</v>
      </c>
      <c r="D4317" s="973" t="s">
        <v>7</v>
      </c>
      <c r="E4317" s="974" t="s">
        <v>4</v>
      </c>
      <c r="F4317" s="4" t="str">
        <f t="shared" si="73"/>
        <v/>
      </c>
      <c r="G4317" s="37">
        <v>39.200000000000003</v>
      </c>
      <c r="H4317" s="972">
        <v>45822</v>
      </c>
    </row>
    <row r="4318" spans="3:8" x14ac:dyDescent="0.25">
      <c r="C4318" s="973">
        <v>51</v>
      </c>
      <c r="D4318" s="973">
        <v>16</v>
      </c>
      <c r="E4318" s="974">
        <v>32.6</v>
      </c>
      <c r="F4318" s="4">
        <f t="shared" si="73"/>
        <v>-2.976190476190476E-2</v>
      </c>
      <c r="G4318" s="37">
        <v>39.200000000000003</v>
      </c>
      <c r="H4318" s="972">
        <v>45822</v>
      </c>
    </row>
    <row r="4319" spans="3:8" x14ac:dyDescent="0.25">
      <c r="C4319" s="973">
        <v>1</v>
      </c>
      <c r="D4319" s="973">
        <v>117</v>
      </c>
      <c r="E4319" s="974">
        <v>42.2</v>
      </c>
      <c r="F4319" s="4">
        <f t="shared" si="73"/>
        <v>9.8958333333333454E-2</v>
      </c>
      <c r="G4319" s="37">
        <v>39.200000000000003</v>
      </c>
      <c r="H4319" s="972">
        <v>45822</v>
      </c>
    </row>
    <row r="4320" spans="3:8" x14ac:dyDescent="0.25">
      <c r="C4320" s="973">
        <v>2</v>
      </c>
      <c r="D4320" s="973">
        <v>61</v>
      </c>
      <c r="E4320" s="974">
        <v>34.1</v>
      </c>
      <c r="F4320" s="4">
        <f t="shared" si="73"/>
        <v>-3.6723163841807828E-2</v>
      </c>
      <c r="G4320" s="37">
        <v>39.200000000000003</v>
      </c>
      <c r="H4320" s="972">
        <v>45822</v>
      </c>
    </row>
    <row r="4321" spans="3:8" x14ac:dyDescent="0.25">
      <c r="C4321" s="973">
        <v>3</v>
      </c>
      <c r="D4321" s="973">
        <v>94</v>
      </c>
      <c r="E4321" s="974">
        <v>36.799999999999997</v>
      </c>
      <c r="F4321" s="4">
        <f t="shared" si="73"/>
        <v>0.16088328075709774</v>
      </c>
      <c r="G4321" s="37">
        <v>39.200000000000003</v>
      </c>
      <c r="H4321" s="972">
        <v>45822</v>
      </c>
    </row>
    <row r="4322" spans="3:8" x14ac:dyDescent="0.25">
      <c r="C4322" s="973">
        <v>4</v>
      </c>
      <c r="D4322" s="973">
        <v>0</v>
      </c>
      <c r="E4322" s="974"/>
      <c r="F4322" s="4" t="str">
        <f t="shared" si="73"/>
        <v/>
      </c>
      <c r="G4322" s="37">
        <v>39.200000000000003</v>
      </c>
      <c r="H4322" s="972">
        <v>45822</v>
      </c>
    </row>
    <row r="4323" spans="3:8" x14ac:dyDescent="0.25">
      <c r="C4323" s="973">
        <v>5</v>
      </c>
      <c r="D4323" s="973">
        <v>94</v>
      </c>
      <c r="E4323" s="974">
        <v>27.9</v>
      </c>
      <c r="F4323" s="4">
        <f t="shared" si="73"/>
        <v>0.13877551020408158</v>
      </c>
      <c r="G4323" s="37">
        <v>39.200000000000003</v>
      </c>
      <c r="H4323" s="972">
        <v>45822</v>
      </c>
    </row>
    <row r="4324" spans="3:8" x14ac:dyDescent="0.25">
      <c r="C4324" s="973">
        <v>6</v>
      </c>
      <c r="D4324" s="973">
        <v>92</v>
      </c>
      <c r="E4324" s="974">
        <v>33.700000000000003</v>
      </c>
      <c r="F4324" s="4">
        <f t="shared" si="73"/>
        <v>0</v>
      </c>
      <c r="G4324" s="37">
        <v>39.200000000000003</v>
      </c>
      <c r="H4324" s="972">
        <v>45822</v>
      </c>
    </row>
    <row r="4325" spans="3:8" x14ac:dyDescent="0.25">
      <c r="C4325" s="973">
        <v>7</v>
      </c>
      <c r="D4325" s="973">
        <v>74</v>
      </c>
      <c r="E4325" s="974">
        <v>35</v>
      </c>
      <c r="F4325" s="4">
        <f t="shared" si="73"/>
        <v>-0.125</v>
      </c>
      <c r="G4325" s="37">
        <v>39.200000000000003</v>
      </c>
      <c r="H4325" s="972">
        <v>45822</v>
      </c>
    </row>
    <row r="4326" spans="3:8" x14ac:dyDescent="0.25">
      <c r="C4326" s="973">
        <v>8</v>
      </c>
      <c r="D4326" s="973">
        <v>0</v>
      </c>
      <c r="E4326" s="974"/>
      <c r="F4326" s="4">
        <f t="shared" si="73"/>
        <v>-1</v>
      </c>
      <c r="G4326" s="37">
        <v>39.200000000000003</v>
      </c>
      <c r="H4326" s="972">
        <v>45822</v>
      </c>
    </row>
    <row r="4327" spans="3:8" x14ac:dyDescent="0.25">
      <c r="C4327" s="973">
        <v>9</v>
      </c>
      <c r="D4327" s="973">
        <v>118</v>
      </c>
      <c r="E4327" s="974">
        <v>40.5</v>
      </c>
      <c r="F4327" s="4">
        <f t="shared" ref="F4327:F4390" si="74">IFERROR((E4327-E4315)/E4315,"")</f>
        <v>6.5789473684210523E-2</v>
      </c>
      <c r="G4327" s="37">
        <v>39.200000000000003</v>
      </c>
      <c r="H4327" s="972">
        <v>45822</v>
      </c>
    </row>
    <row r="4328" spans="3:8" x14ac:dyDescent="0.25">
      <c r="C4328" s="973">
        <v>10</v>
      </c>
      <c r="D4328" s="973">
        <v>120</v>
      </c>
      <c r="E4328" s="974">
        <v>40.6</v>
      </c>
      <c r="F4328" s="4">
        <f t="shared" si="74"/>
        <v>0.14044943820224717</v>
      </c>
      <c r="G4328" s="37">
        <v>39.200000000000003</v>
      </c>
      <c r="H4328" s="972">
        <v>45822</v>
      </c>
    </row>
    <row r="4329" spans="3:8" x14ac:dyDescent="0.25">
      <c r="C4329" s="975" t="s">
        <v>0</v>
      </c>
      <c r="D4329" s="975" t="s">
        <v>7</v>
      </c>
      <c r="E4329" s="976" t="s">
        <v>4</v>
      </c>
      <c r="F4329" s="4" t="str">
        <f t="shared" si="74"/>
        <v/>
      </c>
      <c r="G4329" s="37">
        <v>39.4</v>
      </c>
      <c r="H4329" s="977">
        <v>45823</v>
      </c>
    </row>
    <row r="4330" spans="3:8" x14ac:dyDescent="0.25">
      <c r="C4330" s="975">
        <v>51</v>
      </c>
      <c r="D4330" s="975">
        <v>16</v>
      </c>
      <c r="E4330" s="976">
        <v>31.5</v>
      </c>
      <c r="F4330" s="4">
        <f t="shared" si="74"/>
        <v>-3.3742331288343599E-2</v>
      </c>
      <c r="G4330" s="37">
        <v>39.4</v>
      </c>
      <c r="H4330" s="977">
        <v>45823</v>
      </c>
    </row>
    <row r="4331" spans="3:8" x14ac:dyDescent="0.25">
      <c r="C4331" s="975">
        <v>1</v>
      </c>
      <c r="D4331" s="975">
        <v>116</v>
      </c>
      <c r="E4331" s="976">
        <v>36.9</v>
      </c>
      <c r="F4331" s="4">
        <f t="shared" si="74"/>
        <v>-0.12559241706161148</v>
      </c>
      <c r="G4331" s="37">
        <v>39.4</v>
      </c>
      <c r="H4331" s="977">
        <v>45823</v>
      </c>
    </row>
    <row r="4332" spans="3:8" x14ac:dyDescent="0.25">
      <c r="C4332" s="975">
        <v>2</v>
      </c>
      <c r="D4332" s="975">
        <v>61</v>
      </c>
      <c r="E4332" s="976">
        <v>33.700000000000003</v>
      </c>
      <c r="F4332" s="4">
        <f t="shared" si="74"/>
        <v>-1.1730205278592334E-2</v>
      </c>
      <c r="G4332" s="37">
        <v>39.4</v>
      </c>
      <c r="H4332" s="977">
        <v>45823</v>
      </c>
    </row>
    <row r="4333" spans="3:8" x14ac:dyDescent="0.25">
      <c r="C4333" s="975">
        <v>3</v>
      </c>
      <c r="D4333" s="975">
        <v>94</v>
      </c>
      <c r="E4333" s="976">
        <v>34.700000000000003</v>
      </c>
      <c r="F4333" s="4">
        <f t="shared" si="74"/>
        <v>-5.7065217391304199E-2</v>
      </c>
      <c r="G4333" s="37">
        <v>39.4</v>
      </c>
      <c r="H4333" s="977">
        <v>45823</v>
      </c>
    </row>
    <row r="4334" spans="3:8" x14ac:dyDescent="0.25">
      <c r="C4334" s="975">
        <v>4</v>
      </c>
      <c r="D4334" s="975">
        <v>0</v>
      </c>
      <c r="E4334" s="976"/>
      <c r="F4334" s="4" t="str">
        <f t="shared" si="74"/>
        <v/>
      </c>
      <c r="G4334" s="37">
        <v>39.4</v>
      </c>
      <c r="H4334" s="977">
        <v>45823</v>
      </c>
    </row>
    <row r="4335" spans="3:8" x14ac:dyDescent="0.25">
      <c r="C4335" s="975">
        <v>5</v>
      </c>
      <c r="D4335" s="975">
        <v>94</v>
      </c>
      <c r="E4335" s="976">
        <v>27.1</v>
      </c>
      <c r="F4335" s="4">
        <f t="shared" si="74"/>
        <v>-2.8673835125447928E-2</v>
      </c>
      <c r="G4335" s="37">
        <v>39.4</v>
      </c>
      <c r="H4335" s="977">
        <v>45823</v>
      </c>
    </row>
    <row r="4336" spans="3:8" x14ac:dyDescent="0.25">
      <c r="C4336" s="975">
        <v>6</v>
      </c>
      <c r="D4336" s="975">
        <v>92</v>
      </c>
      <c r="E4336" s="976">
        <v>41.4</v>
      </c>
      <c r="F4336" s="4">
        <f t="shared" si="74"/>
        <v>0.22848664688427286</v>
      </c>
      <c r="G4336" s="37">
        <v>39.4</v>
      </c>
      <c r="H4336" s="977">
        <v>45823</v>
      </c>
    </row>
    <row r="4337" spans="3:8" x14ac:dyDescent="0.25">
      <c r="C4337" s="975">
        <v>7</v>
      </c>
      <c r="D4337" s="975">
        <v>74</v>
      </c>
      <c r="E4337" s="976">
        <v>38.299999999999997</v>
      </c>
      <c r="F4337" s="4">
        <f t="shared" si="74"/>
        <v>9.4285714285714209E-2</v>
      </c>
      <c r="G4337" s="37">
        <v>39.4</v>
      </c>
      <c r="H4337" s="977">
        <v>45823</v>
      </c>
    </row>
    <row r="4338" spans="3:8" x14ac:dyDescent="0.25">
      <c r="C4338" s="975">
        <v>8</v>
      </c>
      <c r="D4338" s="975">
        <v>0</v>
      </c>
      <c r="E4338" s="976"/>
      <c r="F4338" s="4" t="str">
        <f t="shared" si="74"/>
        <v/>
      </c>
      <c r="G4338" s="37">
        <v>39.4</v>
      </c>
      <c r="H4338" s="977">
        <v>45823</v>
      </c>
    </row>
    <row r="4339" spans="3:8" x14ac:dyDescent="0.25">
      <c r="C4339" s="975">
        <v>9</v>
      </c>
      <c r="D4339" s="975">
        <v>118</v>
      </c>
      <c r="E4339" s="976">
        <v>41.2</v>
      </c>
      <c r="F4339" s="4">
        <f t="shared" si="74"/>
        <v>1.7283950617284022E-2</v>
      </c>
      <c r="G4339" s="37">
        <v>39.4</v>
      </c>
      <c r="H4339" s="977">
        <v>45823</v>
      </c>
    </row>
    <row r="4340" spans="3:8" x14ac:dyDescent="0.25">
      <c r="C4340" s="975">
        <v>10</v>
      </c>
      <c r="D4340" s="975">
        <v>120</v>
      </c>
      <c r="E4340" s="976">
        <v>44.1</v>
      </c>
      <c r="F4340" s="4">
        <f t="shared" si="74"/>
        <v>8.620689655172413E-2</v>
      </c>
      <c r="G4340" s="37">
        <v>39.4</v>
      </c>
      <c r="H4340" s="977">
        <v>45823</v>
      </c>
    </row>
    <row r="4341" spans="3:8" x14ac:dyDescent="0.25">
      <c r="C4341" s="978" t="s">
        <v>0</v>
      </c>
      <c r="D4341" s="978" t="s">
        <v>7</v>
      </c>
      <c r="E4341" s="979" t="s">
        <v>4</v>
      </c>
      <c r="F4341" s="4" t="str">
        <f t="shared" si="74"/>
        <v/>
      </c>
      <c r="G4341" s="37">
        <v>39.200000000000003</v>
      </c>
      <c r="H4341" s="980">
        <v>45824</v>
      </c>
    </row>
    <row r="4342" spans="3:8" x14ac:dyDescent="0.25">
      <c r="C4342" s="978">
        <v>51</v>
      </c>
      <c r="D4342" s="978">
        <v>14</v>
      </c>
      <c r="E4342" s="979">
        <v>34.799999999999997</v>
      </c>
      <c r="F4342" s="4">
        <f t="shared" si="74"/>
        <v>0.10476190476190467</v>
      </c>
      <c r="G4342" s="37">
        <v>39.200000000000003</v>
      </c>
      <c r="H4342" s="980">
        <v>45824</v>
      </c>
    </row>
    <row r="4343" spans="3:8" x14ac:dyDescent="0.25">
      <c r="C4343" s="978">
        <v>1</v>
      </c>
      <c r="D4343" s="978">
        <v>116</v>
      </c>
      <c r="E4343" s="979">
        <v>45</v>
      </c>
      <c r="F4343" s="4">
        <f t="shared" si="74"/>
        <v>0.21951219512195128</v>
      </c>
      <c r="G4343" s="37">
        <v>39.200000000000003</v>
      </c>
      <c r="H4343" s="980">
        <v>45824</v>
      </c>
    </row>
    <row r="4344" spans="3:8" x14ac:dyDescent="0.25">
      <c r="C4344" s="978">
        <v>2</v>
      </c>
      <c r="D4344" s="978">
        <v>61</v>
      </c>
      <c r="E4344" s="979">
        <v>35.6</v>
      </c>
      <c r="F4344" s="4">
        <f t="shared" si="74"/>
        <v>5.6379821958456929E-2</v>
      </c>
      <c r="G4344" s="37">
        <v>39.200000000000003</v>
      </c>
      <c r="H4344" s="980">
        <v>45824</v>
      </c>
    </row>
    <row r="4345" spans="3:8" x14ac:dyDescent="0.25">
      <c r="C4345" s="978">
        <v>3</v>
      </c>
      <c r="D4345" s="978">
        <v>94</v>
      </c>
      <c r="E4345" s="979">
        <v>35.4</v>
      </c>
      <c r="F4345" s="4">
        <f t="shared" si="74"/>
        <v>2.0172910662824083E-2</v>
      </c>
      <c r="G4345" s="37">
        <v>39.200000000000003</v>
      </c>
      <c r="H4345" s="980">
        <v>45824</v>
      </c>
    </row>
    <row r="4346" spans="3:8" x14ac:dyDescent="0.25">
      <c r="C4346" s="978">
        <v>4</v>
      </c>
      <c r="D4346" s="978">
        <v>0</v>
      </c>
      <c r="E4346" s="979"/>
      <c r="F4346" s="4" t="str">
        <f t="shared" si="74"/>
        <v/>
      </c>
      <c r="G4346" s="37">
        <v>39.200000000000003</v>
      </c>
      <c r="H4346" s="980">
        <v>45824</v>
      </c>
    </row>
    <row r="4347" spans="3:8" x14ac:dyDescent="0.25">
      <c r="C4347" s="978">
        <v>5</v>
      </c>
      <c r="D4347" s="978">
        <v>94</v>
      </c>
      <c r="E4347" s="979">
        <v>27.2</v>
      </c>
      <c r="F4347" s="4">
        <f t="shared" si="74"/>
        <v>3.6900369003689247E-3</v>
      </c>
      <c r="G4347" s="37">
        <v>39.200000000000003</v>
      </c>
      <c r="H4347" s="980">
        <v>45824</v>
      </c>
    </row>
    <row r="4348" spans="3:8" x14ac:dyDescent="0.25">
      <c r="C4348" s="978">
        <v>6</v>
      </c>
      <c r="D4348" s="978">
        <v>92</v>
      </c>
      <c r="E4348" s="979">
        <v>37.799999999999997</v>
      </c>
      <c r="F4348" s="4">
        <f t="shared" si="74"/>
        <v>-8.6956521739130474E-2</v>
      </c>
      <c r="G4348" s="37">
        <v>39.200000000000003</v>
      </c>
      <c r="H4348" s="980">
        <v>45824</v>
      </c>
    </row>
    <row r="4349" spans="3:8" x14ac:dyDescent="0.25">
      <c r="C4349" s="978">
        <v>7</v>
      </c>
      <c r="D4349" s="978">
        <v>74</v>
      </c>
      <c r="E4349" s="979">
        <v>35.1</v>
      </c>
      <c r="F4349" s="4">
        <f t="shared" si="74"/>
        <v>-8.3550913838119995E-2</v>
      </c>
      <c r="G4349" s="37">
        <v>39.200000000000003</v>
      </c>
      <c r="H4349" s="980">
        <v>45824</v>
      </c>
    </row>
    <row r="4350" spans="3:8" x14ac:dyDescent="0.25">
      <c r="C4350" s="978">
        <v>8</v>
      </c>
      <c r="D4350" s="978">
        <v>0</v>
      </c>
      <c r="E4350" s="979"/>
      <c r="F4350" s="4" t="str">
        <f t="shared" si="74"/>
        <v/>
      </c>
      <c r="G4350" s="37">
        <v>39.200000000000003</v>
      </c>
      <c r="H4350" s="980">
        <v>45824</v>
      </c>
    </row>
    <row r="4351" spans="3:8" x14ac:dyDescent="0.25">
      <c r="C4351" s="978">
        <v>9</v>
      </c>
      <c r="D4351" s="978">
        <v>115</v>
      </c>
      <c r="E4351" s="979">
        <v>40.4</v>
      </c>
      <c r="F4351" s="4">
        <f t="shared" si="74"/>
        <v>-1.9417475728155442E-2</v>
      </c>
      <c r="G4351" s="37">
        <v>39.200000000000003</v>
      </c>
      <c r="H4351" s="980">
        <v>45824</v>
      </c>
    </row>
    <row r="4352" spans="3:8" x14ac:dyDescent="0.25">
      <c r="C4352" s="978">
        <v>10</v>
      </c>
      <c r="D4352" s="978">
        <v>120</v>
      </c>
      <c r="E4352" s="979">
        <v>43</v>
      </c>
      <c r="F4352" s="4">
        <f t="shared" si="74"/>
        <v>-2.4943310657596404E-2</v>
      </c>
      <c r="G4352" s="37">
        <v>39.200000000000003</v>
      </c>
      <c r="H4352" s="980">
        <v>45824</v>
      </c>
    </row>
    <row r="4353" spans="3:8" x14ac:dyDescent="0.25">
      <c r="C4353" s="981" t="s">
        <v>0</v>
      </c>
      <c r="D4353" s="981" t="s">
        <v>7</v>
      </c>
      <c r="E4353" s="982" t="s">
        <v>4</v>
      </c>
      <c r="F4353" s="4" t="str">
        <f t="shared" si="74"/>
        <v/>
      </c>
      <c r="G4353" s="37">
        <v>38.299999999999997</v>
      </c>
      <c r="H4353" s="983">
        <v>45825</v>
      </c>
    </row>
    <row r="4354" spans="3:8" x14ac:dyDescent="0.25">
      <c r="C4354" s="981">
        <v>51</v>
      </c>
      <c r="D4354" s="981">
        <v>13</v>
      </c>
      <c r="E4354" s="982">
        <v>39.6</v>
      </c>
      <c r="F4354" s="4">
        <f t="shared" si="74"/>
        <v>0.13793103448275876</v>
      </c>
      <c r="G4354" s="37">
        <v>38.299999999999997</v>
      </c>
      <c r="H4354" s="983">
        <v>45825</v>
      </c>
    </row>
    <row r="4355" spans="3:8" x14ac:dyDescent="0.25">
      <c r="C4355" s="981">
        <v>1</v>
      </c>
      <c r="D4355" s="981">
        <v>117</v>
      </c>
      <c r="E4355" s="982">
        <v>39.6</v>
      </c>
      <c r="F4355" s="4">
        <f t="shared" si="74"/>
        <v>-0.11999999999999997</v>
      </c>
      <c r="G4355" s="37">
        <v>38.299999999999997</v>
      </c>
      <c r="H4355" s="983">
        <v>45825</v>
      </c>
    </row>
    <row r="4356" spans="3:8" x14ac:dyDescent="0.25">
      <c r="C4356" s="981">
        <v>2</v>
      </c>
      <c r="D4356" s="981">
        <v>61</v>
      </c>
      <c r="E4356" s="982">
        <v>35.5</v>
      </c>
      <c r="F4356" s="4">
        <f t="shared" si="74"/>
        <v>-2.8089887640449836E-3</v>
      </c>
      <c r="G4356" s="37">
        <v>38.299999999999997</v>
      </c>
      <c r="H4356" s="983">
        <v>45825</v>
      </c>
    </row>
    <row r="4357" spans="3:8" x14ac:dyDescent="0.25">
      <c r="C4357" s="981">
        <v>3</v>
      </c>
      <c r="D4357" s="981">
        <v>94</v>
      </c>
      <c r="E4357" s="982">
        <v>31.2</v>
      </c>
      <c r="F4357" s="4">
        <f t="shared" si="74"/>
        <v>-0.11864406779661016</v>
      </c>
      <c r="G4357" s="37">
        <v>38.299999999999997</v>
      </c>
      <c r="H4357" s="983">
        <v>45825</v>
      </c>
    </row>
    <row r="4358" spans="3:8" x14ac:dyDescent="0.25">
      <c r="C4358" s="981">
        <v>4</v>
      </c>
      <c r="D4358" s="981">
        <v>0</v>
      </c>
      <c r="E4358" s="982"/>
      <c r="F4358" s="4" t="str">
        <f t="shared" si="74"/>
        <v/>
      </c>
      <c r="G4358" s="37">
        <v>38.299999999999997</v>
      </c>
      <c r="H4358" s="983">
        <v>45825</v>
      </c>
    </row>
    <row r="4359" spans="3:8" x14ac:dyDescent="0.25">
      <c r="C4359" s="981">
        <v>5</v>
      </c>
      <c r="D4359" s="981">
        <v>94</v>
      </c>
      <c r="E4359" s="982">
        <v>25.6</v>
      </c>
      <c r="F4359" s="4">
        <f t="shared" si="74"/>
        <v>-5.8823529411764629E-2</v>
      </c>
      <c r="G4359" s="37">
        <v>38.299999999999997</v>
      </c>
      <c r="H4359" s="983">
        <v>45825</v>
      </c>
    </row>
    <row r="4360" spans="3:8" x14ac:dyDescent="0.25">
      <c r="C4360" s="981">
        <v>6</v>
      </c>
      <c r="D4360" s="981">
        <v>96</v>
      </c>
      <c r="E4360" s="982">
        <v>38.1</v>
      </c>
      <c r="F4360" s="4">
        <f t="shared" si="74"/>
        <v>7.9365079365080506E-3</v>
      </c>
      <c r="G4360" s="37">
        <v>38.299999999999997</v>
      </c>
      <c r="H4360" s="983">
        <v>45825</v>
      </c>
    </row>
    <row r="4361" spans="3:8" x14ac:dyDescent="0.25">
      <c r="C4361" s="981">
        <v>7</v>
      </c>
      <c r="D4361" s="981">
        <v>74</v>
      </c>
      <c r="E4361" s="982">
        <v>37.4</v>
      </c>
      <c r="F4361" s="4">
        <f t="shared" si="74"/>
        <v>6.5527065527065442E-2</v>
      </c>
      <c r="G4361" s="37">
        <v>38.299999999999997</v>
      </c>
      <c r="H4361" s="983">
        <v>45825</v>
      </c>
    </row>
    <row r="4362" spans="3:8" x14ac:dyDescent="0.25">
      <c r="C4362" s="981">
        <v>8</v>
      </c>
      <c r="D4362" s="981">
        <v>0</v>
      </c>
      <c r="E4362" s="982"/>
      <c r="F4362" s="4" t="str">
        <f t="shared" si="74"/>
        <v/>
      </c>
      <c r="G4362" s="37">
        <v>38.299999999999997</v>
      </c>
      <c r="H4362" s="983">
        <v>45825</v>
      </c>
    </row>
    <row r="4363" spans="3:8" x14ac:dyDescent="0.25">
      <c r="C4363" s="981">
        <v>9</v>
      </c>
      <c r="D4363" s="981">
        <v>115</v>
      </c>
      <c r="E4363" s="982">
        <v>40.5</v>
      </c>
      <c r="F4363" s="4">
        <f t="shared" si="74"/>
        <v>2.4752475247525104E-3</v>
      </c>
      <c r="G4363" s="37">
        <v>38.299999999999997</v>
      </c>
      <c r="H4363" s="983">
        <v>45825</v>
      </c>
    </row>
    <row r="4364" spans="3:8" x14ac:dyDescent="0.25">
      <c r="C4364" s="981">
        <v>10</v>
      </c>
      <c r="D4364" s="981">
        <v>121</v>
      </c>
      <c r="E4364" s="982">
        <v>36.799999999999997</v>
      </c>
      <c r="F4364" s="4">
        <f t="shared" si="74"/>
        <v>-0.14418604651162797</v>
      </c>
      <c r="G4364" s="37">
        <v>38.299999999999997</v>
      </c>
      <c r="H4364" s="983">
        <v>45825</v>
      </c>
    </row>
    <row r="4365" spans="3:8" x14ac:dyDescent="0.25">
      <c r="C4365" s="984" t="s">
        <v>0</v>
      </c>
      <c r="D4365" s="984" t="s">
        <v>7</v>
      </c>
      <c r="E4365" s="985" t="s">
        <v>4</v>
      </c>
      <c r="F4365" s="4" t="str">
        <f t="shared" si="74"/>
        <v/>
      </c>
      <c r="G4365" s="37">
        <v>40</v>
      </c>
      <c r="H4365" s="986">
        <v>45826</v>
      </c>
    </row>
    <row r="4366" spans="3:8" x14ac:dyDescent="0.25">
      <c r="C4366" s="984">
        <v>51</v>
      </c>
      <c r="D4366" s="984">
        <v>9</v>
      </c>
      <c r="E4366" s="985">
        <v>30.8</v>
      </c>
      <c r="F4366" s="4">
        <f t="shared" si="74"/>
        <v>-0.22222222222222224</v>
      </c>
      <c r="G4366" s="37">
        <v>40</v>
      </c>
      <c r="H4366" s="986">
        <v>45826</v>
      </c>
    </row>
    <row r="4367" spans="3:8" x14ac:dyDescent="0.25">
      <c r="C4367" s="984">
        <v>1</v>
      </c>
      <c r="D4367" s="984">
        <v>117</v>
      </c>
      <c r="E4367" s="985">
        <v>43.1</v>
      </c>
      <c r="F4367" s="4">
        <f t="shared" si="74"/>
        <v>8.8383838383838384E-2</v>
      </c>
      <c r="G4367" s="37">
        <v>40</v>
      </c>
      <c r="H4367" s="986">
        <v>45826</v>
      </c>
    </row>
    <row r="4368" spans="3:8" x14ac:dyDescent="0.25">
      <c r="C4368" s="984">
        <v>2</v>
      </c>
      <c r="D4368" s="984">
        <v>56</v>
      </c>
      <c r="E4368" s="985">
        <v>37.200000000000003</v>
      </c>
      <c r="F4368" s="4">
        <f t="shared" si="74"/>
        <v>4.7887323943662054E-2</v>
      </c>
      <c r="G4368" s="37">
        <v>40</v>
      </c>
      <c r="H4368" s="986">
        <v>45826</v>
      </c>
    </row>
    <row r="4369" spans="3:8" x14ac:dyDescent="0.25">
      <c r="C4369" s="984">
        <v>3</v>
      </c>
      <c r="D4369" s="984">
        <v>89</v>
      </c>
      <c r="E4369" s="985">
        <v>34.299999999999997</v>
      </c>
      <c r="F4369" s="4">
        <f t="shared" si="74"/>
        <v>9.9358974358974297E-2</v>
      </c>
      <c r="G4369" s="37">
        <v>40</v>
      </c>
      <c r="H4369" s="986">
        <v>45826</v>
      </c>
    </row>
    <row r="4370" spans="3:8" x14ac:dyDescent="0.25">
      <c r="C4370" s="984">
        <v>4</v>
      </c>
      <c r="D4370" s="984">
        <v>0</v>
      </c>
      <c r="E4370" s="985"/>
      <c r="F4370" s="4" t="str">
        <f t="shared" si="74"/>
        <v/>
      </c>
      <c r="G4370" s="37">
        <v>40</v>
      </c>
      <c r="H4370" s="986">
        <v>45826</v>
      </c>
    </row>
    <row r="4371" spans="3:8" x14ac:dyDescent="0.25">
      <c r="C4371" s="984">
        <v>5</v>
      </c>
      <c r="D4371" s="984">
        <v>83</v>
      </c>
      <c r="E4371" s="985">
        <v>26.8</v>
      </c>
      <c r="F4371" s="4">
        <f t="shared" si="74"/>
        <v>4.6874999999999972E-2</v>
      </c>
      <c r="G4371" s="37">
        <v>40</v>
      </c>
      <c r="H4371" s="986">
        <v>45826</v>
      </c>
    </row>
    <row r="4372" spans="3:8" x14ac:dyDescent="0.25">
      <c r="C4372" s="984">
        <v>6</v>
      </c>
      <c r="D4372" s="984">
        <v>91</v>
      </c>
      <c r="E4372" s="985">
        <v>43</v>
      </c>
      <c r="F4372" s="4">
        <f t="shared" si="74"/>
        <v>0.12860892388451439</v>
      </c>
      <c r="G4372" s="37">
        <v>40</v>
      </c>
      <c r="H4372" s="986">
        <v>45826</v>
      </c>
    </row>
    <row r="4373" spans="3:8" x14ac:dyDescent="0.25">
      <c r="C4373" s="984">
        <v>7</v>
      </c>
      <c r="D4373" s="984">
        <v>74</v>
      </c>
      <c r="E4373" s="985">
        <v>41.6</v>
      </c>
      <c r="F4373" s="4">
        <f t="shared" si="74"/>
        <v>0.11229946524064179</v>
      </c>
      <c r="G4373" s="37">
        <v>40</v>
      </c>
      <c r="H4373" s="986">
        <v>45826</v>
      </c>
    </row>
    <row r="4374" spans="3:8" x14ac:dyDescent="0.25">
      <c r="C4374" s="984">
        <v>8</v>
      </c>
      <c r="D4374" s="984">
        <v>0</v>
      </c>
      <c r="E4374" s="985"/>
      <c r="F4374" s="4" t="str">
        <f t="shared" si="74"/>
        <v/>
      </c>
      <c r="G4374" s="37">
        <v>40</v>
      </c>
      <c r="H4374" s="986">
        <v>45826</v>
      </c>
    </row>
    <row r="4375" spans="3:8" x14ac:dyDescent="0.25">
      <c r="C4375" s="984">
        <v>9</v>
      </c>
      <c r="D4375" s="984">
        <v>116</v>
      </c>
      <c r="E4375" s="985">
        <v>39.700000000000003</v>
      </c>
      <c r="F4375" s="4">
        <f t="shared" si="74"/>
        <v>-1.9753086419753017E-2</v>
      </c>
      <c r="G4375" s="37">
        <v>40</v>
      </c>
      <c r="H4375" s="986">
        <v>45826</v>
      </c>
    </row>
    <row r="4376" spans="3:8" x14ac:dyDescent="0.25">
      <c r="C4376" s="984">
        <v>10</v>
      </c>
      <c r="D4376" s="984">
        <v>120</v>
      </c>
      <c r="E4376" s="985">
        <v>37.1</v>
      </c>
      <c r="F4376" s="4">
        <f t="shared" si="74"/>
        <v>8.1521739130435943E-3</v>
      </c>
      <c r="G4376" s="37">
        <v>40</v>
      </c>
      <c r="H4376" s="986">
        <v>45826</v>
      </c>
    </row>
    <row r="4377" spans="3:8" x14ac:dyDescent="0.25">
      <c r="C4377" s="987" t="s">
        <v>0</v>
      </c>
      <c r="D4377" s="987" t="s">
        <v>7</v>
      </c>
      <c r="E4377" s="988" t="s">
        <v>4</v>
      </c>
      <c r="F4377" s="4" t="str">
        <f t="shared" si="74"/>
        <v/>
      </c>
      <c r="G4377" s="37">
        <v>39.6</v>
      </c>
      <c r="H4377" s="989">
        <v>45827</v>
      </c>
    </row>
    <row r="4378" spans="3:8" x14ac:dyDescent="0.25">
      <c r="C4378" s="987">
        <v>51</v>
      </c>
      <c r="D4378" s="987">
        <v>9</v>
      </c>
      <c r="E4378" s="988">
        <v>32.799999999999997</v>
      </c>
      <c r="F4378" s="4">
        <f t="shared" si="74"/>
        <v>6.4935064935064818E-2</v>
      </c>
      <c r="G4378" s="37">
        <v>39.6</v>
      </c>
      <c r="H4378" s="989">
        <v>45827</v>
      </c>
    </row>
    <row r="4379" spans="3:8" x14ac:dyDescent="0.25">
      <c r="C4379" s="987">
        <v>1</v>
      </c>
      <c r="D4379" s="987">
        <v>117</v>
      </c>
      <c r="E4379" s="988">
        <v>44.6</v>
      </c>
      <c r="F4379" s="4">
        <f t="shared" si="74"/>
        <v>3.4802784222737818E-2</v>
      </c>
      <c r="G4379" s="37">
        <v>39.6</v>
      </c>
      <c r="H4379" s="989">
        <v>45827</v>
      </c>
    </row>
    <row r="4380" spans="3:8" x14ac:dyDescent="0.25">
      <c r="C4380" s="987">
        <v>2</v>
      </c>
      <c r="D4380" s="987">
        <v>56</v>
      </c>
      <c r="E4380" s="988">
        <v>34.6</v>
      </c>
      <c r="F4380" s="4">
        <f t="shared" si="74"/>
        <v>-6.9892473118279605E-2</v>
      </c>
      <c r="G4380" s="37">
        <v>39.6</v>
      </c>
      <c r="H4380" s="989">
        <v>45827</v>
      </c>
    </row>
    <row r="4381" spans="3:8" x14ac:dyDescent="0.25">
      <c r="C4381" s="987">
        <v>3</v>
      </c>
      <c r="D4381" s="987">
        <v>89</v>
      </c>
      <c r="E4381" s="988">
        <v>34.9</v>
      </c>
      <c r="F4381" s="4">
        <f t="shared" si="74"/>
        <v>1.7492711370262433E-2</v>
      </c>
      <c r="G4381" s="37">
        <v>39.6</v>
      </c>
      <c r="H4381" s="989">
        <v>45827</v>
      </c>
    </row>
    <row r="4382" spans="3:8" x14ac:dyDescent="0.25">
      <c r="C4382" s="987">
        <v>4</v>
      </c>
      <c r="D4382" s="987">
        <v>0</v>
      </c>
      <c r="E4382" s="988"/>
      <c r="F4382" s="4" t="str">
        <f t="shared" si="74"/>
        <v/>
      </c>
      <c r="G4382" s="37">
        <v>39.6</v>
      </c>
      <c r="H4382" s="989">
        <v>45827</v>
      </c>
    </row>
    <row r="4383" spans="3:8" x14ac:dyDescent="0.25">
      <c r="C4383" s="987">
        <v>5</v>
      </c>
      <c r="D4383" s="987">
        <v>83</v>
      </c>
      <c r="E4383" s="988">
        <v>27.8</v>
      </c>
      <c r="F4383" s="4">
        <f t="shared" si="74"/>
        <v>3.7313432835820892E-2</v>
      </c>
      <c r="G4383" s="37">
        <v>39.6</v>
      </c>
      <c r="H4383" s="989">
        <v>45827</v>
      </c>
    </row>
    <row r="4384" spans="3:8" x14ac:dyDescent="0.25">
      <c r="C4384" s="987">
        <v>6</v>
      </c>
      <c r="D4384" s="987">
        <v>91</v>
      </c>
      <c r="E4384" s="988">
        <v>41.2</v>
      </c>
      <c r="F4384" s="4">
        <f t="shared" si="74"/>
        <v>-4.1860465116279007E-2</v>
      </c>
      <c r="G4384" s="37">
        <v>39.6</v>
      </c>
      <c r="H4384" s="989">
        <v>45827</v>
      </c>
    </row>
    <row r="4385" spans="3:8" x14ac:dyDescent="0.25">
      <c r="C4385" s="987">
        <v>7</v>
      </c>
      <c r="D4385" s="987">
        <v>74</v>
      </c>
      <c r="E4385" s="988">
        <v>40.799999999999997</v>
      </c>
      <c r="F4385" s="4">
        <f t="shared" si="74"/>
        <v>-1.9230769230769332E-2</v>
      </c>
      <c r="G4385" s="37">
        <v>39.6</v>
      </c>
      <c r="H4385" s="989">
        <v>45827</v>
      </c>
    </row>
    <row r="4386" spans="3:8" x14ac:dyDescent="0.25">
      <c r="C4386" s="987">
        <v>8</v>
      </c>
      <c r="D4386" s="987">
        <v>0</v>
      </c>
      <c r="E4386" s="988"/>
      <c r="F4386" s="4" t="str">
        <f t="shared" si="74"/>
        <v/>
      </c>
      <c r="G4386" s="37">
        <v>39.6</v>
      </c>
      <c r="H4386" s="989">
        <v>45827</v>
      </c>
    </row>
    <row r="4387" spans="3:8" x14ac:dyDescent="0.25">
      <c r="C4387" s="987">
        <v>9</v>
      </c>
      <c r="D4387" s="987">
        <v>116</v>
      </c>
      <c r="E4387" s="988">
        <v>42.6</v>
      </c>
      <c r="F4387" s="4">
        <f t="shared" si="74"/>
        <v>7.3047858942065447E-2</v>
      </c>
      <c r="G4387" s="37">
        <v>39.6</v>
      </c>
      <c r="H4387" s="989">
        <v>45827</v>
      </c>
    </row>
    <row r="4388" spans="3:8" x14ac:dyDescent="0.25">
      <c r="C4388" s="987">
        <v>10</v>
      </c>
      <c r="D4388" s="987">
        <v>120</v>
      </c>
      <c r="E4388" s="988">
        <v>41.4</v>
      </c>
      <c r="F4388" s="4">
        <f t="shared" si="74"/>
        <v>0.11590296495956866</v>
      </c>
      <c r="G4388" s="37">
        <v>39.6</v>
      </c>
      <c r="H4388" s="989">
        <v>45827</v>
      </c>
    </row>
    <row r="4389" spans="3:8" x14ac:dyDescent="0.25">
      <c r="C4389" s="990" t="s">
        <v>0</v>
      </c>
      <c r="D4389" s="990" t="s">
        <v>7</v>
      </c>
      <c r="E4389" s="991" t="s">
        <v>4</v>
      </c>
      <c r="F4389" s="4" t="str">
        <f t="shared" si="74"/>
        <v/>
      </c>
      <c r="G4389" s="37">
        <v>37.799999999999997</v>
      </c>
      <c r="H4389" s="992">
        <v>45828</v>
      </c>
    </row>
    <row r="4390" spans="3:8" x14ac:dyDescent="0.25">
      <c r="C4390" s="990">
        <v>51</v>
      </c>
      <c r="D4390" s="990">
        <v>10</v>
      </c>
      <c r="E4390" s="991">
        <v>30.4</v>
      </c>
      <c r="F4390" s="4">
        <f t="shared" si="74"/>
        <v>-7.3170731707317041E-2</v>
      </c>
      <c r="G4390" s="37">
        <v>37.799999999999997</v>
      </c>
      <c r="H4390" s="992">
        <v>45828</v>
      </c>
    </row>
    <row r="4391" spans="3:8" x14ac:dyDescent="0.25">
      <c r="C4391" s="990">
        <v>1</v>
      </c>
      <c r="D4391" s="990">
        <v>116</v>
      </c>
      <c r="E4391" s="991">
        <v>41</v>
      </c>
      <c r="F4391" s="4">
        <f t="shared" ref="F4391:F4454" si="75">IFERROR((E4391-E4379)/E4379,"")</f>
        <v>-8.0717488789237693E-2</v>
      </c>
      <c r="G4391" s="37">
        <v>37.799999999999997</v>
      </c>
      <c r="H4391" s="992">
        <v>45828</v>
      </c>
    </row>
    <row r="4392" spans="3:8" x14ac:dyDescent="0.25">
      <c r="C4392" s="990">
        <v>2</v>
      </c>
      <c r="D4392" s="990">
        <v>50</v>
      </c>
      <c r="E4392" s="991">
        <v>36.700000000000003</v>
      </c>
      <c r="F4392" s="4">
        <f t="shared" si="75"/>
        <v>6.0693641618497149E-2</v>
      </c>
      <c r="G4392" s="37">
        <v>37.799999999999997</v>
      </c>
      <c r="H4392" s="992">
        <v>45828</v>
      </c>
    </row>
    <row r="4393" spans="3:8" x14ac:dyDescent="0.25">
      <c r="C4393" s="990">
        <v>3</v>
      </c>
      <c r="D4393" s="990">
        <v>86</v>
      </c>
      <c r="E4393" s="991">
        <v>35.4</v>
      </c>
      <c r="F4393" s="4">
        <f t="shared" si="75"/>
        <v>1.4326647564469915E-2</v>
      </c>
      <c r="G4393" s="37">
        <v>37.799999999999997</v>
      </c>
      <c r="H4393" s="992">
        <v>45828</v>
      </c>
    </row>
    <row r="4394" spans="3:8" x14ac:dyDescent="0.25">
      <c r="C4394" s="990">
        <v>4</v>
      </c>
      <c r="D4394" s="990">
        <v>0</v>
      </c>
      <c r="E4394" s="991"/>
      <c r="F4394" s="4" t="str">
        <f t="shared" si="75"/>
        <v/>
      </c>
      <c r="G4394" s="37">
        <v>37.799999999999997</v>
      </c>
      <c r="H4394" s="992">
        <v>45828</v>
      </c>
    </row>
    <row r="4395" spans="3:8" x14ac:dyDescent="0.25">
      <c r="C4395" s="990">
        <v>5</v>
      </c>
      <c r="D4395" s="990">
        <v>89</v>
      </c>
      <c r="E4395" s="991">
        <v>25.8</v>
      </c>
      <c r="F4395" s="4">
        <f t="shared" si="75"/>
        <v>-7.1942446043165464E-2</v>
      </c>
      <c r="G4395" s="37">
        <v>37.799999999999997</v>
      </c>
      <c r="H4395" s="992">
        <v>45828</v>
      </c>
    </row>
    <row r="4396" spans="3:8" x14ac:dyDescent="0.25">
      <c r="C4396" s="990">
        <v>6</v>
      </c>
      <c r="D4396" s="990">
        <v>91</v>
      </c>
      <c r="E4396" s="991">
        <v>41</v>
      </c>
      <c r="F4396" s="4">
        <f t="shared" si="75"/>
        <v>-4.8543689320389039E-3</v>
      </c>
      <c r="G4396" s="37">
        <v>37.799999999999997</v>
      </c>
      <c r="H4396" s="992">
        <v>45828</v>
      </c>
    </row>
    <row r="4397" spans="3:8" x14ac:dyDescent="0.25">
      <c r="C4397" s="990">
        <v>7</v>
      </c>
      <c r="D4397" s="990">
        <v>74</v>
      </c>
      <c r="E4397" s="991">
        <v>40.4</v>
      </c>
      <c r="F4397" s="4">
        <f t="shared" si="75"/>
        <v>-9.8039215686274161E-3</v>
      </c>
      <c r="G4397" s="37">
        <v>37.799999999999997</v>
      </c>
      <c r="H4397" s="992">
        <v>45828</v>
      </c>
    </row>
    <row r="4398" spans="3:8" x14ac:dyDescent="0.25">
      <c r="C4398" s="990">
        <v>8</v>
      </c>
      <c r="D4398" s="990">
        <v>0</v>
      </c>
      <c r="E4398" s="991"/>
      <c r="F4398" s="4" t="str">
        <f t="shared" si="75"/>
        <v/>
      </c>
      <c r="G4398" s="37">
        <v>37.799999999999997</v>
      </c>
      <c r="H4398" s="992">
        <v>45828</v>
      </c>
    </row>
    <row r="4399" spans="3:8" x14ac:dyDescent="0.25">
      <c r="C4399" s="990">
        <v>9</v>
      </c>
      <c r="D4399" s="990">
        <v>116</v>
      </c>
      <c r="E4399" s="991">
        <v>38.200000000000003</v>
      </c>
      <c r="F4399" s="4">
        <f t="shared" si="75"/>
        <v>-0.10328638497652579</v>
      </c>
      <c r="G4399" s="37">
        <v>37.799999999999997</v>
      </c>
      <c r="H4399" s="992">
        <v>45828</v>
      </c>
    </row>
    <row r="4400" spans="3:8" x14ac:dyDescent="0.25">
      <c r="C4400" s="990">
        <v>10</v>
      </c>
      <c r="D4400" s="990">
        <v>120</v>
      </c>
      <c r="E4400" s="991">
        <v>41</v>
      </c>
      <c r="F4400" s="4">
        <f t="shared" si="75"/>
        <v>-9.6618357487922371E-3</v>
      </c>
      <c r="G4400" s="37">
        <v>37.799999999999997</v>
      </c>
      <c r="H4400" s="992">
        <v>45828</v>
      </c>
    </row>
    <row r="4401" spans="3:8" x14ac:dyDescent="0.25">
      <c r="C4401" s="993" t="s">
        <v>0</v>
      </c>
      <c r="D4401" s="993" t="s">
        <v>7</v>
      </c>
      <c r="E4401" s="994" t="s">
        <v>4</v>
      </c>
      <c r="F4401" s="4" t="str">
        <f t="shared" si="75"/>
        <v/>
      </c>
      <c r="G4401" s="37">
        <v>38.799999999999997</v>
      </c>
      <c r="H4401" s="992">
        <v>45829</v>
      </c>
    </row>
    <row r="4402" spans="3:8" x14ac:dyDescent="0.25">
      <c r="C4402" s="993">
        <v>51</v>
      </c>
      <c r="D4402" s="993">
        <v>9</v>
      </c>
      <c r="E4402" s="994">
        <v>31.4</v>
      </c>
      <c r="F4402" s="4">
        <f t="shared" si="75"/>
        <v>3.2894736842105261E-2</v>
      </c>
      <c r="G4402" s="37">
        <v>38.799999999999997</v>
      </c>
      <c r="H4402" s="992">
        <v>45829</v>
      </c>
    </row>
    <row r="4403" spans="3:8" x14ac:dyDescent="0.25">
      <c r="C4403" s="993">
        <v>1</v>
      </c>
      <c r="D4403" s="993">
        <v>116</v>
      </c>
      <c r="E4403" s="994">
        <v>42</v>
      </c>
      <c r="F4403" s="4">
        <f t="shared" si="75"/>
        <v>2.4390243902439025E-2</v>
      </c>
      <c r="G4403" s="37">
        <v>38.799999999999997</v>
      </c>
      <c r="H4403" s="992">
        <v>45829</v>
      </c>
    </row>
    <row r="4404" spans="3:8" x14ac:dyDescent="0.25">
      <c r="C4404" s="993">
        <v>2</v>
      </c>
      <c r="D4404" s="993">
        <v>50</v>
      </c>
      <c r="E4404" s="994">
        <v>35.1</v>
      </c>
      <c r="F4404" s="4">
        <f t="shared" si="75"/>
        <v>-4.3596730245231641E-2</v>
      </c>
      <c r="G4404" s="37">
        <v>38.799999999999997</v>
      </c>
      <c r="H4404" s="992">
        <v>45829</v>
      </c>
    </row>
    <row r="4405" spans="3:8" x14ac:dyDescent="0.25">
      <c r="C4405" s="993">
        <v>3</v>
      </c>
      <c r="D4405" s="993">
        <v>86</v>
      </c>
      <c r="E4405" s="994">
        <v>35.4</v>
      </c>
      <c r="F4405" s="4">
        <f t="shared" si="75"/>
        <v>0</v>
      </c>
      <c r="G4405" s="37">
        <v>38.799999999999997</v>
      </c>
      <c r="H4405" s="992">
        <v>45829</v>
      </c>
    </row>
    <row r="4406" spans="3:8" x14ac:dyDescent="0.25">
      <c r="C4406" s="993">
        <v>4</v>
      </c>
      <c r="D4406" s="993">
        <v>0</v>
      </c>
      <c r="E4406" s="994"/>
      <c r="F4406" s="4" t="str">
        <f t="shared" si="75"/>
        <v/>
      </c>
      <c r="G4406" s="37">
        <v>38.799999999999997</v>
      </c>
      <c r="H4406" s="992">
        <v>45829</v>
      </c>
    </row>
    <row r="4407" spans="3:8" x14ac:dyDescent="0.25">
      <c r="C4407" s="993">
        <v>5</v>
      </c>
      <c r="D4407" s="993">
        <v>88</v>
      </c>
      <c r="E4407" s="994">
        <v>27.4</v>
      </c>
      <c r="F4407" s="4">
        <f t="shared" si="75"/>
        <v>6.2015503875968908E-2</v>
      </c>
      <c r="G4407" s="37">
        <v>38.799999999999997</v>
      </c>
      <c r="H4407" s="992">
        <v>45829</v>
      </c>
    </row>
    <row r="4408" spans="3:8" x14ac:dyDescent="0.25">
      <c r="C4408" s="993">
        <v>6</v>
      </c>
      <c r="D4408" s="993">
        <v>91</v>
      </c>
      <c r="E4408" s="994">
        <v>37.5</v>
      </c>
      <c r="F4408" s="4">
        <f t="shared" si="75"/>
        <v>-8.5365853658536592E-2</v>
      </c>
      <c r="G4408" s="37">
        <v>38.799999999999997</v>
      </c>
      <c r="H4408" s="992">
        <v>45829</v>
      </c>
    </row>
    <row r="4409" spans="3:8" x14ac:dyDescent="0.25">
      <c r="C4409" s="993">
        <v>7</v>
      </c>
      <c r="D4409" s="993">
        <v>74</v>
      </c>
      <c r="E4409" s="994">
        <v>38</v>
      </c>
      <c r="F4409" s="4">
        <f t="shared" si="75"/>
        <v>-5.9405940594059375E-2</v>
      </c>
      <c r="G4409" s="37">
        <v>38.799999999999997</v>
      </c>
      <c r="H4409" s="992">
        <v>45829</v>
      </c>
    </row>
    <row r="4410" spans="3:8" x14ac:dyDescent="0.25">
      <c r="C4410" s="993">
        <v>8</v>
      </c>
      <c r="D4410" s="993">
        <v>0</v>
      </c>
      <c r="E4410" s="994"/>
      <c r="F4410" s="4" t="str">
        <f t="shared" si="75"/>
        <v/>
      </c>
      <c r="G4410" s="37">
        <v>38.799999999999997</v>
      </c>
      <c r="H4410" s="992">
        <v>45829</v>
      </c>
    </row>
    <row r="4411" spans="3:8" x14ac:dyDescent="0.25">
      <c r="C4411" s="993">
        <v>9</v>
      </c>
      <c r="D4411" s="993">
        <v>116</v>
      </c>
      <c r="E4411" s="994">
        <v>41.3</v>
      </c>
      <c r="F4411" s="4">
        <f t="shared" si="75"/>
        <v>8.1151832460732834E-2</v>
      </c>
      <c r="G4411" s="37">
        <v>38.799999999999997</v>
      </c>
      <c r="H4411" s="992">
        <v>45829</v>
      </c>
    </row>
    <row r="4412" spans="3:8" x14ac:dyDescent="0.25">
      <c r="C4412" s="993">
        <v>10</v>
      </c>
      <c r="D4412" s="993">
        <v>120</v>
      </c>
      <c r="E4412" s="994">
        <v>41.8</v>
      </c>
      <c r="F4412" s="4">
        <f t="shared" si="75"/>
        <v>1.951219512195115E-2</v>
      </c>
      <c r="G4412" s="37">
        <v>38.799999999999997</v>
      </c>
      <c r="H4412" s="992">
        <v>45829</v>
      </c>
    </row>
    <row r="4413" spans="3:8" x14ac:dyDescent="0.25">
      <c r="C4413" s="995" t="s">
        <v>0</v>
      </c>
      <c r="D4413" s="995" t="s">
        <v>7</v>
      </c>
      <c r="E4413" s="996" t="s">
        <v>4</v>
      </c>
      <c r="F4413" s="4" t="str">
        <f t="shared" si="75"/>
        <v/>
      </c>
      <c r="G4413" s="37">
        <v>38.6</v>
      </c>
      <c r="H4413" s="992">
        <v>45830</v>
      </c>
    </row>
    <row r="4414" spans="3:8" x14ac:dyDescent="0.25">
      <c r="C4414" s="995">
        <v>51</v>
      </c>
      <c r="D4414" s="995">
        <v>18</v>
      </c>
      <c r="E4414" s="996">
        <v>33.5</v>
      </c>
      <c r="F4414" s="4">
        <f t="shared" si="75"/>
        <v>6.68789808917198E-2</v>
      </c>
      <c r="G4414" s="37">
        <v>38.6</v>
      </c>
      <c r="H4414" s="992">
        <v>45830</v>
      </c>
    </row>
    <row r="4415" spans="3:8" x14ac:dyDescent="0.25">
      <c r="C4415" s="995">
        <v>1</v>
      </c>
      <c r="D4415" s="995">
        <v>116</v>
      </c>
      <c r="E4415" s="996">
        <v>44.9</v>
      </c>
      <c r="F4415" s="4">
        <f t="shared" si="75"/>
        <v>6.904761904761901E-2</v>
      </c>
      <c r="G4415" s="37">
        <v>38.6</v>
      </c>
      <c r="H4415" s="992">
        <v>45830</v>
      </c>
    </row>
    <row r="4416" spans="3:8" x14ac:dyDescent="0.25">
      <c r="C4416" s="995">
        <v>2</v>
      </c>
      <c r="D4416" s="995">
        <v>50</v>
      </c>
      <c r="E4416" s="996">
        <v>33.799999999999997</v>
      </c>
      <c r="F4416" s="4">
        <f t="shared" si="75"/>
        <v>-3.703703703703716E-2</v>
      </c>
      <c r="G4416" s="37">
        <v>38.6</v>
      </c>
      <c r="H4416" s="992">
        <v>45830</v>
      </c>
    </row>
    <row r="4417" spans="3:8" x14ac:dyDescent="0.25">
      <c r="C4417" s="995">
        <v>3</v>
      </c>
      <c r="D4417" s="995">
        <v>86</v>
      </c>
      <c r="E4417" s="996">
        <v>34.299999999999997</v>
      </c>
      <c r="F4417" s="4">
        <f t="shared" si="75"/>
        <v>-3.1073446327683656E-2</v>
      </c>
      <c r="G4417" s="37">
        <v>38.6</v>
      </c>
      <c r="H4417" s="992">
        <v>45830</v>
      </c>
    </row>
    <row r="4418" spans="3:8" x14ac:dyDescent="0.25">
      <c r="C4418" s="995">
        <v>4</v>
      </c>
      <c r="D4418" s="995">
        <v>0</v>
      </c>
      <c r="E4418" s="996"/>
      <c r="F4418" s="4" t="str">
        <f t="shared" si="75"/>
        <v/>
      </c>
      <c r="G4418" s="37">
        <v>38.6</v>
      </c>
      <c r="H4418" s="992">
        <v>45830</v>
      </c>
    </row>
    <row r="4419" spans="3:8" x14ac:dyDescent="0.25">
      <c r="C4419" s="995">
        <v>5</v>
      </c>
      <c r="D4419" s="995">
        <v>87</v>
      </c>
      <c r="E4419" s="996">
        <v>26</v>
      </c>
      <c r="F4419" s="4">
        <f t="shared" si="75"/>
        <v>-5.1094890510948857E-2</v>
      </c>
      <c r="G4419" s="37">
        <v>38.6</v>
      </c>
      <c r="H4419" s="992">
        <v>45830</v>
      </c>
    </row>
    <row r="4420" spans="3:8" x14ac:dyDescent="0.25">
      <c r="C4420" s="995">
        <v>6</v>
      </c>
      <c r="D4420" s="995">
        <v>91</v>
      </c>
      <c r="E4420" s="996">
        <v>43.1</v>
      </c>
      <c r="F4420" s="4">
        <f t="shared" si="75"/>
        <v>0.14933333333333337</v>
      </c>
      <c r="G4420" s="37">
        <v>38.6</v>
      </c>
      <c r="H4420" s="992">
        <v>45830</v>
      </c>
    </row>
    <row r="4421" spans="3:8" x14ac:dyDescent="0.25">
      <c r="C4421" s="995">
        <v>7</v>
      </c>
      <c r="D4421" s="995">
        <v>74</v>
      </c>
      <c r="E4421" s="996">
        <v>35.799999999999997</v>
      </c>
      <c r="F4421" s="4">
        <f t="shared" si="75"/>
        <v>-5.7894736842105339E-2</v>
      </c>
      <c r="G4421" s="37">
        <v>38.6</v>
      </c>
      <c r="H4421" s="992">
        <v>45830</v>
      </c>
    </row>
    <row r="4422" spans="3:8" x14ac:dyDescent="0.25">
      <c r="C4422" s="995">
        <v>8</v>
      </c>
      <c r="D4422" s="995">
        <v>0</v>
      </c>
      <c r="E4422" s="996"/>
      <c r="F4422" s="4" t="str">
        <f t="shared" si="75"/>
        <v/>
      </c>
      <c r="G4422" s="37">
        <v>38.6</v>
      </c>
      <c r="H4422" s="992">
        <v>45830</v>
      </c>
    </row>
    <row r="4423" spans="3:8" x14ac:dyDescent="0.25">
      <c r="C4423" s="995">
        <v>9</v>
      </c>
      <c r="D4423" s="995">
        <v>116</v>
      </c>
      <c r="E4423" s="996">
        <v>36.799999999999997</v>
      </c>
      <c r="F4423" s="4">
        <f t="shared" si="75"/>
        <v>-0.10895883777239711</v>
      </c>
      <c r="G4423" s="37">
        <v>38.6</v>
      </c>
      <c r="H4423" s="992">
        <v>45830</v>
      </c>
    </row>
    <row r="4424" spans="3:8" x14ac:dyDescent="0.25">
      <c r="C4424" s="995">
        <v>10</v>
      </c>
      <c r="D4424" s="995">
        <v>120</v>
      </c>
      <c r="E4424" s="996">
        <v>40</v>
      </c>
      <c r="F4424" s="4">
        <f t="shared" si="75"/>
        <v>-4.3062200956937732E-2</v>
      </c>
      <c r="G4424" s="37">
        <v>38.6</v>
      </c>
      <c r="H4424" s="992">
        <v>45830</v>
      </c>
    </row>
    <row r="4425" spans="3:8" x14ac:dyDescent="0.25">
      <c r="C4425" s="997" t="s">
        <v>0</v>
      </c>
      <c r="D4425" s="997" t="s">
        <v>7</v>
      </c>
      <c r="E4425" s="998" t="s">
        <v>4</v>
      </c>
      <c r="F4425" s="4" t="str">
        <f t="shared" si="75"/>
        <v/>
      </c>
      <c r="G4425" s="37">
        <v>40.5</v>
      </c>
      <c r="H4425" s="999">
        <v>45831</v>
      </c>
    </row>
    <row r="4426" spans="3:8" x14ac:dyDescent="0.25">
      <c r="C4426" s="997">
        <v>51</v>
      </c>
      <c r="D4426" s="997">
        <v>18</v>
      </c>
      <c r="E4426" s="998">
        <v>29.1</v>
      </c>
      <c r="F4426" s="4">
        <f t="shared" si="75"/>
        <v>-0.13134328358208952</v>
      </c>
      <c r="G4426" s="37">
        <v>40.5</v>
      </c>
      <c r="H4426" s="999">
        <v>45831</v>
      </c>
    </row>
    <row r="4427" spans="3:8" x14ac:dyDescent="0.25">
      <c r="C4427" s="997">
        <v>1</v>
      </c>
      <c r="D4427" s="997">
        <v>118</v>
      </c>
      <c r="E4427" s="998">
        <v>44.4</v>
      </c>
      <c r="F4427" s="4">
        <f t="shared" si="75"/>
        <v>-1.1135857461024499E-2</v>
      </c>
      <c r="G4427" s="37">
        <v>40.5</v>
      </c>
      <c r="H4427" s="999">
        <v>45831</v>
      </c>
    </row>
    <row r="4428" spans="3:8" x14ac:dyDescent="0.25">
      <c r="C4428" s="997">
        <v>2</v>
      </c>
      <c r="D4428" s="997">
        <v>49</v>
      </c>
      <c r="E4428" s="998">
        <v>34.4</v>
      </c>
      <c r="F4428" s="4">
        <f t="shared" si="75"/>
        <v>1.775147928994087E-2</v>
      </c>
      <c r="G4428" s="37">
        <v>40.5</v>
      </c>
      <c r="H4428" s="999">
        <v>45831</v>
      </c>
    </row>
    <row r="4429" spans="3:8" x14ac:dyDescent="0.25">
      <c r="C4429" s="997">
        <v>3</v>
      </c>
      <c r="D4429" s="997">
        <v>83</v>
      </c>
      <c r="E4429" s="998">
        <v>29.6</v>
      </c>
      <c r="F4429" s="4">
        <f t="shared" si="75"/>
        <v>-0.13702623906705527</v>
      </c>
      <c r="G4429" s="37">
        <v>40.5</v>
      </c>
      <c r="H4429" s="999">
        <v>45831</v>
      </c>
    </row>
    <row r="4430" spans="3:8" x14ac:dyDescent="0.25">
      <c r="C4430" s="997">
        <v>4</v>
      </c>
      <c r="D4430" s="997">
        <v>0</v>
      </c>
      <c r="E4430" s="998"/>
      <c r="F4430" s="4" t="str">
        <f t="shared" si="75"/>
        <v/>
      </c>
      <c r="G4430" s="37">
        <v>40.5</v>
      </c>
      <c r="H4430" s="999">
        <v>45831</v>
      </c>
    </row>
    <row r="4431" spans="3:8" x14ac:dyDescent="0.25">
      <c r="C4431" s="997">
        <v>5</v>
      </c>
      <c r="D4431" s="997">
        <v>90</v>
      </c>
      <c r="E4431" s="998">
        <v>26.7</v>
      </c>
      <c r="F4431" s="4">
        <f t="shared" si="75"/>
        <v>2.6923076923076897E-2</v>
      </c>
      <c r="G4431" s="37">
        <v>40.5</v>
      </c>
      <c r="H4431" s="999">
        <v>45831</v>
      </c>
    </row>
    <row r="4432" spans="3:8" x14ac:dyDescent="0.25">
      <c r="C4432" s="997">
        <v>6</v>
      </c>
      <c r="D4432" s="997">
        <v>91</v>
      </c>
      <c r="E4432" s="998">
        <v>40.299999999999997</v>
      </c>
      <c r="F4432" s="4">
        <f t="shared" si="75"/>
        <v>-6.4965197215777357E-2</v>
      </c>
      <c r="G4432" s="37">
        <v>40.5</v>
      </c>
      <c r="H4432" s="999">
        <v>45831</v>
      </c>
    </row>
    <row r="4433" spans="3:8" x14ac:dyDescent="0.25">
      <c r="C4433" s="997">
        <v>7</v>
      </c>
      <c r="D4433" s="997">
        <v>73</v>
      </c>
      <c r="E4433" s="998">
        <v>39.9</v>
      </c>
      <c r="F4433" s="4">
        <f t="shared" si="75"/>
        <v>0.11452513966480452</v>
      </c>
      <c r="G4433" s="37">
        <v>40.5</v>
      </c>
      <c r="H4433" s="999">
        <v>45831</v>
      </c>
    </row>
    <row r="4434" spans="3:8" x14ac:dyDescent="0.25">
      <c r="C4434" s="997">
        <v>8</v>
      </c>
      <c r="D4434" s="997">
        <v>0</v>
      </c>
      <c r="E4434" s="998"/>
      <c r="F4434" s="4" t="str">
        <f t="shared" si="75"/>
        <v/>
      </c>
      <c r="G4434" s="37">
        <v>40.5</v>
      </c>
      <c r="H4434" s="999">
        <v>45831</v>
      </c>
    </row>
    <row r="4435" spans="3:8" x14ac:dyDescent="0.25">
      <c r="C4435" s="997">
        <v>9</v>
      </c>
      <c r="D4435" s="997">
        <v>119</v>
      </c>
      <c r="E4435" s="998">
        <v>40.5</v>
      </c>
      <c r="F4435" s="4">
        <f t="shared" si="75"/>
        <v>0.10054347826086965</v>
      </c>
      <c r="G4435" s="37">
        <v>40.5</v>
      </c>
      <c r="H4435" s="999">
        <v>45831</v>
      </c>
    </row>
    <row r="4436" spans="3:8" x14ac:dyDescent="0.25">
      <c r="C4436" s="997">
        <v>10</v>
      </c>
      <c r="D4436" s="997">
        <v>120</v>
      </c>
      <c r="E4436" s="998">
        <v>39.4</v>
      </c>
      <c r="F4436" s="4">
        <f t="shared" si="75"/>
        <v>-1.5000000000000036E-2</v>
      </c>
      <c r="G4436" s="37">
        <v>40.5</v>
      </c>
      <c r="H4436" s="999">
        <v>45831</v>
      </c>
    </row>
    <row r="4437" spans="3:8" x14ac:dyDescent="0.25">
      <c r="C4437" s="1000" t="s">
        <v>0</v>
      </c>
      <c r="D4437" s="1000" t="s">
        <v>7</v>
      </c>
      <c r="E4437" s="1001" t="s">
        <v>4</v>
      </c>
      <c r="F4437" s="4" t="str">
        <f t="shared" si="75"/>
        <v/>
      </c>
      <c r="G4437" s="37">
        <v>39.700000000000003</v>
      </c>
      <c r="H4437" s="1002">
        <v>45832</v>
      </c>
    </row>
    <row r="4438" spans="3:8" x14ac:dyDescent="0.25">
      <c r="C4438" s="1000">
        <v>51</v>
      </c>
      <c r="D4438" s="1000">
        <v>19</v>
      </c>
      <c r="E4438" s="1001">
        <v>31.8</v>
      </c>
      <c r="F4438" s="4">
        <f t="shared" si="75"/>
        <v>9.2783505154639151E-2</v>
      </c>
      <c r="G4438" s="37">
        <v>39.700000000000003</v>
      </c>
      <c r="H4438" s="1002">
        <v>45832</v>
      </c>
    </row>
    <row r="4439" spans="3:8" x14ac:dyDescent="0.25">
      <c r="C4439" s="1000">
        <v>1</v>
      </c>
      <c r="D4439" s="1000">
        <v>119</v>
      </c>
      <c r="E4439" s="1001">
        <v>38.1</v>
      </c>
      <c r="F4439" s="4">
        <f t="shared" si="75"/>
        <v>-0.14189189189189183</v>
      </c>
      <c r="G4439" s="37">
        <v>39.700000000000003</v>
      </c>
      <c r="H4439" s="1002">
        <v>45832</v>
      </c>
    </row>
    <row r="4440" spans="3:8" x14ac:dyDescent="0.25">
      <c r="C4440" s="1000">
        <v>2</v>
      </c>
      <c r="D4440" s="1000">
        <v>49</v>
      </c>
      <c r="E4440" s="1001">
        <v>35.5</v>
      </c>
      <c r="F4440" s="4">
        <f t="shared" si="75"/>
        <v>3.1976744186046555E-2</v>
      </c>
      <c r="G4440" s="37">
        <v>39.700000000000003</v>
      </c>
      <c r="H4440" s="1002">
        <v>45832</v>
      </c>
    </row>
    <row r="4441" spans="3:8" x14ac:dyDescent="0.25">
      <c r="C4441" s="1000">
        <v>3</v>
      </c>
      <c r="D4441" s="1000">
        <v>83</v>
      </c>
      <c r="E4441" s="1001">
        <v>33.5</v>
      </c>
      <c r="F4441" s="4">
        <f t="shared" si="75"/>
        <v>0.13175675675675672</v>
      </c>
      <c r="G4441" s="37">
        <v>39.700000000000003</v>
      </c>
      <c r="H4441" s="1002">
        <v>45832</v>
      </c>
    </row>
    <row r="4442" spans="3:8" x14ac:dyDescent="0.25">
      <c r="C4442" s="1000">
        <v>4</v>
      </c>
      <c r="D4442" s="1000">
        <v>0</v>
      </c>
      <c r="E4442" s="1001"/>
      <c r="F4442" s="4" t="str">
        <f t="shared" si="75"/>
        <v/>
      </c>
      <c r="G4442" s="37">
        <v>39.700000000000003</v>
      </c>
      <c r="H4442" s="1002">
        <v>45832</v>
      </c>
    </row>
    <row r="4443" spans="3:8" x14ac:dyDescent="0.25">
      <c r="C4443" s="1000">
        <v>5</v>
      </c>
      <c r="D4443" s="1000">
        <v>91</v>
      </c>
      <c r="E4443" s="1001">
        <v>28.5</v>
      </c>
      <c r="F4443" s="4">
        <f t="shared" si="75"/>
        <v>6.7415730337078678E-2</v>
      </c>
      <c r="G4443" s="37">
        <v>39.700000000000003</v>
      </c>
      <c r="H4443" s="1002">
        <v>45832</v>
      </c>
    </row>
    <row r="4444" spans="3:8" x14ac:dyDescent="0.25">
      <c r="C4444" s="1000">
        <v>6</v>
      </c>
      <c r="D4444" s="1000">
        <v>89</v>
      </c>
      <c r="E4444" s="1001">
        <v>32.299999999999997</v>
      </c>
      <c r="F4444" s="4">
        <f t="shared" si="75"/>
        <v>-0.19851116625310175</v>
      </c>
      <c r="G4444" s="37">
        <v>39.700000000000003</v>
      </c>
      <c r="H4444" s="1002">
        <v>45832</v>
      </c>
    </row>
    <row r="4445" spans="3:8" x14ac:dyDescent="0.25">
      <c r="C4445" s="1000">
        <v>7</v>
      </c>
      <c r="D4445" s="1000">
        <v>73</v>
      </c>
      <c r="E4445" s="1001">
        <v>40.4</v>
      </c>
      <c r="F4445" s="4">
        <f t="shared" si="75"/>
        <v>1.2531328320802006E-2</v>
      </c>
      <c r="G4445" s="37">
        <v>39.700000000000003</v>
      </c>
      <c r="H4445" s="1002">
        <v>45832</v>
      </c>
    </row>
    <row r="4446" spans="3:8" x14ac:dyDescent="0.25">
      <c r="C4446" s="1000">
        <v>8</v>
      </c>
      <c r="D4446" s="1000">
        <v>0</v>
      </c>
      <c r="E4446" s="1001"/>
      <c r="F4446" s="4" t="str">
        <f t="shared" si="75"/>
        <v/>
      </c>
      <c r="G4446" s="37">
        <v>39.700000000000003</v>
      </c>
      <c r="H4446" s="1002">
        <v>45832</v>
      </c>
    </row>
    <row r="4447" spans="3:8" x14ac:dyDescent="0.25">
      <c r="C4447" s="1000">
        <v>9</v>
      </c>
      <c r="D4447" s="1000">
        <v>119</v>
      </c>
      <c r="E4447" s="1001">
        <v>38</v>
      </c>
      <c r="F4447" s="4">
        <f t="shared" si="75"/>
        <v>-6.1728395061728392E-2</v>
      </c>
      <c r="G4447" s="37">
        <v>39.700000000000003</v>
      </c>
      <c r="H4447" s="1002">
        <v>45832</v>
      </c>
    </row>
    <row r="4448" spans="3:8" x14ac:dyDescent="0.25">
      <c r="C4448" s="1000">
        <v>10</v>
      </c>
      <c r="D4448" s="1000">
        <v>120</v>
      </c>
      <c r="E4448" s="1001">
        <v>37.9</v>
      </c>
      <c r="F4448" s="4">
        <f t="shared" si="75"/>
        <v>-3.8071065989847719E-2</v>
      </c>
      <c r="G4448" s="37">
        <v>39.700000000000003</v>
      </c>
      <c r="H4448" s="1002">
        <v>45832</v>
      </c>
    </row>
    <row r="4449" spans="3:8" x14ac:dyDescent="0.25">
      <c r="C4449" s="1003" t="s">
        <v>0</v>
      </c>
      <c r="D4449" s="1003" t="s">
        <v>7</v>
      </c>
      <c r="E4449" s="1004" t="s">
        <v>4</v>
      </c>
      <c r="F4449" s="4" t="str">
        <f t="shared" si="75"/>
        <v/>
      </c>
      <c r="G4449" s="37">
        <v>39.4</v>
      </c>
      <c r="H4449" s="1005">
        <v>45833</v>
      </c>
    </row>
    <row r="4450" spans="3:8" x14ac:dyDescent="0.25">
      <c r="C4450" s="1003">
        <v>51</v>
      </c>
      <c r="D4450" s="1003">
        <v>20</v>
      </c>
      <c r="E4450" s="1004">
        <v>30.3</v>
      </c>
      <c r="F4450" s="4">
        <f t="shared" si="75"/>
        <v>-4.7169811320754713E-2</v>
      </c>
      <c r="G4450" s="37">
        <v>39.4</v>
      </c>
      <c r="H4450" s="1005">
        <v>45833</v>
      </c>
    </row>
    <row r="4451" spans="3:8" x14ac:dyDescent="0.25">
      <c r="C4451" s="1003">
        <v>1</v>
      </c>
      <c r="D4451" s="1003">
        <v>119</v>
      </c>
      <c r="E4451" s="1004">
        <v>41.5</v>
      </c>
      <c r="F4451" s="4">
        <f t="shared" si="75"/>
        <v>8.9238845144356913E-2</v>
      </c>
      <c r="G4451" s="37">
        <v>39.4</v>
      </c>
      <c r="H4451" s="1005">
        <v>45833</v>
      </c>
    </row>
    <row r="4452" spans="3:8" x14ac:dyDescent="0.25">
      <c r="C4452" s="1003">
        <v>2</v>
      </c>
      <c r="D4452" s="1003">
        <v>49</v>
      </c>
      <c r="E4452" s="1004">
        <v>28.6</v>
      </c>
      <c r="F4452" s="4">
        <f t="shared" si="75"/>
        <v>-0.19436619718309855</v>
      </c>
      <c r="G4452" s="37">
        <v>39.4</v>
      </c>
      <c r="H4452" s="1005">
        <v>45833</v>
      </c>
    </row>
    <row r="4453" spans="3:8" x14ac:dyDescent="0.25">
      <c r="C4453" s="1003">
        <v>3</v>
      </c>
      <c r="D4453" s="1003">
        <v>82</v>
      </c>
      <c r="E4453" s="1004">
        <v>34.299999999999997</v>
      </c>
      <c r="F4453" s="4">
        <f t="shared" si="75"/>
        <v>2.3880597014925287E-2</v>
      </c>
      <c r="G4453" s="37">
        <v>39.4</v>
      </c>
      <c r="H4453" s="1005">
        <v>45833</v>
      </c>
    </row>
    <row r="4454" spans="3:8" x14ac:dyDescent="0.25">
      <c r="C4454" s="1003">
        <v>4</v>
      </c>
      <c r="D4454" s="1003">
        <v>0</v>
      </c>
      <c r="E4454" s="1004"/>
      <c r="F4454" s="4" t="str">
        <f t="shared" si="75"/>
        <v/>
      </c>
      <c r="G4454" s="37">
        <v>39.4</v>
      </c>
      <c r="H4454" s="1005">
        <v>45833</v>
      </c>
    </row>
    <row r="4455" spans="3:8" x14ac:dyDescent="0.25">
      <c r="C4455" s="1003">
        <v>5</v>
      </c>
      <c r="D4455" s="1003">
        <v>90</v>
      </c>
      <c r="E4455" s="1004">
        <v>24.4</v>
      </c>
      <c r="F4455" s="4">
        <f t="shared" ref="F4455:F4518" si="76">IFERROR((E4455-E4443)/E4443,"")</f>
        <v>-0.14385964912280708</v>
      </c>
      <c r="G4455" s="37">
        <v>39.4</v>
      </c>
      <c r="H4455" s="1005">
        <v>45833</v>
      </c>
    </row>
    <row r="4456" spans="3:8" x14ac:dyDescent="0.25">
      <c r="C4456" s="1003">
        <v>6</v>
      </c>
      <c r="D4456" s="1003">
        <v>89</v>
      </c>
      <c r="E4456" s="1004">
        <v>34.9</v>
      </c>
      <c r="F4456" s="4">
        <f t="shared" si="76"/>
        <v>8.0495356037151758E-2</v>
      </c>
      <c r="G4456" s="37">
        <v>39.4</v>
      </c>
      <c r="H4456" s="1005">
        <v>45833</v>
      </c>
    </row>
    <row r="4457" spans="3:8" x14ac:dyDescent="0.25">
      <c r="C4457" s="1003">
        <v>7</v>
      </c>
      <c r="D4457" s="1003">
        <v>73</v>
      </c>
      <c r="E4457" s="1004">
        <v>38.200000000000003</v>
      </c>
      <c r="F4457" s="4">
        <f t="shared" si="76"/>
        <v>-5.4455445544554351E-2</v>
      </c>
      <c r="G4457" s="37">
        <v>39.4</v>
      </c>
      <c r="H4457" s="1005">
        <v>45833</v>
      </c>
    </row>
    <row r="4458" spans="3:8" x14ac:dyDescent="0.25">
      <c r="C4458" s="1003">
        <v>8</v>
      </c>
      <c r="D4458" s="1003">
        <v>0</v>
      </c>
      <c r="E4458" s="1004"/>
      <c r="F4458" s="4" t="str">
        <f t="shared" si="76"/>
        <v/>
      </c>
      <c r="G4458" s="37">
        <v>39.4</v>
      </c>
      <c r="H4458" s="1005">
        <v>45833</v>
      </c>
    </row>
    <row r="4459" spans="3:8" x14ac:dyDescent="0.25">
      <c r="C4459" s="1003">
        <v>9</v>
      </c>
      <c r="D4459" s="1003">
        <v>119</v>
      </c>
      <c r="E4459" s="1004">
        <v>42.5</v>
      </c>
      <c r="F4459" s="4">
        <f t="shared" si="76"/>
        <v>0.11842105263157894</v>
      </c>
      <c r="G4459" s="37">
        <v>39.4</v>
      </c>
      <c r="H4459" s="1005">
        <v>45833</v>
      </c>
    </row>
    <row r="4460" spans="3:8" x14ac:dyDescent="0.25">
      <c r="C4460" s="1003">
        <v>10</v>
      </c>
      <c r="D4460" s="1003">
        <v>120</v>
      </c>
      <c r="E4460" s="1004">
        <v>40.4</v>
      </c>
      <c r="F4460" s="4">
        <f t="shared" si="76"/>
        <v>6.5963060686015831E-2</v>
      </c>
      <c r="G4460" s="37">
        <v>39.4</v>
      </c>
      <c r="H4460" s="1005">
        <v>45833</v>
      </c>
    </row>
    <row r="4461" spans="3:8" x14ac:dyDescent="0.25">
      <c r="C4461" s="1006" t="s">
        <v>0</v>
      </c>
      <c r="D4461" s="1006" t="s">
        <v>7</v>
      </c>
      <c r="E4461" s="1007" t="s">
        <v>4</v>
      </c>
      <c r="F4461" s="4" t="str">
        <f t="shared" si="76"/>
        <v/>
      </c>
      <c r="G4461" s="37">
        <v>38.299999999999997</v>
      </c>
      <c r="H4461" s="1008">
        <v>45834</v>
      </c>
    </row>
    <row r="4462" spans="3:8" x14ac:dyDescent="0.25">
      <c r="C4462" s="1006">
        <v>51</v>
      </c>
      <c r="D4462" s="1006">
        <v>16</v>
      </c>
      <c r="E4462" s="1007">
        <v>30.5</v>
      </c>
      <c r="F4462" s="4">
        <f t="shared" si="76"/>
        <v>6.6006600660065773E-3</v>
      </c>
      <c r="G4462" s="37">
        <v>38.299999999999997</v>
      </c>
      <c r="H4462" s="1008">
        <v>45834</v>
      </c>
    </row>
    <row r="4463" spans="3:8" x14ac:dyDescent="0.25">
      <c r="C4463" s="1006">
        <v>1</v>
      </c>
      <c r="D4463" s="1006">
        <v>119</v>
      </c>
      <c r="E4463" s="1007">
        <v>35.200000000000003</v>
      </c>
      <c r="F4463" s="4">
        <f t="shared" si="76"/>
        <v>-0.15180722891566259</v>
      </c>
      <c r="G4463" s="37">
        <v>38.299999999999997</v>
      </c>
      <c r="H4463" s="1008">
        <v>45834</v>
      </c>
    </row>
    <row r="4464" spans="3:8" x14ac:dyDescent="0.25">
      <c r="C4464" s="1006">
        <v>2</v>
      </c>
      <c r="D4464" s="1006">
        <v>50</v>
      </c>
      <c r="E4464" s="1007">
        <v>33.9</v>
      </c>
      <c r="F4464" s="4">
        <f t="shared" si="76"/>
        <v>0.1853146853146852</v>
      </c>
      <c r="G4464" s="37">
        <v>38.299999999999997</v>
      </c>
      <c r="H4464" s="1008">
        <v>45834</v>
      </c>
    </row>
    <row r="4465" spans="3:8" x14ac:dyDescent="0.25">
      <c r="C4465" s="1006">
        <v>3</v>
      </c>
      <c r="D4465" s="1006">
        <v>82</v>
      </c>
      <c r="E4465" s="1007">
        <v>32.4</v>
      </c>
      <c r="F4465" s="4">
        <f t="shared" si="76"/>
        <v>-5.5393586005830865E-2</v>
      </c>
      <c r="G4465" s="37">
        <v>38.299999999999997</v>
      </c>
      <c r="H4465" s="1008">
        <v>45834</v>
      </c>
    </row>
    <row r="4466" spans="3:8" x14ac:dyDescent="0.25">
      <c r="C4466" s="1006">
        <v>4</v>
      </c>
      <c r="D4466" s="1006">
        <v>0</v>
      </c>
      <c r="E4466" s="1007"/>
      <c r="F4466" s="4" t="str">
        <f t="shared" si="76"/>
        <v/>
      </c>
      <c r="G4466" s="37">
        <v>38.299999999999997</v>
      </c>
      <c r="H4466" s="1008">
        <v>45834</v>
      </c>
    </row>
    <row r="4467" spans="3:8" x14ac:dyDescent="0.25">
      <c r="C4467" s="1006">
        <v>5</v>
      </c>
      <c r="D4467" s="1006">
        <v>91</v>
      </c>
      <c r="E4467" s="1007">
        <v>26.1</v>
      </c>
      <c r="F4467" s="4">
        <f t="shared" si="76"/>
        <v>6.9672131147541103E-2</v>
      </c>
      <c r="G4467" s="37">
        <v>38.299999999999997</v>
      </c>
      <c r="H4467" s="1008">
        <v>45834</v>
      </c>
    </row>
    <row r="4468" spans="3:8" x14ac:dyDescent="0.25">
      <c r="C4468" s="1006">
        <v>6</v>
      </c>
      <c r="D4468" s="1006">
        <v>95</v>
      </c>
      <c r="E4468" s="1007">
        <v>31.3</v>
      </c>
      <c r="F4468" s="4">
        <f t="shared" si="76"/>
        <v>-0.10315186246418333</v>
      </c>
      <c r="G4468" s="37">
        <v>38.299999999999997</v>
      </c>
      <c r="H4468" s="1008">
        <v>45834</v>
      </c>
    </row>
    <row r="4469" spans="3:8" x14ac:dyDescent="0.25">
      <c r="C4469" s="1006">
        <v>7</v>
      </c>
      <c r="D4469" s="1006">
        <v>73</v>
      </c>
      <c r="E4469" s="1007">
        <v>38.200000000000003</v>
      </c>
      <c r="F4469" s="4">
        <f t="shared" si="76"/>
        <v>0</v>
      </c>
      <c r="G4469" s="37">
        <v>38.299999999999997</v>
      </c>
      <c r="H4469" s="1008">
        <v>45834</v>
      </c>
    </row>
    <row r="4470" spans="3:8" x14ac:dyDescent="0.25">
      <c r="C4470" s="1006">
        <v>8</v>
      </c>
      <c r="D4470" s="1006">
        <v>0</v>
      </c>
      <c r="E4470" s="1007"/>
      <c r="F4470" s="4" t="str">
        <f t="shared" si="76"/>
        <v/>
      </c>
      <c r="G4470" s="37">
        <v>38.299999999999997</v>
      </c>
      <c r="H4470" s="1008">
        <v>45834</v>
      </c>
    </row>
    <row r="4471" spans="3:8" x14ac:dyDescent="0.25">
      <c r="C4471" s="1006">
        <v>9</v>
      </c>
      <c r="D4471" s="1006">
        <v>119</v>
      </c>
      <c r="E4471" s="1007">
        <v>40.200000000000003</v>
      </c>
      <c r="F4471" s="4">
        <f t="shared" si="76"/>
        <v>-5.4117647058823465E-2</v>
      </c>
      <c r="G4471" s="37">
        <v>38.299999999999997</v>
      </c>
      <c r="H4471" s="1008">
        <v>45834</v>
      </c>
    </row>
    <row r="4472" spans="3:8" x14ac:dyDescent="0.25">
      <c r="C4472" s="1006">
        <v>10</v>
      </c>
      <c r="D4472" s="1006">
        <v>120</v>
      </c>
      <c r="E4472" s="1007">
        <v>38.9</v>
      </c>
      <c r="F4472" s="4">
        <f t="shared" si="76"/>
        <v>-3.7128712871287127E-2</v>
      </c>
      <c r="G4472" s="37">
        <v>38.299999999999997</v>
      </c>
      <c r="H4472" s="1008">
        <v>45834</v>
      </c>
    </row>
    <row r="4473" spans="3:8" x14ac:dyDescent="0.25">
      <c r="C4473" s="1009" t="s">
        <v>0</v>
      </c>
      <c r="D4473" s="1009" t="s">
        <v>7</v>
      </c>
      <c r="E4473" s="1010" t="s">
        <v>4</v>
      </c>
      <c r="F4473" s="4" t="str">
        <f t="shared" si="76"/>
        <v/>
      </c>
      <c r="G4473" s="37">
        <v>38.700000000000003</v>
      </c>
      <c r="H4473" s="1011">
        <v>45835</v>
      </c>
    </row>
    <row r="4474" spans="3:8" x14ac:dyDescent="0.25">
      <c r="C4474" s="1009">
        <v>51</v>
      </c>
      <c r="D4474" s="1009">
        <v>17</v>
      </c>
      <c r="E4474" s="1010">
        <v>28</v>
      </c>
      <c r="F4474" s="4">
        <f t="shared" si="76"/>
        <v>-8.1967213114754092E-2</v>
      </c>
      <c r="G4474" s="37">
        <v>38.700000000000003</v>
      </c>
      <c r="H4474" s="1011">
        <v>45835</v>
      </c>
    </row>
    <row r="4475" spans="3:8" x14ac:dyDescent="0.25">
      <c r="C4475" s="1009">
        <v>1</v>
      </c>
      <c r="D4475" s="1009">
        <v>119</v>
      </c>
      <c r="E4475" s="1010">
        <v>40.4</v>
      </c>
      <c r="F4475" s="4">
        <f t="shared" si="76"/>
        <v>0.1477272727272726</v>
      </c>
      <c r="G4475" s="37">
        <v>38.700000000000003</v>
      </c>
      <c r="H4475" s="1011">
        <v>45835</v>
      </c>
    </row>
    <row r="4476" spans="3:8" x14ac:dyDescent="0.25">
      <c r="C4476" s="1009">
        <v>2</v>
      </c>
      <c r="D4476" s="1009">
        <v>48</v>
      </c>
      <c r="E4476" s="1010">
        <v>33.9</v>
      </c>
      <c r="F4476" s="4">
        <f t="shared" si="76"/>
        <v>0</v>
      </c>
      <c r="G4476" s="37">
        <v>38.700000000000003</v>
      </c>
      <c r="H4476" s="1011">
        <v>45835</v>
      </c>
    </row>
    <row r="4477" spans="3:8" x14ac:dyDescent="0.25">
      <c r="C4477" s="1009">
        <v>3</v>
      </c>
      <c r="D4477" s="1009">
        <v>83</v>
      </c>
      <c r="E4477" s="1010">
        <v>30.8</v>
      </c>
      <c r="F4477" s="4">
        <f t="shared" si="76"/>
        <v>-4.9382716049382651E-2</v>
      </c>
      <c r="G4477" s="37">
        <v>38.700000000000003</v>
      </c>
      <c r="H4477" s="1011">
        <v>45835</v>
      </c>
    </row>
    <row r="4478" spans="3:8" x14ac:dyDescent="0.25">
      <c r="C4478" s="1009">
        <v>4</v>
      </c>
      <c r="D4478" s="1009">
        <v>0</v>
      </c>
      <c r="E4478" s="1010"/>
      <c r="F4478" s="4" t="str">
        <f t="shared" si="76"/>
        <v/>
      </c>
      <c r="G4478" s="37">
        <v>38.700000000000003</v>
      </c>
      <c r="H4478" s="1011">
        <v>45835</v>
      </c>
    </row>
    <row r="4479" spans="3:8" x14ac:dyDescent="0.25">
      <c r="C4479" s="1009">
        <v>5</v>
      </c>
      <c r="D4479" s="1009">
        <v>73</v>
      </c>
      <c r="E4479" s="1010">
        <v>24.9</v>
      </c>
      <c r="F4479" s="4">
        <f t="shared" si="76"/>
        <v>-4.5977011494252977E-2</v>
      </c>
      <c r="G4479" s="37">
        <v>38.700000000000003</v>
      </c>
      <c r="H4479" s="1011">
        <v>45835</v>
      </c>
    </row>
    <row r="4480" spans="3:8" x14ac:dyDescent="0.25">
      <c r="C4480" s="1009">
        <v>6</v>
      </c>
      <c r="D4480" s="1009">
        <v>95</v>
      </c>
      <c r="E4480" s="1010">
        <v>36.700000000000003</v>
      </c>
      <c r="F4480" s="4">
        <f t="shared" si="76"/>
        <v>0.17252396166134193</v>
      </c>
      <c r="G4480" s="37">
        <v>38.700000000000003</v>
      </c>
      <c r="H4480" s="1011">
        <v>45835</v>
      </c>
    </row>
    <row r="4481" spans="3:8" x14ac:dyDescent="0.25">
      <c r="C4481" s="1009">
        <v>7</v>
      </c>
      <c r="D4481" s="1009">
        <v>74</v>
      </c>
      <c r="E4481" s="1010">
        <v>35.1</v>
      </c>
      <c r="F4481" s="4">
        <f t="shared" si="76"/>
        <v>-8.1151832460733014E-2</v>
      </c>
      <c r="G4481" s="37">
        <v>38.700000000000003</v>
      </c>
      <c r="H4481" s="1011">
        <v>45835</v>
      </c>
    </row>
    <row r="4482" spans="3:8" x14ac:dyDescent="0.25">
      <c r="C4482" s="1009">
        <v>8</v>
      </c>
      <c r="D4482" s="1009">
        <v>0</v>
      </c>
      <c r="E4482" s="1010"/>
      <c r="F4482" s="4" t="str">
        <f t="shared" si="76"/>
        <v/>
      </c>
      <c r="G4482" s="37">
        <v>38.700000000000003</v>
      </c>
      <c r="H4482" s="1011">
        <v>45835</v>
      </c>
    </row>
    <row r="4483" spans="3:8" x14ac:dyDescent="0.25">
      <c r="C4483" s="1009">
        <v>9</v>
      </c>
      <c r="D4483" s="1009">
        <v>118</v>
      </c>
      <c r="E4483" s="1010">
        <v>40.1</v>
      </c>
      <c r="F4483" s="4">
        <f t="shared" si="76"/>
        <v>-2.4875621890547614E-3</v>
      </c>
      <c r="G4483" s="37">
        <v>38.700000000000003</v>
      </c>
      <c r="H4483" s="1011">
        <v>45835</v>
      </c>
    </row>
    <row r="4484" spans="3:8" x14ac:dyDescent="0.25">
      <c r="C4484" s="1009">
        <v>10</v>
      </c>
      <c r="D4484" s="1009">
        <v>120</v>
      </c>
      <c r="E4484" s="1010">
        <v>38.799999999999997</v>
      </c>
      <c r="F4484" s="4">
        <f t="shared" si="76"/>
        <v>-2.5706940874036356E-3</v>
      </c>
      <c r="G4484" s="37">
        <v>38.700000000000003</v>
      </c>
      <c r="H4484" s="1011">
        <v>45835</v>
      </c>
    </row>
    <row r="4485" spans="3:8" x14ac:dyDescent="0.25">
      <c r="C4485" s="1012" t="s">
        <v>0</v>
      </c>
      <c r="D4485" s="1012" t="s">
        <v>7</v>
      </c>
      <c r="E4485" s="1013" t="s">
        <v>4</v>
      </c>
      <c r="F4485" s="4" t="str">
        <f t="shared" si="76"/>
        <v/>
      </c>
      <c r="G4485" s="37">
        <v>40.5</v>
      </c>
      <c r="H4485" s="1011">
        <v>45836</v>
      </c>
    </row>
    <row r="4486" spans="3:8" x14ac:dyDescent="0.25">
      <c r="C4486" s="1012">
        <v>51</v>
      </c>
      <c r="D4486" s="1012">
        <v>22</v>
      </c>
      <c r="E4486" s="1013">
        <v>25.5</v>
      </c>
      <c r="F4486" s="4">
        <f t="shared" si="76"/>
        <v>-8.9285714285714288E-2</v>
      </c>
      <c r="G4486" s="37">
        <v>40.5</v>
      </c>
      <c r="H4486" s="1011">
        <v>45836</v>
      </c>
    </row>
    <row r="4487" spans="3:8" x14ac:dyDescent="0.25">
      <c r="C4487" s="1012">
        <v>1</v>
      </c>
      <c r="D4487" s="1012">
        <v>119</v>
      </c>
      <c r="E4487" s="1013">
        <v>43.4</v>
      </c>
      <c r="F4487" s="4">
        <f t="shared" si="76"/>
        <v>7.4257425742574254E-2</v>
      </c>
      <c r="G4487" s="37">
        <v>40.5</v>
      </c>
      <c r="H4487" s="1011">
        <v>45836</v>
      </c>
    </row>
    <row r="4488" spans="3:8" x14ac:dyDescent="0.25">
      <c r="C4488" s="1012">
        <v>2</v>
      </c>
      <c r="D4488" s="1012">
        <v>44</v>
      </c>
      <c r="E4488" s="1013">
        <v>26.3</v>
      </c>
      <c r="F4488" s="4">
        <f t="shared" si="76"/>
        <v>-0.22418879056047192</v>
      </c>
      <c r="G4488" s="37">
        <v>40.5</v>
      </c>
      <c r="H4488" s="1011">
        <v>45836</v>
      </c>
    </row>
    <row r="4489" spans="3:8" x14ac:dyDescent="0.25">
      <c r="C4489" s="1012">
        <v>3</v>
      </c>
      <c r="D4489" s="1012">
        <v>73</v>
      </c>
      <c r="E4489" s="1013">
        <v>30.9</v>
      </c>
      <c r="F4489" s="4">
        <f t="shared" si="76"/>
        <v>3.2467532467531776E-3</v>
      </c>
      <c r="G4489" s="37">
        <v>40.5</v>
      </c>
      <c r="H4489" s="1011">
        <v>45836</v>
      </c>
    </row>
    <row r="4490" spans="3:8" x14ac:dyDescent="0.25">
      <c r="C4490" s="1012">
        <v>4</v>
      </c>
      <c r="D4490" s="1012">
        <v>0</v>
      </c>
      <c r="E4490" s="1013"/>
      <c r="F4490" s="4" t="str">
        <f t="shared" si="76"/>
        <v/>
      </c>
      <c r="G4490" s="37">
        <v>40.5</v>
      </c>
      <c r="H4490" s="1011">
        <v>45836</v>
      </c>
    </row>
    <row r="4491" spans="3:8" x14ac:dyDescent="0.25">
      <c r="C4491" s="1012">
        <v>5</v>
      </c>
      <c r="D4491" s="1012">
        <v>90</v>
      </c>
      <c r="E4491" s="1013">
        <v>25.6</v>
      </c>
      <c r="F4491" s="4">
        <f t="shared" si="76"/>
        <v>2.8112449799196904E-2</v>
      </c>
      <c r="G4491" s="37">
        <v>40.5</v>
      </c>
      <c r="H4491" s="1011">
        <v>45836</v>
      </c>
    </row>
    <row r="4492" spans="3:8" x14ac:dyDescent="0.25">
      <c r="C4492" s="1012">
        <v>6</v>
      </c>
      <c r="D4492" s="1012">
        <v>91</v>
      </c>
      <c r="E4492" s="1013">
        <v>37.5</v>
      </c>
      <c r="F4492" s="4">
        <f t="shared" si="76"/>
        <v>2.1798365122615723E-2</v>
      </c>
      <c r="G4492" s="37">
        <v>40.5</v>
      </c>
      <c r="H4492" s="1011">
        <v>45836</v>
      </c>
    </row>
    <row r="4493" spans="3:8" x14ac:dyDescent="0.25">
      <c r="C4493" s="1012">
        <v>7</v>
      </c>
      <c r="D4493" s="1012">
        <v>74</v>
      </c>
      <c r="E4493" s="1013">
        <v>29.7</v>
      </c>
      <c r="F4493" s="4">
        <f t="shared" si="76"/>
        <v>-0.15384615384615391</v>
      </c>
      <c r="G4493" s="37">
        <v>40.5</v>
      </c>
      <c r="H4493" s="1011">
        <v>45836</v>
      </c>
    </row>
    <row r="4494" spans="3:8" x14ac:dyDescent="0.25">
      <c r="C4494" s="1012">
        <v>8</v>
      </c>
      <c r="D4494" s="1012">
        <v>0</v>
      </c>
      <c r="E4494" s="1013"/>
      <c r="F4494" s="4" t="str">
        <f t="shared" si="76"/>
        <v/>
      </c>
      <c r="G4494" s="37">
        <v>40.5</v>
      </c>
      <c r="H4494" s="1011">
        <v>45836</v>
      </c>
    </row>
    <row r="4495" spans="3:8" x14ac:dyDescent="0.25">
      <c r="C4495" s="1012">
        <v>9</v>
      </c>
      <c r="D4495" s="1012">
        <v>117</v>
      </c>
      <c r="E4495" s="1013">
        <v>39.5</v>
      </c>
      <c r="F4495" s="4">
        <f t="shared" si="76"/>
        <v>-1.4962593516209511E-2</v>
      </c>
      <c r="G4495" s="37">
        <v>40.5</v>
      </c>
      <c r="H4495" s="1011">
        <v>45836</v>
      </c>
    </row>
    <row r="4496" spans="3:8" x14ac:dyDescent="0.25">
      <c r="C4496" s="1012">
        <v>10</v>
      </c>
      <c r="D4496" s="1012">
        <v>120</v>
      </c>
      <c r="E4496" s="1013">
        <v>36.299999999999997</v>
      </c>
      <c r="F4496" s="4">
        <f t="shared" si="76"/>
        <v>-6.4432989690721656E-2</v>
      </c>
      <c r="G4496" s="37">
        <v>40.5</v>
      </c>
      <c r="H4496" s="1011">
        <v>45836</v>
      </c>
    </row>
    <row r="4497" spans="3:8" x14ac:dyDescent="0.25">
      <c r="C4497" s="1014" t="s">
        <v>0</v>
      </c>
      <c r="D4497" s="1014" t="s">
        <v>7</v>
      </c>
      <c r="E4497" s="1015" t="s">
        <v>4</v>
      </c>
      <c r="F4497" s="4" t="str">
        <f t="shared" si="76"/>
        <v/>
      </c>
      <c r="G4497" s="37">
        <v>38.9</v>
      </c>
      <c r="H4497" s="1016">
        <v>45837</v>
      </c>
    </row>
    <row r="4498" spans="3:8" x14ac:dyDescent="0.25">
      <c r="C4498" s="1014">
        <v>51</v>
      </c>
      <c r="D4498" s="1014">
        <v>21</v>
      </c>
      <c r="E4498" s="1015">
        <v>29.4</v>
      </c>
      <c r="F4498" s="4">
        <f t="shared" si="76"/>
        <v>0.15294117647058819</v>
      </c>
      <c r="G4498" s="37">
        <v>38.9</v>
      </c>
      <c r="H4498" s="1016">
        <v>45837</v>
      </c>
    </row>
    <row r="4499" spans="3:8" x14ac:dyDescent="0.25">
      <c r="C4499" s="1014">
        <v>1</v>
      </c>
      <c r="D4499" s="1014">
        <v>118</v>
      </c>
      <c r="E4499" s="1015">
        <v>43.9</v>
      </c>
      <c r="F4499" s="4">
        <f t="shared" si="76"/>
        <v>1.1520737327188941E-2</v>
      </c>
      <c r="G4499" s="37">
        <v>38.9</v>
      </c>
      <c r="H4499" s="1016">
        <v>45837</v>
      </c>
    </row>
    <row r="4500" spans="3:8" x14ac:dyDescent="0.25">
      <c r="C4500" s="1014">
        <v>2</v>
      </c>
      <c r="D4500" s="1014">
        <v>44</v>
      </c>
      <c r="E4500" s="1015">
        <v>28.5</v>
      </c>
      <c r="F4500" s="4">
        <f t="shared" si="76"/>
        <v>8.3650190114068407E-2</v>
      </c>
      <c r="G4500" s="37">
        <v>38.9</v>
      </c>
      <c r="H4500" s="1016">
        <v>45837</v>
      </c>
    </row>
    <row r="4501" spans="3:8" x14ac:dyDescent="0.25">
      <c r="C4501" s="1014">
        <v>3</v>
      </c>
      <c r="D4501" s="1014">
        <v>73</v>
      </c>
      <c r="E4501" s="1015">
        <v>35.299999999999997</v>
      </c>
      <c r="F4501" s="4">
        <f t="shared" si="76"/>
        <v>0.14239482200647247</v>
      </c>
      <c r="G4501" s="37">
        <v>38.9</v>
      </c>
      <c r="H4501" s="1016">
        <v>45837</v>
      </c>
    </row>
    <row r="4502" spans="3:8" x14ac:dyDescent="0.25">
      <c r="C4502" s="1014">
        <v>4</v>
      </c>
      <c r="D4502" s="1014">
        <v>0</v>
      </c>
      <c r="E4502" s="1015"/>
      <c r="F4502" s="4" t="str">
        <f t="shared" si="76"/>
        <v/>
      </c>
      <c r="G4502" s="37">
        <v>38.9</v>
      </c>
      <c r="H4502" s="1016">
        <v>45837</v>
      </c>
    </row>
    <row r="4503" spans="3:8" x14ac:dyDescent="0.25">
      <c r="C4503" s="1014">
        <v>5</v>
      </c>
      <c r="D4503" s="1014">
        <v>90</v>
      </c>
      <c r="E4503" s="1015">
        <v>28.8</v>
      </c>
      <c r="F4503" s="4">
        <f t="shared" si="76"/>
        <v>0.12499999999999997</v>
      </c>
      <c r="G4503" s="37">
        <v>38.9</v>
      </c>
      <c r="H4503" s="1016">
        <v>45837</v>
      </c>
    </row>
    <row r="4504" spans="3:8" x14ac:dyDescent="0.25">
      <c r="C4504" s="1014">
        <v>6</v>
      </c>
      <c r="D4504" s="1014">
        <v>95</v>
      </c>
      <c r="E4504" s="1015">
        <v>39.5</v>
      </c>
      <c r="F4504" s="4">
        <f t="shared" si="76"/>
        <v>5.3333333333333337E-2</v>
      </c>
      <c r="G4504" s="37">
        <v>38.9</v>
      </c>
      <c r="H4504" s="1016">
        <v>45837</v>
      </c>
    </row>
    <row r="4505" spans="3:8" x14ac:dyDescent="0.25">
      <c r="C4505" s="1014">
        <v>7</v>
      </c>
      <c r="D4505" s="1014">
        <v>74</v>
      </c>
      <c r="E4505" s="1015">
        <v>38.5</v>
      </c>
      <c r="F4505" s="4">
        <f t="shared" si="76"/>
        <v>0.29629629629629634</v>
      </c>
      <c r="G4505" s="37">
        <v>38.9</v>
      </c>
      <c r="H4505" s="1016">
        <v>45837</v>
      </c>
    </row>
    <row r="4506" spans="3:8" x14ac:dyDescent="0.25">
      <c r="C4506" s="1014">
        <v>8</v>
      </c>
      <c r="D4506" s="1014">
        <v>0</v>
      </c>
      <c r="E4506" s="1015"/>
      <c r="F4506" s="4" t="str">
        <f t="shared" si="76"/>
        <v/>
      </c>
      <c r="G4506" s="37">
        <v>38.9</v>
      </c>
      <c r="H4506" s="1016">
        <v>45837</v>
      </c>
    </row>
    <row r="4507" spans="3:8" x14ac:dyDescent="0.25">
      <c r="C4507" s="1014">
        <v>9</v>
      </c>
      <c r="D4507" s="1014">
        <v>117</v>
      </c>
      <c r="E4507" s="1015">
        <v>40.9</v>
      </c>
      <c r="F4507" s="4">
        <f t="shared" si="76"/>
        <v>3.5443037974683511E-2</v>
      </c>
      <c r="G4507" s="37">
        <v>38.9</v>
      </c>
      <c r="H4507" s="1016">
        <v>45837</v>
      </c>
    </row>
    <row r="4508" spans="3:8" x14ac:dyDescent="0.25">
      <c r="C4508" s="1014">
        <v>10</v>
      </c>
      <c r="D4508" s="1014">
        <v>120</v>
      </c>
      <c r="E4508" s="1015">
        <v>41.5</v>
      </c>
      <c r="F4508" s="4">
        <f t="shared" si="76"/>
        <v>0.14325068870523425</v>
      </c>
      <c r="G4508" s="37">
        <v>38.9</v>
      </c>
      <c r="H4508" s="1016">
        <v>45837</v>
      </c>
    </row>
    <row r="4509" spans="3:8" x14ac:dyDescent="0.25">
      <c r="C4509" s="1017" t="s">
        <v>0</v>
      </c>
      <c r="D4509" s="1017" t="s">
        <v>7</v>
      </c>
      <c r="E4509" s="1018" t="s">
        <v>4</v>
      </c>
      <c r="F4509" s="4" t="str">
        <f t="shared" si="76"/>
        <v/>
      </c>
      <c r="G4509" s="37">
        <v>39.5</v>
      </c>
      <c r="H4509" s="1019">
        <v>45838</v>
      </c>
    </row>
    <row r="4510" spans="3:8" x14ac:dyDescent="0.25">
      <c r="C4510" s="1017">
        <v>51</v>
      </c>
      <c r="D4510" s="1017">
        <v>21</v>
      </c>
      <c r="E4510" s="1018">
        <v>26.8</v>
      </c>
      <c r="F4510" s="4">
        <f t="shared" si="76"/>
        <v>-8.8435374149659796E-2</v>
      </c>
      <c r="G4510" s="37">
        <v>39.5</v>
      </c>
      <c r="H4510" s="1019">
        <v>45838</v>
      </c>
    </row>
    <row r="4511" spans="3:8" x14ac:dyDescent="0.25">
      <c r="C4511" s="1017">
        <v>1</v>
      </c>
      <c r="D4511" s="1017">
        <v>118</v>
      </c>
      <c r="E4511" s="1018">
        <v>40.6</v>
      </c>
      <c r="F4511" s="4">
        <f t="shared" si="76"/>
        <v>-7.5170842824601306E-2</v>
      </c>
      <c r="G4511" s="37">
        <v>39.5</v>
      </c>
      <c r="H4511" s="1019">
        <v>45838</v>
      </c>
    </row>
    <row r="4512" spans="3:8" x14ac:dyDescent="0.25">
      <c r="C4512" s="1017">
        <v>2</v>
      </c>
      <c r="D4512" s="1017">
        <v>44</v>
      </c>
      <c r="E4512" s="1018">
        <v>36.4</v>
      </c>
      <c r="F4512" s="4">
        <f t="shared" si="76"/>
        <v>0.27719298245614032</v>
      </c>
      <c r="G4512" s="37">
        <v>39.5</v>
      </c>
      <c r="H4512" s="1019">
        <v>45838</v>
      </c>
    </row>
    <row r="4513" spans="3:8" x14ac:dyDescent="0.25">
      <c r="C4513" s="1017">
        <v>3</v>
      </c>
      <c r="D4513" s="1017">
        <v>73</v>
      </c>
      <c r="E4513" s="1018">
        <v>36.9</v>
      </c>
      <c r="F4513" s="4">
        <f t="shared" si="76"/>
        <v>4.5325779036827239E-2</v>
      </c>
      <c r="G4513" s="37">
        <v>39.5</v>
      </c>
      <c r="H4513" s="1019">
        <v>45838</v>
      </c>
    </row>
    <row r="4514" spans="3:8" x14ac:dyDescent="0.25">
      <c r="C4514" s="1017">
        <v>4</v>
      </c>
      <c r="D4514" s="1017">
        <v>0</v>
      </c>
      <c r="E4514" s="1018"/>
      <c r="F4514" s="4" t="str">
        <f t="shared" si="76"/>
        <v/>
      </c>
      <c r="G4514" s="37">
        <v>39.5</v>
      </c>
      <c r="H4514" s="1019">
        <v>45838</v>
      </c>
    </row>
    <row r="4515" spans="3:8" x14ac:dyDescent="0.25">
      <c r="C4515" s="1017">
        <v>5</v>
      </c>
      <c r="D4515" s="1017">
        <v>90</v>
      </c>
      <c r="E4515" s="1018">
        <v>30</v>
      </c>
      <c r="F4515" s="4">
        <f t="shared" si="76"/>
        <v>4.1666666666666644E-2</v>
      </c>
      <c r="G4515" s="37">
        <v>39.5</v>
      </c>
      <c r="H4515" s="1019">
        <v>45838</v>
      </c>
    </row>
    <row r="4516" spans="3:8" x14ac:dyDescent="0.25">
      <c r="C4516" s="1017">
        <v>6</v>
      </c>
      <c r="D4516" s="1017">
        <v>95</v>
      </c>
      <c r="E4516" s="1018">
        <v>39.6</v>
      </c>
      <c r="F4516" s="4">
        <f t="shared" si="76"/>
        <v>2.5316455696202892E-3</v>
      </c>
      <c r="G4516" s="37">
        <v>39.5</v>
      </c>
      <c r="H4516" s="1019">
        <v>45838</v>
      </c>
    </row>
    <row r="4517" spans="3:8" x14ac:dyDescent="0.25">
      <c r="C4517" s="1017">
        <v>7</v>
      </c>
      <c r="D4517" s="1017">
        <v>74</v>
      </c>
      <c r="E4517" s="1018">
        <v>38.1</v>
      </c>
      <c r="F4517" s="4">
        <f t="shared" si="76"/>
        <v>-1.0389610389610353E-2</v>
      </c>
      <c r="G4517" s="37">
        <v>39.5</v>
      </c>
      <c r="H4517" s="1019">
        <v>45838</v>
      </c>
    </row>
    <row r="4518" spans="3:8" x14ac:dyDescent="0.25">
      <c r="C4518" s="1017">
        <v>8</v>
      </c>
      <c r="D4518" s="1017">
        <v>0</v>
      </c>
      <c r="E4518" s="1018"/>
      <c r="F4518" s="4" t="str">
        <f t="shared" si="76"/>
        <v/>
      </c>
      <c r="G4518" s="37">
        <v>39.5</v>
      </c>
      <c r="H4518" s="1019">
        <v>45838</v>
      </c>
    </row>
    <row r="4519" spans="3:8" x14ac:dyDescent="0.25">
      <c r="C4519" s="1017">
        <v>9</v>
      </c>
      <c r="D4519" s="1017">
        <v>117</v>
      </c>
      <c r="E4519" s="1018">
        <v>41.7</v>
      </c>
      <c r="F4519" s="4">
        <f t="shared" ref="F4519:F4582" si="77">IFERROR((E4519-E4507)/E4507,"")</f>
        <v>1.9559902200489102E-2</v>
      </c>
      <c r="G4519" s="37">
        <v>39.5</v>
      </c>
      <c r="H4519" s="1019">
        <v>45838</v>
      </c>
    </row>
    <row r="4520" spans="3:8" x14ac:dyDescent="0.25">
      <c r="C4520" s="1017">
        <v>10</v>
      </c>
      <c r="D4520" s="1017">
        <v>120</v>
      </c>
      <c r="E4520" s="1018">
        <v>38.700000000000003</v>
      </c>
      <c r="F4520" s="4">
        <f t="shared" si="77"/>
        <v>-6.7469879518072221E-2</v>
      </c>
      <c r="G4520" s="37">
        <v>39.5</v>
      </c>
      <c r="H4520" s="1019">
        <v>45838</v>
      </c>
    </row>
    <row r="4521" spans="3:8" x14ac:dyDescent="0.25">
      <c r="C4521" s="1020" t="s">
        <v>0</v>
      </c>
      <c r="D4521" s="1020" t="s">
        <v>7</v>
      </c>
      <c r="E4521" s="1021" t="s">
        <v>4</v>
      </c>
      <c r="F4521" s="4" t="str">
        <f t="shared" si="77"/>
        <v/>
      </c>
      <c r="G4521" s="37">
        <v>38.6</v>
      </c>
      <c r="H4521" s="1022">
        <v>45839</v>
      </c>
    </row>
    <row r="4522" spans="3:8" x14ac:dyDescent="0.25">
      <c r="C4522" s="1020">
        <v>51</v>
      </c>
      <c r="D4522" s="1020">
        <v>21</v>
      </c>
      <c r="E4522" s="1021">
        <v>28.5</v>
      </c>
      <c r="F4522" s="4">
        <f t="shared" si="77"/>
        <v>6.3432835820895497E-2</v>
      </c>
      <c r="G4522" s="37">
        <v>38.6</v>
      </c>
      <c r="H4522" s="1022">
        <v>45839</v>
      </c>
    </row>
    <row r="4523" spans="3:8" x14ac:dyDescent="0.25">
      <c r="C4523" s="1020">
        <v>1</v>
      </c>
      <c r="D4523" s="1020">
        <v>118</v>
      </c>
      <c r="E4523" s="1021">
        <v>40.700000000000003</v>
      </c>
      <c r="F4523" s="4">
        <f t="shared" si="77"/>
        <v>2.4630541871921529E-3</v>
      </c>
      <c r="G4523" s="37">
        <v>38.6</v>
      </c>
      <c r="H4523" s="1022">
        <v>45839</v>
      </c>
    </row>
    <row r="4524" spans="3:8" x14ac:dyDescent="0.25">
      <c r="C4524" s="1020">
        <v>2</v>
      </c>
      <c r="D4524" s="1020">
        <v>44</v>
      </c>
      <c r="E4524" s="1021">
        <v>33.6</v>
      </c>
      <c r="F4524" s="4">
        <f t="shared" si="77"/>
        <v>-7.6923076923076844E-2</v>
      </c>
      <c r="G4524" s="37">
        <v>38.6</v>
      </c>
      <c r="H4524" s="1022">
        <v>45839</v>
      </c>
    </row>
    <row r="4525" spans="3:8" x14ac:dyDescent="0.25">
      <c r="C4525" s="1020">
        <v>3</v>
      </c>
      <c r="D4525" s="1020">
        <v>73</v>
      </c>
      <c r="E4525" s="1021">
        <v>32.200000000000003</v>
      </c>
      <c r="F4525" s="4">
        <f t="shared" si="77"/>
        <v>-0.12737127371273702</v>
      </c>
      <c r="G4525" s="37">
        <v>38.6</v>
      </c>
      <c r="H4525" s="1022">
        <v>45839</v>
      </c>
    </row>
    <row r="4526" spans="3:8" x14ac:dyDescent="0.25">
      <c r="C4526" s="1020">
        <v>4</v>
      </c>
      <c r="D4526" s="1020">
        <v>120</v>
      </c>
      <c r="E4526" s="1021"/>
      <c r="F4526" s="4" t="str">
        <f t="shared" si="77"/>
        <v/>
      </c>
      <c r="G4526" s="37">
        <v>38.6</v>
      </c>
      <c r="H4526" s="1022">
        <v>45839</v>
      </c>
    </row>
    <row r="4527" spans="3:8" x14ac:dyDescent="0.25">
      <c r="C4527" s="1020">
        <v>5</v>
      </c>
      <c r="D4527" s="1020">
        <v>90</v>
      </c>
      <c r="E4527" s="1021">
        <v>30</v>
      </c>
      <c r="F4527" s="4">
        <f t="shared" si="77"/>
        <v>0</v>
      </c>
      <c r="G4527" s="37">
        <v>38.6</v>
      </c>
      <c r="H4527" s="1022">
        <v>45839</v>
      </c>
    </row>
    <row r="4528" spans="3:8" x14ac:dyDescent="0.25">
      <c r="C4528" s="1020">
        <v>6</v>
      </c>
      <c r="D4528" s="1020">
        <v>95</v>
      </c>
      <c r="E4528" s="1021">
        <v>39.299999999999997</v>
      </c>
      <c r="F4528" s="4">
        <f t="shared" si="77"/>
        <v>-7.5757575757576835E-3</v>
      </c>
      <c r="G4528" s="37">
        <v>38.6</v>
      </c>
      <c r="H4528" s="1022">
        <v>45839</v>
      </c>
    </row>
    <row r="4529" spans="3:8" x14ac:dyDescent="0.25">
      <c r="C4529" s="1020">
        <v>7</v>
      </c>
      <c r="D4529" s="1020">
        <v>74</v>
      </c>
      <c r="E4529" s="1021">
        <v>30.2</v>
      </c>
      <c r="F4529" s="4">
        <f t="shared" si="77"/>
        <v>-0.20734908136482944</v>
      </c>
      <c r="G4529" s="37">
        <v>38.6</v>
      </c>
      <c r="H4529" s="1022">
        <v>45839</v>
      </c>
    </row>
    <row r="4530" spans="3:8" x14ac:dyDescent="0.25">
      <c r="C4530" s="1020">
        <v>8</v>
      </c>
      <c r="D4530" s="1020">
        <v>0</v>
      </c>
      <c r="E4530" s="1021"/>
      <c r="F4530" s="4" t="str">
        <f t="shared" si="77"/>
        <v/>
      </c>
      <c r="G4530" s="37">
        <v>38.6</v>
      </c>
      <c r="H4530" s="1022">
        <v>45839</v>
      </c>
    </row>
    <row r="4531" spans="3:8" x14ac:dyDescent="0.25">
      <c r="C4531" s="1020">
        <v>9</v>
      </c>
      <c r="D4531" s="1020">
        <v>117</v>
      </c>
      <c r="E4531" s="1021">
        <v>44.1</v>
      </c>
      <c r="F4531" s="4">
        <f t="shared" si="77"/>
        <v>5.7553956834532335E-2</v>
      </c>
      <c r="G4531" s="37">
        <v>38.6</v>
      </c>
      <c r="H4531" s="1022">
        <v>45839</v>
      </c>
    </row>
    <row r="4532" spans="3:8" x14ac:dyDescent="0.25">
      <c r="C4532" s="1020">
        <v>10</v>
      </c>
      <c r="D4532" s="1020">
        <v>120</v>
      </c>
      <c r="E4532" s="1021">
        <v>39.5</v>
      </c>
      <c r="F4532" s="4">
        <f t="shared" si="77"/>
        <v>2.0671834625322922E-2</v>
      </c>
      <c r="G4532" s="37">
        <v>38.6</v>
      </c>
      <c r="H4532" s="1022">
        <v>45839</v>
      </c>
    </row>
    <row r="4533" spans="3:8" x14ac:dyDescent="0.25">
      <c r="C4533" s="1023" t="s">
        <v>0</v>
      </c>
      <c r="D4533" s="1023" t="s">
        <v>7</v>
      </c>
      <c r="E4533" s="1024" t="s">
        <v>4</v>
      </c>
      <c r="F4533" s="4" t="str">
        <f t="shared" si="77"/>
        <v/>
      </c>
      <c r="G4533" s="37">
        <v>36.9</v>
      </c>
      <c r="H4533" s="1025">
        <v>45840</v>
      </c>
    </row>
    <row r="4534" spans="3:8" x14ac:dyDescent="0.25">
      <c r="C4534" s="1023">
        <v>51</v>
      </c>
      <c r="D4534" s="1023">
        <v>23</v>
      </c>
      <c r="E4534" s="1024">
        <v>29.2</v>
      </c>
      <c r="F4534" s="4">
        <f t="shared" si="77"/>
        <v>2.4561403508771906E-2</v>
      </c>
      <c r="G4534" s="37">
        <v>36.9</v>
      </c>
      <c r="H4534" s="1025">
        <v>45840</v>
      </c>
    </row>
    <row r="4535" spans="3:8" x14ac:dyDescent="0.25">
      <c r="C4535" s="1023">
        <v>1</v>
      </c>
      <c r="D4535" s="1023">
        <v>117</v>
      </c>
      <c r="E4535" s="1024">
        <v>42.6</v>
      </c>
      <c r="F4535" s="4">
        <f t="shared" si="77"/>
        <v>4.6683046683046646E-2</v>
      </c>
      <c r="G4535" s="37">
        <v>36.9</v>
      </c>
      <c r="H4535" s="1025">
        <v>45840</v>
      </c>
    </row>
    <row r="4536" spans="3:8" x14ac:dyDescent="0.25">
      <c r="C4536" s="1023">
        <v>2</v>
      </c>
      <c r="D4536" s="1023">
        <v>44</v>
      </c>
      <c r="E4536" s="1024">
        <v>33.799999999999997</v>
      </c>
      <c r="F4536" s="4">
        <f t="shared" si="77"/>
        <v>5.9523809523808254E-3</v>
      </c>
      <c r="G4536" s="37">
        <v>36.9</v>
      </c>
      <c r="H4536" s="1025">
        <v>45840</v>
      </c>
    </row>
    <row r="4537" spans="3:8" x14ac:dyDescent="0.25">
      <c r="C4537" s="1023">
        <v>3</v>
      </c>
      <c r="D4537" s="1023">
        <v>73</v>
      </c>
      <c r="E4537" s="1024">
        <v>27.9</v>
      </c>
      <c r="F4537" s="4">
        <f t="shared" si="77"/>
        <v>-0.13354037267080757</v>
      </c>
      <c r="G4537" s="37">
        <v>36.9</v>
      </c>
      <c r="H4537" s="1025">
        <v>45840</v>
      </c>
    </row>
    <row r="4538" spans="3:8" x14ac:dyDescent="0.25">
      <c r="C4538" s="1023">
        <v>4</v>
      </c>
      <c r="D4538" s="1023">
        <v>119</v>
      </c>
      <c r="E4538" s="1024">
        <v>28.8</v>
      </c>
      <c r="F4538" s="4" t="str">
        <f t="shared" si="77"/>
        <v/>
      </c>
      <c r="G4538" s="37">
        <v>36.9</v>
      </c>
      <c r="H4538" s="1025">
        <v>45840</v>
      </c>
    </row>
    <row r="4539" spans="3:8" x14ac:dyDescent="0.25">
      <c r="C4539" s="1023">
        <v>5</v>
      </c>
      <c r="D4539" s="1023">
        <v>90</v>
      </c>
      <c r="E4539" s="1024">
        <v>25.8</v>
      </c>
      <c r="F4539" s="4">
        <f t="shared" si="77"/>
        <v>-0.13999999999999999</v>
      </c>
      <c r="G4539" s="37">
        <v>36.9</v>
      </c>
      <c r="H4539" s="1025">
        <v>45840</v>
      </c>
    </row>
    <row r="4540" spans="3:8" x14ac:dyDescent="0.25">
      <c r="C4540" s="1023">
        <v>6</v>
      </c>
      <c r="D4540" s="1023">
        <v>97</v>
      </c>
      <c r="E4540" s="1024">
        <v>39.700000000000003</v>
      </c>
      <c r="F4540" s="4">
        <f t="shared" si="77"/>
        <v>1.0178117048346201E-2</v>
      </c>
      <c r="G4540" s="37">
        <v>36.9</v>
      </c>
      <c r="H4540" s="1025">
        <v>45840</v>
      </c>
    </row>
    <row r="4541" spans="3:8" x14ac:dyDescent="0.25">
      <c r="C4541" s="1023">
        <v>7</v>
      </c>
      <c r="D4541" s="1023">
        <v>73</v>
      </c>
      <c r="E4541" s="1024">
        <v>37.4</v>
      </c>
      <c r="F4541" s="4">
        <f t="shared" si="77"/>
        <v>0.23841059602649003</v>
      </c>
      <c r="G4541" s="37">
        <v>36.9</v>
      </c>
      <c r="H4541" s="1025">
        <v>45840</v>
      </c>
    </row>
    <row r="4542" spans="3:8" x14ac:dyDescent="0.25">
      <c r="C4542" s="1023">
        <v>8</v>
      </c>
      <c r="D4542" s="1023">
        <v>0</v>
      </c>
      <c r="E4542" s="1024"/>
      <c r="F4542" s="4" t="str">
        <f t="shared" si="77"/>
        <v/>
      </c>
      <c r="G4542" s="37">
        <v>36.9</v>
      </c>
      <c r="H4542" s="1025">
        <v>45840</v>
      </c>
    </row>
    <row r="4543" spans="3:8" x14ac:dyDescent="0.25">
      <c r="C4543" s="1023">
        <v>9</v>
      </c>
      <c r="D4543" s="1023">
        <v>117</v>
      </c>
      <c r="E4543" s="1024">
        <v>40.200000000000003</v>
      </c>
      <c r="F4543" s="4">
        <f t="shared" si="77"/>
        <v>-8.8435374149659823E-2</v>
      </c>
      <c r="G4543" s="37">
        <v>36.9</v>
      </c>
      <c r="H4543" s="1025">
        <v>45840</v>
      </c>
    </row>
    <row r="4544" spans="3:8" x14ac:dyDescent="0.25">
      <c r="C4544" s="1023">
        <v>10</v>
      </c>
      <c r="D4544" s="1023">
        <v>120</v>
      </c>
      <c r="E4544" s="1024">
        <v>39.700000000000003</v>
      </c>
      <c r="F4544" s="4">
        <f t="shared" si="77"/>
        <v>5.0632911392405784E-3</v>
      </c>
      <c r="G4544" s="37">
        <v>36.9</v>
      </c>
      <c r="H4544" s="1025">
        <v>45840</v>
      </c>
    </row>
    <row r="4545" spans="3:8" x14ac:dyDescent="0.25">
      <c r="C4545" s="1026" t="s">
        <v>0</v>
      </c>
      <c r="D4545" s="1026" t="s">
        <v>7</v>
      </c>
      <c r="E4545" s="1027" t="s">
        <v>4</v>
      </c>
      <c r="F4545" s="4" t="str">
        <f t="shared" si="77"/>
        <v/>
      </c>
      <c r="G4545" s="37">
        <v>38.4</v>
      </c>
      <c r="H4545" s="1028">
        <v>45841</v>
      </c>
    </row>
    <row r="4546" spans="3:8" x14ac:dyDescent="0.25">
      <c r="C4546" s="1026">
        <v>51</v>
      </c>
      <c r="D4546" s="1026">
        <v>26</v>
      </c>
      <c r="E4546" s="1027">
        <v>28.5</v>
      </c>
      <c r="F4546" s="4">
        <f t="shared" si="77"/>
        <v>-2.3972602739726005E-2</v>
      </c>
      <c r="G4546" s="37">
        <v>38.4</v>
      </c>
      <c r="H4546" s="1028">
        <v>45841</v>
      </c>
    </row>
    <row r="4547" spans="3:8" x14ac:dyDescent="0.25">
      <c r="C4547" s="1026">
        <v>1</v>
      </c>
      <c r="D4547" s="1026">
        <v>117</v>
      </c>
      <c r="E4547" s="1027">
        <v>42.8</v>
      </c>
      <c r="F4547" s="4">
        <f t="shared" si="77"/>
        <v>4.6948356807510732E-3</v>
      </c>
      <c r="G4547" s="37">
        <v>38.4</v>
      </c>
      <c r="H4547" s="1028">
        <v>45841</v>
      </c>
    </row>
    <row r="4548" spans="3:8" x14ac:dyDescent="0.25">
      <c r="C4548" s="1026">
        <v>2</v>
      </c>
      <c r="D4548" s="1026">
        <v>44</v>
      </c>
      <c r="E4548" s="1027">
        <v>35.1</v>
      </c>
      <c r="F4548" s="4">
        <f t="shared" si="77"/>
        <v>3.8461538461538589E-2</v>
      </c>
      <c r="G4548" s="37">
        <v>38.4</v>
      </c>
      <c r="H4548" s="1028">
        <v>45841</v>
      </c>
    </row>
    <row r="4549" spans="3:8" x14ac:dyDescent="0.25">
      <c r="C4549" s="1026">
        <v>3</v>
      </c>
      <c r="D4549" s="1026">
        <v>73</v>
      </c>
      <c r="E4549" s="1027">
        <v>34.9</v>
      </c>
      <c r="F4549" s="4">
        <f t="shared" si="77"/>
        <v>0.25089605734767029</v>
      </c>
      <c r="G4549" s="37">
        <v>38.4</v>
      </c>
      <c r="H4549" s="1028">
        <v>45841</v>
      </c>
    </row>
    <row r="4550" spans="3:8" x14ac:dyDescent="0.25">
      <c r="C4550" s="1026">
        <v>4</v>
      </c>
      <c r="D4550" s="1026">
        <v>118</v>
      </c>
      <c r="E4550" s="1027">
        <v>31.5</v>
      </c>
      <c r="F4550" s="4">
        <f t="shared" si="77"/>
        <v>9.3749999999999972E-2</v>
      </c>
      <c r="G4550" s="37">
        <v>38.4</v>
      </c>
      <c r="H4550" s="1028">
        <v>45841</v>
      </c>
    </row>
    <row r="4551" spans="3:8" x14ac:dyDescent="0.25">
      <c r="C4551" s="1026">
        <v>5</v>
      </c>
      <c r="D4551" s="1026">
        <v>90</v>
      </c>
      <c r="E4551" s="1027">
        <v>28.1</v>
      </c>
      <c r="F4551" s="4">
        <f t="shared" si="77"/>
        <v>8.9147286821705446E-2</v>
      </c>
      <c r="G4551" s="37">
        <v>38.4</v>
      </c>
      <c r="H4551" s="1028">
        <v>45841</v>
      </c>
    </row>
    <row r="4552" spans="3:8" x14ac:dyDescent="0.25">
      <c r="C4552" s="1026">
        <v>6</v>
      </c>
      <c r="D4552" s="1026">
        <v>98</v>
      </c>
      <c r="E4552" s="1027">
        <v>40.4</v>
      </c>
      <c r="F4552" s="4">
        <f t="shared" si="77"/>
        <v>1.7632241813601908E-2</v>
      </c>
      <c r="G4552" s="37">
        <v>38.4</v>
      </c>
      <c r="H4552" s="1028">
        <v>45841</v>
      </c>
    </row>
    <row r="4553" spans="3:8" x14ac:dyDescent="0.25">
      <c r="C4553" s="1026">
        <v>7</v>
      </c>
      <c r="D4553" s="1026">
        <v>73</v>
      </c>
      <c r="E4553" s="1027">
        <v>39.299999999999997</v>
      </c>
      <c r="F4553" s="4">
        <f t="shared" si="77"/>
        <v>5.0802139037433122E-2</v>
      </c>
      <c r="G4553" s="37">
        <v>38.4</v>
      </c>
      <c r="H4553" s="1028">
        <v>45841</v>
      </c>
    </row>
    <row r="4554" spans="3:8" x14ac:dyDescent="0.25">
      <c r="C4554" s="1026">
        <v>8</v>
      </c>
      <c r="D4554" s="1026">
        <v>0</v>
      </c>
      <c r="E4554" s="1027"/>
      <c r="F4554" s="4" t="str">
        <f t="shared" si="77"/>
        <v/>
      </c>
      <c r="G4554" s="37">
        <v>38.4</v>
      </c>
      <c r="H4554" s="1028">
        <v>45841</v>
      </c>
    </row>
    <row r="4555" spans="3:8" x14ac:dyDescent="0.25">
      <c r="C4555" s="1026">
        <v>9</v>
      </c>
      <c r="D4555" s="1026">
        <v>117</v>
      </c>
      <c r="E4555" s="1027">
        <v>41.8</v>
      </c>
      <c r="F4555" s="4">
        <f t="shared" si="77"/>
        <v>3.9800995024875475E-2</v>
      </c>
      <c r="G4555" s="37">
        <v>38.4</v>
      </c>
      <c r="H4555" s="1028">
        <v>45841</v>
      </c>
    </row>
    <row r="4556" spans="3:8" x14ac:dyDescent="0.25">
      <c r="C4556" s="1026">
        <v>10</v>
      </c>
      <c r="D4556" s="1026">
        <v>120</v>
      </c>
      <c r="E4556" s="1027">
        <v>41.7</v>
      </c>
      <c r="F4556" s="4">
        <f t="shared" si="77"/>
        <v>5.037783375314861E-2</v>
      </c>
      <c r="G4556" s="37">
        <v>38.4</v>
      </c>
      <c r="H4556" s="1028">
        <v>45841</v>
      </c>
    </row>
    <row r="4557" spans="3:8" x14ac:dyDescent="0.25">
      <c r="C4557" s="1029" t="s">
        <v>0</v>
      </c>
      <c r="D4557" s="1029" t="s">
        <v>7</v>
      </c>
      <c r="E4557" s="1030" t="s">
        <v>4</v>
      </c>
      <c r="F4557" s="4" t="str">
        <f t="shared" si="77"/>
        <v/>
      </c>
      <c r="G4557" s="37">
        <v>39.5</v>
      </c>
      <c r="H4557" s="1031">
        <v>45842</v>
      </c>
    </row>
    <row r="4558" spans="3:8" x14ac:dyDescent="0.25">
      <c r="C4558" s="1029">
        <v>51</v>
      </c>
      <c r="D4558" s="1029">
        <v>29</v>
      </c>
      <c r="E4558" s="1030">
        <v>29.4</v>
      </c>
      <c r="F4558" s="4">
        <f t="shared" si="77"/>
        <v>3.1578947368421005E-2</v>
      </c>
      <c r="G4558" s="37">
        <v>39.5</v>
      </c>
      <c r="H4558" s="1031">
        <v>45842</v>
      </c>
    </row>
    <row r="4559" spans="3:8" x14ac:dyDescent="0.25">
      <c r="C4559" s="1029">
        <v>1</v>
      </c>
      <c r="D4559" s="1029">
        <v>116</v>
      </c>
      <c r="E4559" s="1030">
        <v>41.1</v>
      </c>
      <c r="F4559" s="4">
        <f t="shared" si="77"/>
        <v>-3.9719626168224199E-2</v>
      </c>
      <c r="G4559" s="37">
        <v>39.5</v>
      </c>
      <c r="H4559" s="1031">
        <v>45842</v>
      </c>
    </row>
    <row r="4560" spans="3:8" x14ac:dyDescent="0.25">
      <c r="C4560" s="1029">
        <v>2</v>
      </c>
      <c r="D4560" s="1029">
        <v>43</v>
      </c>
      <c r="E4560" s="1030">
        <v>36.1</v>
      </c>
      <c r="F4560" s="4">
        <f t="shared" si="77"/>
        <v>2.8490028490028491E-2</v>
      </c>
      <c r="G4560" s="37">
        <v>39.5</v>
      </c>
      <c r="H4560" s="1031">
        <v>45842</v>
      </c>
    </row>
    <row r="4561" spans="3:8" x14ac:dyDescent="0.25">
      <c r="C4561" s="1029">
        <v>3</v>
      </c>
      <c r="D4561" s="1029">
        <v>73</v>
      </c>
      <c r="E4561" s="1030">
        <v>36.6</v>
      </c>
      <c r="F4561" s="4">
        <f t="shared" si="77"/>
        <v>4.8710601719197791E-2</v>
      </c>
      <c r="G4561" s="37">
        <v>39.5</v>
      </c>
      <c r="H4561" s="1031">
        <v>45842</v>
      </c>
    </row>
    <row r="4562" spans="3:8" x14ac:dyDescent="0.25">
      <c r="C4562" s="1029">
        <v>4</v>
      </c>
      <c r="D4562" s="1029">
        <v>118</v>
      </c>
      <c r="E4562" s="1030">
        <v>40.299999999999997</v>
      </c>
      <c r="F4562" s="4">
        <f t="shared" si="77"/>
        <v>0.27936507936507926</v>
      </c>
      <c r="G4562" s="37">
        <v>39.5</v>
      </c>
      <c r="H4562" s="1031">
        <v>45842</v>
      </c>
    </row>
    <row r="4563" spans="3:8" x14ac:dyDescent="0.25">
      <c r="C4563" s="1029">
        <v>5</v>
      </c>
      <c r="D4563" s="1029">
        <v>79</v>
      </c>
      <c r="E4563" s="1030">
        <v>22.5</v>
      </c>
      <c r="F4563" s="4">
        <f t="shared" si="77"/>
        <v>-0.19928825622775806</v>
      </c>
      <c r="G4563" s="37">
        <v>39.5</v>
      </c>
      <c r="H4563" s="1031">
        <v>45842</v>
      </c>
    </row>
    <row r="4564" spans="3:8" x14ac:dyDescent="0.25">
      <c r="C4564" s="1029">
        <v>6</v>
      </c>
      <c r="D4564" s="1029">
        <v>99</v>
      </c>
      <c r="E4564" s="1030">
        <v>42.7</v>
      </c>
      <c r="F4564" s="4">
        <f t="shared" si="77"/>
        <v>5.6930693069307037E-2</v>
      </c>
      <c r="G4564" s="37">
        <v>39.5</v>
      </c>
      <c r="H4564" s="1031">
        <v>45842</v>
      </c>
    </row>
    <row r="4565" spans="3:8" x14ac:dyDescent="0.25">
      <c r="C4565" s="1029">
        <v>7</v>
      </c>
      <c r="D4565" s="1029">
        <v>73</v>
      </c>
      <c r="E4565" s="1030">
        <v>39.6</v>
      </c>
      <c r="F4565" s="4">
        <f t="shared" si="77"/>
        <v>7.633587786259651E-3</v>
      </c>
      <c r="G4565" s="37">
        <v>39.5</v>
      </c>
      <c r="H4565" s="1031">
        <v>45842</v>
      </c>
    </row>
    <row r="4566" spans="3:8" x14ac:dyDescent="0.25">
      <c r="C4566" s="1029">
        <v>8</v>
      </c>
      <c r="D4566" s="1029">
        <v>0</v>
      </c>
      <c r="E4566" s="1030"/>
      <c r="F4566" s="4" t="str">
        <f t="shared" si="77"/>
        <v/>
      </c>
      <c r="G4566" s="37">
        <v>39.5</v>
      </c>
      <c r="H4566" s="1031">
        <v>45842</v>
      </c>
    </row>
    <row r="4567" spans="3:8" x14ac:dyDescent="0.25">
      <c r="C4567" s="1029">
        <v>9</v>
      </c>
      <c r="D4567" s="1029">
        <v>117</v>
      </c>
      <c r="E4567" s="1030">
        <v>40.799999999999997</v>
      </c>
      <c r="F4567" s="4">
        <f t="shared" si="77"/>
        <v>-2.3923444976076555E-2</v>
      </c>
      <c r="G4567" s="37">
        <v>39.5</v>
      </c>
      <c r="H4567" s="1031">
        <v>45842</v>
      </c>
    </row>
    <row r="4568" spans="3:8" x14ac:dyDescent="0.25">
      <c r="C4568" s="1029">
        <v>10</v>
      </c>
      <c r="D4568" s="1029">
        <v>120</v>
      </c>
      <c r="E4568" s="1030">
        <v>42</v>
      </c>
      <c r="F4568" s="4">
        <f t="shared" si="77"/>
        <v>7.1942446043164777E-3</v>
      </c>
      <c r="G4568" s="37">
        <v>39.5</v>
      </c>
      <c r="H4568" s="1031">
        <v>45842</v>
      </c>
    </row>
    <row r="4569" spans="3:8" x14ac:dyDescent="0.25">
      <c r="C4569" s="1032" t="s">
        <v>0</v>
      </c>
      <c r="D4569" s="1032" t="s">
        <v>7</v>
      </c>
      <c r="E4569" s="1033" t="s">
        <v>4</v>
      </c>
      <c r="F4569" s="4" t="str">
        <f t="shared" si="77"/>
        <v/>
      </c>
      <c r="G4569" s="37">
        <v>38.6</v>
      </c>
      <c r="H4569" s="1031">
        <v>45843</v>
      </c>
    </row>
    <row r="4570" spans="3:8" x14ac:dyDescent="0.25">
      <c r="C4570" s="1032">
        <v>51</v>
      </c>
      <c r="D4570" s="1032">
        <v>29</v>
      </c>
      <c r="E4570" s="1033">
        <v>27.9</v>
      </c>
      <c r="F4570" s="4">
        <f t="shared" si="77"/>
        <v>-5.1020408163265307E-2</v>
      </c>
      <c r="G4570" s="37">
        <v>38.6</v>
      </c>
      <c r="H4570" s="1031">
        <v>45843</v>
      </c>
    </row>
    <row r="4571" spans="3:8" x14ac:dyDescent="0.25">
      <c r="C4571" s="1032">
        <v>1</v>
      </c>
      <c r="D4571" s="1032">
        <v>116</v>
      </c>
      <c r="E4571" s="1033">
        <v>42.1</v>
      </c>
      <c r="F4571" s="4">
        <f t="shared" si="77"/>
        <v>2.4330900243309E-2</v>
      </c>
      <c r="G4571" s="37">
        <v>38.6</v>
      </c>
      <c r="H4571" s="1031">
        <v>45843</v>
      </c>
    </row>
    <row r="4572" spans="3:8" x14ac:dyDescent="0.25">
      <c r="C4572" s="1032">
        <v>2</v>
      </c>
      <c r="D4572" s="1032">
        <v>43</v>
      </c>
      <c r="E4572" s="1033">
        <v>34.9</v>
      </c>
      <c r="F4572" s="4">
        <f t="shared" si="77"/>
        <v>-3.3240997229916976E-2</v>
      </c>
      <c r="G4572" s="37">
        <v>38.6</v>
      </c>
      <c r="H4572" s="1031">
        <v>45843</v>
      </c>
    </row>
    <row r="4573" spans="3:8" x14ac:dyDescent="0.25">
      <c r="C4573" s="1032">
        <v>3</v>
      </c>
      <c r="D4573" s="1032">
        <v>69</v>
      </c>
      <c r="E4573" s="1033">
        <v>35.5</v>
      </c>
      <c r="F4573" s="4">
        <f t="shared" si="77"/>
        <v>-3.0054644808743206E-2</v>
      </c>
      <c r="G4573" s="37">
        <v>38.6</v>
      </c>
      <c r="H4573" s="1031">
        <v>45843</v>
      </c>
    </row>
    <row r="4574" spans="3:8" x14ac:dyDescent="0.25">
      <c r="C4574" s="1032">
        <v>4</v>
      </c>
      <c r="D4574" s="1032">
        <v>118</v>
      </c>
      <c r="E4574" s="1033">
        <v>35.299999999999997</v>
      </c>
      <c r="F4574" s="4">
        <f t="shared" si="77"/>
        <v>-0.12406947890818859</v>
      </c>
      <c r="G4574" s="37">
        <v>38.6</v>
      </c>
      <c r="H4574" s="1031">
        <v>45843</v>
      </c>
    </row>
    <row r="4575" spans="3:8" x14ac:dyDescent="0.25">
      <c r="C4575" s="1032">
        <v>5</v>
      </c>
      <c r="D4575" s="1032">
        <v>89</v>
      </c>
      <c r="E4575" s="1033">
        <v>29.2</v>
      </c>
      <c r="F4575" s="4">
        <f t="shared" si="77"/>
        <v>0.29777777777777775</v>
      </c>
      <c r="G4575" s="37">
        <v>38.6</v>
      </c>
      <c r="H4575" s="1031">
        <v>45843</v>
      </c>
    </row>
    <row r="4576" spans="3:8" x14ac:dyDescent="0.25">
      <c r="C4576" s="1032">
        <v>6</v>
      </c>
      <c r="D4576" s="1032">
        <v>93</v>
      </c>
      <c r="E4576" s="1033">
        <v>40.4</v>
      </c>
      <c r="F4576" s="4">
        <f t="shared" si="77"/>
        <v>-5.3864168618267073E-2</v>
      </c>
      <c r="G4576" s="37">
        <v>38.6</v>
      </c>
      <c r="H4576" s="1031">
        <v>45843</v>
      </c>
    </row>
    <row r="4577" spans="3:8" x14ac:dyDescent="0.25">
      <c r="C4577" s="1032">
        <v>7</v>
      </c>
      <c r="D4577" s="1032">
        <v>73</v>
      </c>
      <c r="E4577" s="1033">
        <v>38.4</v>
      </c>
      <c r="F4577" s="4">
        <f t="shared" si="77"/>
        <v>-3.0303030303030373E-2</v>
      </c>
      <c r="G4577" s="37">
        <v>38.6</v>
      </c>
      <c r="H4577" s="1031">
        <v>45843</v>
      </c>
    </row>
    <row r="4578" spans="3:8" x14ac:dyDescent="0.25">
      <c r="C4578" s="1032">
        <v>8</v>
      </c>
      <c r="D4578" s="1032">
        <v>0</v>
      </c>
      <c r="E4578" s="1033"/>
      <c r="F4578" s="4" t="str">
        <f t="shared" si="77"/>
        <v/>
      </c>
      <c r="G4578" s="37">
        <v>38.6</v>
      </c>
      <c r="H4578" s="1031">
        <v>45843</v>
      </c>
    </row>
    <row r="4579" spans="3:8" x14ac:dyDescent="0.25">
      <c r="C4579" s="1032">
        <v>9</v>
      </c>
      <c r="D4579" s="1032">
        <v>116</v>
      </c>
      <c r="E4579" s="1033">
        <v>38.700000000000003</v>
      </c>
      <c r="F4579" s="4">
        <f t="shared" si="77"/>
        <v>-5.1470588235293983E-2</v>
      </c>
      <c r="G4579" s="37">
        <v>38.6</v>
      </c>
      <c r="H4579" s="1031">
        <v>45843</v>
      </c>
    </row>
    <row r="4580" spans="3:8" x14ac:dyDescent="0.25">
      <c r="C4580" s="1032">
        <v>10</v>
      </c>
      <c r="D4580" s="1032">
        <v>120</v>
      </c>
      <c r="E4580" s="1033">
        <v>40.700000000000003</v>
      </c>
      <c r="F4580" s="4">
        <f t="shared" si="77"/>
        <v>-3.0952380952380884E-2</v>
      </c>
      <c r="G4580" s="37">
        <v>38.6</v>
      </c>
      <c r="H4580" s="1031">
        <v>45843</v>
      </c>
    </row>
    <row r="4581" spans="3:8" x14ac:dyDescent="0.25">
      <c r="C4581" s="1034" t="s">
        <v>0</v>
      </c>
      <c r="D4581" s="1034" t="s">
        <v>7</v>
      </c>
      <c r="E4581" s="1035" t="s">
        <v>4</v>
      </c>
      <c r="F4581" s="4" t="str">
        <f t="shared" si="77"/>
        <v/>
      </c>
      <c r="G4581" s="37">
        <v>39.9</v>
      </c>
      <c r="H4581" s="1036">
        <v>45844</v>
      </c>
    </row>
    <row r="4582" spans="3:8" x14ac:dyDescent="0.25">
      <c r="C4582" s="1034">
        <v>51</v>
      </c>
      <c r="D4582" s="1034">
        <v>29</v>
      </c>
      <c r="E4582" s="1035">
        <v>29</v>
      </c>
      <c r="F4582" s="4">
        <f t="shared" si="77"/>
        <v>3.9426523297491092E-2</v>
      </c>
      <c r="G4582" s="37">
        <v>39.9</v>
      </c>
      <c r="H4582" s="1036">
        <v>45844</v>
      </c>
    </row>
    <row r="4583" spans="3:8" x14ac:dyDescent="0.25">
      <c r="C4583" s="1034">
        <v>1</v>
      </c>
      <c r="D4583" s="1034">
        <v>116</v>
      </c>
      <c r="E4583" s="1035">
        <v>30.3</v>
      </c>
      <c r="F4583" s="4">
        <f t="shared" ref="F4583:F4646" si="78">IFERROR((E4583-E4571)/E4571,"")</f>
        <v>-0.28028503562945367</v>
      </c>
      <c r="G4583" s="37">
        <v>39.9</v>
      </c>
      <c r="H4583" s="1036">
        <v>45844</v>
      </c>
    </row>
    <row r="4584" spans="3:8" x14ac:dyDescent="0.25">
      <c r="C4584" s="1034">
        <v>2</v>
      </c>
      <c r="D4584" s="1034">
        <v>43</v>
      </c>
      <c r="E4584" s="1035">
        <v>33.6</v>
      </c>
      <c r="F4584" s="4">
        <f t="shared" si="78"/>
        <v>-3.7249283667621695E-2</v>
      </c>
      <c r="G4584" s="37">
        <v>39.9</v>
      </c>
      <c r="H4584" s="1036">
        <v>45844</v>
      </c>
    </row>
    <row r="4585" spans="3:8" x14ac:dyDescent="0.25">
      <c r="C4585" s="1034">
        <v>3</v>
      </c>
      <c r="D4585" s="1034">
        <v>69</v>
      </c>
      <c r="E4585" s="1035">
        <v>34.5</v>
      </c>
      <c r="F4585" s="4">
        <f t="shared" si="78"/>
        <v>-2.8169014084507043E-2</v>
      </c>
      <c r="G4585" s="37">
        <v>39.9</v>
      </c>
      <c r="H4585" s="1036">
        <v>45844</v>
      </c>
    </row>
    <row r="4586" spans="3:8" x14ac:dyDescent="0.25">
      <c r="C4586" s="1034">
        <v>4</v>
      </c>
      <c r="D4586" s="1034">
        <v>115</v>
      </c>
      <c r="E4586" s="1035">
        <v>35.700000000000003</v>
      </c>
      <c r="F4586" s="4">
        <f t="shared" si="78"/>
        <v>1.1331444759206961E-2</v>
      </c>
      <c r="G4586" s="37">
        <v>39.9</v>
      </c>
      <c r="H4586" s="1036">
        <v>45844</v>
      </c>
    </row>
    <row r="4587" spans="3:8" x14ac:dyDescent="0.25">
      <c r="C4587" s="1034">
        <v>5</v>
      </c>
      <c r="D4587" s="1034">
        <v>89</v>
      </c>
      <c r="E4587" s="1035">
        <v>21.8</v>
      </c>
      <c r="F4587" s="4">
        <f t="shared" si="78"/>
        <v>-0.25342465753424653</v>
      </c>
      <c r="G4587" s="37">
        <v>39.9</v>
      </c>
      <c r="H4587" s="1036">
        <v>45844</v>
      </c>
    </row>
    <row r="4588" spans="3:8" x14ac:dyDescent="0.25">
      <c r="C4588" s="1034">
        <v>6</v>
      </c>
      <c r="D4588" s="1034">
        <v>93</v>
      </c>
      <c r="E4588" s="1035">
        <v>39.299999999999997</v>
      </c>
      <c r="F4588" s="4">
        <f t="shared" si="78"/>
        <v>-2.7227722772277262E-2</v>
      </c>
      <c r="G4588" s="37">
        <v>39.9</v>
      </c>
      <c r="H4588" s="1036">
        <v>45844</v>
      </c>
    </row>
    <row r="4589" spans="3:8" x14ac:dyDescent="0.25">
      <c r="C4589" s="1034">
        <v>7</v>
      </c>
      <c r="D4589" s="1034">
        <v>73</v>
      </c>
      <c r="E4589" s="1035">
        <v>30</v>
      </c>
      <c r="F4589" s="4">
        <f t="shared" si="78"/>
        <v>-0.21874999999999997</v>
      </c>
      <c r="G4589" s="37">
        <v>39.9</v>
      </c>
      <c r="H4589" s="1036">
        <v>45844</v>
      </c>
    </row>
    <row r="4590" spans="3:8" x14ac:dyDescent="0.25">
      <c r="C4590" s="1034">
        <v>8</v>
      </c>
      <c r="D4590" s="1034">
        <v>0</v>
      </c>
      <c r="E4590" s="1035"/>
      <c r="F4590" s="4" t="str">
        <f t="shared" si="78"/>
        <v/>
      </c>
      <c r="G4590" s="37">
        <v>39.9</v>
      </c>
      <c r="H4590" s="1036">
        <v>45844</v>
      </c>
    </row>
    <row r="4591" spans="3:8" x14ac:dyDescent="0.25">
      <c r="C4591" s="1034">
        <v>9</v>
      </c>
      <c r="D4591" s="1034">
        <v>117</v>
      </c>
      <c r="E4591" s="1035">
        <v>38.200000000000003</v>
      </c>
      <c r="F4591" s="4">
        <f t="shared" si="78"/>
        <v>-1.2919896640826873E-2</v>
      </c>
      <c r="G4591" s="37">
        <v>39.9</v>
      </c>
      <c r="H4591" s="1036">
        <v>45844</v>
      </c>
    </row>
    <row r="4592" spans="3:8" x14ac:dyDescent="0.25">
      <c r="C4592" s="1034">
        <v>10</v>
      </c>
      <c r="D4592" s="1034">
        <v>119</v>
      </c>
      <c r="E4592" s="1035">
        <v>39.6</v>
      </c>
      <c r="F4592" s="4">
        <f t="shared" si="78"/>
        <v>-2.702702702702706E-2</v>
      </c>
      <c r="G4592" s="37">
        <v>39.9</v>
      </c>
      <c r="H4592" s="1036">
        <v>45844</v>
      </c>
    </row>
    <row r="4593" spans="3:8" x14ac:dyDescent="0.25">
      <c r="C4593" s="1037" t="s">
        <v>0</v>
      </c>
      <c r="D4593" s="1037" t="s">
        <v>7</v>
      </c>
      <c r="E4593" s="1038" t="s">
        <v>4</v>
      </c>
      <c r="F4593" s="4" t="str">
        <f t="shared" si="78"/>
        <v/>
      </c>
      <c r="G4593" s="37">
        <v>39.4</v>
      </c>
      <c r="H4593" s="1039">
        <v>45845</v>
      </c>
    </row>
    <row r="4594" spans="3:8" x14ac:dyDescent="0.25">
      <c r="C4594" s="1037">
        <v>51</v>
      </c>
      <c r="D4594" s="1037">
        <v>31</v>
      </c>
      <c r="E4594" s="1038">
        <v>27.8</v>
      </c>
      <c r="F4594" s="4">
        <f t="shared" si="78"/>
        <v>-4.1379310344827565E-2</v>
      </c>
      <c r="G4594" s="37">
        <v>39.4</v>
      </c>
      <c r="H4594" s="1039">
        <v>45845</v>
      </c>
    </row>
    <row r="4595" spans="3:8" x14ac:dyDescent="0.25">
      <c r="C4595" s="1037">
        <v>1</v>
      </c>
      <c r="D4595" s="1037">
        <v>116</v>
      </c>
      <c r="E4595" s="1038">
        <v>42.9</v>
      </c>
      <c r="F4595" s="4">
        <f t="shared" si="78"/>
        <v>0.41584158415841577</v>
      </c>
      <c r="G4595" s="37">
        <v>39.4</v>
      </c>
      <c r="H4595" s="1039">
        <v>45845</v>
      </c>
    </row>
    <row r="4596" spans="3:8" x14ac:dyDescent="0.25">
      <c r="C4596" s="1037">
        <v>2</v>
      </c>
      <c r="D4596" s="1037">
        <v>43</v>
      </c>
      <c r="E4596" s="1038">
        <v>31.3</v>
      </c>
      <c r="F4596" s="4">
        <f t="shared" si="78"/>
        <v>-6.8452380952380973E-2</v>
      </c>
      <c r="G4596" s="37">
        <v>39.4</v>
      </c>
      <c r="H4596" s="1039">
        <v>45845</v>
      </c>
    </row>
    <row r="4597" spans="3:8" x14ac:dyDescent="0.25">
      <c r="C4597" s="1037">
        <v>3</v>
      </c>
      <c r="D4597" s="1037">
        <v>69</v>
      </c>
      <c r="E4597" s="1038">
        <v>36.700000000000003</v>
      </c>
      <c r="F4597" s="4">
        <f t="shared" si="78"/>
        <v>6.3768115942029066E-2</v>
      </c>
      <c r="G4597" s="37">
        <v>39.4</v>
      </c>
      <c r="H4597" s="1039">
        <v>45845</v>
      </c>
    </row>
    <row r="4598" spans="3:8" x14ac:dyDescent="0.25">
      <c r="C4598" s="1037">
        <v>4</v>
      </c>
      <c r="D4598" s="1037">
        <v>115</v>
      </c>
      <c r="E4598" s="1038">
        <v>37.799999999999997</v>
      </c>
      <c r="F4598" s="4">
        <f t="shared" si="78"/>
        <v>5.8823529411764539E-2</v>
      </c>
      <c r="G4598" s="37">
        <v>39.4</v>
      </c>
      <c r="H4598" s="1039">
        <v>45845</v>
      </c>
    </row>
    <row r="4599" spans="3:8" x14ac:dyDescent="0.25">
      <c r="C4599" s="1037">
        <v>5</v>
      </c>
      <c r="D4599" s="1037">
        <v>89</v>
      </c>
      <c r="E4599" s="1038">
        <v>24.5</v>
      </c>
      <c r="F4599" s="4">
        <f t="shared" si="78"/>
        <v>0.12385321100917428</v>
      </c>
      <c r="G4599" s="37">
        <v>39.4</v>
      </c>
      <c r="H4599" s="1039">
        <v>45845</v>
      </c>
    </row>
    <row r="4600" spans="3:8" x14ac:dyDescent="0.25">
      <c r="C4600" s="1037">
        <v>6</v>
      </c>
      <c r="D4600" s="1037">
        <v>94</v>
      </c>
      <c r="E4600" s="1038">
        <v>37.5</v>
      </c>
      <c r="F4600" s="4">
        <f t="shared" si="78"/>
        <v>-4.5801526717557182E-2</v>
      </c>
      <c r="G4600" s="37">
        <v>39.4</v>
      </c>
      <c r="H4600" s="1039">
        <v>45845</v>
      </c>
    </row>
    <row r="4601" spans="3:8" x14ac:dyDescent="0.25">
      <c r="C4601" s="1037">
        <v>7</v>
      </c>
      <c r="D4601" s="1037">
        <v>73</v>
      </c>
      <c r="E4601" s="1038">
        <v>36.9</v>
      </c>
      <c r="F4601" s="4">
        <f t="shared" si="78"/>
        <v>0.22999999999999995</v>
      </c>
      <c r="G4601" s="37">
        <v>39.4</v>
      </c>
      <c r="H4601" s="1039">
        <v>45845</v>
      </c>
    </row>
    <row r="4602" spans="3:8" x14ac:dyDescent="0.25">
      <c r="C4602" s="1037">
        <v>8</v>
      </c>
      <c r="D4602" s="1037">
        <v>0</v>
      </c>
      <c r="E4602" s="1038"/>
      <c r="F4602" s="4" t="str">
        <f t="shared" si="78"/>
        <v/>
      </c>
      <c r="G4602" s="37">
        <v>39.4</v>
      </c>
      <c r="H4602" s="1039">
        <v>45845</v>
      </c>
    </row>
    <row r="4603" spans="3:8" x14ac:dyDescent="0.25">
      <c r="C4603" s="1037">
        <v>9</v>
      </c>
      <c r="D4603" s="1037">
        <v>117</v>
      </c>
      <c r="E4603" s="1038">
        <v>42</v>
      </c>
      <c r="F4603" s="4">
        <f t="shared" si="78"/>
        <v>9.9476439790575841E-2</v>
      </c>
      <c r="G4603" s="37">
        <v>39.4</v>
      </c>
      <c r="H4603" s="1039">
        <v>45845</v>
      </c>
    </row>
    <row r="4604" spans="3:8" x14ac:dyDescent="0.25">
      <c r="C4604" s="1037">
        <v>10</v>
      </c>
      <c r="D4604" s="1037">
        <v>119</v>
      </c>
      <c r="E4604" s="1038">
        <v>41.8</v>
      </c>
      <c r="F4604" s="4">
        <f t="shared" si="78"/>
        <v>5.5555555555555448E-2</v>
      </c>
      <c r="G4604" s="37">
        <v>39.4</v>
      </c>
      <c r="H4604" s="1039">
        <v>45845</v>
      </c>
    </row>
    <row r="4605" spans="3:8" x14ac:dyDescent="0.25">
      <c r="C4605" s="1040" t="s">
        <v>0</v>
      </c>
      <c r="D4605" s="1040" t="s">
        <v>7</v>
      </c>
      <c r="E4605" s="1041" t="s">
        <v>4</v>
      </c>
      <c r="F4605" s="4" t="str">
        <f t="shared" si="78"/>
        <v/>
      </c>
      <c r="G4605" s="37">
        <v>38.299999999999997</v>
      </c>
      <c r="H4605" s="1039">
        <v>45846</v>
      </c>
    </row>
    <row r="4606" spans="3:8" x14ac:dyDescent="0.25">
      <c r="C4606" s="1040">
        <v>51</v>
      </c>
      <c r="D4606" s="1040">
        <v>33</v>
      </c>
      <c r="E4606" s="1041">
        <v>28.5</v>
      </c>
      <c r="F4606" s="4">
        <f t="shared" si="78"/>
        <v>2.5179856115107889E-2</v>
      </c>
      <c r="G4606" s="37">
        <v>38.299999999999997</v>
      </c>
      <c r="H4606" s="1039">
        <v>45846</v>
      </c>
    </row>
    <row r="4607" spans="3:8" x14ac:dyDescent="0.25">
      <c r="C4607" s="1040">
        <v>1</v>
      </c>
      <c r="D4607" s="1040">
        <v>117</v>
      </c>
      <c r="E4607" s="1041">
        <v>43.7</v>
      </c>
      <c r="F4607" s="4">
        <f t="shared" si="78"/>
        <v>1.8648018648018749E-2</v>
      </c>
      <c r="G4607" s="37">
        <v>38.299999999999997</v>
      </c>
      <c r="H4607" s="1039">
        <v>45846</v>
      </c>
    </row>
    <row r="4608" spans="3:8" x14ac:dyDescent="0.25">
      <c r="C4608" s="1040">
        <v>2</v>
      </c>
      <c r="D4608" s="1040">
        <v>43</v>
      </c>
      <c r="E4608" s="1041">
        <v>26.3</v>
      </c>
      <c r="F4608" s="4">
        <f t="shared" si="78"/>
        <v>-0.15974440894568689</v>
      </c>
      <c r="G4608" s="37">
        <v>38.299999999999997</v>
      </c>
      <c r="H4608" s="1039">
        <v>45846</v>
      </c>
    </row>
    <row r="4609" spans="3:8" x14ac:dyDescent="0.25">
      <c r="C4609" s="1040">
        <v>3</v>
      </c>
      <c r="D4609" s="1040">
        <v>70</v>
      </c>
      <c r="E4609" s="1041">
        <v>31.5</v>
      </c>
      <c r="F4609" s="4">
        <f t="shared" si="78"/>
        <v>-0.14168937329700279</v>
      </c>
      <c r="G4609" s="37">
        <v>38.299999999999997</v>
      </c>
      <c r="H4609" s="1039">
        <v>45846</v>
      </c>
    </row>
    <row r="4610" spans="3:8" x14ac:dyDescent="0.25">
      <c r="C4610" s="1040">
        <v>4</v>
      </c>
      <c r="D4610" s="1040">
        <v>115</v>
      </c>
      <c r="E4610" s="1041">
        <v>35.299999999999997</v>
      </c>
      <c r="F4610" s="4">
        <f t="shared" si="78"/>
        <v>-6.6137566137566148E-2</v>
      </c>
      <c r="G4610" s="37">
        <v>38.299999999999997</v>
      </c>
      <c r="H4610" s="1039">
        <v>45846</v>
      </c>
    </row>
    <row r="4611" spans="3:8" x14ac:dyDescent="0.25">
      <c r="C4611" s="1040">
        <v>5</v>
      </c>
      <c r="D4611" s="1040">
        <v>90</v>
      </c>
      <c r="E4611" s="1041">
        <v>25.7</v>
      </c>
      <c r="F4611" s="4">
        <f t="shared" si="78"/>
        <v>4.8979591836734664E-2</v>
      </c>
      <c r="G4611" s="37">
        <v>38.299999999999997</v>
      </c>
      <c r="H4611" s="1039">
        <v>45846</v>
      </c>
    </row>
    <row r="4612" spans="3:8" x14ac:dyDescent="0.25">
      <c r="C4612" s="1040">
        <v>6</v>
      </c>
      <c r="D4612" s="1040">
        <v>94</v>
      </c>
      <c r="E4612" s="1041">
        <v>37.700000000000003</v>
      </c>
      <c r="F4612" s="4">
        <f t="shared" si="78"/>
        <v>5.3333333333334095E-3</v>
      </c>
      <c r="G4612" s="37">
        <v>38.299999999999997</v>
      </c>
      <c r="H4612" s="1039">
        <v>45846</v>
      </c>
    </row>
    <row r="4613" spans="3:8" x14ac:dyDescent="0.25">
      <c r="C4613" s="1040">
        <v>7</v>
      </c>
      <c r="D4613" s="1040">
        <v>73</v>
      </c>
      <c r="E4613" s="1041">
        <v>27.9</v>
      </c>
      <c r="F4613" s="4">
        <f t="shared" si="78"/>
        <v>-0.24390243902439027</v>
      </c>
      <c r="G4613" s="37">
        <v>38.299999999999997</v>
      </c>
      <c r="H4613" s="1039">
        <v>45846</v>
      </c>
    </row>
    <row r="4614" spans="3:8" x14ac:dyDescent="0.25">
      <c r="C4614" s="1040">
        <v>8</v>
      </c>
      <c r="D4614" s="1040">
        <v>0</v>
      </c>
      <c r="E4614" s="1041"/>
      <c r="F4614" s="4" t="str">
        <f t="shared" si="78"/>
        <v/>
      </c>
      <c r="G4614" s="37">
        <v>38.299999999999997</v>
      </c>
      <c r="H4614" s="1039">
        <v>45846</v>
      </c>
    </row>
    <row r="4615" spans="3:8" x14ac:dyDescent="0.25">
      <c r="C4615" s="1040">
        <v>9</v>
      </c>
      <c r="D4615" s="1040">
        <v>117</v>
      </c>
      <c r="E4615" s="1041">
        <v>41.6</v>
      </c>
      <c r="F4615" s="4">
        <f t="shared" si="78"/>
        <v>-9.52380952380949E-3</v>
      </c>
      <c r="G4615" s="37">
        <v>38.299999999999997</v>
      </c>
      <c r="H4615" s="1039">
        <v>45846</v>
      </c>
    </row>
    <row r="4616" spans="3:8" x14ac:dyDescent="0.25">
      <c r="C4616" s="1040">
        <v>10</v>
      </c>
      <c r="D4616" s="1040">
        <v>119</v>
      </c>
      <c r="E4616" s="1041">
        <v>37.700000000000003</v>
      </c>
      <c r="F4616" s="4">
        <f t="shared" si="78"/>
        <v>-9.8086124401913749E-2</v>
      </c>
      <c r="G4616" s="37">
        <v>38.299999999999997</v>
      </c>
      <c r="H4616" s="1039">
        <v>45846</v>
      </c>
    </row>
    <row r="4617" spans="3:8" x14ac:dyDescent="0.25">
      <c r="C4617" s="1042" t="s">
        <v>0</v>
      </c>
      <c r="D4617" s="1042" t="s">
        <v>7</v>
      </c>
      <c r="E4617" s="1043" t="s">
        <v>4</v>
      </c>
      <c r="F4617" s="4" t="str">
        <f t="shared" si="78"/>
        <v/>
      </c>
      <c r="G4617" s="37">
        <v>40</v>
      </c>
      <c r="H4617" s="1044">
        <v>45847</v>
      </c>
    </row>
    <row r="4618" spans="3:8" x14ac:dyDescent="0.25">
      <c r="C4618" s="1042">
        <v>51</v>
      </c>
      <c r="D4618" s="1042">
        <v>34</v>
      </c>
      <c r="E4618" s="1043">
        <v>24.3</v>
      </c>
      <c r="F4618" s="4">
        <f t="shared" si="78"/>
        <v>-0.14736842105263157</v>
      </c>
      <c r="G4618" s="37">
        <v>40</v>
      </c>
      <c r="H4618" s="1044">
        <v>45847</v>
      </c>
    </row>
    <row r="4619" spans="3:8" x14ac:dyDescent="0.25">
      <c r="C4619" s="1042">
        <v>1</v>
      </c>
      <c r="D4619" s="1042">
        <v>117</v>
      </c>
      <c r="E4619" s="1043">
        <v>39.5</v>
      </c>
      <c r="F4619" s="4">
        <f t="shared" si="78"/>
        <v>-9.6109839816933704E-2</v>
      </c>
      <c r="G4619" s="37">
        <v>40</v>
      </c>
      <c r="H4619" s="1044">
        <v>45847</v>
      </c>
    </row>
    <row r="4620" spans="3:8" x14ac:dyDescent="0.25">
      <c r="C4620" s="1042">
        <v>2</v>
      </c>
      <c r="D4620" s="1042">
        <v>44</v>
      </c>
      <c r="E4620" s="1043">
        <v>33.1</v>
      </c>
      <c r="F4620" s="4">
        <f t="shared" si="78"/>
        <v>0.25855513307984795</v>
      </c>
      <c r="G4620" s="37">
        <v>40</v>
      </c>
      <c r="H4620" s="1044">
        <v>45847</v>
      </c>
    </row>
    <row r="4621" spans="3:8" x14ac:dyDescent="0.25">
      <c r="C4621" s="1042">
        <v>3</v>
      </c>
      <c r="D4621" s="1042">
        <v>70</v>
      </c>
      <c r="E4621" s="1043">
        <v>39.4</v>
      </c>
      <c r="F4621" s="4">
        <f t="shared" si="78"/>
        <v>0.25079365079365074</v>
      </c>
      <c r="G4621" s="37">
        <v>40</v>
      </c>
      <c r="H4621" s="1044">
        <v>45847</v>
      </c>
    </row>
    <row r="4622" spans="3:8" x14ac:dyDescent="0.25">
      <c r="C4622" s="1042">
        <v>4</v>
      </c>
      <c r="D4622" s="1042">
        <v>115</v>
      </c>
      <c r="E4622" s="1043">
        <v>35.700000000000003</v>
      </c>
      <c r="F4622" s="4">
        <f t="shared" si="78"/>
        <v>1.1331444759206961E-2</v>
      </c>
      <c r="G4622" s="37">
        <v>40</v>
      </c>
      <c r="H4622" s="1044">
        <v>45847</v>
      </c>
    </row>
    <row r="4623" spans="3:8" x14ac:dyDescent="0.25">
      <c r="C4623" s="1042">
        <v>5</v>
      </c>
      <c r="D4623" s="1042">
        <v>90</v>
      </c>
      <c r="E4623" s="1043">
        <v>29.3</v>
      </c>
      <c r="F4623" s="4">
        <f t="shared" si="78"/>
        <v>0.14007782101167321</v>
      </c>
      <c r="G4623" s="37">
        <v>40</v>
      </c>
      <c r="H4623" s="1044">
        <v>45847</v>
      </c>
    </row>
    <row r="4624" spans="3:8" x14ac:dyDescent="0.25">
      <c r="C4624" s="1042">
        <v>6</v>
      </c>
      <c r="D4624" s="1042">
        <v>95</v>
      </c>
      <c r="E4624" s="1043">
        <v>34.9</v>
      </c>
      <c r="F4624" s="4">
        <f t="shared" si="78"/>
        <v>-7.4270557029177828E-2</v>
      </c>
      <c r="G4624" s="37">
        <v>40</v>
      </c>
      <c r="H4624" s="1044">
        <v>45847</v>
      </c>
    </row>
    <row r="4625" spans="3:8" x14ac:dyDescent="0.25">
      <c r="C4625" s="1042">
        <v>7</v>
      </c>
      <c r="D4625" s="1042">
        <v>74</v>
      </c>
      <c r="E4625" s="1043">
        <v>39.700000000000003</v>
      </c>
      <c r="F4625" s="4">
        <f t="shared" si="78"/>
        <v>0.42293906810035858</v>
      </c>
      <c r="G4625" s="37">
        <v>40</v>
      </c>
      <c r="H4625" s="1044">
        <v>45847</v>
      </c>
    </row>
    <row r="4626" spans="3:8" x14ac:dyDescent="0.25">
      <c r="C4626" s="1042">
        <v>8</v>
      </c>
      <c r="D4626" s="1042">
        <v>0</v>
      </c>
      <c r="E4626" s="1043"/>
      <c r="F4626" s="4" t="str">
        <f t="shared" si="78"/>
        <v/>
      </c>
      <c r="G4626" s="37">
        <v>40</v>
      </c>
      <c r="H4626" s="1044">
        <v>45847</v>
      </c>
    </row>
    <row r="4627" spans="3:8" x14ac:dyDescent="0.25">
      <c r="C4627" s="1042">
        <v>9</v>
      </c>
      <c r="D4627" s="1042">
        <v>117</v>
      </c>
      <c r="E4627" s="1043">
        <v>40.5</v>
      </c>
      <c r="F4627" s="4">
        <f t="shared" si="78"/>
        <v>-2.6442307692307727E-2</v>
      </c>
      <c r="G4627" s="37">
        <v>40</v>
      </c>
      <c r="H4627" s="1044">
        <v>45847</v>
      </c>
    </row>
    <row r="4628" spans="3:8" x14ac:dyDescent="0.25">
      <c r="C4628" s="1042">
        <v>10</v>
      </c>
      <c r="D4628" s="1042">
        <v>119</v>
      </c>
      <c r="E4628" s="1043">
        <v>47.4</v>
      </c>
      <c r="F4628" s="4">
        <f t="shared" si="78"/>
        <v>0.25729442970822269</v>
      </c>
      <c r="G4628" s="37">
        <v>40</v>
      </c>
      <c r="H4628" s="1044">
        <v>45847</v>
      </c>
    </row>
    <row r="4629" spans="3:8" x14ac:dyDescent="0.25">
      <c r="C4629" s="1045" t="s">
        <v>0</v>
      </c>
      <c r="D4629" s="1045" t="s">
        <v>7</v>
      </c>
      <c r="E4629" s="1046" t="s">
        <v>4</v>
      </c>
      <c r="F4629" s="4" t="str">
        <f t="shared" si="78"/>
        <v/>
      </c>
      <c r="G4629" s="37">
        <v>39.700000000000003</v>
      </c>
      <c r="H4629" s="1047">
        <v>45848</v>
      </c>
    </row>
    <row r="4630" spans="3:8" x14ac:dyDescent="0.25">
      <c r="C4630" s="1045">
        <v>51</v>
      </c>
      <c r="D4630" s="1045">
        <v>36</v>
      </c>
      <c r="E4630" s="1046">
        <v>26.2</v>
      </c>
      <c r="F4630" s="4">
        <f t="shared" si="78"/>
        <v>7.8189300411522569E-2</v>
      </c>
      <c r="G4630" s="37">
        <v>39.700000000000003</v>
      </c>
      <c r="H4630" s="1047">
        <v>45848</v>
      </c>
    </row>
    <row r="4631" spans="3:8" x14ac:dyDescent="0.25">
      <c r="C4631" s="1045">
        <v>1</v>
      </c>
      <c r="D4631" s="1045">
        <v>117</v>
      </c>
      <c r="E4631" s="1046">
        <v>42.4</v>
      </c>
      <c r="F4631" s="4">
        <f t="shared" si="78"/>
        <v>7.3417721518987303E-2</v>
      </c>
      <c r="G4631" s="37">
        <v>39.700000000000003</v>
      </c>
      <c r="H4631" s="1047">
        <v>45848</v>
      </c>
    </row>
    <row r="4632" spans="3:8" x14ac:dyDescent="0.25">
      <c r="C4632" s="1045">
        <v>2</v>
      </c>
      <c r="D4632" s="1045">
        <v>43</v>
      </c>
      <c r="E4632" s="1046">
        <v>27.2</v>
      </c>
      <c r="F4632" s="4">
        <f t="shared" si="78"/>
        <v>-0.17824773413897288</v>
      </c>
      <c r="G4632" s="37">
        <v>39.700000000000003</v>
      </c>
      <c r="H4632" s="1047">
        <v>45848</v>
      </c>
    </row>
    <row r="4633" spans="3:8" x14ac:dyDescent="0.25">
      <c r="C4633" s="1045">
        <v>3</v>
      </c>
      <c r="D4633" s="1045">
        <v>71</v>
      </c>
      <c r="E4633" s="1046">
        <v>33.5</v>
      </c>
      <c r="F4633" s="4">
        <f t="shared" si="78"/>
        <v>-0.14974619289340099</v>
      </c>
      <c r="G4633" s="37">
        <v>39.700000000000003</v>
      </c>
      <c r="H4633" s="1047">
        <v>45848</v>
      </c>
    </row>
    <row r="4634" spans="3:8" x14ac:dyDescent="0.25">
      <c r="C4634" s="1045">
        <v>4</v>
      </c>
      <c r="D4634" s="1045">
        <v>115</v>
      </c>
      <c r="E4634" s="1046">
        <v>34.6</v>
      </c>
      <c r="F4634" s="4">
        <f t="shared" si="78"/>
        <v>-3.0812324929972025E-2</v>
      </c>
      <c r="G4634" s="37">
        <v>39.700000000000003</v>
      </c>
      <c r="H4634" s="1047">
        <v>45848</v>
      </c>
    </row>
    <row r="4635" spans="3:8" x14ac:dyDescent="0.25">
      <c r="C4635" s="1045">
        <v>5</v>
      </c>
      <c r="D4635" s="1045">
        <v>89</v>
      </c>
      <c r="E4635" s="1046">
        <v>26.7</v>
      </c>
      <c r="F4635" s="4">
        <f t="shared" si="78"/>
        <v>-8.8737201365187757E-2</v>
      </c>
      <c r="G4635" s="37">
        <v>39.700000000000003</v>
      </c>
      <c r="H4635" s="1047">
        <v>45848</v>
      </c>
    </row>
    <row r="4636" spans="3:8" x14ac:dyDescent="0.25">
      <c r="C4636" s="1045">
        <v>6</v>
      </c>
      <c r="D4636" s="1045">
        <v>95</v>
      </c>
      <c r="E4636" s="1046">
        <v>34.6</v>
      </c>
      <c r="F4636" s="4">
        <f t="shared" si="78"/>
        <v>-8.5959885386818671E-3</v>
      </c>
      <c r="G4636" s="37">
        <v>39.700000000000003</v>
      </c>
      <c r="H4636" s="1047">
        <v>45848</v>
      </c>
    </row>
    <row r="4637" spans="3:8" x14ac:dyDescent="0.25">
      <c r="C4637" s="1045">
        <v>7</v>
      </c>
      <c r="D4637" s="1045">
        <v>74</v>
      </c>
      <c r="E4637" s="1046">
        <v>59.1</v>
      </c>
      <c r="F4637" s="4">
        <f t="shared" si="78"/>
        <v>0.48866498740554148</v>
      </c>
      <c r="G4637" s="37">
        <v>39.700000000000003</v>
      </c>
      <c r="H4637" s="1047">
        <v>45848</v>
      </c>
    </row>
    <row r="4638" spans="3:8" x14ac:dyDescent="0.25">
      <c r="C4638" s="1045">
        <v>8</v>
      </c>
      <c r="D4638" s="1045">
        <v>0</v>
      </c>
      <c r="E4638" s="1046"/>
      <c r="F4638" s="4" t="str">
        <f t="shared" si="78"/>
        <v/>
      </c>
      <c r="G4638" s="37">
        <v>39.700000000000003</v>
      </c>
      <c r="H4638" s="1047">
        <v>45848</v>
      </c>
    </row>
    <row r="4639" spans="3:8" x14ac:dyDescent="0.25">
      <c r="C4639" s="1045">
        <v>9</v>
      </c>
      <c r="D4639" s="1045">
        <v>117</v>
      </c>
      <c r="E4639" s="1046">
        <v>47.7</v>
      </c>
      <c r="F4639" s="4">
        <f t="shared" si="78"/>
        <v>0.17777777777777784</v>
      </c>
      <c r="G4639" s="37">
        <v>39.700000000000003</v>
      </c>
      <c r="H4639" s="1047">
        <v>45848</v>
      </c>
    </row>
    <row r="4640" spans="3:8" x14ac:dyDescent="0.25">
      <c r="C4640" s="1045">
        <v>10</v>
      </c>
      <c r="D4640" s="1045">
        <v>119</v>
      </c>
      <c r="E4640" s="1046">
        <v>40.1</v>
      </c>
      <c r="F4640" s="4">
        <f t="shared" si="78"/>
        <v>-0.15400843881856535</v>
      </c>
      <c r="G4640" s="37">
        <v>39.700000000000003</v>
      </c>
      <c r="H4640" s="1047">
        <v>45848</v>
      </c>
    </row>
    <row r="4641" spans="3:8" x14ac:dyDescent="0.25">
      <c r="C4641" s="1048" t="s">
        <v>0</v>
      </c>
      <c r="D4641" s="1048" t="s">
        <v>7</v>
      </c>
      <c r="E4641" s="1049" t="s">
        <v>4</v>
      </c>
      <c r="F4641" s="4" t="str">
        <f t="shared" si="78"/>
        <v/>
      </c>
      <c r="G4641" s="37">
        <v>39</v>
      </c>
      <c r="H4641" s="1050">
        <v>45849</v>
      </c>
    </row>
    <row r="4642" spans="3:8" x14ac:dyDescent="0.25">
      <c r="C4642" s="1048">
        <v>51</v>
      </c>
      <c r="D4642" s="1048">
        <v>36</v>
      </c>
      <c r="E4642" s="1049">
        <v>25.2</v>
      </c>
      <c r="F4642" s="4">
        <f t="shared" si="78"/>
        <v>-3.8167938931297711E-2</v>
      </c>
      <c r="G4642" s="37">
        <v>39</v>
      </c>
      <c r="H4642" s="1050">
        <v>45849</v>
      </c>
    </row>
    <row r="4643" spans="3:8" x14ac:dyDescent="0.25">
      <c r="C4643" s="1048">
        <v>1</v>
      </c>
      <c r="D4643" s="1048">
        <v>117</v>
      </c>
      <c r="E4643" s="1049">
        <v>38.9</v>
      </c>
      <c r="F4643" s="4">
        <f t="shared" si="78"/>
        <v>-8.2547169811320764E-2</v>
      </c>
      <c r="G4643" s="37">
        <v>39</v>
      </c>
      <c r="H4643" s="1050">
        <v>45849</v>
      </c>
    </row>
    <row r="4644" spans="3:8" x14ac:dyDescent="0.25">
      <c r="C4644" s="1048">
        <v>2</v>
      </c>
      <c r="D4644" s="1048">
        <v>43</v>
      </c>
      <c r="E4644" s="1049">
        <v>32.6</v>
      </c>
      <c r="F4644" s="4">
        <f t="shared" si="78"/>
        <v>0.19852941176470595</v>
      </c>
      <c r="G4644" s="37">
        <v>39</v>
      </c>
      <c r="H4644" s="1050">
        <v>45849</v>
      </c>
    </row>
    <row r="4645" spans="3:8" x14ac:dyDescent="0.25">
      <c r="C4645" s="1048">
        <v>3</v>
      </c>
      <c r="D4645" s="1048">
        <v>71</v>
      </c>
      <c r="E4645" s="1049">
        <v>32.299999999999997</v>
      </c>
      <c r="F4645" s="4">
        <f t="shared" si="78"/>
        <v>-3.5820895522388145E-2</v>
      </c>
      <c r="G4645" s="37">
        <v>39</v>
      </c>
      <c r="H4645" s="1050">
        <v>45849</v>
      </c>
    </row>
    <row r="4646" spans="3:8" x14ac:dyDescent="0.25">
      <c r="C4646" s="1048">
        <v>4</v>
      </c>
      <c r="D4646" s="1048">
        <v>115</v>
      </c>
      <c r="E4646" s="1049">
        <v>34.200000000000003</v>
      </c>
      <c r="F4646" s="4">
        <f t="shared" si="78"/>
        <v>-1.1560693641618455E-2</v>
      </c>
      <c r="G4646" s="37">
        <v>39</v>
      </c>
      <c r="H4646" s="1050">
        <v>45849</v>
      </c>
    </row>
    <row r="4647" spans="3:8" x14ac:dyDescent="0.25">
      <c r="C4647" s="1048">
        <v>5</v>
      </c>
      <c r="D4647" s="1048">
        <v>81</v>
      </c>
      <c r="E4647" s="1049">
        <v>21.8</v>
      </c>
      <c r="F4647" s="4">
        <f t="shared" ref="F4647:F4710" si="79">IFERROR((E4647-E4635)/E4635,"")</f>
        <v>-0.18352059925093628</v>
      </c>
      <c r="G4647" s="37">
        <v>39</v>
      </c>
      <c r="H4647" s="1050">
        <v>45849</v>
      </c>
    </row>
    <row r="4648" spans="3:8" x14ac:dyDescent="0.25">
      <c r="C4648" s="1048">
        <v>6</v>
      </c>
      <c r="D4648" s="1048">
        <v>95</v>
      </c>
      <c r="E4648" s="1049">
        <v>40.299999999999997</v>
      </c>
      <c r="F4648" s="4">
        <f t="shared" si="79"/>
        <v>0.16473988439306345</v>
      </c>
      <c r="G4648" s="37">
        <v>39</v>
      </c>
      <c r="H4648" s="1050">
        <v>45849</v>
      </c>
    </row>
    <row r="4649" spans="3:8" x14ac:dyDescent="0.25">
      <c r="C4649" s="1048">
        <v>7</v>
      </c>
      <c r="D4649" s="1048">
        <v>74</v>
      </c>
      <c r="E4649" s="1049">
        <v>32.700000000000003</v>
      </c>
      <c r="F4649" s="4">
        <f t="shared" si="79"/>
        <v>-0.44670050761421315</v>
      </c>
      <c r="G4649" s="37">
        <v>39</v>
      </c>
      <c r="H4649" s="1050">
        <v>45849</v>
      </c>
    </row>
    <row r="4650" spans="3:8" x14ac:dyDescent="0.25">
      <c r="C4650" s="1048">
        <v>8</v>
      </c>
      <c r="D4650" s="1048">
        <v>0</v>
      </c>
      <c r="E4650" s="1049"/>
      <c r="F4650" s="4" t="str">
        <f t="shared" si="79"/>
        <v/>
      </c>
      <c r="G4650" s="37">
        <v>39</v>
      </c>
      <c r="H4650" s="1050">
        <v>45849</v>
      </c>
    </row>
    <row r="4651" spans="3:8" x14ac:dyDescent="0.25">
      <c r="C4651" s="1048">
        <v>9</v>
      </c>
      <c r="D4651" s="1048">
        <v>117</v>
      </c>
      <c r="E4651" s="1049">
        <v>38</v>
      </c>
      <c r="F4651" s="4">
        <f t="shared" si="79"/>
        <v>-0.20335429769392038</v>
      </c>
      <c r="G4651" s="37">
        <v>39</v>
      </c>
      <c r="H4651" s="1050">
        <v>45849</v>
      </c>
    </row>
    <row r="4652" spans="3:8" x14ac:dyDescent="0.25">
      <c r="C4652" s="1048">
        <v>10</v>
      </c>
      <c r="D4652" s="1048">
        <v>119</v>
      </c>
      <c r="E4652" s="1049">
        <v>40.299999999999997</v>
      </c>
      <c r="F4652" s="4">
        <f t="shared" si="79"/>
        <v>4.9875311720697186E-3</v>
      </c>
      <c r="G4652" s="37">
        <v>39</v>
      </c>
      <c r="H4652" s="1050">
        <v>45849</v>
      </c>
    </row>
    <row r="4653" spans="3:8" x14ac:dyDescent="0.25">
      <c r="C4653" s="1051" t="s">
        <v>0</v>
      </c>
      <c r="D4653" s="1051" t="s">
        <v>7</v>
      </c>
      <c r="E4653" s="1052" t="s">
        <v>4</v>
      </c>
      <c r="F4653" s="4" t="str">
        <f t="shared" si="79"/>
        <v/>
      </c>
      <c r="G4653" s="37">
        <v>41.1</v>
      </c>
      <c r="H4653" s="1050">
        <v>45850</v>
      </c>
    </row>
    <row r="4654" spans="3:8" x14ac:dyDescent="0.25">
      <c r="C4654" s="1051">
        <v>51</v>
      </c>
      <c r="D4654" s="1051">
        <v>35</v>
      </c>
      <c r="E4654" s="1052">
        <v>25.6</v>
      </c>
      <c r="F4654" s="4">
        <f t="shared" si="79"/>
        <v>1.5873015873015959E-2</v>
      </c>
      <c r="G4654" s="37">
        <v>41.1</v>
      </c>
      <c r="H4654" s="1050">
        <v>45850</v>
      </c>
    </row>
    <row r="4655" spans="3:8" x14ac:dyDescent="0.25">
      <c r="C4655" s="1051">
        <v>1</v>
      </c>
      <c r="D4655" s="1051">
        <v>117</v>
      </c>
      <c r="E4655" s="1052">
        <v>37.200000000000003</v>
      </c>
      <c r="F4655" s="4">
        <f t="shared" si="79"/>
        <v>-4.3701799485861073E-2</v>
      </c>
      <c r="G4655" s="37">
        <v>41.1</v>
      </c>
      <c r="H4655" s="1050">
        <v>45850</v>
      </c>
    </row>
    <row r="4656" spans="3:8" x14ac:dyDescent="0.25">
      <c r="C4656" s="1051">
        <v>2</v>
      </c>
      <c r="D4656" s="1051">
        <v>43</v>
      </c>
      <c r="E4656" s="1052">
        <v>32.9</v>
      </c>
      <c r="F4656" s="4">
        <f t="shared" si="79"/>
        <v>9.2024539877299735E-3</v>
      </c>
      <c r="G4656" s="37">
        <v>41.1</v>
      </c>
      <c r="H4656" s="1050">
        <v>45850</v>
      </c>
    </row>
    <row r="4657" spans="3:8" x14ac:dyDescent="0.25">
      <c r="C4657" s="1051">
        <v>3</v>
      </c>
      <c r="D4657" s="1051">
        <v>71</v>
      </c>
      <c r="E4657" s="1052">
        <v>31.8</v>
      </c>
      <c r="F4657" s="4">
        <f t="shared" si="79"/>
        <v>-1.5479876160990603E-2</v>
      </c>
      <c r="G4657" s="37">
        <v>41.1</v>
      </c>
      <c r="H4657" s="1050">
        <v>45850</v>
      </c>
    </row>
    <row r="4658" spans="3:8" x14ac:dyDescent="0.25">
      <c r="C4658" s="1051">
        <v>4</v>
      </c>
      <c r="D4658" s="1051">
        <v>115</v>
      </c>
      <c r="E4658" s="1052">
        <v>49.4</v>
      </c>
      <c r="F4658" s="4">
        <f t="shared" si="79"/>
        <v>0.44444444444444431</v>
      </c>
      <c r="G4658" s="37">
        <v>41.1</v>
      </c>
      <c r="H4658" s="1050">
        <v>45850</v>
      </c>
    </row>
    <row r="4659" spans="3:8" x14ac:dyDescent="0.25">
      <c r="C4659" s="1051">
        <v>5</v>
      </c>
      <c r="D4659" s="1051">
        <v>81</v>
      </c>
      <c r="E4659" s="1052">
        <v>28.1</v>
      </c>
      <c r="F4659" s="4">
        <f t="shared" si="79"/>
        <v>0.28899082568807344</v>
      </c>
      <c r="G4659" s="37">
        <v>41.1</v>
      </c>
      <c r="H4659" s="1050">
        <v>45850</v>
      </c>
    </row>
    <row r="4660" spans="3:8" x14ac:dyDescent="0.25">
      <c r="C4660" s="1051">
        <v>6</v>
      </c>
      <c r="D4660" s="1051">
        <v>95</v>
      </c>
      <c r="E4660" s="1052">
        <v>39.700000000000003</v>
      </c>
      <c r="F4660" s="4">
        <f t="shared" si="79"/>
        <v>-1.488833746898249E-2</v>
      </c>
      <c r="G4660" s="37">
        <v>41.1</v>
      </c>
      <c r="H4660" s="1050">
        <v>45850</v>
      </c>
    </row>
    <row r="4661" spans="3:8" x14ac:dyDescent="0.25">
      <c r="C4661" s="1051">
        <v>7</v>
      </c>
      <c r="D4661" s="1051">
        <v>74</v>
      </c>
      <c r="E4661" s="1052">
        <v>37.6</v>
      </c>
      <c r="F4661" s="4">
        <f t="shared" si="79"/>
        <v>0.14984709480122319</v>
      </c>
      <c r="G4661" s="37">
        <v>41.1</v>
      </c>
      <c r="H4661" s="1050">
        <v>45850</v>
      </c>
    </row>
    <row r="4662" spans="3:8" x14ac:dyDescent="0.25">
      <c r="C4662" s="1051">
        <v>8</v>
      </c>
      <c r="D4662" s="1051">
        <v>0</v>
      </c>
      <c r="E4662" s="1052"/>
      <c r="F4662" s="4" t="str">
        <f t="shared" si="79"/>
        <v/>
      </c>
      <c r="G4662" s="37">
        <v>41.1</v>
      </c>
      <c r="H4662" s="1050">
        <v>45850</v>
      </c>
    </row>
    <row r="4663" spans="3:8" x14ac:dyDescent="0.25">
      <c r="C4663" s="1051">
        <v>9</v>
      </c>
      <c r="D4663" s="1051">
        <v>117</v>
      </c>
      <c r="E4663" s="1052">
        <v>42.3</v>
      </c>
      <c r="F4663" s="4">
        <f t="shared" si="79"/>
        <v>0.11315789473684203</v>
      </c>
      <c r="G4663" s="37">
        <v>41.1</v>
      </c>
      <c r="H4663" s="1050">
        <v>45850</v>
      </c>
    </row>
    <row r="4664" spans="3:8" x14ac:dyDescent="0.25">
      <c r="C4664" s="1051">
        <v>10</v>
      </c>
      <c r="D4664" s="1051">
        <v>118</v>
      </c>
      <c r="E4664" s="1052">
        <v>37.9</v>
      </c>
      <c r="F4664" s="4">
        <f t="shared" si="79"/>
        <v>-5.9553349875930493E-2</v>
      </c>
      <c r="G4664" s="37">
        <v>41.1</v>
      </c>
      <c r="H4664" s="1050">
        <v>45850</v>
      </c>
    </row>
    <row r="4665" spans="3:8" x14ac:dyDescent="0.25">
      <c r="C4665" s="1053" t="s">
        <v>0</v>
      </c>
      <c r="D4665" s="1053" t="s">
        <v>7</v>
      </c>
      <c r="E4665" s="1054" t="s">
        <v>4</v>
      </c>
      <c r="F4665" s="4" t="str">
        <f t="shared" si="79"/>
        <v/>
      </c>
      <c r="G4665" s="37">
        <v>40.6</v>
      </c>
      <c r="H4665" s="1055">
        <v>45851</v>
      </c>
    </row>
    <row r="4666" spans="3:8" x14ac:dyDescent="0.25">
      <c r="C4666" s="1053">
        <v>51</v>
      </c>
      <c r="D4666" s="1053">
        <v>35</v>
      </c>
      <c r="E4666" s="1054">
        <v>25.3</v>
      </c>
      <c r="F4666" s="4">
        <f t="shared" si="79"/>
        <v>-1.1718750000000028E-2</v>
      </c>
      <c r="G4666" s="37">
        <v>40.6</v>
      </c>
      <c r="H4666" s="1055">
        <v>45851</v>
      </c>
    </row>
    <row r="4667" spans="3:8" x14ac:dyDescent="0.25">
      <c r="C4667" s="1053">
        <v>1</v>
      </c>
      <c r="D4667" s="1053">
        <v>117</v>
      </c>
      <c r="E4667" s="1054">
        <v>39</v>
      </c>
      <c r="F4667" s="4">
        <f t="shared" si="79"/>
        <v>4.8387096774193471E-2</v>
      </c>
      <c r="G4667" s="37">
        <v>40.6</v>
      </c>
      <c r="H4667" s="1055">
        <v>45851</v>
      </c>
    </row>
    <row r="4668" spans="3:8" x14ac:dyDescent="0.25">
      <c r="C4668" s="1053">
        <v>2</v>
      </c>
      <c r="D4668" s="1053">
        <v>49</v>
      </c>
      <c r="E4668" s="1054">
        <v>34.700000000000003</v>
      </c>
      <c r="F4668" s="4">
        <f t="shared" si="79"/>
        <v>5.4711246200608035E-2</v>
      </c>
      <c r="G4668" s="37">
        <v>40.6</v>
      </c>
      <c r="H4668" s="1055">
        <v>45851</v>
      </c>
    </row>
    <row r="4669" spans="3:8" x14ac:dyDescent="0.25">
      <c r="C4669" s="1053">
        <v>3</v>
      </c>
      <c r="D4669" s="1053">
        <v>71</v>
      </c>
      <c r="E4669" s="1054">
        <v>36.4</v>
      </c>
      <c r="F4669" s="4">
        <f t="shared" si="79"/>
        <v>0.14465408805031441</v>
      </c>
      <c r="G4669" s="37">
        <v>40.6</v>
      </c>
      <c r="H4669" s="1055">
        <v>45851</v>
      </c>
    </row>
    <row r="4670" spans="3:8" x14ac:dyDescent="0.25">
      <c r="C4670" s="1053">
        <v>4</v>
      </c>
      <c r="D4670" s="1053">
        <v>115</v>
      </c>
      <c r="E4670" s="1054">
        <v>36.700000000000003</v>
      </c>
      <c r="F4670" s="4">
        <f t="shared" si="79"/>
        <v>-0.25708502024291491</v>
      </c>
      <c r="G4670" s="37">
        <v>40.6</v>
      </c>
      <c r="H4670" s="1055">
        <v>45851</v>
      </c>
    </row>
    <row r="4671" spans="3:8" x14ac:dyDescent="0.25">
      <c r="C4671" s="1053">
        <v>5</v>
      </c>
      <c r="D4671" s="1053">
        <v>81</v>
      </c>
      <c r="E4671" s="1054">
        <v>24.9</v>
      </c>
      <c r="F4671" s="4">
        <f t="shared" si="79"/>
        <v>-0.11387900355871895</v>
      </c>
      <c r="G4671" s="37">
        <v>40.6</v>
      </c>
      <c r="H4671" s="1055">
        <v>45851</v>
      </c>
    </row>
    <row r="4672" spans="3:8" x14ac:dyDescent="0.25">
      <c r="C4672" s="1053">
        <v>6</v>
      </c>
      <c r="D4672" s="1053">
        <v>89</v>
      </c>
      <c r="E4672" s="1054">
        <v>35.9</v>
      </c>
      <c r="F4672" s="4">
        <f t="shared" si="79"/>
        <v>-9.5717884130982464E-2</v>
      </c>
      <c r="G4672" s="37">
        <v>40.6</v>
      </c>
      <c r="H4672" s="1055">
        <v>45851</v>
      </c>
    </row>
    <row r="4673" spans="3:8" x14ac:dyDescent="0.25">
      <c r="C4673" s="1053">
        <v>7</v>
      </c>
      <c r="D4673" s="1053">
        <v>74</v>
      </c>
      <c r="E4673" s="1054">
        <v>39.799999999999997</v>
      </c>
      <c r="F4673" s="4">
        <f t="shared" si="79"/>
        <v>5.8510638297872224E-2</v>
      </c>
      <c r="G4673" s="37">
        <v>40.6</v>
      </c>
      <c r="H4673" s="1055">
        <v>45851</v>
      </c>
    </row>
    <row r="4674" spans="3:8" x14ac:dyDescent="0.25">
      <c r="C4674" s="1053">
        <v>8</v>
      </c>
      <c r="D4674" s="1053">
        <v>0</v>
      </c>
      <c r="E4674" s="1054"/>
      <c r="F4674" s="4" t="str">
        <f t="shared" si="79"/>
        <v/>
      </c>
      <c r="G4674" s="37">
        <v>40.6</v>
      </c>
      <c r="H4674" s="1055">
        <v>45851</v>
      </c>
    </row>
    <row r="4675" spans="3:8" x14ac:dyDescent="0.25">
      <c r="C4675" s="1053">
        <v>9</v>
      </c>
      <c r="D4675" s="1053">
        <v>117</v>
      </c>
      <c r="E4675" s="1054">
        <v>50.8</v>
      </c>
      <c r="F4675" s="4">
        <f t="shared" si="79"/>
        <v>0.20094562647754138</v>
      </c>
      <c r="G4675" s="37">
        <v>40.6</v>
      </c>
      <c r="H4675" s="1055">
        <v>45851</v>
      </c>
    </row>
    <row r="4676" spans="3:8" x14ac:dyDescent="0.25">
      <c r="C4676" s="1053">
        <v>10</v>
      </c>
      <c r="D4676" s="1053">
        <v>118</v>
      </c>
      <c r="E4676" s="1054">
        <v>43.4</v>
      </c>
      <c r="F4676" s="4">
        <f t="shared" si="79"/>
        <v>0.14511873350923482</v>
      </c>
      <c r="G4676" s="37">
        <v>40.6</v>
      </c>
      <c r="H4676" s="1055">
        <v>45851</v>
      </c>
    </row>
    <row r="4677" spans="3:8" x14ac:dyDescent="0.25">
      <c r="C4677" s="1056" t="s">
        <v>0</v>
      </c>
      <c r="D4677" s="1056" t="s">
        <v>7</v>
      </c>
      <c r="E4677" s="1057" t="s">
        <v>4</v>
      </c>
      <c r="F4677" s="4" t="str">
        <f t="shared" si="79"/>
        <v/>
      </c>
      <c r="G4677" s="37">
        <v>39.200000000000003</v>
      </c>
      <c r="H4677" s="1058">
        <v>45852</v>
      </c>
    </row>
    <row r="4678" spans="3:8" x14ac:dyDescent="0.25">
      <c r="C4678" s="1056">
        <v>51</v>
      </c>
      <c r="D4678" s="1056">
        <v>40</v>
      </c>
      <c r="E4678" s="1057">
        <v>28.3</v>
      </c>
      <c r="F4678" s="4">
        <f t="shared" si="79"/>
        <v>0.11857707509881422</v>
      </c>
      <c r="G4678" s="37">
        <v>39.200000000000003</v>
      </c>
      <c r="H4678" s="1058">
        <v>45852</v>
      </c>
    </row>
    <row r="4679" spans="3:8" x14ac:dyDescent="0.25">
      <c r="C4679" s="1056">
        <v>1</v>
      </c>
      <c r="D4679" s="1056">
        <v>116</v>
      </c>
      <c r="E4679" s="1057">
        <v>44.2</v>
      </c>
      <c r="F4679" s="4">
        <f t="shared" si="79"/>
        <v>0.13333333333333341</v>
      </c>
      <c r="G4679" s="37">
        <v>39.200000000000003</v>
      </c>
      <c r="H4679" s="1058">
        <v>45852</v>
      </c>
    </row>
    <row r="4680" spans="3:8" x14ac:dyDescent="0.25">
      <c r="C4680" s="1056">
        <v>2</v>
      </c>
      <c r="D4680" s="1056">
        <v>49</v>
      </c>
      <c r="E4680" s="1057">
        <v>36</v>
      </c>
      <c r="F4680" s="4">
        <f t="shared" si="79"/>
        <v>3.7463976945244871E-2</v>
      </c>
      <c r="G4680" s="37">
        <v>39.200000000000003</v>
      </c>
      <c r="H4680" s="1058">
        <v>45852</v>
      </c>
    </row>
    <row r="4681" spans="3:8" x14ac:dyDescent="0.25">
      <c r="C4681" s="1056">
        <v>3</v>
      </c>
      <c r="D4681" s="1056">
        <v>71</v>
      </c>
      <c r="E4681" s="1057">
        <v>33.799999999999997</v>
      </c>
      <c r="F4681" s="4">
        <f t="shared" si="79"/>
        <v>-7.1428571428571466E-2</v>
      </c>
      <c r="G4681" s="37">
        <v>39.200000000000003</v>
      </c>
      <c r="H4681" s="1058">
        <v>45852</v>
      </c>
    </row>
    <row r="4682" spans="3:8" x14ac:dyDescent="0.25">
      <c r="C4682" s="1056">
        <v>4</v>
      </c>
      <c r="D4682" s="1056">
        <v>114</v>
      </c>
      <c r="E4682" s="1057">
        <v>36.6</v>
      </c>
      <c r="F4682" s="4">
        <f t="shared" si="79"/>
        <v>-2.724795640327014E-3</v>
      </c>
      <c r="G4682" s="37">
        <v>39.200000000000003</v>
      </c>
      <c r="H4682" s="1058">
        <v>45852</v>
      </c>
    </row>
    <row r="4683" spans="3:8" x14ac:dyDescent="0.25">
      <c r="C4683" s="1056">
        <v>5</v>
      </c>
      <c r="D4683" s="1056">
        <v>81</v>
      </c>
      <c r="E4683" s="1057">
        <v>27.1</v>
      </c>
      <c r="F4683" s="4">
        <f t="shared" si="79"/>
        <v>8.8353413654618587E-2</v>
      </c>
      <c r="G4683" s="37">
        <v>39.200000000000003</v>
      </c>
      <c r="H4683" s="1058">
        <v>45852</v>
      </c>
    </row>
    <row r="4684" spans="3:8" x14ac:dyDescent="0.25">
      <c r="C4684" s="1056">
        <v>6</v>
      </c>
      <c r="D4684" s="1056">
        <v>90</v>
      </c>
      <c r="E4684" s="1057">
        <v>33.299999999999997</v>
      </c>
      <c r="F4684" s="4">
        <f t="shared" si="79"/>
        <v>-7.2423398328690852E-2</v>
      </c>
      <c r="G4684" s="37">
        <v>39.200000000000003</v>
      </c>
      <c r="H4684" s="1058">
        <v>45852</v>
      </c>
    </row>
    <row r="4685" spans="3:8" x14ac:dyDescent="0.25">
      <c r="C4685" s="1056">
        <v>7</v>
      </c>
      <c r="D4685" s="1056">
        <v>74</v>
      </c>
      <c r="E4685" s="1057">
        <v>39.700000000000003</v>
      </c>
      <c r="F4685" s="4">
        <f t="shared" si="79"/>
        <v>-2.5125628140702091E-3</v>
      </c>
      <c r="G4685" s="37">
        <v>39.200000000000003</v>
      </c>
      <c r="H4685" s="1058">
        <v>45852</v>
      </c>
    </row>
    <row r="4686" spans="3:8" x14ac:dyDescent="0.25">
      <c r="C4686" s="1056">
        <v>8</v>
      </c>
      <c r="D4686" s="1056">
        <v>0</v>
      </c>
      <c r="E4686" s="1057"/>
      <c r="F4686" s="4" t="str">
        <f t="shared" si="79"/>
        <v/>
      </c>
      <c r="G4686" s="37">
        <v>39.200000000000003</v>
      </c>
      <c r="H4686" s="1058">
        <v>45852</v>
      </c>
    </row>
    <row r="4687" spans="3:8" x14ac:dyDescent="0.25">
      <c r="C4687" s="1056">
        <v>9</v>
      </c>
      <c r="D4687" s="1056">
        <v>115</v>
      </c>
      <c r="E4687" s="1057">
        <v>37.6</v>
      </c>
      <c r="F4687" s="4">
        <f t="shared" si="79"/>
        <v>-0.2598425196850393</v>
      </c>
      <c r="G4687" s="37">
        <v>39.200000000000003</v>
      </c>
      <c r="H4687" s="1058">
        <v>45852</v>
      </c>
    </row>
    <row r="4688" spans="3:8" x14ac:dyDescent="0.25">
      <c r="C4688" s="1056">
        <v>10</v>
      </c>
      <c r="D4688" s="1056">
        <v>117</v>
      </c>
      <c r="E4688" s="1057">
        <v>42.4</v>
      </c>
      <c r="F4688" s="4">
        <f t="shared" si="79"/>
        <v>-2.3041474654377881E-2</v>
      </c>
      <c r="G4688" s="37">
        <v>39.200000000000003</v>
      </c>
      <c r="H4688" s="1058">
        <v>45852</v>
      </c>
    </row>
    <row r="4689" spans="3:8" x14ac:dyDescent="0.25">
      <c r="C4689" s="1059" t="s">
        <v>0</v>
      </c>
      <c r="D4689" s="1059" t="s">
        <v>7</v>
      </c>
      <c r="E4689" s="1060" t="s">
        <v>4</v>
      </c>
      <c r="F4689" s="4" t="str">
        <f t="shared" si="79"/>
        <v/>
      </c>
      <c r="G4689" s="37">
        <v>39.5</v>
      </c>
      <c r="H4689" s="1061">
        <v>45853</v>
      </c>
    </row>
    <row r="4690" spans="3:8" x14ac:dyDescent="0.25">
      <c r="C4690" s="1059">
        <v>51</v>
      </c>
      <c r="D4690" s="1059">
        <v>39</v>
      </c>
      <c r="E4690" s="1060">
        <v>27.9</v>
      </c>
      <c r="F4690" s="4">
        <f t="shared" si="79"/>
        <v>-1.4134275618374633E-2</v>
      </c>
      <c r="G4690" s="37">
        <v>39.5</v>
      </c>
      <c r="H4690" s="1061">
        <v>45853</v>
      </c>
    </row>
    <row r="4691" spans="3:8" x14ac:dyDescent="0.25">
      <c r="C4691" s="1059">
        <v>1</v>
      </c>
      <c r="D4691" s="1059">
        <v>116</v>
      </c>
      <c r="E4691" s="1060">
        <v>37.4</v>
      </c>
      <c r="F4691" s="4">
        <f t="shared" si="79"/>
        <v>-0.15384615384615394</v>
      </c>
      <c r="G4691" s="37">
        <v>39.5</v>
      </c>
      <c r="H4691" s="1061">
        <v>45853</v>
      </c>
    </row>
    <row r="4692" spans="3:8" x14ac:dyDescent="0.25">
      <c r="C4692" s="1059">
        <v>2</v>
      </c>
      <c r="D4692" s="1059">
        <v>49</v>
      </c>
      <c r="E4692" s="1060">
        <v>32.200000000000003</v>
      </c>
      <c r="F4692" s="4">
        <f t="shared" si="79"/>
        <v>-0.10555555555555547</v>
      </c>
      <c r="G4692" s="37">
        <v>39.5</v>
      </c>
      <c r="H4692" s="1061">
        <v>45853</v>
      </c>
    </row>
    <row r="4693" spans="3:8" x14ac:dyDescent="0.25">
      <c r="C4693" s="1059">
        <v>3</v>
      </c>
      <c r="D4693" s="1059">
        <v>71</v>
      </c>
      <c r="E4693" s="1060">
        <v>30.9</v>
      </c>
      <c r="F4693" s="4">
        <f t="shared" si="79"/>
        <v>-8.5798816568047304E-2</v>
      </c>
      <c r="G4693" s="37">
        <v>39.5</v>
      </c>
      <c r="H4693" s="1061">
        <v>45853</v>
      </c>
    </row>
    <row r="4694" spans="3:8" x14ac:dyDescent="0.25">
      <c r="C4694" s="1059">
        <v>4</v>
      </c>
      <c r="D4694" s="1059">
        <v>114</v>
      </c>
      <c r="E4694" s="1060">
        <v>40.700000000000003</v>
      </c>
      <c r="F4694" s="4">
        <f t="shared" si="79"/>
        <v>0.11202185792349731</v>
      </c>
      <c r="G4694" s="37">
        <v>39.5</v>
      </c>
      <c r="H4694" s="1061">
        <v>45853</v>
      </c>
    </row>
    <row r="4695" spans="3:8" x14ac:dyDescent="0.25">
      <c r="C4695" s="1059">
        <v>5</v>
      </c>
      <c r="D4695" s="1059">
        <v>80</v>
      </c>
      <c r="E4695" s="1060">
        <v>27.4</v>
      </c>
      <c r="F4695" s="4">
        <f t="shared" si="79"/>
        <v>1.1070110701106906E-2</v>
      </c>
      <c r="G4695" s="37">
        <v>39.5</v>
      </c>
      <c r="H4695" s="1061">
        <v>45853</v>
      </c>
    </row>
    <row r="4696" spans="3:8" x14ac:dyDescent="0.25">
      <c r="C4696" s="1059">
        <v>6</v>
      </c>
      <c r="D4696" s="1059">
        <v>89</v>
      </c>
      <c r="E4696" s="1060">
        <v>39.4</v>
      </c>
      <c r="F4696" s="4">
        <f t="shared" si="79"/>
        <v>0.18318318318318325</v>
      </c>
      <c r="G4696" s="37">
        <v>39.5</v>
      </c>
      <c r="H4696" s="1061">
        <v>45853</v>
      </c>
    </row>
    <row r="4697" spans="3:8" x14ac:dyDescent="0.25">
      <c r="C4697" s="1059">
        <v>7</v>
      </c>
      <c r="D4697" s="1059">
        <v>74</v>
      </c>
      <c r="E4697" s="1060">
        <v>35.299999999999997</v>
      </c>
      <c r="F4697" s="4">
        <f t="shared" si="79"/>
        <v>-0.11083123425692709</v>
      </c>
      <c r="G4697" s="37">
        <v>39.5</v>
      </c>
      <c r="H4697" s="1061">
        <v>45853</v>
      </c>
    </row>
    <row r="4698" spans="3:8" x14ac:dyDescent="0.25">
      <c r="C4698" s="1059">
        <v>8</v>
      </c>
      <c r="D4698" s="1059">
        <v>0</v>
      </c>
      <c r="E4698" s="1060"/>
      <c r="F4698" s="4" t="str">
        <f t="shared" si="79"/>
        <v/>
      </c>
      <c r="G4698" s="37">
        <v>39.5</v>
      </c>
      <c r="H4698" s="1061">
        <v>45853</v>
      </c>
    </row>
    <row r="4699" spans="3:8" x14ac:dyDescent="0.25">
      <c r="C4699" s="1059">
        <v>9</v>
      </c>
      <c r="D4699" s="1059">
        <v>115</v>
      </c>
      <c r="E4699" s="1060">
        <v>42.9</v>
      </c>
      <c r="F4699" s="4">
        <f t="shared" si="79"/>
        <v>0.14095744680851055</v>
      </c>
      <c r="G4699" s="37">
        <v>39.5</v>
      </c>
      <c r="H4699" s="1061">
        <v>45853</v>
      </c>
    </row>
    <row r="4700" spans="3:8" x14ac:dyDescent="0.25">
      <c r="C4700" s="1059">
        <v>10</v>
      </c>
      <c r="D4700" s="1059">
        <v>117</v>
      </c>
      <c r="E4700" s="1060">
        <v>38.4</v>
      </c>
      <c r="F4700" s="4">
        <f t="shared" si="79"/>
        <v>-9.4339622641509441E-2</v>
      </c>
      <c r="G4700" s="37">
        <v>39.5</v>
      </c>
      <c r="H4700" s="1061">
        <v>45853</v>
      </c>
    </row>
    <row r="4701" spans="3:8" x14ac:dyDescent="0.25">
      <c r="C4701" s="1062" t="s">
        <v>0</v>
      </c>
      <c r="D4701" s="1062" t="s">
        <v>7</v>
      </c>
      <c r="E4701" s="1063" t="s">
        <v>4</v>
      </c>
      <c r="F4701" s="4" t="str">
        <f t="shared" si="79"/>
        <v/>
      </c>
      <c r="G4701" s="37">
        <v>40.4</v>
      </c>
      <c r="H4701" s="1064">
        <v>45854</v>
      </c>
    </row>
    <row r="4702" spans="3:8" x14ac:dyDescent="0.25">
      <c r="C4702" s="1062">
        <v>51</v>
      </c>
      <c r="D4702" s="1062">
        <v>33</v>
      </c>
      <c r="E4702" s="1063">
        <v>33.200000000000003</v>
      </c>
      <c r="F4702" s="4">
        <f t="shared" si="79"/>
        <v>0.18996415770609335</v>
      </c>
      <c r="G4702" s="37">
        <v>40.4</v>
      </c>
      <c r="H4702" s="1064">
        <v>45854</v>
      </c>
    </row>
    <row r="4703" spans="3:8" x14ac:dyDescent="0.25">
      <c r="C4703" s="1062">
        <v>1</v>
      </c>
      <c r="D4703" s="1062">
        <v>116</v>
      </c>
      <c r="E4703" s="1063">
        <v>39.799999999999997</v>
      </c>
      <c r="F4703" s="4">
        <f t="shared" si="79"/>
        <v>6.4171122994652371E-2</v>
      </c>
      <c r="G4703" s="37">
        <v>40.4</v>
      </c>
      <c r="H4703" s="1064">
        <v>45854</v>
      </c>
    </row>
    <row r="4704" spans="3:8" x14ac:dyDescent="0.25">
      <c r="C4704" s="1062">
        <v>2</v>
      </c>
      <c r="D4704" s="1062">
        <v>49</v>
      </c>
      <c r="E4704" s="1063">
        <v>35.5</v>
      </c>
      <c r="F4704" s="4">
        <f t="shared" si="79"/>
        <v>0.10248447204968934</v>
      </c>
      <c r="G4704" s="37">
        <v>40.4</v>
      </c>
      <c r="H4704" s="1064">
        <v>45854</v>
      </c>
    </row>
    <row r="4705" spans="3:8" x14ac:dyDescent="0.25">
      <c r="C4705" s="1062">
        <v>3</v>
      </c>
      <c r="D4705" s="1062">
        <v>72</v>
      </c>
      <c r="E4705" s="1063">
        <v>36.200000000000003</v>
      </c>
      <c r="F4705" s="4">
        <f t="shared" si="79"/>
        <v>0.17152103559870566</v>
      </c>
      <c r="G4705" s="37">
        <v>40.4</v>
      </c>
      <c r="H4705" s="1064">
        <v>45854</v>
      </c>
    </row>
    <row r="4706" spans="3:8" x14ac:dyDescent="0.25">
      <c r="C4706" s="1062">
        <v>4</v>
      </c>
      <c r="D4706" s="1062">
        <v>114</v>
      </c>
      <c r="E4706" s="1063">
        <v>43.1</v>
      </c>
      <c r="F4706" s="4">
        <f t="shared" si="79"/>
        <v>5.8968058968058928E-2</v>
      </c>
      <c r="G4706" s="37">
        <v>40.4</v>
      </c>
      <c r="H4706" s="1064">
        <v>45854</v>
      </c>
    </row>
    <row r="4707" spans="3:8" x14ac:dyDescent="0.25">
      <c r="C4707" s="1062">
        <v>5</v>
      </c>
      <c r="D4707" s="1062">
        <v>79</v>
      </c>
      <c r="E4707" s="1063">
        <v>28.5</v>
      </c>
      <c r="F4707" s="4">
        <f t="shared" si="79"/>
        <v>4.0145985401459909E-2</v>
      </c>
      <c r="G4707" s="37">
        <v>40.4</v>
      </c>
      <c r="H4707" s="1064">
        <v>45854</v>
      </c>
    </row>
    <row r="4708" spans="3:8" x14ac:dyDescent="0.25">
      <c r="C4708" s="1062">
        <v>6</v>
      </c>
      <c r="D4708" s="1062">
        <v>97</v>
      </c>
      <c r="E4708" s="1063">
        <v>40</v>
      </c>
      <c r="F4708" s="4">
        <f t="shared" si="79"/>
        <v>1.5228426395939123E-2</v>
      </c>
      <c r="G4708" s="37">
        <v>40.4</v>
      </c>
      <c r="H4708" s="1064">
        <v>45854</v>
      </c>
    </row>
    <row r="4709" spans="3:8" x14ac:dyDescent="0.25">
      <c r="C4709" s="1062">
        <v>7</v>
      </c>
      <c r="D4709" s="1062">
        <v>74</v>
      </c>
      <c r="E4709" s="1063">
        <v>38.799999999999997</v>
      </c>
      <c r="F4709" s="4">
        <f t="shared" si="79"/>
        <v>9.9150141643059492E-2</v>
      </c>
      <c r="G4709" s="37">
        <v>40.4</v>
      </c>
      <c r="H4709" s="1064">
        <v>45854</v>
      </c>
    </row>
    <row r="4710" spans="3:8" x14ac:dyDescent="0.25">
      <c r="C4710" s="1062">
        <v>8</v>
      </c>
      <c r="D4710" s="1062">
        <v>0</v>
      </c>
      <c r="E4710" s="1063"/>
      <c r="F4710" s="4" t="str">
        <f t="shared" si="79"/>
        <v/>
      </c>
      <c r="G4710" s="37">
        <v>40.4</v>
      </c>
      <c r="H4710" s="1064">
        <v>45854</v>
      </c>
    </row>
    <row r="4711" spans="3:8" x14ac:dyDescent="0.25">
      <c r="C4711" s="1062">
        <v>9</v>
      </c>
      <c r="D4711" s="1062">
        <v>115</v>
      </c>
      <c r="E4711" s="1063">
        <v>40.200000000000003</v>
      </c>
      <c r="F4711" s="4">
        <f t="shared" ref="F4711:F4774" si="80">IFERROR((E4711-E4699)/E4699,"")</f>
        <v>-6.2937062937062846E-2</v>
      </c>
      <c r="G4711" s="37">
        <v>40.4</v>
      </c>
      <c r="H4711" s="1064">
        <v>45854</v>
      </c>
    </row>
    <row r="4712" spans="3:8" x14ac:dyDescent="0.25">
      <c r="C4712" s="1062">
        <v>10</v>
      </c>
      <c r="D4712" s="1062">
        <v>117</v>
      </c>
      <c r="E4712" s="1063">
        <v>42.3</v>
      </c>
      <c r="F4712" s="4">
        <f t="shared" si="80"/>
        <v>0.10156249999999997</v>
      </c>
      <c r="G4712" s="37">
        <v>40.4</v>
      </c>
      <c r="H4712" s="1064">
        <v>45854</v>
      </c>
    </row>
    <row r="4713" spans="3:8" x14ac:dyDescent="0.25">
      <c r="C4713" s="1065" t="s">
        <v>0</v>
      </c>
      <c r="D4713" s="1065" t="s">
        <v>7</v>
      </c>
      <c r="E4713" s="1066" t="s">
        <v>4</v>
      </c>
      <c r="F4713" s="4" t="str">
        <f t="shared" si="80"/>
        <v/>
      </c>
      <c r="G4713" s="37">
        <v>40.9</v>
      </c>
      <c r="H4713" s="1067">
        <v>45855</v>
      </c>
    </row>
    <row r="4714" spans="3:8" x14ac:dyDescent="0.25">
      <c r="C4714" s="1065">
        <v>51</v>
      </c>
      <c r="D4714" s="1065">
        <v>32</v>
      </c>
      <c r="E4714" s="1066">
        <v>30.1</v>
      </c>
      <c r="F4714" s="4">
        <f t="shared" si="80"/>
        <v>-9.3373493975903651E-2</v>
      </c>
      <c r="G4714" s="37">
        <v>40.9</v>
      </c>
      <c r="H4714" s="1067">
        <v>45855</v>
      </c>
    </row>
    <row r="4715" spans="3:8" x14ac:dyDescent="0.25">
      <c r="C4715" s="1065">
        <v>1</v>
      </c>
      <c r="D4715" s="1065">
        <v>116</v>
      </c>
      <c r="E4715" s="1066">
        <v>33.9</v>
      </c>
      <c r="F4715" s="4">
        <f t="shared" si="80"/>
        <v>-0.14824120603015073</v>
      </c>
      <c r="G4715" s="37">
        <v>40.9</v>
      </c>
      <c r="H4715" s="1067">
        <v>45855</v>
      </c>
    </row>
    <row r="4716" spans="3:8" x14ac:dyDescent="0.25">
      <c r="C4716" s="1065">
        <v>2</v>
      </c>
      <c r="D4716" s="1065">
        <v>46</v>
      </c>
      <c r="E4716" s="1066">
        <v>25.9</v>
      </c>
      <c r="F4716" s="4">
        <f t="shared" si="80"/>
        <v>-0.27042253521126763</v>
      </c>
      <c r="G4716" s="37">
        <v>40.9</v>
      </c>
      <c r="H4716" s="1067">
        <v>45855</v>
      </c>
    </row>
    <row r="4717" spans="3:8" x14ac:dyDescent="0.25">
      <c r="C4717" s="1065">
        <v>3</v>
      </c>
      <c r="D4717" s="1065">
        <v>72</v>
      </c>
      <c r="E4717" s="1066">
        <v>43.7</v>
      </c>
      <c r="F4717" s="4">
        <f t="shared" si="80"/>
        <v>0.20718232044198892</v>
      </c>
      <c r="G4717" s="37">
        <v>40.9</v>
      </c>
      <c r="H4717" s="1067">
        <v>45855</v>
      </c>
    </row>
    <row r="4718" spans="3:8" x14ac:dyDescent="0.25">
      <c r="C4718" s="1065">
        <v>4</v>
      </c>
      <c r="D4718" s="1065">
        <v>114</v>
      </c>
      <c r="E4718" s="1066">
        <v>38.700000000000003</v>
      </c>
      <c r="F4718" s="4">
        <f t="shared" si="80"/>
        <v>-0.10208816705336424</v>
      </c>
      <c r="G4718" s="37">
        <v>40.9</v>
      </c>
      <c r="H4718" s="1067">
        <v>45855</v>
      </c>
    </row>
    <row r="4719" spans="3:8" x14ac:dyDescent="0.25">
      <c r="C4719" s="1065">
        <v>5</v>
      </c>
      <c r="D4719" s="1065">
        <v>81</v>
      </c>
      <c r="E4719" s="1066">
        <v>24.7</v>
      </c>
      <c r="F4719" s="4">
        <f t="shared" si="80"/>
        <v>-0.13333333333333336</v>
      </c>
      <c r="G4719" s="37">
        <v>40.9</v>
      </c>
      <c r="H4719" s="1067">
        <v>45855</v>
      </c>
    </row>
    <row r="4720" spans="3:8" x14ac:dyDescent="0.25">
      <c r="C4720" s="1065">
        <v>6</v>
      </c>
      <c r="D4720" s="1065">
        <v>98</v>
      </c>
      <c r="E4720" s="1066">
        <v>33.200000000000003</v>
      </c>
      <c r="F4720" s="4">
        <f t="shared" si="80"/>
        <v>-0.16999999999999993</v>
      </c>
      <c r="G4720" s="37">
        <v>40.9</v>
      </c>
      <c r="H4720" s="1067">
        <v>45855</v>
      </c>
    </row>
    <row r="4721" spans="3:8" x14ac:dyDescent="0.25">
      <c r="C4721" s="1065">
        <v>7</v>
      </c>
      <c r="D4721" s="1065">
        <v>74</v>
      </c>
      <c r="E4721" s="1066">
        <v>39.4</v>
      </c>
      <c r="F4721" s="4">
        <f t="shared" si="80"/>
        <v>1.5463917525773233E-2</v>
      </c>
      <c r="G4721" s="37">
        <v>40.9</v>
      </c>
      <c r="H4721" s="1067">
        <v>45855</v>
      </c>
    </row>
    <row r="4722" spans="3:8" x14ac:dyDescent="0.25">
      <c r="C4722" s="1065">
        <v>8</v>
      </c>
      <c r="D4722" s="1065">
        <v>0</v>
      </c>
      <c r="E4722" s="1066"/>
      <c r="F4722" s="4" t="str">
        <f t="shared" si="80"/>
        <v/>
      </c>
      <c r="G4722" s="37">
        <v>40.9</v>
      </c>
      <c r="H4722" s="1067">
        <v>45855</v>
      </c>
    </row>
    <row r="4723" spans="3:8" x14ac:dyDescent="0.25">
      <c r="C4723" s="1065">
        <v>9</v>
      </c>
      <c r="D4723" s="1065">
        <v>115</v>
      </c>
      <c r="E4723" s="1066">
        <v>36.9</v>
      </c>
      <c r="F4723" s="4">
        <f t="shared" si="80"/>
        <v>-8.2089552238806068E-2</v>
      </c>
      <c r="G4723" s="37">
        <v>40.9</v>
      </c>
      <c r="H4723" s="1067">
        <v>45855</v>
      </c>
    </row>
    <row r="4724" spans="3:8" x14ac:dyDescent="0.25">
      <c r="C4724" s="1065">
        <v>10</v>
      </c>
      <c r="D4724" s="1065">
        <v>116</v>
      </c>
      <c r="E4724" s="1066">
        <v>35.200000000000003</v>
      </c>
      <c r="F4724" s="4">
        <f t="shared" si="80"/>
        <v>-0.16784869976359326</v>
      </c>
      <c r="G4724" s="37">
        <v>40.9</v>
      </c>
      <c r="H4724" s="1067">
        <v>45855</v>
      </c>
    </row>
    <row r="4725" spans="3:8" x14ac:dyDescent="0.25">
      <c r="C4725" s="1068" t="s">
        <v>0</v>
      </c>
      <c r="D4725" s="1068" t="s">
        <v>7</v>
      </c>
      <c r="E4725" s="1069" t="s">
        <v>4</v>
      </c>
      <c r="F4725" s="4" t="str">
        <f t="shared" si="80"/>
        <v/>
      </c>
      <c r="G4725" s="37">
        <v>40.799999999999997</v>
      </c>
      <c r="H4725" s="1070">
        <v>45856</v>
      </c>
    </row>
    <row r="4726" spans="3:8" x14ac:dyDescent="0.25">
      <c r="C4726" s="1068">
        <v>51</v>
      </c>
      <c r="D4726" s="1068">
        <v>36</v>
      </c>
      <c r="E4726" s="1069">
        <v>31.9</v>
      </c>
      <c r="F4726" s="4">
        <f t="shared" si="80"/>
        <v>5.9800664451827149E-2</v>
      </c>
      <c r="G4726" s="37">
        <v>40.799999999999997</v>
      </c>
      <c r="H4726" s="1070">
        <v>45856</v>
      </c>
    </row>
    <row r="4727" spans="3:8" x14ac:dyDescent="0.25">
      <c r="C4727" s="1068">
        <v>1</v>
      </c>
      <c r="D4727" s="1068">
        <v>116</v>
      </c>
      <c r="E4727" s="1069">
        <v>40.4</v>
      </c>
      <c r="F4727" s="4">
        <f t="shared" si="80"/>
        <v>0.19174041297935104</v>
      </c>
      <c r="G4727" s="37">
        <v>40.799999999999997</v>
      </c>
      <c r="H4727" s="1070">
        <v>45856</v>
      </c>
    </row>
    <row r="4728" spans="3:8" x14ac:dyDescent="0.25">
      <c r="C4728" s="1068">
        <v>2</v>
      </c>
      <c r="D4728" s="1068">
        <v>46</v>
      </c>
      <c r="E4728" s="1069">
        <v>30.6</v>
      </c>
      <c r="F4728" s="4">
        <f t="shared" si="80"/>
        <v>0.18146718146718158</v>
      </c>
      <c r="G4728" s="37">
        <v>40.799999999999997</v>
      </c>
      <c r="H4728" s="1070">
        <v>45856</v>
      </c>
    </row>
    <row r="4729" spans="3:8" x14ac:dyDescent="0.25">
      <c r="C4729" s="1068">
        <v>3</v>
      </c>
      <c r="D4729" s="1068">
        <v>72</v>
      </c>
      <c r="E4729" s="1069">
        <v>35.5</v>
      </c>
      <c r="F4729" s="4">
        <f t="shared" si="80"/>
        <v>-0.18764302059496574</v>
      </c>
      <c r="G4729" s="37">
        <v>40.799999999999997</v>
      </c>
      <c r="H4729" s="1070">
        <v>45856</v>
      </c>
    </row>
    <row r="4730" spans="3:8" x14ac:dyDescent="0.25">
      <c r="C4730" s="1068">
        <v>4</v>
      </c>
      <c r="D4730" s="1068">
        <v>114</v>
      </c>
      <c r="E4730" s="1069">
        <v>38.5</v>
      </c>
      <c r="F4730" s="4">
        <f t="shared" si="80"/>
        <v>-5.1679586563308224E-3</v>
      </c>
      <c r="G4730" s="37">
        <v>40.799999999999997</v>
      </c>
      <c r="H4730" s="1070">
        <v>45856</v>
      </c>
    </row>
    <row r="4731" spans="3:8" x14ac:dyDescent="0.25">
      <c r="C4731" s="1068">
        <v>5</v>
      </c>
      <c r="D4731" s="1068">
        <v>78</v>
      </c>
      <c r="E4731" s="1069">
        <v>29.5</v>
      </c>
      <c r="F4731" s="4">
        <f t="shared" si="80"/>
        <v>0.19433198380566805</v>
      </c>
      <c r="G4731" s="37">
        <v>40.799999999999997</v>
      </c>
      <c r="H4731" s="1070">
        <v>45856</v>
      </c>
    </row>
    <row r="4732" spans="3:8" x14ac:dyDescent="0.25">
      <c r="C4732" s="1068">
        <v>6</v>
      </c>
      <c r="D4732" s="1068">
        <v>96</v>
      </c>
      <c r="E4732" s="1069">
        <v>38.700000000000003</v>
      </c>
      <c r="F4732" s="4">
        <f t="shared" si="80"/>
        <v>0.16566265060240962</v>
      </c>
      <c r="G4732" s="37">
        <v>40.799999999999997</v>
      </c>
      <c r="H4732" s="1070">
        <v>45856</v>
      </c>
    </row>
    <row r="4733" spans="3:8" x14ac:dyDescent="0.25">
      <c r="C4733" s="1068">
        <v>7</v>
      </c>
      <c r="D4733" s="1068">
        <v>74</v>
      </c>
      <c r="E4733" s="1069">
        <v>47.6</v>
      </c>
      <c r="F4733" s="4">
        <f t="shared" si="80"/>
        <v>0.20812182741116758</v>
      </c>
      <c r="G4733" s="37">
        <v>40.799999999999997</v>
      </c>
      <c r="H4733" s="1070">
        <v>45856</v>
      </c>
    </row>
    <row r="4734" spans="3:8" x14ac:dyDescent="0.25">
      <c r="C4734" s="1068">
        <v>8</v>
      </c>
      <c r="D4734" s="1068">
        <v>0</v>
      </c>
      <c r="E4734" s="1069"/>
      <c r="F4734" s="4" t="str">
        <f t="shared" si="80"/>
        <v/>
      </c>
      <c r="G4734" s="37">
        <v>40.799999999999997</v>
      </c>
      <c r="H4734" s="1070">
        <v>45856</v>
      </c>
    </row>
    <row r="4735" spans="3:8" x14ac:dyDescent="0.25">
      <c r="C4735" s="1068">
        <v>9</v>
      </c>
      <c r="D4735" s="1068">
        <v>115</v>
      </c>
      <c r="E4735" s="1069">
        <v>43</v>
      </c>
      <c r="F4735" s="4">
        <f t="shared" si="80"/>
        <v>0.1653116531165312</v>
      </c>
      <c r="G4735" s="37">
        <v>40.799999999999997</v>
      </c>
      <c r="H4735" s="1070">
        <v>45856</v>
      </c>
    </row>
    <row r="4736" spans="3:8" x14ac:dyDescent="0.25">
      <c r="C4736" s="1068">
        <v>10</v>
      </c>
      <c r="D4736" s="1068">
        <v>115</v>
      </c>
      <c r="E4736" s="1069">
        <v>44.3</v>
      </c>
      <c r="F4736" s="4">
        <f t="shared" si="80"/>
        <v>0.25852272727272707</v>
      </c>
      <c r="G4736" s="37">
        <v>40.799999999999997</v>
      </c>
      <c r="H4736" s="1070">
        <v>45856</v>
      </c>
    </row>
    <row r="4737" spans="3:8" x14ac:dyDescent="0.25">
      <c r="C4737" s="1071" t="s">
        <v>0</v>
      </c>
      <c r="D4737" s="1071" t="s">
        <v>7</v>
      </c>
      <c r="E4737" s="1072" t="s">
        <v>4</v>
      </c>
      <c r="F4737" s="4" t="str">
        <f t="shared" si="80"/>
        <v/>
      </c>
      <c r="G4737" s="37">
        <v>43.9</v>
      </c>
      <c r="H4737" s="1070">
        <v>45857</v>
      </c>
    </row>
    <row r="4738" spans="3:8" x14ac:dyDescent="0.25">
      <c r="C4738" s="1071">
        <v>51</v>
      </c>
      <c r="D4738" s="1071">
        <v>36</v>
      </c>
      <c r="E4738" s="1072">
        <v>28.4</v>
      </c>
      <c r="F4738" s="4">
        <f t="shared" si="80"/>
        <v>-0.109717868338558</v>
      </c>
      <c r="G4738" s="37">
        <v>43.9</v>
      </c>
      <c r="H4738" s="1070">
        <v>45857</v>
      </c>
    </row>
    <row r="4739" spans="3:8" x14ac:dyDescent="0.25">
      <c r="C4739" s="1071">
        <v>1</v>
      </c>
      <c r="D4739" s="1071">
        <v>116</v>
      </c>
      <c r="E4739" s="1072">
        <v>42.1</v>
      </c>
      <c r="F4739" s="4">
        <f t="shared" si="80"/>
        <v>4.2079207920792151E-2</v>
      </c>
      <c r="G4739" s="37">
        <v>43.9</v>
      </c>
      <c r="H4739" s="1070">
        <v>45857</v>
      </c>
    </row>
    <row r="4740" spans="3:8" x14ac:dyDescent="0.25">
      <c r="C4740" s="1071">
        <v>2</v>
      </c>
      <c r="D4740" s="1071">
        <v>47</v>
      </c>
      <c r="E4740" s="1072">
        <v>35.1</v>
      </c>
      <c r="F4740" s="4">
        <f t="shared" si="80"/>
        <v>0.14705882352941177</v>
      </c>
      <c r="G4740" s="37">
        <v>43.9</v>
      </c>
      <c r="H4740" s="1070">
        <v>45857</v>
      </c>
    </row>
    <row r="4741" spans="3:8" x14ac:dyDescent="0.25">
      <c r="C4741" s="1071">
        <v>3</v>
      </c>
      <c r="D4741" s="1071">
        <v>68</v>
      </c>
      <c r="E4741" s="1072">
        <v>36.5</v>
      </c>
      <c r="F4741" s="4">
        <f t="shared" si="80"/>
        <v>2.8169014084507043E-2</v>
      </c>
      <c r="G4741" s="37">
        <v>43.9</v>
      </c>
      <c r="H4741" s="1070">
        <v>45857</v>
      </c>
    </row>
    <row r="4742" spans="3:8" x14ac:dyDescent="0.25">
      <c r="C4742" s="1071">
        <v>4</v>
      </c>
      <c r="D4742" s="1071">
        <v>114</v>
      </c>
      <c r="E4742" s="1072">
        <v>43.4</v>
      </c>
      <c r="F4742" s="4">
        <f t="shared" si="80"/>
        <v>0.12727272727272723</v>
      </c>
      <c r="G4742" s="37">
        <v>43.9</v>
      </c>
      <c r="H4742" s="1070">
        <v>45857</v>
      </c>
    </row>
    <row r="4743" spans="3:8" x14ac:dyDescent="0.25">
      <c r="C4743" s="1071">
        <v>5</v>
      </c>
      <c r="D4743" s="1071">
        <v>86</v>
      </c>
      <c r="E4743" s="1072">
        <v>25.1</v>
      </c>
      <c r="F4743" s="4">
        <f t="shared" si="80"/>
        <v>-0.14915254237288131</v>
      </c>
      <c r="G4743" s="37">
        <v>43.9</v>
      </c>
      <c r="H4743" s="1070">
        <v>45857</v>
      </c>
    </row>
    <row r="4744" spans="3:8" x14ac:dyDescent="0.25">
      <c r="C4744" s="1071">
        <v>6</v>
      </c>
      <c r="D4744" s="1071">
        <v>91</v>
      </c>
      <c r="E4744" s="1072">
        <v>38.299999999999997</v>
      </c>
      <c r="F4744" s="4">
        <f t="shared" si="80"/>
        <v>-1.0335917312661645E-2</v>
      </c>
      <c r="G4744" s="37">
        <v>43.9</v>
      </c>
      <c r="H4744" s="1070">
        <v>45857</v>
      </c>
    </row>
    <row r="4745" spans="3:8" x14ac:dyDescent="0.25">
      <c r="C4745" s="1071">
        <v>7</v>
      </c>
      <c r="D4745" s="1071">
        <v>74</v>
      </c>
      <c r="E4745" s="1072">
        <v>48.7</v>
      </c>
      <c r="F4745" s="4">
        <f t="shared" si="80"/>
        <v>2.3109243697479021E-2</v>
      </c>
      <c r="G4745" s="37">
        <v>43.9</v>
      </c>
      <c r="H4745" s="1070">
        <v>45857</v>
      </c>
    </row>
    <row r="4746" spans="3:8" x14ac:dyDescent="0.25">
      <c r="C4746" s="1071">
        <v>8</v>
      </c>
      <c r="D4746" s="1071">
        <v>0</v>
      </c>
      <c r="E4746" s="1072"/>
      <c r="F4746" s="4" t="str">
        <f t="shared" si="80"/>
        <v/>
      </c>
      <c r="G4746" s="37">
        <v>43.9</v>
      </c>
      <c r="H4746" s="1070">
        <v>45857</v>
      </c>
    </row>
    <row r="4747" spans="3:8" x14ac:dyDescent="0.25">
      <c r="C4747" s="1071">
        <v>9</v>
      </c>
      <c r="D4747" s="1071">
        <v>115</v>
      </c>
      <c r="E4747" s="1072">
        <v>51</v>
      </c>
      <c r="F4747" s="4">
        <f t="shared" si="80"/>
        <v>0.18604651162790697</v>
      </c>
      <c r="G4747" s="37">
        <v>43.9</v>
      </c>
      <c r="H4747" s="1070">
        <v>45857</v>
      </c>
    </row>
    <row r="4748" spans="3:8" x14ac:dyDescent="0.25">
      <c r="C4748" s="1071">
        <v>10</v>
      </c>
      <c r="D4748" s="1071">
        <v>115</v>
      </c>
      <c r="E4748" s="1072">
        <v>44.2</v>
      </c>
      <c r="F4748" s="4">
        <f t="shared" si="80"/>
        <v>-2.257336343114996E-3</v>
      </c>
      <c r="G4748" s="37">
        <v>43.9</v>
      </c>
      <c r="H4748" s="1070">
        <v>45857</v>
      </c>
    </row>
    <row r="4749" spans="3:8" x14ac:dyDescent="0.25">
      <c r="C4749" s="1073" t="s">
        <v>0</v>
      </c>
      <c r="D4749" s="1073" t="s">
        <v>7</v>
      </c>
      <c r="E4749" s="1074" t="s">
        <v>4</v>
      </c>
      <c r="F4749" s="4" t="str">
        <f t="shared" si="80"/>
        <v/>
      </c>
      <c r="G4749" s="37">
        <v>41.7</v>
      </c>
      <c r="H4749" s="1075">
        <v>45858</v>
      </c>
    </row>
    <row r="4750" spans="3:8" x14ac:dyDescent="0.25">
      <c r="C4750" s="1073">
        <v>51</v>
      </c>
      <c r="D4750" s="1073">
        <v>42</v>
      </c>
      <c r="E4750" s="1074">
        <v>25.7</v>
      </c>
      <c r="F4750" s="4">
        <f t="shared" si="80"/>
        <v>-9.5070422535211252E-2</v>
      </c>
      <c r="G4750" s="37">
        <v>41.7</v>
      </c>
      <c r="H4750" s="1075">
        <v>45858</v>
      </c>
    </row>
    <row r="4751" spans="3:8" x14ac:dyDescent="0.25">
      <c r="C4751" s="1073">
        <v>1</v>
      </c>
      <c r="D4751" s="1073">
        <v>117</v>
      </c>
      <c r="E4751" s="1074">
        <v>46.2</v>
      </c>
      <c r="F4751" s="4">
        <f t="shared" si="80"/>
        <v>9.7387173396674617E-2</v>
      </c>
      <c r="G4751" s="37">
        <v>41.7</v>
      </c>
      <c r="H4751" s="1075">
        <v>45858</v>
      </c>
    </row>
    <row r="4752" spans="3:8" x14ac:dyDescent="0.25">
      <c r="C4752" s="1073">
        <v>2</v>
      </c>
      <c r="D4752" s="1073">
        <v>47</v>
      </c>
      <c r="E4752" s="1074">
        <v>34.299999999999997</v>
      </c>
      <c r="F4752" s="4">
        <f t="shared" si="80"/>
        <v>-2.2792022792022911E-2</v>
      </c>
      <c r="G4752" s="37">
        <v>41.7</v>
      </c>
      <c r="H4752" s="1075">
        <v>45858</v>
      </c>
    </row>
    <row r="4753" spans="3:8" x14ac:dyDescent="0.25">
      <c r="C4753" s="1073">
        <v>3</v>
      </c>
      <c r="D4753" s="1073">
        <v>68</v>
      </c>
      <c r="E4753" s="1074">
        <v>27.7</v>
      </c>
      <c r="F4753" s="4">
        <f t="shared" si="80"/>
        <v>-0.24109589041095891</v>
      </c>
      <c r="G4753" s="37">
        <v>41.7</v>
      </c>
      <c r="H4753" s="1075">
        <v>45858</v>
      </c>
    </row>
    <row r="4754" spans="3:8" x14ac:dyDescent="0.25">
      <c r="C4754" s="1073">
        <v>4</v>
      </c>
      <c r="D4754" s="1073">
        <v>114</v>
      </c>
      <c r="E4754" s="1074">
        <v>35.1</v>
      </c>
      <c r="F4754" s="4">
        <f t="shared" si="80"/>
        <v>-0.19124423963133635</v>
      </c>
      <c r="G4754" s="37">
        <v>41.7</v>
      </c>
      <c r="H4754" s="1075">
        <v>45858</v>
      </c>
    </row>
    <row r="4755" spans="3:8" x14ac:dyDescent="0.25">
      <c r="C4755" s="1073">
        <v>5</v>
      </c>
      <c r="D4755" s="1073">
        <v>85</v>
      </c>
      <c r="E4755" s="1074">
        <v>24.5</v>
      </c>
      <c r="F4755" s="4">
        <f t="shared" si="80"/>
        <v>-2.3904382470119577E-2</v>
      </c>
      <c r="G4755" s="37">
        <v>41.7</v>
      </c>
      <c r="H4755" s="1075">
        <v>45858</v>
      </c>
    </row>
    <row r="4756" spans="3:8" x14ac:dyDescent="0.25">
      <c r="C4756" s="1073">
        <v>6</v>
      </c>
      <c r="D4756" s="1073">
        <v>91</v>
      </c>
      <c r="E4756" s="1074">
        <v>37</v>
      </c>
      <c r="F4756" s="4">
        <f t="shared" si="80"/>
        <v>-3.3942558746736219E-2</v>
      </c>
      <c r="G4756" s="37">
        <v>41.7</v>
      </c>
      <c r="H4756" s="1075">
        <v>45858</v>
      </c>
    </row>
    <row r="4757" spans="3:8" x14ac:dyDescent="0.25">
      <c r="C4757" s="1073">
        <v>7</v>
      </c>
      <c r="D4757" s="1073">
        <v>74</v>
      </c>
      <c r="E4757" s="1074">
        <v>28.5</v>
      </c>
      <c r="F4757" s="4">
        <f t="shared" si="80"/>
        <v>-0.41478439425051339</v>
      </c>
      <c r="G4757" s="37">
        <v>41.7</v>
      </c>
      <c r="H4757" s="1075">
        <v>45858</v>
      </c>
    </row>
    <row r="4758" spans="3:8" x14ac:dyDescent="0.25">
      <c r="C4758" s="1073">
        <v>8</v>
      </c>
      <c r="D4758" s="1073">
        <v>0</v>
      </c>
      <c r="E4758" s="1074"/>
      <c r="F4758" s="4" t="str">
        <f t="shared" si="80"/>
        <v/>
      </c>
      <c r="G4758" s="37">
        <v>41.7</v>
      </c>
      <c r="H4758" s="1075">
        <v>45858</v>
      </c>
    </row>
    <row r="4759" spans="3:8" x14ac:dyDescent="0.25">
      <c r="C4759" s="1073">
        <v>9</v>
      </c>
      <c r="D4759" s="1073">
        <v>115</v>
      </c>
      <c r="E4759" s="1074">
        <v>38.4</v>
      </c>
      <c r="F4759" s="4">
        <f t="shared" si="80"/>
        <v>-0.2470588235294118</v>
      </c>
      <c r="G4759" s="37">
        <v>41.7</v>
      </c>
      <c r="H4759" s="1075">
        <v>45858</v>
      </c>
    </row>
    <row r="4760" spans="3:8" x14ac:dyDescent="0.25">
      <c r="C4760" s="1073">
        <v>10</v>
      </c>
      <c r="D4760" s="1073">
        <v>115</v>
      </c>
      <c r="E4760" s="1074">
        <v>38.1</v>
      </c>
      <c r="F4760" s="4">
        <f t="shared" si="80"/>
        <v>-0.13800904977375569</v>
      </c>
      <c r="G4760" s="37">
        <v>41.7</v>
      </c>
      <c r="H4760" s="1075">
        <v>45858</v>
      </c>
    </row>
    <row r="4761" spans="3:8" x14ac:dyDescent="0.25">
      <c r="C4761" s="1076" t="s">
        <v>0</v>
      </c>
      <c r="D4761" s="1076" t="s">
        <v>7</v>
      </c>
      <c r="E4761" s="1077" t="s">
        <v>4</v>
      </c>
      <c r="F4761" s="4" t="str">
        <f t="shared" si="80"/>
        <v/>
      </c>
      <c r="G4761" s="37">
        <v>39.9</v>
      </c>
      <c r="H4761" s="1078">
        <v>45859</v>
      </c>
    </row>
    <row r="4762" spans="3:8" x14ac:dyDescent="0.25">
      <c r="C4762" s="1076">
        <v>51</v>
      </c>
      <c r="D4762" s="1076">
        <v>34</v>
      </c>
      <c r="E4762" s="1077">
        <v>29</v>
      </c>
      <c r="F4762" s="4">
        <f t="shared" si="80"/>
        <v>0.12840466926070043</v>
      </c>
      <c r="G4762" s="37">
        <v>39.9</v>
      </c>
      <c r="H4762" s="1078">
        <v>45859</v>
      </c>
    </row>
    <row r="4763" spans="3:8" x14ac:dyDescent="0.25">
      <c r="C4763" s="1076">
        <v>1</v>
      </c>
      <c r="D4763" s="1076">
        <v>118</v>
      </c>
      <c r="E4763" s="1077">
        <v>30.3</v>
      </c>
      <c r="F4763" s="4">
        <f t="shared" si="80"/>
        <v>-0.34415584415584416</v>
      </c>
      <c r="G4763" s="37">
        <v>39.9</v>
      </c>
      <c r="H4763" s="1078">
        <v>45859</v>
      </c>
    </row>
    <row r="4764" spans="3:8" x14ac:dyDescent="0.25">
      <c r="C4764" s="1076">
        <v>2</v>
      </c>
      <c r="D4764" s="1076">
        <v>47</v>
      </c>
      <c r="E4764" s="1077">
        <v>33.6</v>
      </c>
      <c r="F4764" s="4">
        <f t="shared" si="80"/>
        <v>-2.0408163265305999E-2</v>
      </c>
      <c r="G4764" s="37">
        <v>39.9</v>
      </c>
      <c r="H4764" s="1078">
        <v>45859</v>
      </c>
    </row>
    <row r="4765" spans="3:8" x14ac:dyDescent="0.25">
      <c r="C4765" s="1076">
        <v>3</v>
      </c>
      <c r="D4765" s="1076">
        <v>69</v>
      </c>
      <c r="E4765" s="1077">
        <v>34.5</v>
      </c>
      <c r="F4765" s="4">
        <f t="shared" si="80"/>
        <v>0.24548736462093865</v>
      </c>
      <c r="G4765" s="37">
        <v>39.9</v>
      </c>
      <c r="H4765" s="1078">
        <v>45859</v>
      </c>
    </row>
    <row r="4766" spans="3:8" x14ac:dyDescent="0.25">
      <c r="C4766" s="1076">
        <v>4</v>
      </c>
      <c r="D4766" s="1076">
        <v>116</v>
      </c>
      <c r="E4766" s="1077">
        <v>35.700000000000003</v>
      </c>
      <c r="F4766" s="4">
        <f t="shared" si="80"/>
        <v>1.7094017094017134E-2</v>
      </c>
      <c r="G4766" s="37">
        <v>39.9</v>
      </c>
      <c r="H4766" s="1078">
        <v>45859</v>
      </c>
    </row>
    <row r="4767" spans="3:8" x14ac:dyDescent="0.25">
      <c r="C4767" s="1076">
        <v>5</v>
      </c>
      <c r="D4767" s="1076">
        <v>85</v>
      </c>
      <c r="E4767" s="1077">
        <v>21.8</v>
      </c>
      <c r="F4767" s="4">
        <f t="shared" si="80"/>
        <v>-0.11020408163265304</v>
      </c>
      <c r="G4767" s="37">
        <v>39.9</v>
      </c>
      <c r="H4767" s="1078">
        <v>45859</v>
      </c>
    </row>
    <row r="4768" spans="3:8" x14ac:dyDescent="0.25">
      <c r="C4768" s="1076">
        <v>6</v>
      </c>
      <c r="D4768" s="1076">
        <v>100</v>
      </c>
      <c r="E4768" s="1077">
        <v>39.299999999999997</v>
      </c>
      <c r="F4768" s="4">
        <f t="shared" si="80"/>
        <v>6.2162162162162082E-2</v>
      </c>
      <c r="G4768" s="37">
        <v>39.9</v>
      </c>
      <c r="H4768" s="1078">
        <v>45859</v>
      </c>
    </row>
    <row r="4769" spans="3:8" x14ac:dyDescent="0.25">
      <c r="C4769" s="1076">
        <v>7</v>
      </c>
      <c r="D4769" s="1076">
        <v>73</v>
      </c>
      <c r="E4769" s="1077">
        <v>30</v>
      </c>
      <c r="F4769" s="4">
        <f t="shared" si="80"/>
        <v>5.2631578947368418E-2</v>
      </c>
      <c r="G4769" s="37">
        <v>39.9</v>
      </c>
      <c r="H4769" s="1078">
        <v>45859</v>
      </c>
    </row>
    <row r="4770" spans="3:8" x14ac:dyDescent="0.25">
      <c r="C4770" s="1076">
        <v>8</v>
      </c>
      <c r="D4770" s="1076">
        <v>0</v>
      </c>
      <c r="E4770" s="1077"/>
      <c r="F4770" s="4" t="str">
        <f t="shared" si="80"/>
        <v/>
      </c>
      <c r="G4770" s="37">
        <v>39.9</v>
      </c>
      <c r="H4770" s="1078">
        <v>45859</v>
      </c>
    </row>
    <row r="4771" spans="3:8" x14ac:dyDescent="0.25">
      <c r="C4771" s="1076">
        <v>9</v>
      </c>
      <c r="D4771" s="1076">
        <v>115</v>
      </c>
      <c r="E4771" s="1077">
        <v>38.200000000000003</v>
      </c>
      <c r="F4771" s="4">
        <f t="shared" si="80"/>
        <v>-5.2083333333332229E-3</v>
      </c>
      <c r="G4771" s="37">
        <v>39.9</v>
      </c>
      <c r="H4771" s="1078">
        <v>45859</v>
      </c>
    </row>
    <row r="4772" spans="3:8" x14ac:dyDescent="0.25">
      <c r="C4772" s="1076">
        <v>10</v>
      </c>
      <c r="D4772" s="1076">
        <v>115</v>
      </c>
      <c r="E4772" s="1077">
        <v>39.6</v>
      </c>
      <c r="F4772" s="4">
        <f t="shared" si="80"/>
        <v>3.937007874015748E-2</v>
      </c>
      <c r="G4772" s="37">
        <v>39.9</v>
      </c>
      <c r="H4772" s="1078">
        <v>45859</v>
      </c>
    </row>
    <row r="4773" spans="3:8" x14ac:dyDescent="0.25">
      <c r="C4773" s="1079" t="s">
        <v>0</v>
      </c>
      <c r="D4773" s="1079" t="s">
        <v>7</v>
      </c>
      <c r="E4773" s="1080" t="s">
        <v>4</v>
      </c>
      <c r="F4773" s="4" t="str">
        <f t="shared" si="80"/>
        <v/>
      </c>
      <c r="G4773" s="37">
        <v>39.450000000000003</v>
      </c>
      <c r="H4773" s="1081">
        <v>45860</v>
      </c>
    </row>
    <row r="4774" spans="3:8" x14ac:dyDescent="0.25">
      <c r="C4774" s="1079">
        <v>51</v>
      </c>
      <c r="D4774" s="1079">
        <v>33</v>
      </c>
      <c r="E4774" s="1080">
        <v>18.3</v>
      </c>
      <c r="F4774" s="4">
        <f t="shared" si="80"/>
        <v>-0.36896551724137927</v>
      </c>
      <c r="G4774" s="37">
        <v>39.450000000000003</v>
      </c>
      <c r="H4774" s="1081">
        <v>45860</v>
      </c>
    </row>
    <row r="4775" spans="3:8" x14ac:dyDescent="0.25">
      <c r="C4775" s="1079">
        <v>1</v>
      </c>
      <c r="D4775" s="1079">
        <v>118</v>
      </c>
      <c r="E4775" s="1080">
        <v>25.4</v>
      </c>
      <c r="F4775" s="4">
        <f t="shared" ref="F4775:F4838" si="81">IFERROR((E4775-E4763)/E4763,"")</f>
        <v>-0.16171617161716179</v>
      </c>
      <c r="G4775" s="37">
        <v>39.450000000000003</v>
      </c>
      <c r="H4775" s="1081">
        <v>45860</v>
      </c>
    </row>
    <row r="4776" spans="3:8" x14ac:dyDescent="0.25">
      <c r="C4776" s="1079">
        <v>2</v>
      </c>
      <c r="D4776" s="1079">
        <v>47</v>
      </c>
      <c r="E4776" s="1080">
        <v>21.9</v>
      </c>
      <c r="F4776" s="4">
        <f t="shared" si="81"/>
        <v>-0.34821428571428581</v>
      </c>
      <c r="G4776" s="37">
        <v>39.450000000000003</v>
      </c>
      <c r="H4776" s="1081">
        <v>45860</v>
      </c>
    </row>
    <row r="4777" spans="3:8" x14ac:dyDescent="0.25">
      <c r="C4777" s="1079">
        <v>3</v>
      </c>
      <c r="D4777" s="1079">
        <v>69</v>
      </c>
      <c r="E4777" s="1080">
        <v>25.9</v>
      </c>
      <c r="F4777" s="4">
        <f t="shared" si="81"/>
        <v>-0.24927536231884062</v>
      </c>
      <c r="G4777" s="37">
        <v>39.450000000000003</v>
      </c>
      <c r="H4777" s="1081">
        <v>45860</v>
      </c>
    </row>
    <row r="4778" spans="3:8" x14ac:dyDescent="0.25">
      <c r="C4778" s="1079">
        <v>4</v>
      </c>
      <c r="D4778" s="1079">
        <v>116</v>
      </c>
      <c r="E4778" s="1080">
        <v>30.9</v>
      </c>
      <c r="F4778" s="4">
        <f t="shared" si="81"/>
        <v>-0.13445378151260515</v>
      </c>
      <c r="G4778" s="37">
        <v>39.450000000000003</v>
      </c>
      <c r="H4778" s="1081">
        <v>45860</v>
      </c>
    </row>
    <row r="4779" spans="3:8" x14ac:dyDescent="0.25">
      <c r="C4779" s="1079">
        <v>5</v>
      </c>
      <c r="D4779" s="1079">
        <v>84</v>
      </c>
      <c r="E4779" s="1080">
        <v>17.5</v>
      </c>
      <c r="F4779" s="4">
        <f t="shared" si="81"/>
        <v>-0.19724770642201839</v>
      </c>
      <c r="G4779" s="37">
        <v>39.450000000000003</v>
      </c>
      <c r="H4779" s="1081">
        <v>45860</v>
      </c>
    </row>
    <row r="4780" spans="3:8" x14ac:dyDescent="0.25">
      <c r="C4780" s="1079">
        <v>6</v>
      </c>
      <c r="D4780" s="1079">
        <v>98</v>
      </c>
      <c r="E4780" s="1080">
        <v>37</v>
      </c>
      <c r="F4780" s="4">
        <f t="shared" si="81"/>
        <v>-5.8524173027989755E-2</v>
      </c>
      <c r="G4780" s="37">
        <v>39.450000000000003</v>
      </c>
      <c r="H4780" s="1081">
        <v>45860</v>
      </c>
    </row>
    <row r="4781" spans="3:8" x14ac:dyDescent="0.25">
      <c r="C4781" s="1079">
        <v>7</v>
      </c>
      <c r="D4781" s="1079">
        <v>73</v>
      </c>
      <c r="E4781" s="1080">
        <v>27.2</v>
      </c>
      <c r="F4781" s="4">
        <f t="shared" si="81"/>
        <v>-9.3333333333333351E-2</v>
      </c>
      <c r="G4781" s="37">
        <v>39.450000000000003</v>
      </c>
      <c r="H4781" s="1081">
        <v>45860</v>
      </c>
    </row>
    <row r="4782" spans="3:8" x14ac:dyDescent="0.25">
      <c r="C4782" s="1079">
        <v>8</v>
      </c>
      <c r="D4782" s="1079">
        <v>0</v>
      </c>
      <c r="E4782" s="1080"/>
      <c r="F4782" s="4" t="str">
        <f t="shared" si="81"/>
        <v/>
      </c>
      <c r="G4782" s="37">
        <v>39.450000000000003</v>
      </c>
      <c r="H4782" s="1081">
        <v>45860</v>
      </c>
    </row>
    <row r="4783" spans="3:8" x14ac:dyDescent="0.25">
      <c r="C4783" s="1079">
        <v>9</v>
      </c>
      <c r="D4783" s="1079">
        <v>114</v>
      </c>
      <c r="E4783" s="1080">
        <v>21.1</v>
      </c>
      <c r="F4783" s="4">
        <f t="shared" si="81"/>
        <v>-0.44764397905759162</v>
      </c>
      <c r="G4783" s="37">
        <v>39.450000000000003</v>
      </c>
      <c r="H4783" s="1081">
        <v>45860</v>
      </c>
    </row>
    <row r="4784" spans="3:8" x14ac:dyDescent="0.25">
      <c r="C4784" s="1079">
        <v>10</v>
      </c>
      <c r="D4784" s="1079">
        <v>115</v>
      </c>
      <c r="E4784" s="1080">
        <v>25.5</v>
      </c>
      <c r="F4784" s="4">
        <f t="shared" si="81"/>
        <v>-0.35606060606060608</v>
      </c>
      <c r="G4784" s="37">
        <v>39.450000000000003</v>
      </c>
      <c r="H4784" s="1081">
        <v>45860</v>
      </c>
    </row>
    <row r="4785" spans="3:8" x14ac:dyDescent="0.25">
      <c r="C4785" s="1082" t="s">
        <v>0</v>
      </c>
      <c r="D4785" s="1082" t="s">
        <v>7</v>
      </c>
      <c r="E4785" s="1083" t="s">
        <v>4</v>
      </c>
      <c r="F4785" s="4" t="str">
        <f t="shared" si="81"/>
        <v/>
      </c>
      <c r="G4785" s="37">
        <v>40.99</v>
      </c>
      <c r="H4785" s="1084">
        <v>45861</v>
      </c>
    </row>
    <row r="4786" spans="3:8" x14ac:dyDescent="0.25">
      <c r="C4786" s="1082">
        <v>51</v>
      </c>
      <c r="D4786" s="1082">
        <v>30</v>
      </c>
      <c r="E4786" s="1083">
        <v>23.8</v>
      </c>
      <c r="F4786" s="4">
        <f t="shared" si="81"/>
        <v>0.30054644808743169</v>
      </c>
      <c r="G4786" s="37">
        <v>40.99</v>
      </c>
      <c r="H4786" s="1084">
        <v>45861</v>
      </c>
    </row>
    <row r="4787" spans="3:8" x14ac:dyDescent="0.25">
      <c r="C4787" s="1082">
        <v>1</v>
      </c>
      <c r="D4787" s="1082">
        <v>118</v>
      </c>
      <c r="E4787" s="1083">
        <v>26.7</v>
      </c>
      <c r="F4787" s="4">
        <f t="shared" si="81"/>
        <v>5.1181102362204758E-2</v>
      </c>
      <c r="G4787" s="37">
        <v>40.99</v>
      </c>
      <c r="H4787" s="1084">
        <v>45861</v>
      </c>
    </row>
    <row r="4788" spans="3:8" x14ac:dyDescent="0.25">
      <c r="C4788" s="1082">
        <v>2</v>
      </c>
      <c r="D4788" s="1082">
        <v>47</v>
      </c>
      <c r="E4788" s="1083">
        <v>23.2</v>
      </c>
      <c r="F4788" s="4">
        <f t="shared" si="81"/>
        <v>5.9360730593607344E-2</v>
      </c>
      <c r="G4788" s="37">
        <v>40.99</v>
      </c>
      <c r="H4788" s="1084">
        <v>45861</v>
      </c>
    </row>
    <row r="4789" spans="3:8" x14ac:dyDescent="0.25">
      <c r="C4789" s="1082">
        <v>3</v>
      </c>
      <c r="D4789" s="1082">
        <v>64</v>
      </c>
      <c r="E4789" s="1083">
        <v>23.7</v>
      </c>
      <c r="F4789" s="4">
        <f t="shared" si="81"/>
        <v>-8.4942084942084925E-2</v>
      </c>
      <c r="G4789" s="37">
        <v>40.99</v>
      </c>
      <c r="H4789" s="1084">
        <v>45861</v>
      </c>
    </row>
    <row r="4790" spans="3:8" x14ac:dyDescent="0.25">
      <c r="C4790" s="1082">
        <v>4</v>
      </c>
      <c r="D4790" s="1082">
        <v>116</v>
      </c>
      <c r="E4790" s="1083">
        <v>28.3</v>
      </c>
      <c r="F4790" s="4">
        <f t="shared" si="81"/>
        <v>-8.4142394822006403E-2</v>
      </c>
      <c r="G4790" s="37">
        <v>40.99</v>
      </c>
      <c r="H4790" s="1084">
        <v>45861</v>
      </c>
    </row>
    <row r="4791" spans="3:8" x14ac:dyDescent="0.25">
      <c r="C4791" s="1082">
        <v>5</v>
      </c>
      <c r="D4791" s="1082">
        <v>82</v>
      </c>
      <c r="E4791" s="1083">
        <v>18.3</v>
      </c>
      <c r="F4791" s="4">
        <f t="shared" si="81"/>
        <v>4.5714285714285756E-2</v>
      </c>
      <c r="G4791" s="37">
        <v>40.99</v>
      </c>
      <c r="H4791" s="1084">
        <v>45861</v>
      </c>
    </row>
    <row r="4792" spans="3:8" x14ac:dyDescent="0.25">
      <c r="C4792" s="1082">
        <v>6</v>
      </c>
      <c r="D4792" s="1082">
        <v>91</v>
      </c>
      <c r="E4792" s="1083">
        <v>25.6</v>
      </c>
      <c r="F4792" s="4">
        <f t="shared" si="81"/>
        <v>-0.30810810810810807</v>
      </c>
      <c r="G4792" s="37">
        <v>40.99</v>
      </c>
      <c r="H4792" s="1084">
        <v>45861</v>
      </c>
    </row>
    <row r="4793" spans="3:8" x14ac:dyDescent="0.25">
      <c r="C4793" s="1082">
        <v>7</v>
      </c>
      <c r="D4793" s="1082">
        <v>73</v>
      </c>
      <c r="E4793" s="1083">
        <v>24.9</v>
      </c>
      <c r="F4793" s="4">
        <f t="shared" si="81"/>
        <v>-8.4558823529411797E-2</v>
      </c>
      <c r="G4793" s="37">
        <v>40.99</v>
      </c>
      <c r="H4793" s="1084">
        <v>45861</v>
      </c>
    </row>
    <row r="4794" spans="3:8" x14ac:dyDescent="0.25">
      <c r="C4794" s="1082">
        <v>8</v>
      </c>
      <c r="D4794" s="1082">
        <v>0</v>
      </c>
      <c r="E4794" s="1083"/>
      <c r="F4794" s="4" t="str">
        <f t="shared" si="81"/>
        <v/>
      </c>
      <c r="G4794" s="37">
        <v>40.99</v>
      </c>
      <c r="H4794" s="1084">
        <v>45861</v>
      </c>
    </row>
    <row r="4795" spans="3:8" x14ac:dyDescent="0.25">
      <c r="C4795" s="1082">
        <v>9</v>
      </c>
      <c r="D4795" s="1082">
        <v>114</v>
      </c>
      <c r="E4795" s="1083">
        <v>30.7</v>
      </c>
      <c r="F4795" s="4">
        <f t="shared" si="81"/>
        <v>0.45497630331753541</v>
      </c>
      <c r="G4795" s="37">
        <v>40.99</v>
      </c>
      <c r="H4795" s="1084">
        <v>45861</v>
      </c>
    </row>
    <row r="4796" spans="3:8" x14ac:dyDescent="0.25">
      <c r="C4796" s="1082">
        <v>10</v>
      </c>
      <c r="D4796" s="1082">
        <v>114</v>
      </c>
      <c r="E4796" s="1083">
        <v>29.8</v>
      </c>
      <c r="F4796" s="4">
        <f t="shared" si="81"/>
        <v>0.1686274509803922</v>
      </c>
      <c r="G4796" s="37">
        <v>40.99</v>
      </c>
      <c r="H4796" s="1084">
        <v>45861</v>
      </c>
    </row>
    <row r="4797" spans="3:8" x14ac:dyDescent="0.25">
      <c r="C4797" s="1085" t="s">
        <v>0</v>
      </c>
      <c r="D4797" s="1085" t="s">
        <v>7</v>
      </c>
      <c r="E4797" s="1086" t="s">
        <v>4</v>
      </c>
      <c r="F4797" s="4" t="str">
        <f t="shared" si="81"/>
        <v/>
      </c>
      <c r="G4797" s="37">
        <v>40.020000000000003</v>
      </c>
      <c r="H4797" s="1087">
        <v>45862</v>
      </c>
    </row>
    <row r="4798" spans="3:8" x14ac:dyDescent="0.25">
      <c r="C4798" s="1085">
        <v>51</v>
      </c>
      <c r="D4798" s="1085">
        <v>29</v>
      </c>
      <c r="E4798" s="1086">
        <v>27.8</v>
      </c>
      <c r="F4798" s="4">
        <f t="shared" si="81"/>
        <v>0.16806722689075629</v>
      </c>
      <c r="G4798" s="37">
        <v>40.020000000000003</v>
      </c>
      <c r="H4798" s="1087">
        <v>45862</v>
      </c>
    </row>
    <row r="4799" spans="3:8" x14ac:dyDescent="0.25">
      <c r="C4799" s="1085">
        <v>1</v>
      </c>
      <c r="D4799" s="1085">
        <v>117</v>
      </c>
      <c r="E4799" s="1086">
        <v>39.9</v>
      </c>
      <c r="F4799" s="4">
        <f t="shared" si="81"/>
        <v>0.4943820224719101</v>
      </c>
      <c r="G4799" s="37">
        <v>40.020000000000003</v>
      </c>
      <c r="H4799" s="1087">
        <v>45862</v>
      </c>
    </row>
    <row r="4800" spans="3:8" x14ac:dyDescent="0.25">
      <c r="C4800" s="1085">
        <v>2</v>
      </c>
      <c r="D4800" s="1085">
        <v>47</v>
      </c>
      <c r="E4800" s="1086">
        <v>35.1</v>
      </c>
      <c r="F4800" s="4">
        <f t="shared" si="81"/>
        <v>0.51293103448275867</v>
      </c>
      <c r="G4800" s="37">
        <v>40.020000000000003</v>
      </c>
      <c r="H4800" s="1087">
        <v>45862</v>
      </c>
    </row>
    <row r="4801" spans="3:8" x14ac:dyDescent="0.25">
      <c r="C4801" s="1085">
        <v>3</v>
      </c>
      <c r="D4801" s="1085">
        <v>64</v>
      </c>
      <c r="E4801" s="1086">
        <v>37.200000000000003</v>
      </c>
      <c r="F4801" s="4">
        <f t="shared" si="81"/>
        <v>0.56962025316455711</v>
      </c>
      <c r="G4801" s="37">
        <v>40.020000000000003</v>
      </c>
      <c r="H4801" s="1087">
        <v>45862</v>
      </c>
    </row>
    <row r="4802" spans="3:8" x14ac:dyDescent="0.25">
      <c r="C4802" s="1085">
        <v>4</v>
      </c>
      <c r="D4802" s="1085">
        <v>115</v>
      </c>
      <c r="E4802" s="1086">
        <v>40.4</v>
      </c>
      <c r="F4802" s="4">
        <f t="shared" si="81"/>
        <v>0.42756183745583032</v>
      </c>
      <c r="G4802" s="37">
        <v>40.020000000000003</v>
      </c>
      <c r="H4802" s="1087">
        <v>45862</v>
      </c>
    </row>
    <row r="4803" spans="3:8" x14ac:dyDescent="0.25">
      <c r="C4803" s="1085">
        <v>5</v>
      </c>
      <c r="D4803" s="1085">
        <v>82</v>
      </c>
      <c r="E4803" s="1086">
        <v>30.7</v>
      </c>
      <c r="F4803" s="4">
        <f t="shared" si="81"/>
        <v>0.67759562841530041</v>
      </c>
      <c r="G4803" s="37">
        <v>40.020000000000003</v>
      </c>
      <c r="H4803" s="1087">
        <v>45862</v>
      </c>
    </row>
    <row r="4804" spans="3:8" x14ac:dyDescent="0.25">
      <c r="C4804" s="1085">
        <v>6</v>
      </c>
      <c r="D4804" s="1085">
        <v>91</v>
      </c>
      <c r="E4804" s="1086">
        <v>43.7</v>
      </c>
      <c r="F4804" s="4">
        <f t="shared" si="81"/>
        <v>0.70703125</v>
      </c>
      <c r="G4804" s="37">
        <v>40.020000000000003</v>
      </c>
      <c r="H4804" s="1087">
        <v>45862</v>
      </c>
    </row>
    <row r="4805" spans="3:8" x14ac:dyDescent="0.25">
      <c r="C4805" s="1085">
        <v>7</v>
      </c>
      <c r="D4805" s="1085">
        <v>73</v>
      </c>
      <c r="E4805" s="1086">
        <v>30</v>
      </c>
      <c r="F4805" s="4">
        <f t="shared" si="81"/>
        <v>0.20481927710843381</v>
      </c>
      <c r="G4805" s="37">
        <v>40.020000000000003</v>
      </c>
      <c r="H4805" s="1087">
        <v>45862</v>
      </c>
    </row>
    <row r="4806" spans="3:8" x14ac:dyDescent="0.25">
      <c r="C4806" s="1085">
        <v>8</v>
      </c>
      <c r="D4806" s="1085">
        <v>0</v>
      </c>
      <c r="E4806" s="1086"/>
      <c r="F4806" s="4" t="str">
        <f t="shared" si="81"/>
        <v/>
      </c>
      <c r="G4806" s="37">
        <v>40.020000000000003</v>
      </c>
      <c r="H4806" s="1087">
        <v>45862</v>
      </c>
    </row>
    <row r="4807" spans="3:8" x14ac:dyDescent="0.25">
      <c r="C4807" s="1085">
        <v>9</v>
      </c>
      <c r="D4807" s="1085">
        <v>114</v>
      </c>
      <c r="E4807" s="1086">
        <v>37.700000000000003</v>
      </c>
      <c r="F4807" s="4">
        <f t="shared" si="81"/>
        <v>0.22801302931596104</v>
      </c>
      <c r="G4807" s="37">
        <v>40.020000000000003</v>
      </c>
      <c r="H4807" s="1087">
        <v>45862</v>
      </c>
    </row>
    <row r="4808" spans="3:8" x14ac:dyDescent="0.25">
      <c r="C4808" s="1085">
        <v>10</v>
      </c>
      <c r="D4808" s="1085">
        <v>114</v>
      </c>
      <c r="E4808" s="1086">
        <v>41.4</v>
      </c>
      <c r="F4808" s="4">
        <f t="shared" si="81"/>
        <v>0.38926174496644289</v>
      </c>
      <c r="G4808" s="37">
        <v>40.020000000000003</v>
      </c>
      <c r="H4808" s="1087">
        <v>45862</v>
      </c>
    </row>
    <row r="4809" spans="3:8" x14ac:dyDescent="0.25">
      <c r="C4809" s="1088" t="s">
        <v>0</v>
      </c>
      <c r="D4809" s="1088" t="s">
        <v>7</v>
      </c>
      <c r="E4809" s="1089" t="s">
        <v>4</v>
      </c>
      <c r="F4809" s="4" t="str">
        <f t="shared" si="81"/>
        <v/>
      </c>
      <c r="G4809" s="37">
        <v>40.700000000000003</v>
      </c>
      <c r="H4809" s="1090">
        <v>45863</v>
      </c>
    </row>
    <row r="4810" spans="3:8" x14ac:dyDescent="0.25">
      <c r="C4810" s="1088">
        <v>51</v>
      </c>
      <c r="D4810" s="1088">
        <v>29</v>
      </c>
      <c r="E4810" s="1089">
        <v>33.200000000000003</v>
      </c>
      <c r="F4810" s="4">
        <f t="shared" si="81"/>
        <v>0.19424460431654683</v>
      </c>
      <c r="G4810" s="37">
        <v>40.700000000000003</v>
      </c>
      <c r="H4810" s="1090">
        <v>45863</v>
      </c>
    </row>
    <row r="4811" spans="3:8" x14ac:dyDescent="0.25">
      <c r="C4811" s="1088">
        <v>1</v>
      </c>
      <c r="D4811" s="1088">
        <v>117</v>
      </c>
      <c r="E4811" s="1089">
        <v>42.5</v>
      </c>
      <c r="F4811" s="4">
        <f t="shared" si="81"/>
        <v>6.5162907268170464E-2</v>
      </c>
      <c r="G4811" s="37">
        <v>40.700000000000003</v>
      </c>
      <c r="H4811" s="1090">
        <v>45863</v>
      </c>
    </row>
    <row r="4812" spans="3:8" x14ac:dyDescent="0.25">
      <c r="C4812" s="1088">
        <v>2</v>
      </c>
      <c r="D4812" s="1088">
        <v>47</v>
      </c>
      <c r="E4812" s="1089">
        <v>35.200000000000003</v>
      </c>
      <c r="F4812" s="4">
        <f t="shared" si="81"/>
        <v>2.8490028490028895E-3</v>
      </c>
      <c r="G4812" s="37">
        <v>40.700000000000003</v>
      </c>
      <c r="H4812" s="1090">
        <v>45863</v>
      </c>
    </row>
    <row r="4813" spans="3:8" x14ac:dyDescent="0.25">
      <c r="C4813" s="1088">
        <v>3</v>
      </c>
      <c r="D4813" s="1088">
        <v>64</v>
      </c>
      <c r="E4813" s="1089">
        <v>38.299999999999997</v>
      </c>
      <c r="F4813" s="4">
        <f t="shared" si="81"/>
        <v>2.9569892473118125E-2</v>
      </c>
      <c r="G4813" s="37">
        <v>40.700000000000003</v>
      </c>
      <c r="H4813" s="1090">
        <v>45863</v>
      </c>
    </row>
    <row r="4814" spans="3:8" x14ac:dyDescent="0.25">
      <c r="C4814" s="1088">
        <v>4</v>
      </c>
      <c r="D4814" s="1088">
        <v>115</v>
      </c>
      <c r="E4814" s="1089">
        <v>43</v>
      </c>
      <c r="F4814" s="4">
        <f t="shared" si="81"/>
        <v>6.43564356435644E-2</v>
      </c>
      <c r="G4814" s="37">
        <v>40.700000000000003</v>
      </c>
      <c r="H4814" s="1090">
        <v>45863</v>
      </c>
    </row>
    <row r="4815" spans="3:8" x14ac:dyDescent="0.25">
      <c r="C4815" s="1088">
        <v>5</v>
      </c>
      <c r="D4815" s="1088">
        <v>74</v>
      </c>
      <c r="E4815" s="1089">
        <v>26.5</v>
      </c>
      <c r="F4815" s="4">
        <f t="shared" si="81"/>
        <v>-0.13680781758957652</v>
      </c>
      <c r="G4815" s="37">
        <v>40.700000000000003</v>
      </c>
      <c r="H4815" s="1090">
        <v>45863</v>
      </c>
    </row>
    <row r="4816" spans="3:8" x14ac:dyDescent="0.25">
      <c r="C4816" s="1088">
        <v>6</v>
      </c>
      <c r="D4816" s="1088">
        <v>91</v>
      </c>
      <c r="E4816" s="1089">
        <v>43.4</v>
      </c>
      <c r="F4816" s="4">
        <f t="shared" si="81"/>
        <v>-6.8649885583524995E-3</v>
      </c>
      <c r="G4816" s="37">
        <v>40.700000000000003</v>
      </c>
      <c r="H4816" s="1090">
        <v>45863</v>
      </c>
    </row>
    <row r="4817" spans="3:8" x14ac:dyDescent="0.25">
      <c r="C4817" s="1088">
        <v>7</v>
      </c>
      <c r="D4817" s="1088">
        <v>73</v>
      </c>
      <c r="E4817" s="1089">
        <v>40.1</v>
      </c>
      <c r="F4817" s="4">
        <f t="shared" si="81"/>
        <v>0.33666666666666673</v>
      </c>
      <c r="G4817" s="37">
        <v>40.700000000000003</v>
      </c>
      <c r="H4817" s="1090">
        <v>45863</v>
      </c>
    </row>
    <row r="4818" spans="3:8" x14ac:dyDescent="0.25">
      <c r="C4818" s="1088">
        <v>8</v>
      </c>
      <c r="D4818" s="1088">
        <v>0</v>
      </c>
      <c r="E4818" s="1089"/>
      <c r="F4818" s="4" t="str">
        <f t="shared" si="81"/>
        <v/>
      </c>
      <c r="G4818" s="37">
        <v>40.700000000000003</v>
      </c>
      <c r="H4818" s="1090">
        <v>45863</v>
      </c>
    </row>
    <row r="4819" spans="3:8" x14ac:dyDescent="0.25">
      <c r="C4819" s="1088">
        <v>9</v>
      </c>
      <c r="D4819" s="1088">
        <v>113</v>
      </c>
      <c r="E4819" s="1089">
        <v>42.9</v>
      </c>
      <c r="F4819" s="4">
        <f t="shared" si="81"/>
        <v>0.13793103448275851</v>
      </c>
      <c r="G4819" s="37">
        <v>40.700000000000003</v>
      </c>
      <c r="H4819" s="1090">
        <v>45863</v>
      </c>
    </row>
    <row r="4820" spans="3:8" x14ac:dyDescent="0.25">
      <c r="C4820" s="1088">
        <v>10</v>
      </c>
      <c r="D4820" s="1088">
        <v>114</v>
      </c>
      <c r="E4820" s="1089">
        <v>42</v>
      </c>
      <c r="F4820" s="4">
        <f t="shared" si="81"/>
        <v>1.4492753623188441E-2</v>
      </c>
      <c r="G4820" s="37">
        <v>40.700000000000003</v>
      </c>
      <c r="H4820" s="1090">
        <v>45863</v>
      </c>
    </row>
    <row r="4821" spans="3:8" x14ac:dyDescent="0.25">
      <c r="C4821" s="1091" t="s">
        <v>0</v>
      </c>
      <c r="D4821" s="1091" t="s">
        <v>7</v>
      </c>
      <c r="E4821" s="1092" t="s">
        <v>4</v>
      </c>
      <c r="F4821" s="4" t="str">
        <f t="shared" si="81"/>
        <v/>
      </c>
      <c r="G4821" s="37">
        <v>41</v>
      </c>
      <c r="H4821" s="1090">
        <v>45864</v>
      </c>
    </row>
    <row r="4822" spans="3:8" x14ac:dyDescent="0.25">
      <c r="C4822" s="1091">
        <v>51</v>
      </c>
      <c r="D4822" s="1091">
        <v>29</v>
      </c>
      <c r="E4822" s="1092">
        <v>36.1</v>
      </c>
      <c r="F4822" s="4">
        <f t="shared" si="81"/>
        <v>8.7349397590361394E-2</v>
      </c>
      <c r="G4822" s="37">
        <v>41</v>
      </c>
      <c r="H4822" s="1090">
        <v>45864</v>
      </c>
    </row>
    <row r="4823" spans="3:8" x14ac:dyDescent="0.25">
      <c r="C4823" s="1091">
        <v>1</v>
      </c>
      <c r="D4823" s="1091">
        <v>117</v>
      </c>
      <c r="E4823" s="1092">
        <v>41.8</v>
      </c>
      <c r="F4823" s="4">
        <f t="shared" si="81"/>
        <v>-1.6470588235294185E-2</v>
      </c>
      <c r="G4823" s="37">
        <v>41</v>
      </c>
      <c r="H4823" s="1090">
        <v>45864</v>
      </c>
    </row>
    <row r="4824" spans="3:8" x14ac:dyDescent="0.25">
      <c r="C4824" s="1091">
        <v>2</v>
      </c>
      <c r="D4824" s="1091">
        <v>47</v>
      </c>
      <c r="E4824" s="1092">
        <v>35.200000000000003</v>
      </c>
      <c r="F4824" s="4">
        <f t="shared" si="81"/>
        <v>0</v>
      </c>
      <c r="G4824" s="37">
        <v>41</v>
      </c>
      <c r="H4824" s="1090">
        <v>45864</v>
      </c>
    </row>
    <row r="4825" spans="3:8" x14ac:dyDescent="0.25">
      <c r="C4825" s="1091">
        <v>3</v>
      </c>
      <c r="D4825" s="1091">
        <v>64</v>
      </c>
      <c r="E4825" s="1092">
        <v>37.799999999999997</v>
      </c>
      <c r="F4825" s="4">
        <f t="shared" si="81"/>
        <v>-1.3054830287206267E-2</v>
      </c>
      <c r="G4825" s="37">
        <v>41</v>
      </c>
      <c r="H4825" s="1090">
        <v>45864</v>
      </c>
    </row>
    <row r="4826" spans="3:8" x14ac:dyDescent="0.25">
      <c r="C4826" s="1091">
        <v>4</v>
      </c>
      <c r="D4826" s="1091">
        <v>114</v>
      </c>
      <c r="E4826" s="1092">
        <v>42.8</v>
      </c>
      <c r="F4826" s="4">
        <f t="shared" si="81"/>
        <v>-4.6511627906977403E-3</v>
      </c>
      <c r="G4826" s="37">
        <v>41</v>
      </c>
      <c r="H4826" s="1090">
        <v>45864</v>
      </c>
    </row>
    <row r="4827" spans="3:8" x14ac:dyDescent="0.25">
      <c r="C4827" s="1091">
        <v>5</v>
      </c>
      <c r="D4827" s="1091">
        <v>73</v>
      </c>
      <c r="E4827" s="1092">
        <v>31.3</v>
      </c>
      <c r="F4827" s="4">
        <f t="shared" si="81"/>
        <v>0.18113207547169813</v>
      </c>
      <c r="G4827" s="37">
        <v>41</v>
      </c>
      <c r="H4827" s="1090">
        <v>45864</v>
      </c>
    </row>
    <row r="4828" spans="3:8" x14ac:dyDescent="0.25">
      <c r="C4828" s="1091">
        <v>6</v>
      </c>
      <c r="D4828" s="1091">
        <v>91</v>
      </c>
      <c r="E4828" s="1092">
        <v>42</v>
      </c>
      <c r="F4828" s="4">
        <f t="shared" si="81"/>
        <v>-3.2258064516129004E-2</v>
      </c>
      <c r="G4828" s="37">
        <v>41</v>
      </c>
      <c r="H4828" s="1090">
        <v>45864</v>
      </c>
    </row>
    <row r="4829" spans="3:8" x14ac:dyDescent="0.25">
      <c r="C4829" s="1091">
        <v>7</v>
      </c>
      <c r="D4829" s="1091">
        <v>73</v>
      </c>
      <c r="E4829" s="1092">
        <v>40.1</v>
      </c>
      <c r="F4829" s="4">
        <f t="shared" si="81"/>
        <v>0</v>
      </c>
      <c r="G4829" s="37">
        <v>41</v>
      </c>
      <c r="H4829" s="1090">
        <v>45864</v>
      </c>
    </row>
    <row r="4830" spans="3:8" x14ac:dyDescent="0.25">
      <c r="C4830" s="1091">
        <v>8</v>
      </c>
      <c r="D4830" s="1091">
        <v>0</v>
      </c>
      <c r="E4830" s="1092"/>
      <c r="F4830" s="4" t="str">
        <f t="shared" si="81"/>
        <v/>
      </c>
      <c r="G4830" s="37">
        <v>41</v>
      </c>
      <c r="H4830" s="1090">
        <v>45864</v>
      </c>
    </row>
    <row r="4831" spans="3:8" x14ac:dyDescent="0.25">
      <c r="C4831" s="1091">
        <v>9</v>
      </c>
      <c r="D4831" s="1091">
        <v>113</v>
      </c>
      <c r="E4831" s="1092">
        <v>43.4</v>
      </c>
      <c r="F4831" s="4">
        <f t="shared" si="81"/>
        <v>1.1655011655011656E-2</v>
      </c>
      <c r="G4831" s="37">
        <v>41</v>
      </c>
      <c r="H4831" s="1090">
        <v>45864</v>
      </c>
    </row>
    <row r="4832" spans="3:8" x14ac:dyDescent="0.25">
      <c r="C4832" s="1091">
        <v>10</v>
      </c>
      <c r="D4832" s="1091">
        <v>113</v>
      </c>
      <c r="E4832" s="1092">
        <v>43.4</v>
      </c>
      <c r="F4832" s="4">
        <f t="shared" si="81"/>
        <v>3.3333333333333298E-2</v>
      </c>
      <c r="G4832" s="37">
        <v>41</v>
      </c>
      <c r="H4832" s="1090">
        <v>45864</v>
      </c>
    </row>
    <row r="4833" spans="3:8" x14ac:dyDescent="0.25">
      <c r="C4833" s="1093" t="s">
        <v>0</v>
      </c>
      <c r="D4833" s="1093" t="s">
        <v>7</v>
      </c>
      <c r="E4833" s="1094" t="s">
        <v>4</v>
      </c>
      <c r="F4833" s="4" t="str">
        <f t="shared" si="81"/>
        <v/>
      </c>
      <c r="G4833" s="37">
        <v>40.700000000000003</v>
      </c>
      <c r="H4833" s="1095">
        <v>45865</v>
      </c>
    </row>
    <row r="4834" spans="3:8" x14ac:dyDescent="0.25">
      <c r="C4834" s="1093">
        <v>51</v>
      </c>
      <c r="D4834" s="1093">
        <v>31</v>
      </c>
      <c r="E4834" s="1094">
        <v>36.6</v>
      </c>
      <c r="F4834" s="4">
        <f t="shared" si="81"/>
        <v>1.3850415512465374E-2</v>
      </c>
      <c r="G4834" s="37">
        <v>40.700000000000003</v>
      </c>
      <c r="H4834" s="1095">
        <v>45865</v>
      </c>
    </row>
    <row r="4835" spans="3:8" x14ac:dyDescent="0.25">
      <c r="C4835" s="1093">
        <v>1</v>
      </c>
      <c r="D4835" s="1093">
        <v>115</v>
      </c>
      <c r="E4835" s="1094">
        <v>42.2</v>
      </c>
      <c r="F4835" s="4">
        <f t="shared" si="81"/>
        <v>9.5693779904307587E-3</v>
      </c>
      <c r="G4835" s="37">
        <v>40.700000000000003</v>
      </c>
      <c r="H4835" s="1095">
        <v>45865</v>
      </c>
    </row>
    <row r="4836" spans="3:8" x14ac:dyDescent="0.25">
      <c r="C4836" s="1093">
        <v>2</v>
      </c>
      <c r="D4836" s="1093">
        <v>47</v>
      </c>
      <c r="E4836" s="1094">
        <v>35.200000000000003</v>
      </c>
      <c r="F4836" s="4">
        <f t="shared" si="81"/>
        <v>0</v>
      </c>
      <c r="G4836" s="37">
        <v>40.700000000000003</v>
      </c>
      <c r="H4836" s="1095">
        <v>45865</v>
      </c>
    </row>
    <row r="4837" spans="3:8" x14ac:dyDescent="0.25">
      <c r="C4837" s="1093">
        <v>3</v>
      </c>
      <c r="D4837" s="1093">
        <v>64</v>
      </c>
      <c r="E4837" s="1094">
        <v>36.299999999999997</v>
      </c>
      <c r="F4837" s="4">
        <f t="shared" si="81"/>
        <v>-3.9682539682539687E-2</v>
      </c>
      <c r="G4837" s="37">
        <v>40.700000000000003</v>
      </c>
      <c r="H4837" s="1095">
        <v>45865</v>
      </c>
    </row>
    <row r="4838" spans="3:8" x14ac:dyDescent="0.25">
      <c r="C4838" s="1093">
        <v>4</v>
      </c>
      <c r="D4838" s="1093">
        <v>113</v>
      </c>
      <c r="E4838" s="1094">
        <v>43.5</v>
      </c>
      <c r="F4838" s="4">
        <f t="shared" si="81"/>
        <v>1.6355140186915956E-2</v>
      </c>
      <c r="G4838" s="37">
        <v>40.700000000000003</v>
      </c>
      <c r="H4838" s="1095">
        <v>45865</v>
      </c>
    </row>
    <row r="4839" spans="3:8" x14ac:dyDescent="0.25">
      <c r="C4839" s="1093">
        <v>5</v>
      </c>
      <c r="D4839" s="1093">
        <v>73</v>
      </c>
      <c r="E4839" s="1094">
        <v>29.8</v>
      </c>
      <c r="F4839" s="4">
        <f t="shared" ref="F4839:F4902" si="82">IFERROR((E4839-E4827)/E4827,"")</f>
        <v>-4.7923322683706068E-2</v>
      </c>
      <c r="G4839" s="37">
        <v>40.700000000000003</v>
      </c>
      <c r="H4839" s="1095">
        <v>45865</v>
      </c>
    </row>
    <row r="4840" spans="3:8" x14ac:dyDescent="0.25">
      <c r="C4840" s="1093">
        <v>6</v>
      </c>
      <c r="D4840" s="1093">
        <v>91</v>
      </c>
      <c r="E4840" s="1094">
        <v>42.3</v>
      </c>
      <c r="F4840" s="4">
        <f t="shared" si="82"/>
        <v>7.142857142857075E-3</v>
      </c>
      <c r="G4840" s="37">
        <v>40.700000000000003</v>
      </c>
      <c r="H4840" s="1095">
        <v>45865</v>
      </c>
    </row>
    <row r="4841" spans="3:8" x14ac:dyDescent="0.25">
      <c r="C4841" s="1093">
        <v>7</v>
      </c>
      <c r="D4841" s="1093">
        <v>73</v>
      </c>
      <c r="E4841" s="1094">
        <v>39.4</v>
      </c>
      <c r="F4841" s="4">
        <f t="shared" si="82"/>
        <v>-1.7456359102244461E-2</v>
      </c>
      <c r="G4841" s="37">
        <v>40.700000000000003</v>
      </c>
      <c r="H4841" s="1095">
        <v>45865</v>
      </c>
    </row>
    <row r="4842" spans="3:8" x14ac:dyDescent="0.25">
      <c r="C4842" s="1093">
        <v>8</v>
      </c>
      <c r="D4842" s="1093">
        <v>0</v>
      </c>
      <c r="E4842" s="1094"/>
      <c r="F4842" s="4" t="str">
        <f t="shared" si="82"/>
        <v/>
      </c>
      <c r="G4842" s="37">
        <v>40.700000000000003</v>
      </c>
      <c r="H4842" s="1095">
        <v>45865</v>
      </c>
    </row>
    <row r="4843" spans="3:8" x14ac:dyDescent="0.25">
      <c r="C4843" s="1093">
        <v>9</v>
      </c>
      <c r="D4843" s="1093">
        <v>113</v>
      </c>
      <c r="E4843" s="1094">
        <v>43.4</v>
      </c>
      <c r="F4843" s="4">
        <f t="shared" si="82"/>
        <v>0</v>
      </c>
      <c r="G4843" s="37">
        <v>40.700000000000003</v>
      </c>
      <c r="H4843" s="1095">
        <v>45865</v>
      </c>
    </row>
    <row r="4844" spans="3:8" x14ac:dyDescent="0.25">
      <c r="C4844" s="1093">
        <v>10</v>
      </c>
      <c r="D4844" s="1093">
        <v>113</v>
      </c>
      <c r="E4844" s="1094">
        <v>43.6</v>
      </c>
      <c r="F4844" s="4">
        <f t="shared" si="82"/>
        <v>4.608294930875642E-3</v>
      </c>
      <c r="G4844" s="37">
        <v>40.700000000000003</v>
      </c>
      <c r="H4844" s="1095">
        <v>45865</v>
      </c>
    </row>
    <row r="4845" spans="3:8" x14ac:dyDescent="0.25">
      <c r="C4845" s="1096" t="s">
        <v>0</v>
      </c>
      <c r="D4845" s="1096" t="s">
        <v>7</v>
      </c>
      <c r="E4845" s="1097" t="s">
        <v>4</v>
      </c>
      <c r="F4845" s="4" t="str">
        <f t="shared" si="82"/>
        <v/>
      </c>
      <c r="G4845" s="37">
        <v>39.299999999999997</v>
      </c>
      <c r="H4845" s="1095">
        <v>45866</v>
      </c>
    </row>
    <row r="4846" spans="3:8" x14ac:dyDescent="0.25">
      <c r="C4846" s="1096">
        <v>51</v>
      </c>
      <c r="D4846" s="1096">
        <v>33</v>
      </c>
      <c r="E4846" s="1097">
        <v>35.299999999999997</v>
      </c>
      <c r="F4846" s="4">
        <f t="shared" si="82"/>
        <v>-3.5519125683060225E-2</v>
      </c>
      <c r="G4846" s="37">
        <v>39.299999999999997</v>
      </c>
      <c r="H4846" s="1095">
        <v>45866</v>
      </c>
    </row>
    <row r="4847" spans="3:8" x14ac:dyDescent="0.25">
      <c r="C4847" s="1096">
        <v>1</v>
      </c>
      <c r="D4847" s="1096">
        <v>115</v>
      </c>
      <c r="E4847" s="1097">
        <v>39.799999999999997</v>
      </c>
      <c r="F4847" s="4">
        <f t="shared" si="82"/>
        <v>-5.6872037914692072E-2</v>
      </c>
      <c r="G4847" s="37">
        <v>39.299999999999997</v>
      </c>
      <c r="H4847" s="1095">
        <v>45866</v>
      </c>
    </row>
    <row r="4848" spans="3:8" x14ac:dyDescent="0.25">
      <c r="C4848" s="1096">
        <v>2</v>
      </c>
      <c r="D4848" s="1096">
        <v>0</v>
      </c>
      <c r="E4848" s="1097">
        <v>32.299999999999997</v>
      </c>
      <c r="F4848" s="4">
        <f t="shared" si="82"/>
        <v>-8.2386363636363785E-2</v>
      </c>
      <c r="G4848" s="37">
        <v>39.299999999999997</v>
      </c>
      <c r="H4848" s="1095">
        <v>45866</v>
      </c>
    </row>
    <row r="4849" spans="3:8" x14ac:dyDescent="0.25">
      <c r="C4849" s="1096">
        <v>3</v>
      </c>
      <c r="D4849" s="1096">
        <v>64</v>
      </c>
      <c r="E4849" s="1097">
        <v>35.1</v>
      </c>
      <c r="F4849" s="4">
        <f t="shared" si="82"/>
        <v>-3.3057851239669304E-2</v>
      </c>
      <c r="G4849" s="37">
        <v>39.299999999999997</v>
      </c>
      <c r="H4849" s="1095">
        <v>45866</v>
      </c>
    </row>
    <row r="4850" spans="3:8" x14ac:dyDescent="0.25">
      <c r="C4850" s="1096">
        <v>4</v>
      </c>
      <c r="D4850" s="1096">
        <v>113</v>
      </c>
      <c r="E4850" s="1097">
        <v>42.4</v>
      </c>
      <c r="F4850" s="4">
        <f t="shared" si="82"/>
        <v>-2.5287356321839115E-2</v>
      </c>
      <c r="G4850" s="37">
        <v>39.299999999999997</v>
      </c>
      <c r="H4850" s="1095">
        <v>45866</v>
      </c>
    </row>
    <row r="4851" spans="3:8" x14ac:dyDescent="0.25">
      <c r="C4851" s="1096">
        <v>5</v>
      </c>
      <c r="D4851" s="1096">
        <v>98</v>
      </c>
      <c r="E4851" s="1097">
        <v>28.4</v>
      </c>
      <c r="F4851" s="4">
        <f t="shared" si="82"/>
        <v>-4.6979865771812152E-2</v>
      </c>
      <c r="G4851" s="37">
        <v>39.299999999999997</v>
      </c>
      <c r="H4851" s="1095">
        <v>45866</v>
      </c>
    </row>
    <row r="4852" spans="3:8" x14ac:dyDescent="0.25">
      <c r="C4852" s="1096">
        <v>6</v>
      </c>
      <c r="D4852" s="1096">
        <v>114</v>
      </c>
      <c r="E4852" s="1097">
        <v>41.2</v>
      </c>
      <c r="F4852" s="4">
        <f t="shared" si="82"/>
        <v>-2.6004728132387574E-2</v>
      </c>
      <c r="G4852" s="37">
        <v>39.299999999999997</v>
      </c>
      <c r="H4852" s="1095">
        <v>45866</v>
      </c>
    </row>
    <row r="4853" spans="3:8" x14ac:dyDescent="0.25">
      <c r="C4853" s="1096">
        <v>7</v>
      </c>
      <c r="D4853" s="1096">
        <v>73</v>
      </c>
      <c r="E4853" s="1097">
        <v>38.200000000000003</v>
      </c>
      <c r="F4853" s="4">
        <f t="shared" si="82"/>
        <v>-3.0456852791878066E-2</v>
      </c>
      <c r="G4853" s="37">
        <v>39.299999999999997</v>
      </c>
      <c r="H4853" s="1095">
        <v>45866</v>
      </c>
    </row>
    <row r="4854" spans="3:8" x14ac:dyDescent="0.25">
      <c r="C4854" s="1096">
        <v>8</v>
      </c>
      <c r="D4854" s="1096">
        <v>0</v>
      </c>
      <c r="E4854" s="1097"/>
      <c r="F4854" s="4" t="str">
        <f t="shared" si="82"/>
        <v/>
      </c>
      <c r="G4854" s="37">
        <v>39.299999999999997</v>
      </c>
      <c r="H4854" s="1095">
        <v>45866</v>
      </c>
    </row>
    <row r="4855" spans="3:8" x14ac:dyDescent="0.25">
      <c r="C4855" s="1096">
        <v>9</v>
      </c>
      <c r="D4855" s="1096">
        <v>113</v>
      </c>
      <c r="E4855" s="1097">
        <v>43.3</v>
      </c>
      <c r="F4855" s="4">
        <f t="shared" si="82"/>
        <v>-2.304147465437821E-3</v>
      </c>
      <c r="G4855" s="37">
        <v>39.299999999999997</v>
      </c>
      <c r="H4855" s="1095">
        <v>45866</v>
      </c>
    </row>
    <row r="4856" spans="3:8" x14ac:dyDescent="0.25">
      <c r="C4856" s="1096">
        <v>10</v>
      </c>
      <c r="D4856" s="1096">
        <v>113</v>
      </c>
      <c r="E4856" s="1097">
        <v>40.6</v>
      </c>
      <c r="F4856" s="4">
        <f t="shared" si="82"/>
        <v>-6.8807339449541288E-2</v>
      </c>
      <c r="G4856" s="37">
        <v>39.299999999999997</v>
      </c>
      <c r="H4856" s="1095">
        <v>45866</v>
      </c>
    </row>
    <row r="4857" spans="3:8" x14ac:dyDescent="0.25">
      <c r="C4857" s="1098" t="s">
        <v>0</v>
      </c>
      <c r="D4857" s="1098" t="s">
        <v>7</v>
      </c>
      <c r="E4857" s="1099" t="s">
        <v>4</v>
      </c>
      <c r="F4857" s="4" t="str">
        <f t="shared" si="82"/>
        <v/>
      </c>
      <c r="G4857" s="37">
        <v>41.1</v>
      </c>
      <c r="H4857" s="1095">
        <v>45867</v>
      </c>
    </row>
    <row r="4858" spans="3:8" x14ac:dyDescent="0.25">
      <c r="C4858" s="1098">
        <v>51</v>
      </c>
      <c r="D4858" s="1098">
        <v>33</v>
      </c>
      <c r="E4858" s="1099">
        <v>35.200000000000003</v>
      </c>
      <c r="F4858" s="4">
        <f t="shared" si="82"/>
        <v>-2.832861189801539E-3</v>
      </c>
      <c r="G4858" s="37">
        <v>41.1</v>
      </c>
      <c r="H4858" s="1095">
        <v>45867</v>
      </c>
    </row>
    <row r="4859" spans="3:8" x14ac:dyDescent="0.25">
      <c r="C4859" s="1098">
        <v>1</v>
      </c>
      <c r="D4859" s="1098">
        <v>115</v>
      </c>
      <c r="E4859" s="1099">
        <v>41.9</v>
      </c>
      <c r="F4859" s="4">
        <f t="shared" si="82"/>
        <v>5.2763819095477428E-2</v>
      </c>
      <c r="G4859" s="37">
        <v>41.1</v>
      </c>
      <c r="H4859" s="1095">
        <v>45867</v>
      </c>
    </row>
    <row r="4860" spans="3:8" x14ac:dyDescent="0.25">
      <c r="C4860" s="1098">
        <v>2</v>
      </c>
      <c r="D4860" s="1098">
        <v>0</v>
      </c>
      <c r="E4860" s="1099"/>
      <c r="F4860" s="4">
        <f t="shared" si="82"/>
        <v>-1</v>
      </c>
      <c r="G4860" s="37">
        <v>41.1</v>
      </c>
      <c r="H4860" s="1095">
        <v>45867</v>
      </c>
    </row>
    <row r="4861" spans="3:8" x14ac:dyDescent="0.25">
      <c r="C4861" s="1098">
        <v>3</v>
      </c>
      <c r="D4861" s="1098">
        <v>64</v>
      </c>
      <c r="E4861" s="1099">
        <v>36</v>
      </c>
      <c r="F4861" s="4">
        <f t="shared" si="82"/>
        <v>2.5641025641025599E-2</v>
      </c>
      <c r="G4861" s="37">
        <v>41.1</v>
      </c>
      <c r="H4861" s="1095">
        <v>45867</v>
      </c>
    </row>
    <row r="4862" spans="3:8" x14ac:dyDescent="0.25">
      <c r="C4862" s="1098">
        <v>4</v>
      </c>
      <c r="D4862" s="1098">
        <v>113</v>
      </c>
      <c r="E4862" s="1099">
        <v>43.8</v>
      </c>
      <c r="F4862" s="4">
        <f t="shared" si="82"/>
        <v>3.3018867924528267E-2</v>
      </c>
      <c r="G4862" s="37">
        <v>41.1</v>
      </c>
      <c r="H4862" s="1095">
        <v>45867</v>
      </c>
    </row>
    <row r="4863" spans="3:8" x14ac:dyDescent="0.25">
      <c r="C4863" s="1098">
        <v>5</v>
      </c>
      <c r="D4863" s="1098">
        <v>98</v>
      </c>
      <c r="E4863" s="1099">
        <v>30.5</v>
      </c>
      <c r="F4863" s="4">
        <f t="shared" si="82"/>
        <v>7.394366197183104E-2</v>
      </c>
      <c r="G4863" s="37">
        <v>41.1</v>
      </c>
      <c r="H4863" s="1095">
        <v>45867</v>
      </c>
    </row>
    <row r="4864" spans="3:8" x14ac:dyDescent="0.25">
      <c r="C4864" s="1098">
        <v>6</v>
      </c>
      <c r="D4864" s="1098">
        <v>113</v>
      </c>
      <c r="E4864" s="1099">
        <v>41.7</v>
      </c>
      <c r="F4864" s="4">
        <f t="shared" si="82"/>
        <v>1.2135922330097087E-2</v>
      </c>
      <c r="G4864" s="37">
        <v>41.1</v>
      </c>
      <c r="H4864" s="1095">
        <v>45867</v>
      </c>
    </row>
    <row r="4865" spans="3:8" x14ac:dyDescent="0.25">
      <c r="C4865" s="1098">
        <v>7</v>
      </c>
      <c r="D4865" s="1098">
        <v>73</v>
      </c>
      <c r="E4865" s="1099">
        <v>40.6</v>
      </c>
      <c r="F4865" s="4">
        <f t="shared" si="82"/>
        <v>6.2827225130890008E-2</v>
      </c>
      <c r="G4865" s="37">
        <v>41.1</v>
      </c>
      <c r="H4865" s="1095">
        <v>45867</v>
      </c>
    </row>
    <row r="4866" spans="3:8" x14ac:dyDescent="0.25">
      <c r="C4866" s="1098">
        <v>8</v>
      </c>
      <c r="D4866" s="1098">
        <v>0</v>
      </c>
      <c r="E4866" s="1099"/>
      <c r="F4866" s="4" t="str">
        <f t="shared" si="82"/>
        <v/>
      </c>
      <c r="G4866" s="37">
        <v>41.1</v>
      </c>
      <c r="H4866" s="1095">
        <v>45867</v>
      </c>
    </row>
    <row r="4867" spans="3:8" x14ac:dyDescent="0.25">
      <c r="C4867" s="1098">
        <v>9</v>
      </c>
      <c r="D4867" s="1098">
        <v>113</v>
      </c>
      <c r="E4867" s="1099">
        <v>43.5</v>
      </c>
      <c r="F4867" s="4">
        <f t="shared" si="82"/>
        <v>4.6189376443418672E-3</v>
      </c>
      <c r="G4867" s="37">
        <v>41.1</v>
      </c>
      <c r="H4867" s="1095">
        <v>45867</v>
      </c>
    </row>
    <row r="4868" spans="3:8" x14ac:dyDescent="0.25">
      <c r="C4868" s="1098">
        <v>10</v>
      </c>
      <c r="D4868" s="1098">
        <v>113</v>
      </c>
      <c r="E4868" s="1099">
        <v>43.1</v>
      </c>
      <c r="F4868" s="4">
        <f t="shared" si="82"/>
        <v>6.1576354679802957E-2</v>
      </c>
      <c r="G4868" s="37">
        <v>41.1</v>
      </c>
      <c r="H4868" s="1095">
        <v>45867</v>
      </c>
    </row>
    <row r="4869" spans="3:8" x14ac:dyDescent="0.25">
      <c r="C4869" s="1100" t="s">
        <v>0</v>
      </c>
      <c r="D4869" s="1100" t="s">
        <v>7</v>
      </c>
      <c r="E4869" s="1101" t="s">
        <v>4</v>
      </c>
      <c r="F4869" s="4" t="str">
        <f t="shared" si="82"/>
        <v/>
      </c>
      <c r="G4869" s="37">
        <v>39.4</v>
      </c>
      <c r="H4869" s="1102">
        <v>45868</v>
      </c>
    </row>
    <row r="4870" spans="3:8" x14ac:dyDescent="0.25">
      <c r="C4870" s="1100">
        <v>51</v>
      </c>
      <c r="D4870" s="1100">
        <v>34</v>
      </c>
      <c r="E4870" s="1101">
        <v>31.8</v>
      </c>
      <c r="F4870" s="4">
        <f t="shared" si="82"/>
        <v>-9.6590909090909144E-2</v>
      </c>
      <c r="G4870" s="37">
        <v>39.4</v>
      </c>
      <c r="H4870" s="1102">
        <v>45868</v>
      </c>
    </row>
    <row r="4871" spans="3:8" x14ac:dyDescent="0.25">
      <c r="C4871" s="1100">
        <v>1</v>
      </c>
      <c r="D4871" s="1100">
        <v>113</v>
      </c>
      <c r="E4871" s="1101">
        <v>42.7</v>
      </c>
      <c r="F4871" s="4">
        <f t="shared" si="82"/>
        <v>1.9093078758949982E-2</v>
      </c>
      <c r="G4871" s="37">
        <v>39.4</v>
      </c>
      <c r="H4871" s="1102">
        <v>45868</v>
      </c>
    </row>
    <row r="4872" spans="3:8" x14ac:dyDescent="0.25">
      <c r="C4872" s="1100">
        <v>2</v>
      </c>
      <c r="D4872" s="1100">
        <v>0</v>
      </c>
      <c r="E4872" s="1101"/>
      <c r="F4872" s="4" t="str">
        <f t="shared" si="82"/>
        <v/>
      </c>
      <c r="G4872" s="37">
        <v>39.4</v>
      </c>
      <c r="H4872" s="1102">
        <v>45868</v>
      </c>
    </row>
    <row r="4873" spans="3:8" x14ac:dyDescent="0.25">
      <c r="C4873" s="1100">
        <v>3</v>
      </c>
      <c r="D4873" s="1100">
        <v>64</v>
      </c>
      <c r="E4873" s="1101">
        <v>37.4</v>
      </c>
      <c r="F4873" s="4">
        <f t="shared" si="82"/>
        <v>3.8888888888888848E-2</v>
      </c>
      <c r="G4873" s="37">
        <v>39.4</v>
      </c>
      <c r="H4873" s="1102">
        <v>45868</v>
      </c>
    </row>
    <row r="4874" spans="3:8" x14ac:dyDescent="0.25">
      <c r="C4874" s="1100">
        <v>4</v>
      </c>
      <c r="D4874" s="1100">
        <v>112</v>
      </c>
      <c r="E4874" s="1101">
        <v>43.1</v>
      </c>
      <c r="F4874" s="4">
        <f t="shared" si="82"/>
        <v>-1.5981735159817254E-2</v>
      </c>
      <c r="G4874" s="37">
        <v>39.4</v>
      </c>
      <c r="H4874" s="1102">
        <v>45868</v>
      </c>
    </row>
    <row r="4875" spans="3:8" x14ac:dyDescent="0.25">
      <c r="C4875" s="1100">
        <v>5</v>
      </c>
      <c r="D4875" s="1100">
        <v>98</v>
      </c>
      <c r="E4875" s="1101">
        <v>30.6</v>
      </c>
      <c r="F4875" s="4">
        <f t="shared" si="82"/>
        <v>3.2786885245902103E-3</v>
      </c>
      <c r="G4875" s="37">
        <v>39.4</v>
      </c>
      <c r="H4875" s="1102">
        <v>45868</v>
      </c>
    </row>
    <row r="4876" spans="3:8" x14ac:dyDescent="0.25">
      <c r="C4876" s="1100">
        <v>6</v>
      </c>
      <c r="D4876" s="1100">
        <v>112</v>
      </c>
      <c r="E4876" s="1101">
        <v>41.9</v>
      </c>
      <c r="F4876" s="4">
        <f t="shared" si="82"/>
        <v>4.7961630695442618E-3</v>
      </c>
      <c r="G4876" s="37">
        <v>39.4</v>
      </c>
      <c r="H4876" s="1102">
        <v>45868</v>
      </c>
    </row>
    <row r="4877" spans="3:8" x14ac:dyDescent="0.25">
      <c r="C4877" s="1100">
        <v>7</v>
      </c>
      <c r="D4877" s="1100">
        <v>73</v>
      </c>
      <c r="E4877" s="1101">
        <v>39.6</v>
      </c>
      <c r="F4877" s="4">
        <f t="shared" si="82"/>
        <v>-2.463054187192118E-2</v>
      </c>
      <c r="G4877" s="37">
        <v>39.4</v>
      </c>
      <c r="H4877" s="1102">
        <v>45868</v>
      </c>
    </row>
    <row r="4878" spans="3:8" x14ac:dyDescent="0.25">
      <c r="C4878" s="1100">
        <v>8</v>
      </c>
      <c r="D4878" s="1100">
        <v>0</v>
      </c>
      <c r="E4878" s="1101"/>
      <c r="F4878" s="4" t="str">
        <f t="shared" si="82"/>
        <v/>
      </c>
      <c r="G4878" s="37">
        <v>39.4</v>
      </c>
      <c r="H4878" s="1102">
        <v>45868</v>
      </c>
    </row>
    <row r="4879" spans="3:8" x14ac:dyDescent="0.25">
      <c r="C4879" s="1100">
        <v>9</v>
      </c>
      <c r="D4879" s="1100">
        <v>112</v>
      </c>
      <c r="E4879" s="1101">
        <v>45.2</v>
      </c>
      <c r="F4879" s="4">
        <f t="shared" si="82"/>
        <v>3.9080459770115004E-2</v>
      </c>
      <c r="G4879" s="37">
        <v>39.4</v>
      </c>
      <c r="H4879" s="1102">
        <v>45868</v>
      </c>
    </row>
    <row r="4880" spans="3:8" x14ac:dyDescent="0.25">
      <c r="C4880" s="1100">
        <v>10</v>
      </c>
      <c r="D4880" s="1100">
        <v>112</v>
      </c>
      <c r="E4880" s="1101">
        <v>42.7</v>
      </c>
      <c r="F4880" s="4">
        <f t="shared" si="82"/>
        <v>-9.2807424593967184E-3</v>
      </c>
      <c r="G4880" s="37">
        <v>39.4</v>
      </c>
      <c r="H4880" s="1102">
        <v>45868</v>
      </c>
    </row>
    <row r="4881" spans="3:8" x14ac:dyDescent="0.25">
      <c r="C4881" s="1103" t="s">
        <v>0</v>
      </c>
      <c r="D4881" s="1103" t="s">
        <v>7</v>
      </c>
      <c r="E4881" s="1104" t="s">
        <v>4</v>
      </c>
      <c r="F4881" s="4" t="str">
        <f t="shared" si="82"/>
        <v/>
      </c>
      <c r="G4881" s="37">
        <v>39.5</v>
      </c>
      <c r="H4881" s="1105">
        <v>45869</v>
      </c>
    </row>
    <row r="4882" spans="3:8" x14ac:dyDescent="0.25">
      <c r="C4882" s="1103">
        <v>51</v>
      </c>
      <c r="D4882" s="1103">
        <v>40</v>
      </c>
      <c r="E4882" s="1104">
        <v>32.799999999999997</v>
      </c>
      <c r="F4882" s="4">
        <f t="shared" si="82"/>
        <v>3.1446540880503034E-2</v>
      </c>
      <c r="G4882" s="37">
        <v>39.5</v>
      </c>
      <c r="H4882" s="1105">
        <v>45869</v>
      </c>
    </row>
    <row r="4883" spans="3:8" x14ac:dyDescent="0.25">
      <c r="C4883" s="1103">
        <v>1</v>
      </c>
      <c r="D4883" s="1103">
        <v>114</v>
      </c>
      <c r="E4883" s="1104">
        <v>40.799999999999997</v>
      </c>
      <c r="F4883" s="4">
        <f t="shared" si="82"/>
        <v>-4.4496487119438072E-2</v>
      </c>
      <c r="G4883" s="37">
        <v>39.5</v>
      </c>
      <c r="H4883" s="1105">
        <v>45869</v>
      </c>
    </row>
    <row r="4884" spans="3:8" x14ac:dyDescent="0.25">
      <c r="C4884" s="1103">
        <v>2</v>
      </c>
      <c r="D4884" s="1103">
        <v>0</v>
      </c>
      <c r="E4884" s="1104"/>
      <c r="F4884" s="4" t="str">
        <f t="shared" si="82"/>
        <v/>
      </c>
      <c r="G4884" s="37">
        <v>39.5</v>
      </c>
      <c r="H4884" s="1105">
        <v>45869</v>
      </c>
    </row>
    <row r="4885" spans="3:8" x14ac:dyDescent="0.25">
      <c r="C4885" s="1103">
        <v>3</v>
      </c>
      <c r="D4885" s="1103">
        <v>64</v>
      </c>
      <c r="E4885" s="1104">
        <v>36.200000000000003</v>
      </c>
      <c r="F4885" s="4">
        <f t="shared" si="82"/>
        <v>-3.2085561497326089E-2</v>
      </c>
      <c r="G4885" s="37">
        <v>39.5</v>
      </c>
      <c r="H4885" s="1105">
        <v>45869</v>
      </c>
    </row>
    <row r="4886" spans="3:8" x14ac:dyDescent="0.25">
      <c r="C4886" s="1103">
        <v>4</v>
      </c>
      <c r="D4886" s="1103">
        <v>112</v>
      </c>
      <c r="E4886" s="1104">
        <v>42.7</v>
      </c>
      <c r="F4886" s="4">
        <f t="shared" si="82"/>
        <v>-9.2807424593967184E-3</v>
      </c>
      <c r="G4886" s="37">
        <v>39.5</v>
      </c>
      <c r="H4886" s="1105">
        <v>45869</v>
      </c>
    </row>
    <row r="4887" spans="3:8" x14ac:dyDescent="0.25">
      <c r="C4887" s="1103">
        <v>5</v>
      </c>
      <c r="D4887" s="1103">
        <v>99</v>
      </c>
      <c r="E4887" s="1104">
        <v>29.2</v>
      </c>
      <c r="F4887" s="4">
        <f t="shared" si="82"/>
        <v>-4.5751633986928171E-2</v>
      </c>
      <c r="G4887" s="37">
        <v>39.5</v>
      </c>
      <c r="H4887" s="1105">
        <v>45869</v>
      </c>
    </row>
    <row r="4888" spans="3:8" x14ac:dyDescent="0.25">
      <c r="C4888" s="1103">
        <v>6</v>
      </c>
      <c r="D4888" s="1103">
        <v>110</v>
      </c>
      <c r="E4888" s="1104">
        <v>40.4</v>
      </c>
      <c r="F4888" s="4">
        <f t="shared" si="82"/>
        <v>-3.5799522673031027E-2</v>
      </c>
      <c r="G4888" s="37">
        <v>39.5</v>
      </c>
      <c r="H4888" s="1105">
        <v>45869</v>
      </c>
    </row>
    <row r="4889" spans="3:8" x14ac:dyDescent="0.25">
      <c r="C4889" s="1103">
        <v>7</v>
      </c>
      <c r="D4889" s="1103">
        <v>73</v>
      </c>
      <c r="E4889" s="1104">
        <v>39</v>
      </c>
      <c r="F4889" s="4">
        <f t="shared" si="82"/>
        <v>-1.5151515151515187E-2</v>
      </c>
      <c r="G4889" s="37">
        <v>39.5</v>
      </c>
      <c r="H4889" s="1105">
        <v>45869</v>
      </c>
    </row>
    <row r="4890" spans="3:8" x14ac:dyDescent="0.25">
      <c r="C4890" s="1103">
        <v>8</v>
      </c>
      <c r="D4890" s="1103">
        <v>0</v>
      </c>
      <c r="E4890" s="1104"/>
      <c r="F4890" s="4" t="str">
        <f t="shared" si="82"/>
        <v/>
      </c>
      <c r="G4890" s="37">
        <v>39.5</v>
      </c>
      <c r="H4890" s="1105">
        <v>45869</v>
      </c>
    </row>
    <row r="4891" spans="3:8" x14ac:dyDescent="0.25">
      <c r="C4891" s="1103">
        <v>9</v>
      </c>
      <c r="D4891" s="1103">
        <v>113</v>
      </c>
      <c r="E4891" s="1104">
        <v>41.6</v>
      </c>
      <c r="F4891" s="4">
        <f t="shared" si="82"/>
        <v>-7.9646017699115071E-2</v>
      </c>
      <c r="G4891" s="37">
        <v>39.5</v>
      </c>
      <c r="H4891" s="1105">
        <v>45869</v>
      </c>
    </row>
    <row r="4892" spans="3:8" x14ac:dyDescent="0.25">
      <c r="C4892" s="1103">
        <v>10</v>
      </c>
      <c r="D4892" s="1103">
        <v>113</v>
      </c>
      <c r="E4892" s="1104">
        <v>42.6</v>
      </c>
      <c r="F4892" s="4">
        <f t="shared" si="82"/>
        <v>-2.3419203747072929E-3</v>
      </c>
      <c r="G4892" s="37">
        <v>39.5</v>
      </c>
      <c r="H4892" s="1105">
        <v>45869</v>
      </c>
    </row>
    <row r="4893" spans="3:8" x14ac:dyDescent="0.25">
      <c r="C4893" s="1106" t="s">
        <v>0</v>
      </c>
      <c r="D4893" s="1106" t="s">
        <v>7</v>
      </c>
      <c r="E4893" s="1107" t="s">
        <v>4</v>
      </c>
      <c r="F4893" s="4" t="str">
        <f t="shared" si="82"/>
        <v/>
      </c>
      <c r="G4893" s="37">
        <v>41.1</v>
      </c>
      <c r="H4893" s="1108">
        <v>45870</v>
      </c>
    </row>
    <row r="4894" spans="3:8" x14ac:dyDescent="0.25">
      <c r="C4894" s="1106">
        <v>51</v>
      </c>
      <c r="D4894" s="1106">
        <v>39</v>
      </c>
      <c r="E4894" s="1107">
        <v>32.700000000000003</v>
      </c>
      <c r="F4894" s="4">
        <f t="shared" si="82"/>
        <v>-3.0487804878047051E-3</v>
      </c>
      <c r="G4894" s="37">
        <v>41.1</v>
      </c>
      <c r="H4894" s="1108">
        <v>45870</v>
      </c>
    </row>
    <row r="4895" spans="3:8" x14ac:dyDescent="0.25">
      <c r="C4895" s="1106">
        <v>1</v>
      </c>
      <c r="D4895" s="1106">
        <v>114</v>
      </c>
      <c r="E4895" s="1107">
        <v>42.1</v>
      </c>
      <c r="F4895" s="4">
        <f t="shared" si="82"/>
        <v>3.1862745098039325E-2</v>
      </c>
      <c r="G4895" s="37">
        <v>41.1</v>
      </c>
      <c r="H4895" s="1108">
        <v>45870</v>
      </c>
    </row>
    <row r="4896" spans="3:8" x14ac:dyDescent="0.25">
      <c r="C4896" s="1106">
        <v>2</v>
      </c>
      <c r="D4896" s="1106">
        <v>0</v>
      </c>
      <c r="E4896" s="1107"/>
      <c r="F4896" s="4" t="str">
        <f t="shared" si="82"/>
        <v/>
      </c>
      <c r="G4896" s="37">
        <v>41.1</v>
      </c>
      <c r="H4896" s="1108">
        <v>45870</v>
      </c>
    </row>
    <row r="4897" spans="3:8" x14ac:dyDescent="0.25">
      <c r="C4897" s="1106">
        <v>3</v>
      </c>
      <c r="D4897" s="1106">
        <v>64</v>
      </c>
      <c r="E4897" s="1107">
        <v>37.5</v>
      </c>
      <c r="F4897" s="4">
        <f t="shared" si="82"/>
        <v>3.5911602209944667E-2</v>
      </c>
      <c r="G4897" s="37">
        <v>41.1</v>
      </c>
      <c r="H4897" s="1108">
        <v>45870</v>
      </c>
    </row>
    <row r="4898" spans="3:8" x14ac:dyDescent="0.25">
      <c r="C4898" s="1106">
        <v>4</v>
      </c>
      <c r="D4898" s="1106">
        <v>112</v>
      </c>
      <c r="E4898" s="1107">
        <v>42.7</v>
      </c>
      <c r="F4898" s="4">
        <f t="shared" si="82"/>
        <v>0</v>
      </c>
      <c r="G4898" s="37">
        <v>41.1</v>
      </c>
      <c r="H4898" s="1108">
        <v>45870</v>
      </c>
    </row>
    <row r="4899" spans="3:8" x14ac:dyDescent="0.25">
      <c r="C4899" s="1106">
        <v>5</v>
      </c>
      <c r="D4899" s="1106">
        <v>85</v>
      </c>
      <c r="E4899" s="1107">
        <v>29.7</v>
      </c>
      <c r="F4899" s="4">
        <f t="shared" si="82"/>
        <v>1.7123287671232876E-2</v>
      </c>
      <c r="G4899" s="37">
        <v>41.1</v>
      </c>
      <c r="H4899" s="1108">
        <v>45870</v>
      </c>
    </row>
    <row r="4900" spans="3:8" x14ac:dyDescent="0.25">
      <c r="C4900" s="1106">
        <v>6</v>
      </c>
      <c r="D4900" s="1106">
        <v>115</v>
      </c>
      <c r="E4900" s="1107">
        <v>42.1</v>
      </c>
      <c r="F4900" s="4">
        <f t="shared" si="82"/>
        <v>4.2079207920792151E-2</v>
      </c>
      <c r="G4900" s="37">
        <v>41.1</v>
      </c>
      <c r="H4900" s="1108">
        <v>45870</v>
      </c>
    </row>
    <row r="4901" spans="3:8" x14ac:dyDescent="0.25">
      <c r="C4901" s="1106">
        <v>7</v>
      </c>
      <c r="D4901" s="1106">
        <v>73</v>
      </c>
      <c r="E4901" s="1107">
        <v>39.4</v>
      </c>
      <c r="F4901" s="4">
        <f t="shared" si="82"/>
        <v>1.025641025641022E-2</v>
      </c>
      <c r="G4901" s="37">
        <v>41.1</v>
      </c>
      <c r="H4901" s="1108">
        <v>45870</v>
      </c>
    </row>
    <row r="4902" spans="3:8" x14ac:dyDescent="0.25">
      <c r="C4902" s="1106">
        <v>8</v>
      </c>
      <c r="D4902" s="1106">
        <v>0</v>
      </c>
      <c r="E4902" s="1107"/>
      <c r="F4902" s="4" t="str">
        <f t="shared" si="82"/>
        <v/>
      </c>
      <c r="G4902" s="37">
        <v>41.1</v>
      </c>
      <c r="H4902" s="1108">
        <v>45870</v>
      </c>
    </row>
    <row r="4903" spans="3:8" x14ac:dyDescent="0.25">
      <c r="C4903" s="1106">
        <v>9</v>
      </c>
      <c r="D4903" s="1106">
        <v>114</v>
      </c>
      <c r="E4903" s="1107">
        <v>43.1</v>
      </c>
      <c r="F4903" s="4">
        <f t="shared" ref="F4903:F4966" si="83">IFERROR((E4903-E4891)/E4891,"")</f>
        <v>3.6057692307692304E-2</v>
      </c>
      <c r="G4903" s="37">
        <v>41.1</v>
      </c>
      <c r="H4903" s="1108">
        <v>45870</v>
      </c>
    </row>
    <row r="4904" spans="3:8" x14ac:dyDescent="0.25">
      <c r="C4904" s="1106">
        <v>10</v>
      </c>
      <c r="D4904" s="1106">
        <v>113</v>
      </c>
      <c r="E4904" s="1107">
        <v>44.7</v>
      </c>
      <c r="F4904" s="4">
        <f t="shared" si="83"/>
        <v>4.9295774647887355E-2</v>
      </c>
      <c r="G4904" s="37">
        <v>41.1</v>
      </c>
      <c r="H4904" s="1108">
        <v>45870</v>
      </c>
    </row>
    <row r="4905" spans="3:8" x14ac:dyDescent="0.25">
      <c r="C4905" s="1109" t="s">
        <v>0</v>
      </c>
      <c r="D4905" s="1109" t="s">
        <v>7</v>
      </c>
      <c r="E4905" s="1110" t="s">
        <v>4</v>
      </c>
      <c r="F4905" s="4" t="str">
        <f t="shared" si="83"/>
        <v/>
      </c>
      <c r="G4905" s="37">
        <v>40.4</v>
      </c>
      <c r="H4905" s="1108">
        <v>45871</v>
      </c>
    </row>
    <row r="4906" spans="3:8" x14ac:dyDescent="0.25">
      <c r="C4906" s="1109">
        <v>51</v>
      </c>
      <c r="D4906" s="1109">
        <v>39</v>
      </c>
      <c r="E4906" s="1110">
        <v>33.9</v>
      </c>
      <c r="F4906" s="4">
        <f t="shared" si="83"/>
        <v>3.6697247706421882E-2</v>
      </c>
      <c r="G4906" s="37">
        <v>40.4</v>
      </c>
      <c r="H4906" s="1108">
        <v>45871</v>
      </c>
    </row>
    <row r="4907" spans="3:8" x14ac:dyDescent="0.25">
      <c r="C4907" s="1109">
        <v>1</v>
      </c>
      <c r="D4907" s="1109">
        <v>115</v>
      </c>
      <c r="E4907" s="1110">
        <v>41.6</v>
      </c>
      <c r="F4907" s="4">
        <f t="shared" si="83"/>
        <v>-1.1876484560570071E-2</v>
      </c>
      <c r="G4907" s="37">
        <v>40.4</v>
      </c>
      <c r="H4907" s="1108">
        <v>45871</v>
      </c>
    </row>
    <row r="4908" spans="3:8" x14ac:dyDescent="0.25">
      <c r="C4908" s="1109">
        <v>2</v>
      </c>
      <c r="D4908" s="1109">
        <v>0</v>
      </c>
      <c r="E4908" s="1110"/>
      <c r="F4908" s="4" t="str">
        <f t="shared" si="83"/>
        <v/>
      </c>
      <c r="G4908" s="37">
        <v>40.4</v>
      </c>
      <c r="H4908" s="1108">
        <v>45871</v>
      </c>
    </row>
    <row r="4909" spans="3:8" x14ac:dyDescent="0.25">
      <c r="C4909" s="1109">
        <v>3</v>
      </c>
      <c r="D4909" s="1109">
        <v>63</v>
      </c>
      <c r="E4909" s="1110">
        <v>37.700000000000003</v>
      </c>
      <c r="F4909" s="4">
        <f t="shared" si="83"/>
        <v>5.3333333333334095E-3</v>
      </c>
      <c r="G4909" s="37">
        <v>40.4</v>
      </c>
      <c r="H4909" s="1108">
        <v>45871</v>
      </c>
    </row>
    <row r="4910" spans="3:8" x14ac:dyDescent="0.25">
      <c r="C4910" s="1109">
        <v>4</v>
      </c>
      <c r="D4910" s="1109">
        <v>112</v>
      </c>
      <c r="E4910" s="1110">
        <v>42.1</v>
      </c>
      <c r="F4910" s="4">
        <f t="shared" si="83"/>
        <v>-1.4051522248243593E-2</v>
      </c>
      <c r="G4910" s="37">
        <v>40.4</v>
      </c>
      <c r="H4910" s="1108">
        <v>45871</v>
      </c>
    </row>
    <row r="4911" spans="3:8" x14ac:dyDescent="0.25">
      <c r="C4911" s="1109">
        <v>5</v>
      </c>
      <c r="D4911" s="1109">
        <v>85</v>
      </c>
      <c r="E4911" s="1110">
        <v>30.2</v>
      </c>
      <c r="F4911" s="4">
        <f t="shared" si="83"/>
        <v>1.6835016835016835E-2</v>
      </c>
      <c r="G4911" s="37">
        <v>40.4</v>
      </c>
      <c r="H4911" s="1108">
        <v>45871</v>
      </c>
    </row>
    <row r="4912" spans="3:8" x14ac:dyDescent="0.25">
      <c r="C4912" s="1109">
        <v>6</v>
      </c>
      <c r="D4912" s="1109">
        <v>115</v>
      </c>
      <c r="E4912" s="1110">
        <v>40.6</v>
      </c>
      <c r="F4912" s="4">
        <f t="shared" si="83"/>
        <v>-3.5629453681710214E-2</v>
      </c>
      <c r="G4912" s="37">
        <v>40.4</v>
      </c>
      <c r="H4912" s="1108">
        <v>45871</v>
      </c>
    </row>
    <row r="4913" spans="3:8" x14ac:dyDescent="0.25">
      <c r="C4913" s="1109">
        <v>7</v>
      </c>
      <c r="D4913" s="1109">
        <v>73</v>
      </c>
      <c r="E4913" s="1110">
        <v>38.9</v>
      </c>
      <c r="F4913" s="4">
        <f t="shared" si="83"/>
        <v>-1.2690355329949238E-2</v>
      </c>
      <c r="G4913" s="37">
        <v>40.4</v>
      </c>
      <c r="H4913" s="1108">
        <v>45871</v>
      </c>
    </row>
    <row r="4914" spans="3:8" x14ac:dyDescent="0.25">
      <c r="C4914" s="1109">
        <v>8</v>
      </c>
      <c r="D4914" s="1109">
        <v>0</v>
      </c>
      <c r="E4914" s="1110"/>
      <c r="F4914" s="4" t="str">
        <f t="shared" si="83"/>
        <v/>
      </c>
      <c r="G4914" s="37">
        <v>40.4</v>
      </c>
      <c r="H4914" s="1108">
        <v>45871</v>
      </c>
    </row>
    <row r="4915" spans="3:8" x14ac:dyDescent="0.25">
      <c r="C4915" s="1109">
        <v>9</v>
      </c>
      <c r="D4915" s="1109">
        <v>113</v>
      </c>
      <c r="E4915" s="1110">
        <v>42.9</v>
      </c>
      <c r="F4915" s="4">
        <f t="shared" si="83"/>
        <v>-4.6403712296984416E-3</v>
      </c>
      <c r="G4915" s="37">
        <v>40.4</v>
      </c>
      <c r="H4915" s="1108">
        <v>45871</v>
      </c>
    </row>
    <row r="4916" spans="3:8" x14ac:dyDescent="0.25">
      <c r="C4916" s="1109">
        <v>10</v>
      </c>
      <c r="D4916" s="1109">
        <v>113</v>
      </c>
      <c r="E4916" s="1110">
        <v>42.7</v>
      </c>
      <c r="F4916" s="4">
        <f t="shared" si="83"/>
        <v>-4.4742729306487691E-2</v>
      </c>
      <c r="G4916" s="37">
        <v>40.4</v>
      </c>
      <c r="H4916" s="1108">
        <v>45871</v>
      </c>
    </row>
    <row r="4917" spans="3:8" x14ac:dyDescent="0.25">
      <c r="C4917" s="1111" t="s">
        <v>0</v>
      </c>
      <c r="D4917" s="1111" t="s">
        <v>7</v>
      </c>
      <c r="E4917" s="1112" t="s">
        <v>4</v>
      </c>
      <c r="F4917" s="4" t="str">
        <f t="shared" si="83"/>
        <v/>
      </c>
      <c r="G4917" s="37">
        <v>39.5</v>
      </c>
      <c r="H4917" s="1113">
        <v>45872</v>
      </c>
    </row>
    <row r="4918" spans="3:8" x14ac:dyDescent="0.25">
      <c r="C4918" s="1111">
        <v>51</v>
      </c>
      <c r="D4918" s="1111">
        <v>39</v>
      </c>
      <c r="E4918" s="1112">
        <v>31.8</v>
      </c>
      <c r="F4918" s="4">
        <f t="shared" si="83"/>
        <v>-6.1946902654867193E-2</v>
      </c>
      <c r="G4918" s="37">
        <v>39.5</v>
      </c>
      <c r="H4918" s="1113">
        <v>45872</v>
      </c>
    </row>
    <row r="4919" spans="3:8" x14ac:dyDescent="0.25">
      <c r="C4919" s="1111">
        <v>1</v>
      </c>
      <c r="D4919" s="1111">
        <v>115</v>
      </c>
      <c r="E4919" s="1112">
        <v>41</v>
      </c>
      <c r="F4919" s="4">
        <f t="shared" si="83"/>
        <v>-1.4423076923076957E-2</v>
      </c>
      <c r="G4919" s="37">
        <v>39.5</v>
      </c>
      <c r="H4919" s="1113">
        <v>45872</v>
      </c>
    </row>
    <row r="4920" spans="3:8" x14ac:dyDescent="0.25">
      <c r="C4920" s="1111">
        <v>2</v>
      </c>
      <c r="D4920" s="1111">
        <v>0</v>
      </c>
      <c r="E4920" s="1112"/>
      <c r="F4920" s="4" t="str">
        <f t="shared" si="83"/>
        <v/>
      </c>
      <c r="G4920" s="37">
        <v>39.5</v>
      </c>
      <c r="H4920" s="1113">
        <v>45872</v>
      </c>
    </row>
    <row r="4921" spans="3:8" x14ac:dyDescent="0.25">
      <c r="C4921" s="1111">
        <v>3</v>
      </c>
      <c r="D4921" s="1111">
        <v>63</v>
      </c>
      <c r="E4921" s="1112">
        <v>36</v>
      </c>
      <c r="F4921" s="4">
        <f t="shared" si="83"/>
        <v>-4.5092838196286546E-2</v>
      </c>
      <c r="G4921" s="37">
        <v>39.5</v>
      </c>
      <c r="H4921" s="1113">
        <v>45872</v>
      </c>
    </row>
    <row r="4922" spans="3:8" x14ac:dyDescent="0.25">
      <c r="C4922" s="1111">
        <v>4</v>
      </c>
      <c r="D4922" s="1111">
        <v>111</v>
      </c>
      <c r="E4922" s="1112">
        <v>41.3</v>
      </c>
      <c r="F4922" s="4">
        <f t="shared" si="83"/>
        <v>-1.9002375296912215E-2</v>
      </c>
      <c r="G4922" s="37">
        <v>39.5</v>
      </c>
      <c r="H4922" s="1113">
        <v>45872</v>
      </c>
    </row>
    <row r="4923" spans="3:8" x14ac:dyDescent="0.25">
      <c r="C4923" s="1111">
        <v>5</v>
      </c>
      <c r="D4923" s="1111">
        <v>85</v>
      </c>
      <c r="E4923" s="1112">
        <v>29.4</v>
      </c>
      <c r="F4923" s="4">
        <f t="shared" si="83"/>
        <v>-2.6490066225165587E-2</v>
      </c>
      <c r="G4923" s="37">
        <v>39.5</v>
      </c>
      <c r="H4923" s="1113">
        <v>45872</v>
      </c>
    </row>
    <row r="4924" spans="3:8" x14ac:dyDescent="0.25">
      <c r="C4924" s="1111">
        <v>6</v>
      </c>
      <c r="D4924" s="1111">
        <v>114</v>
      </c>
      <c r="E4924" s="1112">
        <v>40.299999999999997</v>
      </c>
      <c r="F4924" s="4">
        <f t="shared" si="83"/>
        <v>-7.3891625615764593E-3</v>
      </c>
      <c r="G4924" s="37">
        <v>39.5</v>
      </c>
      <c r="H4924" s="1113">
        <v>45872</v>
      </c>
    </row>
    <row r="4925" spans="3:8" x14ac:dyDescent="0.25">
      <c r="C4925" s="1111">
        <v>7</v>
      </c>
      <c r="D4925" s="1111">
        <v>73</v>
      </c>
      <c r="E4925" s="1112">
        <v>37.4</v>
      </c>
      <c r="F4925" s="4">
        <f t="shared" si="83"/>
        <v>-3.8560411311053984E-2</v>
      </c>
      <c r="G4925" s="37">
        <v>39.5</v>
      </c>
      <c r="H4925" s="1113">
        <v>45872</v>
      </c>
    </row>
    <row r="4926" spans="3:8" x14ac:dyDescent="0.25">
      <c r="C4926" s="1111">
        <v>8</v>
      </c>
      <c r="D4926" s="1111">
        <v>0</v>
      </c>
      <c r="E4926" s="1112"/>
      <c r="F4926" s="4" t="str">
        <f t="shared" si="83"/>
        <v/>
      </c>
      <c r="G4926" s="37">
        <v>39.5</v>
      </c>
      <c r="H4926" s="1113">
        <v>45872</v>
      </c>
    </row>
    <row r="4927" spans="3:8" x14ac:dyDescent="0.25">
      <c r="C4927" s="1111">
        <v>9</v>
      </c>
      <c r="D4927" s="1111">
        <v>113</v>
      </c>
      <c r="E4927" s="1112">
        <v>41.7</v>
      </c>
      <c r="F4927" s="4">
        <f t="shared" si="83"/>
        <v>-2.7972027972027875E-2</v>
      </c>
      <c r="G4927" s="37">
        <v>39.5</v>
      </c>
      <c r="H4927" s="1113">
        <v>45872</v>
      </c>
    </row>
    <row r="4928" spans="3:8" x14ac:dyDescent="0.25">
      <c r="C4928" s="1111">
        <v>10</v>
      </c>
      <c r="D4928" s="1111">
        <v>113</v>
      </c>
      <c r="E4928" s="1112">
        <v>41.7</v>
      </c>
      <c r="F4928" s="4">
        <f t="shared" si="83"/>
        <v>-2.3419203747072598E-2</v>
      </c>
      <c r="G4928" s="37">
        <v>39.5</v>
      </c>
      <c r="H4928" s="1113">
        <v>45872</v>
      </c>
    </row>
    <row r="4929" spans="3:8" x14ac:dyDescent="0.25">
      <c r="C4929" s="1114" t="s">
        <v>0</v>
      </c>
      <c r="D4929" s="1114" t="s">
        <v>7</v>
      </c>
      <c r="E4929" s="1115" t="s">
        <v>4</v>
      </c>
      <c r="F4929" s="4" t="str">
        <f t="shared" si="83"/>
        <v/>
      </c>
      <c r="G4929" s="37">
        <v>41.3</v>
      </c>
      <c r="H4929" s="1116">
        <v>45873</v>
      </c>
    </row>
    <row r="4930" spans="3:8" x14ac:dyDescent="0.25">
      <c r="C4930" s="1114">
        <v>51</v>
      </c>
      <c r="D4930" s="1114">
        <v>39</v>
      </c>
      <c r="E4930" s="1115">
        <v>28.5</v>
      </c>
      <c r="F4930" s="4">
        <f t="shared" si="83"/>
        <v>-0.1037735849056604</v>
      </c>
      <c r="G4930" s="37">
        <v>41.3</v>
      </c>
      <c r="H4930" s="1116">
        <v>45873</v>
      </c>
    </row>
    <row r="4931" spans="3:8" x14ac:dyDescent="0.25">
      <c r="C4931" s="1114">
        <v>1</v>
      </c>
      <c r="D4931" s="1114">
        <v>115</v>
      </c>
      <c r="E4931" s="1115">
        <v>44</v>
      </c>
      <c r="F4931" s="4">
        <f t="shared" si="83"/>
        <v>7.3170731707317069E-2</v>
      </c>
      <c r="G4931" s="37">
        <v>41.3</v>
      </c>
      <c r="H4931" s="1116">
        <v>45873</v>
      </c>
    </row>
    <row r="4932" spans="3:8" x14ac:dyDescent="0.25">
      <c r="C4932" s="1114">
        <v>2</v>
      </c>
      <c r="D4932" s="1114">
        <v>0</v>
      </c>
      <c r="E4932" s="1115"/>
      <c r="F4932" s="4" t="str">
        <f t="shared" si="83"/>
        <v/>
      </c>
      <c r="G4932" s="37">
        <v>41.3</v>
      </c>
      <c r="H4932" s="1116">
        <v>45873</v>
      </c>
    </row>
    <row r="4933" spans="3:8" x14ac:dyDescent="0.25">
      <c r="C4933" s="1114">
        <v>3</v>
      </c>
      <c r="D4933" s="1114">
        <v>63</v>
      </c>
      <c r="E4933" s="1115">
        <v>37.299999999999997</v>
      </c>
      <c r="F4933" s="4">
        <f t="shared" si="83"/>
        <v>3.6111111111111031E-2</v>
      </c>
      <c r="G4933" s="37">
        <v>41.3</v>
      </c>
      <c r="H4933" s="1116">
        <v>45873</v>
      </c>
    </row>
    <row r="4934" spans="3:8" x14ac:dyDescent="0.25">
      <c r="C4934" s="1114">
        <v>4</v>
      </c>
      <c r="D4934" s="1114">
        <v>111</v>
      </c>
      <c r="E4934" s="1115">
        <v>42.8</v>
      </c>
      <c r="F4934" s="4">
        <f t="shared" si="83"/>
        <v>3.6319612590799036E-2</v>
      </c>
      <c r="G4934" s="37">
        <v>41.3</v>
      </c>
      <c r="H4934" s="1116">
        <v>45873</v>
      </c>
    </row>
    <row r="4935" spans="3:8" x14ac:dyDescent="0.25">
      <c r="C4935" s="1114">
        <v>5</v>
      </c>
      <c r="D4935" s="1114">
        <v>85</v>
      </c>
      <c r="E4935" s="1115">
        <v>31.1</v>
      </c>
      <c r="F4935" s="4">
        <f t="shared" si="83"/>
        <v>5.7823129251700779E-2</v>
      </c>
      <c r="G4935" s="37">
        <v>41.3</v>
      </c>
      <c r="H4935" s="1116">
        <v>45873</v>
      </c>
    </row>
    <row r="4936" spans="3:8" x14ac:dyDescent="0.25">
      <c r="C4936" s="1114">
        <v>6</v>
      </c>
      <c r="D4936" s="1114">
        <v>114</v>
      </c>
      <c r="E4936" s="1115">
        <v>41.7</v>
      </c>
      <c r="F4936" s="4">
        <f t="shared" si="83"/>
        <v>3.4739454094292944E-2</v>
      </c>
      <c r="G4936" s="37">
        <v>41.3</v>
      </c>
      <c r="H4936" s="1116">
        <v>45873</v>
      </c>
    </row>
    <row r="4937" spans="3:8" x14ac:dyDescent="0.25">
      <c r="C4937" s="1114">
        <v>7</v>
      </c>
      <c r="D4937" s="1114">
        <v>73</v>
      </c>
      <c r="E4937" s="1115">
        <v>39</v>
      </c>
      <c r="F4937" s="4">
        <f t="shared" si="83"/>
        <v>4.2780748663101643E-2</v>
      </c>
      <c r="G4937" s="37">
        <v>41.3</v>
      </c>
      <c r="H4937" s="1116">
        <v>45873</v>
      </c>
    </row>
    <row r="4938" spans="3:8" x14ac:dyDescent="0.25">
      <c r="C4938" s="1114">
        <v>8</v>
      </c>
      <c r="D4938" s="1114">
        <v>0</v>
      </c>
      <c r="E4938" s="1115"/>
      <c r="F4938" s="4" t="str">
        <f t="shared" si="83"/>
        <v/>
      </c>
      <c r="G4938" s="37">
        <v>41.3</v>
      </c>
      <c r="H4938" s="1116">
        <v>45873</v>
      </c>
    </row>
    <row r="4939" spans="3:8" x14ac:dyDescent="0.25">
      <c r="C4939" s="1114">
        <v>9</v>
      </c>
      <c r="D4939" s="1114">
        <v>112</v>
      </c>
      <c r="E4939" s="1115">
        <v>43.9</v>
      </c>
      <c r="F4939" s="4">
        <f t="shared" si="83"/>
        <v>5.2757793764987904E-2</v>
      </c>
      <c r="G4939" s="37">
        <v>41.3</v>
      </c>
      <c r="H4939" s="1116">
        <v>45873</v>
      </c>
    </row>
    <row r="4940" spans="3:8" x14ac:dyDescent="0.25">
      <c r="C4940" s="1114">
        <v>10</v>
      </c>
      <c r="D4940" s="1114">
        <v>113</v>
      </c>
      <c r="E4940" s="1115">
        <v>43.5</v>
      </c>
      <c r="F4940" s="4">
        <f t="shared" si="83"/>
        <v>4.3165467625899206E-2</v>
      </c>
      <c r="G4940" s="37">
        <v>41.3</v>
      </c>
      <c r="H4940" s="1116">
        <v>45873</v>
      </c>
    </row>
    <row r="4941" spans="3:8" x14ac:dyDescent="0.25">
      <c r="C4941" s="1117" t="s">
        <v>0</v>
      </c>
      <c r="D4941" s="1117" t="s">
        <v>7</v>
      </c>
      <c r="E4941" s="1118" t="s">
        <v>4</v>
      </c>
      <c r="F4941" s="4" t="str">
        <f t="shared" si="83"/>
        <v/>
      </c>
      <c r="G4941" s="37">
        <v>40.200000000000003</v>
      </c>
      <c r="H4941" s="1119">
        <v>45874</v>
      </c>
    </row>
    <row r="4942" spans="3:8" x14ac:dyDescent="0.25">
      <c r="C4942" s="1117">
        <v>51</v>
      </c>
      <c r="D4942" s="1117">
        <v>34</v>
      </c>
      <c r="E4942" s="1118">
        <v>34</v>
      </c>
      <c r="F4942" s="4">
        <f t="shared" si="83"/>
        <v>0.19298245614035087</v>
      </c>
      <c r="G4942" s="37">
        <v>40.200000000000003</v>
      </c>
      <c r="H4942" s="1119">
        <v>45874</v>
      </c>
    </row>
    <row r="4943" spans="3:8" x14ac:dyDescent="0.25">
      <c r="C4943" s="1117">
        <v>1</v>
      </c>
      <c r="D4943" s="1117">
        <v>115</v>
      </c>
      <c r="E4943" s="1118">
        <v>41.9</v>
      </c>
      <c r="F4943" s="4">
        <f t="shared" si="83"/>
        <v>-4.7727272727272757E-2</v>
      </c>
      <c r="G4943" s="37">
        <v>40.200000000000003</v>
      </c>
      <c r="H4943" s="1119">
        <v>45874</v>
      </c>
    </row>
    <row r="4944" spans="3:8" x14ac:dyDescent="0.25">
      <c r="C4944" s="1117">
        <v>2</v>
      </c>
      <c r="D4944" s="1117">
        <v>0</v>
      </c>
      <c r="E4944" s="1118"/>
      <c r="F4944" s="4" t="str">
        <f t="shared" si="83"/>
        <v/>
      </c>
      <c r="G4944" s="37">
        <v>40.200000000000003</v>
      </c>
      <c r="H4944" s="1119">
        <v>45874</v>
      </c>
    </row>
    <row r="4945" spans="3:8" x14ac:dyDescent="0.25">
      <c r="C4945" s="1117">
        <v>3</v>
      </c>
      <c r="D4945" s="1117">
        <v>63</v>
      </c>
      <c r="E4945" s="1118">
        <v>36.9</v>
      </c>
      <c r="F4945" s="4">
        <f t="shared" si="83"/>
        <v>-1.0723860589812294E-2</v>
      </c>
      <c r="G4945" s="37">
        <v>40.200000000000003</v>
      </c>
      <c r="H4945" s="1119">
        <v>45874</v>
      </c>
    </row>
    <row r="4946" spans="3:8" x14ac:dyDescent="0.25">
      <c r="C4946" s="1117">
        <v>4</v>
      </c>
      <c r="D4946" s="1117">
        <v>111</v>
      </c>
      <c r="E4946" s="1118">
        <v>42.9</v>
      </c>
      <c r="F4946" s="4">
        <f t="shared" si="83"/>
        <v>2.3364485981308743E-3</v>
      </c>
      <c r="G4946" s="37">
        <v>40.200000000000003</v>
      </c>
      <c r="H4946" s="1119">
        <v>45874</v>
      </c>
    </row>
    <row r="4947" spans="3:8" x14ac:dyDescent="0.25">
      <c r="C4947" s="1117">
        <v>5</v>
      </c>
      <c r="D4947" s="1117">
        <v>86</v>
      </c>
      <c r="E4947" s="1118">
        <v>29.4</v>
      </c>
      <c r="F4947" s="4">
        <f t="shared" si="83"/>
        <v>-5.4662379421221957E-2</v>
      </c>
      <c r="G4947" s="37">
        <v>40.200000000000003</v>
      </c>
      <c r="H4947" s="1119">
        <v>45874</v>
      </c>
    </row>
    <row r="4948" spans="3:8" x14ac:dyDescent="0.25">
      <c r="C4948" s="1117">
        <v>6</v>
      </c>
      <c r="D4948" s="1117">
        <v>120</v>
      </c>
      <c r="E4948" s="1118">
        <v>40.5</v>
      </c>
      <c r="F4948" s="4">
        <f t="shared" si="83"/>
        <v>-2.8776978417266254E-2</v>
      </c>
      <c r="G4948" s="37">
        <v>40.200000000000003</v>
      </c>
      <c r="H4948" s="1119">
        <v>45874</v>
      </c>
    </row>
    <row r="4949" spans="3:8" x14ac:dyDescent="0.25">
      <c r="C4949" s="1117">
        <v>7</v>
      </c>
      <c r="D4949" s="1117">
        <v>73</v>
      </c>
      <c r="E4949" s="1118">
        <v>39.299999999999997</v>
      </c>
      <c r="F4949" s="4">
        <f t="shared" si="83"/>
        <v>7.692307692307619E-3</v>
      </c>
      <c r="G4949" s="37">
        <v>40.200000000000003</v>
      </c>
      <c r="H4949" s="1119">
        <v>45874</v>
      </c>
    </row>
    <row r="4950" spans="3:8" x14ac:dyDescent="0.25">
      <c r="C4950" s="1117">
        <v>8</v>
      </c>
      <c r="D4950" s="1117">
        <v>0</v>
      </c>
      <c r="E4950" s="1118"/>
      <c r="F4950" s="4" t="str">
        <f t="shared" si="83"/>
        <v/>
      </c>
      <c r="G4950" s="37">
        <v>40.200000000000003</v>
      </c>
      <c r="H4950" s="1119">
        <v>45874</v>
      </c>
    </row>
    <row r="4951" spans="3:8" x14ac:dyDescent="0.25">
      <c r="C4951" s="1117">
        <v>9</v>
      </c>
      <c r="D4951" s="1117">
        <v>111</v>
      </c>
      <c r="E4951" s="1118">
        <v>43.4</v>
      </c>
      <c r="F4951" s="4">
        <f t="shared" si="83"/>
        <v>-1.1389521640091117E-2</v>
      </c>
      <c r="G4951" s="37">
        <v>40.200000000000003</v>
      </c>
      <c r="H4951" s="1119">
        <v>45874</v>
      </c>
    </row>
    <row r="4952" spans="3:8" x14ac:dyDescent="0.25">
      <c r="C4952" s="1117">
        <v>10</v>
      </c>
      <c r="D4952" s="1117">
        <v>112</v>
      </c>
      <c r="E4952" s="1118">
        <v>42.2</v>
      </c>
      <c r="F4952" s="4">
        <f t="shared" si="83"/>
        <v>-2.9885057471264301E-2</v>
      </c>
      <c r="G4952" s="37">
        <v>40.200000000000003</v>
      </c>
      <c r="H4952" s="1119">
        <v>45874</v>
      </c>
    </row>
    <row r="4953" spans="3:8" x14ac:dyDescent="0.25">
      <c r="C4953" s="1120" t="s">
        <v>0</v>
      </c>
      <c r="D4953" s="1120" t="s">
        <v>7</v>
      </c>
      <c r="E4953" s="1121" t="s">
        <v>4</v>
      </c>
      <c r="F4953" s="4" t="str">
        <f t="shared" si="83"/>
        <v/>
      </c>
      <c r="G4953" s="37">
        <v>40.799999999999997</v>
      </c>
      <c r="H4953" s="1122">
        <v>45875</v>
      </c>
    </row>
    <row r="4954" spans="3:8" x14ac:dyDescent="0.25">
      <c r="C4954" s="1120">
        <v>51</v>
      </c>
      <c r="D4954" s="1120">
        <v>36</v>
      </c>
      <c r="E4954" s="1121">
        <v>30.3</v>
      </c>
      <c r="F4954" s="4">
        <f t="shared" si="83"/>
        <v>-0.10882352941176468</v>
      </c>
      <c r="G4954" s="37">
        <v>40.799999999999997</v>
      </c>
      <c r="H4954" s="1122">
        <v>45875</v>
      </c>
    </row>
    <row r="4955" spans="3:8" x14ac:dyDescent="0.25">
      <c r="C4955" s="1120">
        <v>1</v>
      </c>
      <c r="D4955" s="1120">
        <v>116</v>
      </c>
      <c r="E4955" s="1121">
        <v>42.4</v>
      </c>
      <c r="F4955" s="4">
        <f t="shared" si="83"/>
        <v>1.1933174224343675E-2</v>
      </c>
      <c r="G4955" s="37">
        <v>40.799999999999997</v>
      </c>
      <c r="H4955" s="1122">
        <v>45875</v>
      </c>
    </row>
    <row r="4956" spans="3:8" x14ac:dyDescent="0.25">
      <c r="C4956" s="1120">
        <v>2</v>
      </c>
      <c r="D4956" s="1120">
        <v>0</v>
      </c>
      <c r="E4956" s="1121"/>
      <c r="F4956" s="4" t="str">
        <f t="shared" si="83"/>
        <v/>
      </c>
      <c r="G4956" s="37">
        <v>40.799999999999997</v>
      </c>
      <c r="H4956" s="1122">
        <v>45875</v>
      </c>
    </row>
    <row r="4957" spans="3:8" x14ac:dyDescent="0.25">
      <c r="C4957" s="1120">
        <v>3</v>
      </c>
      <c r="D4957" s="1120">
        <v>64</v>
      </c>
      <c r="E4957" s="1121">
        <v>36.6</v>
      </c>
      <c r="F4957" s="4">
        <f t="shared" si="83"/>
        <v>-8.1300813008129309E-3</v>
      </c>
      <c r="G4957" s="37">
        <v>40.799999999999997</v>
      </c>
      <c r="H4957" s="1122">
        <v>45875</v>
      </c>
    </row>
    <row r="4958" spans="3:8" x14ac:dyDescent="0.25">
      <c r="C4958" s="1120">
        <v>4</v>
      </c>
      <c r="D4958" s="1120">
        <v>111</v>
      </c>
      <c r="E4958" s="1121">
        <v>43.4</v>
      </c>
      <c r="F4958" s="4">
        <f t="shared" si="83"/>
        <v>1.1655011655011656E-2</v>
      </c>
      <c r="G4958" s="37">
        <v>40.799999999999997</v>
      </c>
      <c r="H4958" s="1122">
        <v>45875</v>
      </c>
    </row>
    <row r="4959" spans="3:8" x14ac:dyDescent="0.25">
      <c r="C4959" s="1120">
        <v>5</v>
      </c>
      <c r="D4959" s="1120">
        <v>86</v>
      </c>
      <c r="E4959" s="1121">
        <v>30.3</v>
      </c>
      <c r="F4959" s="4">
        <f t="shared" si="83"/>
        <v>3.0612244897959259E-2</v>
      </c>
      <c r="G4959" s="37">
        <v>40.799999999999997</v>
      </c>
      <c r="H4959" s="1122">
        <v>45875</v>
      </c>
    </row>
    <row r="4960" spans="3:8" x14ac:dyDescent="0.25">
      <c r="C4960" s="1120">
        <v>6</v>
      </c>
      <c r="D4960" s="1120">
        <v>119</v>
      </c>
      <c r="E4960" s="1121">
        <v>40.6</v>
      </c>
      <c r="F4960" s="4">
        <f t="shared" si="83"/>
        <v>2.4691358024691709E-3</v>
      </c>
      <c r="G4960" s="37">
        <v>40.799999999999997</v>
      </c>
      <c r="H4960" s="1122">
        <v>45875</v>
      </c>
    </row>
    <row r="4961" spans="3:8" x14ac:dyDescent="0.25">
      <c r="C4961" s="1120">
        <v>7</v>
      </c>
      <c r="D4961" s="1120">
        <v>73</v>
      </c>
      <c r="E4961" s="1121">
        <v>43</v>
      </c>
      <c r="F4961" s="4">
        <f t="shared" si="83"/>
        <v>9.4147582697201096E-2</v>
      </c>
      <c r="G4961" s="37">
        <v>40.799999999999997</v>
      </c>
      <c r="H4961" s="1122">
        <v>45875</v>
      </c>
    </row>
    <row r="4962" spans="3:8" x14ac:dyDescent="0.25">
      <c r="C4962" s="1120">
        <v>8</v>
      </c>
      <c r="D4962" s="1120">
        <v>0</v>
      </c>
      <c r="E4962" s="1121"/>
      <c r="F4962" s="4" t="str">
        <f t="shared" si="83"/>
        <v/>
      </c>
      <c r="G4962" s="37">
        <v>40.799999999999997</v>
      </c>
      <c r="H4962" s="1122">
        <v>45875</v>
      </c>
    </row>
    <row r="4963" spans="3:8" x14ac:dyDescent="0.25">
      <c r="C4963" s="1120">
        <v>9</v>
      </c>
      <c r="D4963" s="1120">
        <v>110</v>
      </c>
      <c r="E4963" s="1121">
        <v>42.8</v>
      </c>
      <c r="F4963" s="4">
        <f t="shared" si="83"/>
        <v>-1.3824884792626762E-2</v>
      </c>
      <c r="G4963" s="37">
        <v>40.799999999999997</v>
      </c>
      <c r="H4963" s="1122">
        <v>45875</v>
      </c>
    </row>
    <row r="4964" spans="3:8" x14ac:dyDescent="0.25">
      <c r="C4964" s="1120">
        <v>10</v>
      </c>
      <c r="D4964" s="1120">
        <v>112</v>
      </c>
      <c r="E4964" s="1121">
        <v>42.8</v>
      </c>
      <c r="F4964" s="4">
        <f t="shared" si="83"/>
        <v>1.421800947867285E-2</v>
      </c>
      <c r="G4964" s="37">
        <v>40.799999999999997</v>
      </c>
      <c r="H4964" s="1122">
        <v>45875</v>
      </c>
    </row>
    <row r="4965" spans="3:8" x14ac:dyDescent="0.25">
      <c r="C4965" s="1123" t="s">
        <v>0</v>
      </c>
      <c r="D4965" s="1123" t="s">
        <v>7</v>
      </c>
      <c r="E4965" s="1124" t="s">
        <v>4</v>
      </c>
      <c r="F4965" s="4" t="str">
        <f t="shared" si="83"/>
        <v/>
      </c>
      <c r="G4965" s="37">
        <v>41</v>
      </c>
      <c r="H4965" s="1125">
        <v>45876</v>
      </c>
    </row>
    <row r="4966" spans="3:8" x14ac:dyDescent="0.25">
      <c r="C4966" s="1123">
        <v>51</v>
      </c>
      <c r="D4966" s="1123">
        <v>36</v>
      </c>
      <c r="E4966" s="1124">
        <v>31.9</v>
      </c>
      <c r="F4966" s="4">
        <f t="shared" si="83"/>
        <v>5.2805280528052737E-2</v>
      </c>
      <c r="G4966" s="37">
        <v>41</v>
      </c>
      <c r="H4966" s="1125">
        <v>45876</v>
      </c>
    </row>
    <row r="4967" spans="3:8" x14ac:dyDescent="0.25">
      <c r="C4967" s="1123">
        <v>1</v>
      </c>
      <c r="D4967" s="1123">
        <v>116</v>
      </c>
      <c r="E4967" s="1124">
        <v>43</v>
      </c>
      <c r="F4967" s="4">
        <f t="shared" ref="F4967:F5030" si="84">IFERROR((E4967-E4955)/E4955,"")</f>
        <v>1.4150943396226448E-2</v>
      </c>
      <c r="G4967" s="37">
        <v>41</v>
      </c>
      <c r="H4967" s="1125">
        <v>45876</v>
      </c>
    </row>
    <row r="4968" spans="3:8" x14ac:dyDescent="0.25">
      <c r="C4968" s="1123">
        <v>2</v>
      </c>
      <c r="D4968" s="1123">
        <v>0</v>
      </c>
      <c r="E4968" s="1124"/>
      <c r="F4968" s="4" t="str">
        <f t="shared" si="84"/>
        <v/>
      </c>
      <c r="G4968" s="37">
        <v>41</v>
      </c>
      <c r="H4968" s="1125">
        <v>45876</v>
      </c>
    </row>
    <row r="4969" spans="3:8" x14ac:dyDescent="0.25">
      <c r="C4969" s="1123">
        <v>3</v>
      </c>
      <c r="D4969" s="1123">
        <v>64</v>
      </c>
      <c r="E4969" s="1124">
        <v>37.200000000000003</v>
      </c>
      <c r="F4969" s="4">
        <f t="shared" si="84"/>
        <v>1.6393442622950859E-2</v>
      </c>
      <c r="G4969" s="37">
        <v>41</v>
      </c>
      <c r="H4969" s="1125">
        <v>45876</v>
      </c>
    </row>
    <row r="4970" spans="3:8" x14ac:dyDescent="0.25">
      <c r="C4970" s="1123">
        <v>4</v>
      </c>
      <c r="D4970" s="1123">
        <v>111</v>
      </c>
      <c r="E4970" s="1124">
        <v>42.9</v>
      </c>
      <c r="F4970" s="4">
        <f t="shared" si="84"/>
        <v>-1.1520737327188941E-2</v>
      </c>
      <c r="G4970" s="37">
        <v>41</v>
      </c>
      <c r="H4970" s="1125">
        <v>45876</v>
      </c>
    </row>
    <row r="4971" spans="3:8" x14ac:dyDescent="0.25">
      <c r="C4971" s="1123">
        <v>5</v>
      </c>
      <c r="D4971" s="1123">
        <v>86</v>
      </c>
      <c r="E4971" s="1124">
        <v>31</v>
      </c>
      <c r="F4971" s="4">
        <f t="shared" si="84"/>
        <v>2.310231023102308E-2</v>
      </c>
      <c r="G4971" s="37">
        <v>41</v>
      </c>
      <c r="H4971" s="1125">
        <v>45876</v>
      </c>
    </row>
    <row r="4972" spans="3:8" x14ac:dyDescent="0.25">
      <c r="C4972" s="1123">
        <v>6</v>
      </c>
      <c r="D4972" s="1123">
        <v>120</v>
      </c>
      <c r="E4972" s="1124">
        <v>42</v>
      </c>
      <c r="F4972" s="4">
        <f t="shared" si="84"/>
        <v>3.448275862068962E-2</v>
      </c>
      <c r="G4972" s="37">
        <v>41</v>
      </c>
      <c r="H4972" s="1125">
        <v>45876</v>
      </c>
    </row>
    <row r="4973" spans="3:8" x14ac:dyDescent="0.25">
      <c r="C4973" s="1123">
        <v>7</v>
      </c>
      <c r="D4973" s="1123">
        <v>73</v>
      </c>
      <c r="E4973" s="1124">
        <v>39.6</v>
      </c>
      <c r="F4973" s="4">
        <f t="shared" si="84"/>
        <v>-7.9069767441860436E-2</v>
      </c>
      <c r="G4973" s="37">
        <v>41</v>
      </c>
      <c r="H4973" s="1125">
        <v>45876</v>
      </c>
    </row>
    <row r="4974" spans="3:8" x14ac:dyDescent="0.25">
      <c r="C4974" s="1123">
        <v>8</v>
      </c>
      <c r="D4974" s="1123">
        <v>0</v>
      </c>
      <c r="E4974" s="1124"/>
      <c r="F4974" s="4" t="str">
        <f t="shared" si="84"/>
        <v/>
      </c>
      <c r="G4974" s="37">
        <v>41</v>
      </c>
      <c r="H4974" s="1125">
        <v>45876</v>
      </c>
    </row>
    <row r="4975" spans="3:8" x14ac:dyDescent="0.25">
      <c r="C4975" s="1123">
        <v>9</v>
      </c>
      <c r="D4975" s="1123">
        <v>110</v>
      </c>
      <c r="E4975" s="1124">
        <v>43.2</v>
      </c>
      <c r="F4975" s="4">
        <f t="shared" si="84"/>
        <v>9.3457943925234974E-3</v>
      </c>
      <c r="G4975" s="37">
        <v>41</v>
      </c>
      <c r="H4975" s="1125">
        <v>45876</v>
      </c>
    </row>
    <row r="4976" spans="3:8" x14ac:dyDescent="0.25">
      <c r="C4976" s="1123">
        <v>10</v>
      </c>
      <c r="D4976" s="1123">
        <v>112</v>
      </c>
      <c r="E4976" s="1124">
        <v>43.7</v>
      </c>
      <c r="F4976" s="4">
        <f t="shared" si="84"/>
        <v>2.1028037383177704E-2</v>
      </c>
      <c r="G4976" s="37">
        <v>41</v>
      </c>
      <c r="H4976" s="1125">
        <v>45876</v>
      </c>
    </row>
    <row r="4977" spans="3:8" x14ac:dyDescent="0.25">
      <c r="C4977" s="1126" t="s">
        <v>0</v>
      </c>
      <c r="D4977" s="1126" t="s">
        <v>7</v>
      </c>
      <c r="E4977" s="1127" t="s">
        <v>4</v>
      </c>
      <c r="F4977" s="4" t="str">
        <f t="shared" si="84"/>
        <v/>
      </c>
      <c r="G4977" s="37">
        <v>40.1</v>
      </c>
      <c r="H4977" s="1128">
        <v>45877</v>
      </c>
    </row>
    <row r="4978" spans="3:8" x14ac:dyDescent="0.25">
      <c r="C4978" s="1126">
        <v>51</v>
      </c>
      <c r="D4978" s="1126">
        <v>36</v>
      </c>
      <c r="E4978" s="1127">
        <v>31.8</v>
      </c>
      <c r="F4978" s="4">
        <f t="shared" si="84"/>
        <v>-3.1347962382444476E-3</v>
      </c>
      <c r="G4978" s="37">
        <v>40.1</v>
      </c>
      <c r="H4978" s="1128">
        <v>45877</v>
      </c>
    </row>
    <row r="4979" spans="3:8" x14ac:dyDescent="0.25">
      <c r="C4979" s="1126">
        <v>1</v>
      </c>
      <c r="D4979" s="1126">
        <v>116</v>
      </c>
      <c r="E4979" s="1127">
        <v>40.6</v>
      </c>
      <c r="F4979" s="4">
        <f t="shared" si="84"/>
        <v>-5.5813953488372058E-2</v>
      </c>
      <c r="G4979" s="37">
        <v>40.1</v>
      </c>
      <c r="H4979" s="1128">
        <v>45877</v>
      </c>
    </row>
    <row r="4980" spans="3:8" x14ac:dyDescent="0.25">
      <c r="C4980" s="1126">
        <v>2</v>
      </c>
      <c r="D4980" s="1126">
        <v>0</v>
      </c>
      <c r="E4980" s="1127"/>
      <c r="F4980" s="4" t="str">
        <f t="shared" si="84"/>
        <v/>
      </c>
      <c r="G4980" s="37">
        <v>40.1</v>
      </c>
      <c r="H4980" s="1128">
        <v>45877</v>
      </c>
    </row>
    <row r="4981" spans="3:8" x14ac:dyDescent="0.25">
      <c r="C4981" s="1126">
        <v>3</v>
      </c>
      <c r="D4981" s="1126">
        <v>64</v>
      </c>
      <c r="E4981" s="1127">
        <v>35.9</v>
      </c>
      <c r="F4981" s="4">
        <f t="shared" si="84"/>
        <v>-3.49462365591399E-2</v>
      </c>
      <c r="G4981" s="37">
        <v>40.1</v>
      </c>
      <c r="H4981" s="1128">
        <v>45877</v>
      </c>
    </row>
    <row r="4982" spans="3:8" x14ac:dyDescent="0.25">
      <c r="C4982" s="1126">
        <v>4</v>
      </c>
      <c r="D4982" s="1126">
        <v>110</v>
      </c>
      <c r="E4982" s="1127">
        <v>42.9</v>
      </c>
      <c r="F4982" s="4">
        <f t="shared" si="84"/>
        <v>0</v>
      </c>
      <c r="G4982" s="37">
        <v>40.1</v>
      </c>
      <c r="H4982" s="1128">
        <v>45877</v>
      </c>
    </row>
    <row r="4983" spans="3:8" x14ac:dyDescent="0.25">
      <c r="C4983" s="1126">
        <v>5</v>
      </c>
      <c r="D4983" s="1126">
        <v>82</v>
      </c>
      <c r="E4983" s="1127">
        <v>27.8</v>
      </c>
      <c r="F4983" s="4">
        <f t="shared" si="84"/>
        <v>-0.10322580645161288</v>
      </c>
      <c r="G4983" s="37">
        <v>40.1</v>
      </c>
      <c r="H4983" s="1128">
        <v>45877</v>
      </c>
    </row>
    <row r="4984" spans="3:8" x14ac:dyDescent="0.25">
      <c r="C4984" s="1126">
        <v>6</v>
      </c>
      <c r="D4984" s="1126">
        <v>112</v>
      </c>
      <c r="E4984" s="1127">
        <v>40</v>
      </c>
      <c r="F4984" s="4">
        <f t="shared" si="84"/>
        <v>-4.7619047619047616E-2</v>
      </c>
      <c r="G4984" s="37">
        <v>40.1</v>
      </c>
      <c r="H4984" s="1128">
        <v>45877</v>
      </c>
    </row>
    <row r="4985" spans="3:8" x14ac:dyDescent="0.25">
      <c r="C4985" s="1126">
        <v>7</v>
      </c>
      <c r="D4985" s="1126">
        <v>73</v>
      </c>
      <c r="E4985" s="1127">
        <v>34.4</v>
      </c>
      <c r="F4985" s="4">
        <f t="shared" si="84"/>
        <v>-0.13131313131313138</v>
      </c>
      <c r="G4985" s="37">
        <v>40.1</v>
      </c>
      <c r="H4985" s="1128">
        <v>45877</v>
      </c>
    </row>
    <row r="4986" spans="3:8" x14ac:dyDescent="0.25">
      <c r="C4986" s="1126">
        <v>8</v>
      </c>
      <c r="D4986" s="1126">
        <v>0</v>
      </c>
      <c r="E4986" s="1127"/>
      <c r="F4986" s="4" t="str">
        <f t="shared" si="84"/>
        <v/>
      </c>
      <c r="G4986" s="37">
        <v>40.1</v>
      </c>
      <c r="H4986" s="1128">
        <v>45877</v>
      </c>
    </row>
    <row r="4987" spans="3:8" x14ac:dyDescent="0.25">
      <c r="C4987" s="1126">
        <v>9</v>
      </c>
      <c r="D4987" s="1126">
        <v>110</v>
      </c>
      <c r="E4987" s="1127">
        <v>42.8</v>
      </c>
      <c r="F4987" s="4">
        <f t="shared" si="84"/>
        <v>-9.2592592592593906E-3</v>
      </c>
      <c r="G4987" s="37">
        <v>40.1</v>
      </c>
      <c r="H4987" s="1128">
        <v>45877</v>
      </c>
    </row>
    <row r="4988" spans="3:8" x14ac:dyDescent="0.25">
      <c r="C4988" s="1126">
        <v>10</v>
      </c>
      <c r="D4988" s="1126">
        <v>112</v>
      </c>
      <c r="E4988" s="1127">
        <v>41.6</v>
      </c>
      <c r="F4988" s="4">
        <f t="shared" si="84"/>
        <v>-4.8054919908466852E-2</v>
      </c>
      <c r="G4988" s="37">
        <v>40.1</v>
      </c>
      <c r="H4988" s="1128">
        <v>45877</v>
      </c>
    </row>
    <row r="4989" spans="3:8" x14ac:dyDescent="0.25">
      <c r="C4989" s="1129" t="s">
        <v>0</v>
      </c>
      <c r="D4989" s="1129" t="s">
        <v>7</v>
      </c>
      <c r="E4989" s="1130" t="s">
        <v>4</v>
      </c>
      <c r="F4989" s="4" t="str">
        <f t="shared" si="84"/>
        <v/>
      </c>
      <c r="G4989" s="37">
        <v>40.4</v>
      </c>
      <c r="H4989" s="1128">
        <v>45878</v>
      </c>
    </row>
    <row r="4990" spans="3:8" x14ac:dyDescent="0.25">
      <c r="C4990" s="1129">
        <v>51</v>
      </c>
      <c r="D4990" s="1129">
        <v>33</v>
      </c>
      <c r="E4990" s="1130">
        <v>34.200000000000003</v>
      </c>
      <c r="F4990" s="4">
        <f t="shared" si="84"/>
        <v>7.5471698113207614E-2</v>
      </c>
      <c r="G4990" s="37">
        <v>40.4</v>
      </c>
      <c r="H4990" s="1128">
        <v>45878</v>
      </c>
    </row>
    <row r="4991" spans="3:8" x14ac:dyDescent="0.25">
      <c r="C4991" s="1129">
        <v>1</v>
      </c>
      <c r="D4991" s="1129">
        <v>115</v>
      </c>
      <c r="E4991" s="1130">
        <v>40.4</v>
      </c>
      <c r="F4991" s="4">
        <f t="shared" si="84"/>
        <v>-4.9261083743843059E-3</v>
      </c>
      <c r="G4991" s="37">
        <v>40.4</v>
      </c>
      <c r="H4991" s="1128">
        <v>45878</v>
      </c>
    </row>
    <row r="4992" spans="3:8" x14ac:dyDescent="0.25">
      <c r="C4992" s="1129">
        <v>2</v>
      </c>
      <c r="D4992" s="1129">
        <v>0</v>
      </c>
      <c r="E4992" s="1130"/>
      <c r="F4992" s="4" t="str">
        <f t="shared" si="84"/>
        <v/>
      </c>
      <c r="G4992" s="37">
        <v>40.4</v>
      </c>
      <c r="H4992" s="1128">
        <v>45878</v>
      </c>
    </row>
    <row r="4993" spans="3:8" x14ac:dyDescent="0.25">
      <c r="C4993" s="1129">
        <v>3</v>
      </c>
      <c r="D4993" s="1129">
        <v>60</v>
      </c>
      <c r="E4993" s="1130">
        <v>36.700000000000003</v>
      </c>
      <c r="F4993" s="4">
        <f t="shared" si="84"/>
        <v>2.2284122562674213E-2</v>
      </c>
      <c r="G4993" s="37">
        <v>40.4</v>
      </c>
      <c r="H4993" s="1128">
        <v>45878</v>
      </c>
    </row>
    <row r="4994" spans="3:8" x14ac:dyDescent="0.25">
      <c r="C4994" s="1129">
        <v>4</v>
      </c>
      <c r="D4994" s="1129">
        <v>110</v>
      </c>
      <c r="E4994" s="1130">
        <v>42.4</v>
      </c>
      <c r="F4994" s="4">
        <f t="shared" si="84"/>
        <v>-1.1655011655011656E-2</v>
      </c>
      <c r="G4994" s="37">
        <v>40.4</v>
      </c>
      <c r="H4994" s="1128">
        <v>45878</v>
      </c>
    </row>
    <row r="4995" spans="3:8" x14ac:dyDescent="0.25">
      <c r="C4995" s="1129">
        <v>5</v>
      </c>
      <c r="D4995" s="1129">
        <v>86</v>
      </c>
      <c r="E4995" s="1130">
        <v>32</v>
      </c>
      <c r="F4995" s="4">
        <f t="shared" si="84"/>
        <v>0.15107913669064746</v>
      </c>
      <c r="G4995" s="37">
        <v>40.4</v>
      </c>
      <c r="H4995" s="1128">
        <v>45878</v>
      </c>
    </row>
    <row r="4996" spans="3:8" x14ac:dyDescent="0.25">
      <c r="C4996" s="1129">
        <v>6</v>
      </c>
      <c r="D4996" s="1129">
        <v>117</v>
      </c>
      <c r="E4996" s="1130">
        <v>41.9</v>
      </c>
      <c r="F4996" s="4">
        <f t="shared" si="84"/>
        <v>4.7499999999999966E-2</v>
      </c>
      <c r="G4996" s="37">
        <v>40.4</v>
      </c>
      <c r="H4996" s="1128">
        <v>45878</v>
      </c>
    </row>
    <row r="4997" spans="3:8" x14ac:dyDescent="0.25">
      <c r="C4997" s="1129">
        <v>7</v>
      </c>
      <c r="D4997" s="1129">
        <v>73</v>
      </c>
      <c r="E4997" s="1130">
        <v>39</v>
      </c>
      <c r="F4997" s="4">
        <f t="shared" si="84"/>
        <v>0.13372093023255818</v>
      </c>
      <c r="G4997" s="37">
        <v>40.4</v>
      </c>
      <c r="H4997" s="1128">
        <v>45878</v>
      </c>
    </row>
    <row r="4998" spans="3:8" x14ac:dyDescent="0.25">
      <c r="C4998" s="1129">
        <v>8</v>
      </c>
      <c r="D4998" s="1129">
        <v>0</v>
      </c>
      <c r="E4998" s="1130"/>
      <c r="F4998" s="4" t="str">
        <f t="shared" si="84"/>
        <v/>
      </c>
      <c r="G4998" s="37">
        <v>40.4</v>
      </c>
      <c r="H4998" s="1128">
        <v>45878</v>
      </c>
    </row>
    <row r="4999" spans="3:8" x14ac:dyDescent="0.25">
      <c r="C4999" s="1129">
        <v>9</v>
      </c>
      <c r="D4999" s="1129">
        <v>110</v>
      </c>
      <c r="E4999" s="1130">
        <v>41.8</v>
      </c>
      <c r="F4999" s="4">
        <f t="shared" si="84"/>
        <v>-2.3364485981308414E-2</v>
      </c>
      <c r="G4999" s="37">
        <v>40.4</v>
      </c>
      <c r="H4999" s="1128">
        <v>45878</v>
      </c>
    </row>
    <row r="5000" spans="3:8" x14ac:dyDescent="0.25">
      <c r="C5000" s="1129">
        <v>10</v>
      </c>
      <c r="D5000" s="1129">
        <v>112</v>
      </c>
      <c r="E5000" s="1130">
        <v>43.4</v>
      </c>
      <c r="F5000" s="4">
        <f t="shared" si="84"/>
        <v>4.3269230769230699E-2</v>
      </c>
      <c r="G5000" s="37">
        <v>40.4</v>
      </c>
      <c r="H5000" s="1128">
        <v>45878</v>
      </c>
    </row>
    <row r="5001" spans="3:8" x14ac:dyDescent="0.25">
      <c r="C5001" s="1131" t="s">
        <v>0</v>
      </c>
      <c r="D5001" s="1131" t="s">
        <v>7</v>
      </c>
      <c r="E5001" s="1132" t="s">
        <v>4</v>
      </c>
      <c r="F5001" s="4" t="str">
        <f t="shared" si="84"/>
        <v/>
      </c>
      <c r="G5001" s="37">
        <v>40.4</v>
      </c>
      <c r="H5001" s="1133">
        <v>45879</v>
      </c>
    </row>
    <row r="5002" spans="3:8" x14ac:dyDescent="0.25">
      <c r="C5002" s="1131">
        <v>51</v>
      </c>
      <c r="D5002" s="1131">
        <v>32</v>
      </c>
      <c r="E5002" s="1132">
        <v>33.1</v>
      </c>
      <c r="F5002" s="4">
        <f t="shared" si="84"/>
        <v>-3.2163742690058519E-2</v>
      </c>
      <c r="G5002" s="37">
        <v>40.4</v>
      </c>
      <c r="H5002" s="1133">
        <v>45879</v>
      </c>
    </row>
    <row r="5003" spans="3:8" x14ac:dyDescent="0.25">
      <c r="C5003" s="1131">
        <v>1</v>
      </c>
      <c r="D5003" s="1131">
        <v>114</v>
      </c>
      <c r="E5003" s="1132">
        <v>42.3</v>
      </c>
      <c r="F5003" s="4">
        <f t="shared" si="84"/>
        <v>4.7029702970296995E-2</v>
      </c>
      <c r="G5003" s="37">
        <v>40.4</v>
      </c>
      <c r="H5003" s="1133">
        <v>45879</v>
      </c>
    </row>
    <row r="5004" spans="3:8" x14ac:dyDescent="0.25">
      <c r="C5004" s="1131">
        <v>2</v>
      </c>
      <c r="D5004" s="1131">
        <v>0</v>
      </c>
      <c r="E5004" s="1132"/>
      <c r="F5004" s="4" t="str">
        <f t="shared" si="84"/>
        <v/>
      </c>
      <c r="G5004" s="37">
        <v>40.4</v>
      </c>
      <c r="H5004" s="1133">
        <v>45879</v>
      </c>
    </row>
    <row r="5005" spans="3:8" x14ac:dyDescent="0.25">
      <c r="C5005" s="1131">
        <v>3</v>
      </c>
      <c r="D5005" s="1131">
        <v>60</v>
      </c>
      <c r="E5005" s="1132">
        <v>36.6</v>
      </c>
      <c r="F5005" s="4">
        <f t="shared" si="84"/>
        <v>-2.724795640327014E-3</v>
      </c>
      <c r="G5005" s="37">
        <v>40.4</v>
      </c>
      <c r="H5005" s="1133">
        <v>45879</v>
      </c>
    </row>
    <row r="5006" spans="3:8" x14ac:dyDescent="0.25">
      <c r="C5006" s="1131">
        <v>4</v>
      </c>
      <c r="D5006" s="1131">
        <v>110</v>
      </c>
      <c r="E5006" s="1132">
        <v>43.5</v>
      </c>
      <c r="F5006" s="4">
        <f t="shared" si="84"/>
        <v>2.594339622641513E-2</v>
      </c>
      <c r="G5006" s="37">
        <v>40.4</v>
      </c>
      <c r="H5006" s="1133">
        <v>45879</v>
      </c>
    </row>
    <row r="5007" spans="3:8" x14ac:dyDescent="0.25">
      <c r="C5007" s="1131">
        <v>5</v>
      </c>
      <c r="D5007" s="1131">
        <v>86</v>
      </c>
      <c r="E5007" s="1132">
        <v>30.9</v>
      </c>
      <c r="F5007" s="4">
        <f t="shared" si="84"/>
        <v>-3.4375000000000044E-2</v>
      </c>
      <c r="G5007" s="37">
        <v>40.4</v>
      </c>
      <c r="H5007" s="1133">
        <v>45879</v>
      </c>
    </row>
    <row r="5008" spans="3:8" x14ac:dyDescent="0.25">
      <c r="C5008" s="1131">
        <v>6</v>
      </c>
      <c r="D5008" s="1131">
        <v>118</v>
      </c>
      <c r="E5008" s="1132">
        <v>40.5</v>
      </c>
      <c r="F5008" s="4">
        <f t="shared" si="84"/>
        <v>-3.3412887828162256E-2</v>
      </c>
      <c r="G5008" s="37">
        <v>40.4</v>
      </c>
      <c r="H5008" s="1133">
        <v>45879</v>
      </c>
    </row>
    <row r="5009" spans="3:8" x14ac:dyDescent="0.25">
      <c r="C5009" s="1131">
        <v>7</v>
      </c>
      <c r="D5009" s="1131">
        <v>73</v>
      </c>
      <c r="E5009" s="1132">
        <v>37.700000000000003</v>
      </c>
      <c r="F5009" s="4">
        <f t="shared" si="84"/>
        <v>-3.3333333333333263E-2</v>
      </c>
      <c r="G5009" s="37">
        <v>40.4</v>
      </c>
      <c r="H5009" s="1133">
        <v>45879</v>
      </c>
    </row>
    <row r="5010" spans="3:8" x14ac:dyDescent="0.25">
      <c r="C5010" s="1131">
        <v>8</v>
      </c>
      <c r="D5010" s="1131">
        <v>0</v>
      </c>
      <c r="E5010" s="1132"/>
      <c r="F5010" s="4" t="str">
        <f t="shared" si="84"/>
        <v/>
      </c>
      <c r="G5010" s="37">
        <v>40.4</v>
      </c>
      <c r="H5010" s="1133">
        <v>45879</v>
      </c>
    </row>
    <row r="5011" spans="3:8" x14ac:dyDescent="0.25">
      <c r="C5011" s="1131">
        <v>9</v>
      </c>
      <c r="D5011" s="1131">
        <v>110</v>
      </c>
      <c r="E5011" s="1132">
        <v>43.2</v>
      </c>
      <c r="F5011" s="4">
        <f t="shared" si="84"/>
        <v>3.3492822966507317E-2</v>
      </c>
      <c r="G5011" s="37">
        <v>40.4</v>
      </c>
      <c r="H5011" s="1133">
        <v>45879</v>
      </c>
    </row>
    <row r="5012" spans="3:8" x14ac:dyDescent="0.25">
      <c r="C5012" s="1131">
        <v>10</v>
      </c>
      <c r="D5012" s="1131">
        <v>112</v>
      </c>
      <c r="E5012" s="1132">
        <v>42.1</v>
      </c>
      <c r="F5012" s="4">
        <f t="shared" si="84"/>
        <v>-2.995391705069118E-2</v>
      </c>
      <c r="G5012" s="37">
        <v>40.4</v>
      </c>
      <c r="H5012" s="1133">
        <v>45879</v>
      </c>
    </row>
    <row r="5013" spans="3:8" x14ac:dyDescent="0.25">
      <c r="C5013" s="1134" t="s">
        <v>0</v>
      </c>
      <c r="D5013" s="1134" t="s">
        <v>7</v>
      </c>
      <c r="E5013" s="1135" t="s">
        <v>4</v>
      </c>
      <c r="F5013" s="4" t="str">
        <f t="shared" si="84"/>
        <v/>
      </c>
      <c r="G5013" s="37">
        <v>39.6</v>
      </c>
      <c r="H5013" s="1133">
        <v>45880</v>
      </c>
    </row>
    <row r="5014" spans="3:8" x14ac:dyDescent="0.25">
      <c r="C5014" s="1134">
        <v>51</v>
      </c>
      <c r="D5014" s="1134">
        <v>33</v>
      </c>
      <c r="E5014" s="1135">
        <v>32.1</v>
      </c>
      <c r="F5014" s="4">
        <f t="shared" si="84"/>
        <v>-3.0211480362537763E-2</v>
      </c>
      <c r="G5014" s="37">
        <v>39.6</v>
      </c>
      <c r="H5014" s="1133">
        <v>45880</v>
      </c>
    </row>
    <row r="5015" spans="3:8" x14ac:dyDescent="0.25">
      <c r="C5015" s="1134">
        <v>1</v>
      </c>
      <c r="D5015" s="1134">
        <v>114</v>
      </c>
      <c r="E5015" s="1135">
        <v>41.8</v>
      </c>
      <c r="F5015" s="4">
        <f t="shared" si="84"/>
        <v>-1.1820330969267141E-2</v>
      </c>
      <c r="G5015" s="37">
        <v>39.6</v>
      </c>
      <c r="H5015" s="1133">
        <v>45880</v>
      </c>
    </row>
    <row r="5016" spans="3:8" x14ac:dyDescent="0.25">
      <c r="C5016" s="1134">
        <v>2</v>
      </c>
      <c r="D5016" s="1134">
        <v>0</v>
      </c>
      <c r="E5016" s="1135"/>
      <c r="F5016" s="4" t="str">
        <f t="shared" si="84"/>
        <v/>
      </c>
      <c r="G5016" s="37">
        <v>39.6</v>
      </c>
      <c r="H5016" s="1133">
        <v>45880</v>
      </c>
    </row>
    <row r="5017" spans="3:8" x14ac:dyDescent="0.25">
      <c r="C5017" s="1134">
        <v>3</v>
      </c>
      <c r="D5017" s="1134">
        <v>50</v>
      </c>
      <c r="E5017" s="1135">
        <v>35.299999999999997</v>
      </c>
      <c r="F5017" s="4">
        <f t="shared" si="84"/>
        <v>-3.5519125683060225E-2</v>
      </c>
      <c r="G5017" s="37">
        <v>39.6</v>
      </c>
      <c r="H5017" s="1133">
        <v>45880</v>
      </c>
    </row>
    <row r="5018" spans="3:8" x14ac:dyDescent="0.25">
      <c r="C5018" s="1134">
        <v>4</v>
      </c>
      <c r="D5018" s="1134">
        <v>116</v>
      </c>
      <c r="E5018" s="1135">
        <v>42.9</v>
      </c>
      <c r="F5018" s="4">
        <f t="shared" si="84"/>
        <v>-1.3793103448275895E-2</v>
      </c>
      <c r="G5018" s="37">
        <v>39.6</v>
      </c>
      <c r="H5018" s="1133">
        <v>45880</v>
      </c>
    </row>
    <row r="5019" spans="3:8" x14ac:dyDescent="0.25">
      <c r="C5019" s="1134">
        <v>5</v>
      </c>
      <c r="D5019" s="1134">
        <v>98</v>
      </c>
      <c r="E5019" s="1135">
        <v>30.2</v>
      </c>
      <c r="F5019" s="4">
        <f t="shared" si="84"/>
        <v>-2.2653721682847874E-2</v>
      </c>
      <c r="G5019" s="37">
        <v>39.6</v>
      </c>
      <c r="H5019" s="1133">
        <v>45880</v>
      </c>
    </row>
    <row r="5020" spans="3:8" x14ac:dyDescent="0.25">
      <c r="C5020" s="1134">
        <v>6</v>
      </c>
      <c r="D5020" s="1134">
        <v>116</v>
      </c>
      <c r="E5020" s="1135">
        <v>40.200000000000003</v>
      </c>
      <c r="F5020" s="4">
        <f t="shared" si="84"/>
        <v>-7.4074074074073374E-3</v>
      </c>
      <c r="G5020" s="37">
        <v>39.6</v>
      </c>
      <c r="H5020" s="1133">
        <v>45880</v>
      </c>
    </row>
    <row r="5021" spans="3:8" x14ac:dyDescent="0.25">
      <c r="C5021" s="1134">
        <v>7</v>
      </c>
      <c r="D5021" s="1134">
        <v>73</v>
      </c>
      <c r="E5021" s="1135">
        <v>37.700000000000003</v>
      </c>
      <c r="F5021" s="4">
        <f t="shared" si="84"/>
        <v>0</v>
      </c>
      <c r="G5021" s="37">
        <v>39.6</v>
      </c>
      <c r="H5021" s="1133">
        <v>45880</v>
      </c>
    </row>
    <row r="5022" spans="3:8" x14ac:dyDescent="0.25">
      <c r="C5022" s="1134">
        <v>8</v>
      </c>
      <c r="D5022" s="1134">
        <v>0</v>
      </c>
      <c r="E5022" s="1135"/>
      <c r="F5022" s="4" t="str">
        <f t="shared" si="84"/>
        <v/>
      </c>
      <c r="G5022" s="37">
        <v>39.6</v>
      </c>
      <c r="H5022" s="1133">
        <v>45880</v>
      </c>
    </row>
    <row r="5023" spans="3:8" x14ac:dyDescent="0.25">
      <c r="C5023" s="1134">
        <v>9</v>
      </c>
      <c r="D5023" s="1134">
        <v>98</v>
      </c>
      <c r="E5023" s="1135">
        <v>42.6</v>
      </c>
      <c r="F5023" s="4">
        <f t="shared" si="84"/>
        <v>-1.3888888888888921E-2</v>
      </c>
      <c r="G5023" s="37">
        <v>39.6</v>
      </c>
      <c r="H5023" s="1133">
        <v>45880</v>
      </c>
    </row>
    <row r="5024" spans="3:8" x14ac:dyDescent="0.25">
      <c r="C5024" s="1134">
        <v>10</v>
      </c>
      <c r="D5024" s="1134">
        <v>118</v>
      </c>
      <c r="E5024" s="1135">
        <v>41.2</v>
      </c>
      <c r="F5024" s="4">
        <f t="shared" si="84"/>
        <v>-2.1377672209026095E-2</v>
      </c>
      <c r="G5024" s="37">
        <v>39.6</v>
      </c>
      <c r="H5024" s="1133">
        <v>45880</v>
      </c>
    </row>
    <row r="5025" spans="3:8" x14ac:dyDescent="0.25">
      <c r="C5025" s="1136" t="s">
        <v>0</v>
      </c>
      <c r="D5025" s="1136" t="s">
        <v>7</v>
      </c>
      <c r="E5025" s="1137" t="s">
        <v>4</v>
      </c>
      <c r="F5025" s="4" t="str">
        <f t="shared" si="84"/>
        <v/>
      </c>
      <c r="G5025" s="37">
        <v>40.200000000000003</v>
      </c>
      <c r="H5025" s="1138">
        <v>45881</v>
      </c>
    </row>
    <row r="5026" spans="3:8" x14ac:dyDescent="0.25">
      <c r="C5026" s="1136">
        <v>51</v>
      </c>
      <c r="D5026" s="1136">
        <v>33</v>
      </c>
      <c r="E5026" s="1137">
        <v>35.299999999999997</v>
      </c>
      <c r="F5026" s="4">
        <f t="shared" si="84"/>
        <v>9.968847352024908E-2</v>
      </c>
      <c r="G5026" s="37">
        <v>40.200000000000003</v>
      </c>
      <c r="H5026" s="1138">
        <v>45881</v>
      </c>
    </row>
    <row r="5027" spans="3:8" x14ac:dyDescent="0.25">
      <c r="C5027" s="1136">
        <v>1</v>
      </c>
      <c r="D5027" s="1136">
        <v>114</v>
      </c>
      <c r="E5027" s="1137">
        <v>41.6</v>
      </c>
      <c r="F5027" s="4">
        <f t="shared" si="84"/>
        <v>-4.7846889952152093E-3</v>
      </c>
      <c r="G5027" s="37">
        <v>40.200000000000003</v>
      </c>
      <c r="H5027" s="1138">
        <v>45881</v>
      </c>
    </row>
    <row r="5028" spans="3:8" x14ac:dyDescent="0.25">
      <c r="C5028" s="1136">
        <v>2</v>
      </c>
      <c r="D5028" s="1136">
        <v>0</v>
      </c>
      <c r="E5028" s="1137"/>
      <c r="F5028" s="4" t="str">
        <f t="shared" si="84"/>
        <v/>
      </c>
      <c r="G5028" s="37">
        <v>40.200000000000003</v>
      </c>
      <c r="H5028" s="1138">
        <v>45881</v>
      </c>
    </row>
    <row r="5029" spans="3:8" x14ac:dyDescent="0.25">
      <c r="C5029" s="1136">
        <v>3</v>
      </c>
      <c r="D5029" s="1136">
        <v>50</v>
      </c>
      <c r="E5029" s="1137">
        <v>36.700000000000003</v>
      </c>
      <c r="F5029" s="4">
        <f t="shared" si="84"/>
        <v>3.9660056657223962E-2</v>
      </c>
      <c r="G5029" s="37">
        <v>40.200000000000003</v>
      </c>
      <c r="H5029" s="1138">
        <v>45881</v>
      </c>
    </row>
    <row r="5030" spans="3:8" x14ac:dyDescent="0.25">
      <c r="C5030" s="1136">
        <v>4</v>
      </c>
      <c r="D5030" s="1136">
        <v>116</v>
      </c>
      <c r="E5030" s="1137">
        <v>42.9</v>
      </c>
      <c r="F5030" s="4">
        <f t="shared" si="84"/>
        <v>0</v>
      </c>
      <c r="G5030" s="37">
        <v>40.200000000000003</v>
      </c>
      <c r="H5030" s="1138">
        <v>45881</v>
      </c>
    </row>
    <row r="5031" spans="3:8" x14ac:dyDescent="0.25">
      <c r="C5031" s="1136">
        <v>5</v>
      </c>
      <c r="D5031" s="1136">
        <v>98</v>
      </c>
      <c r="E5031" s="1137">
        <v>30.5</v>
      </c>
      <c r="F5031" s="4">
        <f t="shared" ref="F5031:F5094" si="85">IFERROR((E5031-E5019)/E5019,"")</f>
        <v>9.9337748344371091E-3</v>
      </c>
      <c r="G5031" s="37">
        <v>40.200000000000003</v>
      </c>
      <c r="H5031" s="1138">
        <v>45881</v>
      </c>
    </row>
    <row r="5032" spans="3:8" x14ac:dyDescent="0.25">
      <c r="C5032" s="1136">
        <v>6</v>
      </c>
      <c r="D5032" s="1136">
        <v>115</v>
      </c>
      <c r="E5032" s="1137">
        <v>42.3</v>
      </c>
      <c r="F5032" s="4">
        <f t="shared" si="85"/>
        <v>5.2238805970149106E-2</v>
      </c>
      <c r="G5032" s="37">
        <v>40.200000000000003</v>
      </c>
      <c r="H5032" s="1138">
        <v>45881</v>
      </c>
    </row>
    <row r="5033" spans="3:8" x14ac:dyDescent="0.25">
      <c r="C5033" s="1136">
        <v>7</v>
      </c>
      <c r="D5033" s="1136">
        <v>73</v>
      </c>
      <c r="E5033" s="1137">
        <v>37.6</v>
      </c>
      <c r="F5033" s="4">
        <f t="shared" si="85"/>
        <v>-2.6525198938992418E-3</v>
      </c>
      <c r="G5033" s="37">
        <v>40.200000000000003</v>
      </c>
      <c r="H5033" s="1138">
        <v>45881</v>
      </c>
    </row>
    <row r="5034" spans="3:8" x14ac:dyDescent="0.25">
      <c r="C5034" s="1136">
        <v>8</v>
      </c>
      <c r="D5034" s="1136">
        <v>0</v>
      </c>
      <c r="E5034" s="1137"/>
      <c r="F5034" s="4" t="str">
        <f t="shared" si="85"/>
        <v/>
      </c>
      <c r="G5034" s="37">
        <v>40.200000000000003</v>
      </c>
      <c r="H5034" s="1138">
        <v>45881</v>
      </c>
    </row>
    <row r="5035" spans="3:8" x14ac:dyDescent="0.25">
      <c r="C5035" s="1136">
        <v>9</v>
      </c>
      <c r="D5035" s="1136">
        <v>98</v>
      </c>
      <c r="E5035" s="1137">
        <v>42.7</v>
      </c>
      <c r="F5035" s="4">
        <f t="shared" si="85"/>
        <v>2.3474178403756203E-3</v>
      </c>
      <c r="G5035" s="37">
        <v>40.200000000000003</v>
      </c>
      <c r="H5035" s="1138">
        <v>45881</v>
      </c>
    </row>
    <row r="5036" spans="3:8" x14ac:dyDescent="0.25">
      <c r="C5036" s="1136">
        <v>10</v>
      </c>
      <c r="D5036" s="1136">
        <v>118</v>
      </c>
      <c r="E5036" s="1137">
        <v>41.4</v>
      </c>
      <c r="F5036" s="4">
        <f t="shared" si="85"/>
        <v>4.8543689320387313E-3</v>
      </c>
      <c r="G5036" s="37">
        <v>40.200000000000003</v>
      </c>
      <c r="H5036" s="1138">
        <v>45881</v>
      </c>
    </row>
    <row r="5037" spans="3:8" x14ac:dyDescent="0.25">
      <c r="C5037" s="1139" t="s">
        <v>0</v>
      </c>
      <c r="D5037" s="1139" t="s">
        <v>7</v>
      </c>
      <c r="E5037" s="1140" t="s">
        <v>4</v>
      </c>
      <c r="F5037" s="4" t="str">
        <f t="shared" si="85"/>
        <v/>
      </c>
      <c r="G5037" s="37">
        <v>39</v>
      </c>
      <c r="H5037" s="1141">
        <v>45882</v>
      </c>
    </row>
    <row r="5038" spans="3:8" x14ac:dyDescent="0.25">
      <c r="C5038" s="1139">
        <v>51</v>
      </c>
      <c r="D5038" s="1139">
        <v>35</v>
      </c>
      <c r="E5038" s="1140">
        <v>36.1</v>
      </c>
      <c r="F5038" s="4">
        <f t="shared" si="85"/>
        <v>2.266288951841372E-2</v>
      </c>
      <c r="G5038" s="37">
        <v>39</v>
      </c>
      <c r="H5038" s="1141">
        <v>45882</v>
      </c>
    </row>
    <row r="5039" spans="3:8" x14ac:dyDescent="0.25">
      <c r="C5039" s="1139">
        <v>1</v>
      </c>
      <c r="D5039" s="1139">
        <v>114</v>
      </c>
      <c r="E5039" s="1140">
        <v>41.5</v>
      </c>
      <c r="F5039" s="4">
        <f t="shared" si="85"/>
        <v>-2.4038461538461878E-3</v>
      </c>
      <c r="G5039" s="37">
        <v>39</v>
      </c>
      <c r="H5039" s="1141">
        <v>45882</v>
      </c>
    </row>
    <row r="5040" spans="3:8" x14ac:dyDescent="0.25">
      <c r="C5040" s="1139">
        <v>2</v>
      </c>
      <c r="D5040" s="1139">
        <v>0</v>
      </c>
      <c r="E5040" s="1140"/>
      <c r="F5040" s="4" t="str">
        <f t="shared" si="85"/>
        <v/>
      </c>
      <c r="G5040" s="37">
        <v>39</v>
      </c>
      <c r="H5040" s="1141">
        <v>45882</v>
      </c>
    </row>
    <row r="5041" spans="3:8" x14ac:dyDescent="0.25">
      <c r="C5041" s="1139">
        <v>3</v>
      </c>
      <c r="D5041" s="1139">
        <v>50</v>
      </c>
      <c r="E5041" s="1140">
        <v>36.200000000000003</v>
      </c>
      <c r="F5041" s="4">
        <f t="shared" si="85"/>
        <v>-1.3623978201634876E-2</v>
      </c>
      <c r="G5041" s="37">
        <v>39</v>
      </c>
      <c r="H5041" s="1141">
        <v>45882</v>
      </c>
    </row>
    <row r="5042" spans="3:8" x14ac:dyDescent="0.25">
      <c r="C5042" s="1139">
        <v>4</v>
      </c>
      <c r="D5042" s="1139">
        <v>116</v>
      </c>
      <c r="E5042" s="1140">
        <v>43.2</v>
      </c>
      <c r="F5042" s="4">
        <f t="shared" si="85"/>
        <v>6.9930069930070927E-3</v>
      </c>
      <c r="G5042" s="37">
        <v>39</v>
      </c>
      <c r="H5042" s="1141">
        <v>45882</v>
      </c>
    </row>
    <row r="5043" spans="3:8" x14ac:dyDescent="0.25">
      <c r="C5043" s="1139">
        <v>5</v>
      </c>
      <c r="D5043" s="1139">
        <v>98</v>
      </c>
      <c r="E5043" s="1140">
        <v>30.4</v>
      </c>
      <c r="F5043" s="4">
        <f t="shared" si="85"/>
        <v>-3.2786885245902103E-3</v>
      </c>
      <c r="G5043" s="37">
        <v>39</v>
      </c>
      <c r="H5043" s="1141">
        <v>45882</v>
      </c>
    </row>
    <row r="5044" spans="3:8" x14ac:dyDescent="0.25">
      <c r="C5044" s="1139">
        <v>6</v>
      </c>
      <c r="D5044" s="1139">
        <v>115</v>
      </c>
      <c r="E5044" s="1140">
        <v>41.7</v>
      </c>
      <c r="F5044" s="4">
        <f t="shared" si="85"/>
        <v>-1.4184397163120433E-2</v>
      </c>
      <c r="G5044" s="37">
        <v>39</v>
      </c>
      <c r="H5044" s="1141">
        <v>45882</v>
      </c>
    </row>
    <row r="5045" spans="3:8" x14ac:dyDescent="0.25">
      <c r="C5045" s="1139">
        <v>7</v>
      </c>
      <c r="D5045" s="1139">
        <v>73</v>
      </c>
      <c r="E5045" s="1140">
        <v>37.700000000000003</v>
      </c>
      <c r="F5045" s="4">
        <f t="shared" si="85"/>
        <v>2.659574468085144E-3</v>
      </c>
      <c r="G5045" s="37">
        <v>39</v>
      </c>
      <c r="H5045" s="1141">
        <v>45882</v>
      </c>
    </row>
    <row r="5046" spans="3:8" x14ac:dyDescent="0.25">
      <c r="C5046" s="1139">
        <v>8</v>
      </c>
      <c r="D5046" s="1139">
        <v>0</v>
      </c>
      <c r="E5046" s="1140"/>
      <c r="F5046" s="4" t="str">
        <f t="shared" si="85"/>
        <v/>
      </c>
      <c r="G5046" s="37">
        <v>39</v>
      </c>
      <c r="H5046" s="1141">
        <v>45882</v>
      </c>
    </row>
    <row r="5047" spans="3:8" x14ac:dyDescent="0.25">
      <c r="C5047" s="1139">
        <v>9</v>
      </c>
      <c r="D5047" s="1139">
        <v>97</v>
      </c>
      <c r="E5047" s="1140">
        <v>41.9</v>
      </c>
      <c r="F5047" s="4">
        <f t="shared" si="85"/>
        <v>-1.8735362997658177E-2</v>
      </c>
      <c r="G5047" s="37">
        <v>39</v>
      </c>
      <c r="H5047" s="1141">
        <v>45882</v>
      </c>
    </row>
    <row r="5048" spans="3:8" x14ac:dyDescent="0.25">
      <c r="C5048" s="1139">
        <v>10</v>
      </c>
      <c r="D5048" s="1139">
        <v>118</v>
      </c>
      <c r="E5048" s="1140">
        <v>33.299999999999997</v>
      </c>
      <c r="F5048" s="4">
        <f t="shared" si="85"/>
        <v>-0.19565217391304351</v>
      </c>
      <c r="G5048" s="37">
        <v>39</v>
      </c>
      <c r="H5048" s="1141">
        <v>45882</v>
      </c>
    </row>
    <row r="5049" spans="3:8" x14ac:dyDescent="0.25">
      <c r="C5049" s="1142" t="s">
        <v>0</v>
      </c>
      <c r="D5049" s="1142" t="s">
        <v>7</v>
      </c>
      <c r="E5049" s="1143" t="s">
        <v>4</v>
      </c>
      <c r="F5049" s="4" t="str">
        <f t="shared" si="85"/>
        <v/>
      </c>
      <c r="G5049" s="37">
        <v>40.200000000000003</v>
      </c>
      <c r="H5049" s="1144">
        <v>45883</v>
      </c>
    </row>
    <row r="5050" spans="3:8" x14ac:dyDescent="0.25">
      <c r="C5050" s="1142">
        <v>51</v>
      </c>
      <c r="D5050" s="1142">
        <v>36</v>
      </c>
      <c r="E5050" s="1143">
        <v>34.299999999999997</v>
      </c>
      <c r="F5050" s="4">
        <f t="shared" si="85"/>
        <v>-4.986149584487546E-2</v>
      </c>
      <c r="G5050" s="37">
        <v>40.200000000000003</v>
      </c>
      <c r="H5050" s="1144">
        <v>45883</v>
      </c>
    </row>
    <row r="5051" spans="3:8" x14ac:dyDescent="0.25">
      <c r="C5051" s="1142">
        <v>1</v>
      </c>
      <c r="D5051" s="1142">
        <v>114</v>
      </c>
      <c r="E5051" s="1143">
        <v>42.5</v>
      </c>
      <c r="F5051" s="4">
        <f t="shared" si="85"/>
        <v>2.4096385542168676E-2</v>
      </c>
      <c r="G5051" s="37">
        <v>40.200000000000003</v>
      </c>
      <c r="H5051" s="1144">
        <v>45883</v>
      </c>
    </row>
    <row r="5052" spans="3:8" x14ac:dyDescent="0.25">
      <c r="C5052" s="1142">
        <v>2</v>
      </c>
      <c r="D5052" s="1142">
        <v>0</v>
      </c>
      <c r="E5052" s="1143"/>
      <c r="F5052" s="4" t="str">
        <f t="shared" si="85"/>
        <v/>
      </c>
      <c r="G5052" s="37">
        <v>40.200000000000003</v>
      </c>
      <c r="H5052" s="1144">
        <v>45883</v>
      </c>
    </row>
    <row r="5053" spans="3:8" x14ac:dyDescent="0.25">
      <c r="C5053" s="1142">
        <v>3</v>
      </c>
      <c r="D5053" s="1142">
        <v>50</v>
      </c>
      <c r="E5053" s="1143">
        <v>35.299999999999997</v>
      </c>
      <c r="F5053" s="4">
        <f t="shared" si="85"/>
        <v>-2.4861878453038829E-2</v>
      </c>
      <c r="G5053" s="37">
        <v>40.200000000000003</v>
      </c>
      <c r="H5053" s="1144">
        <v>45883</v>
      </c>
    </row>
    <row r="5054" spans="3:8" x14ac:dyDescent="0.25">
      <c r="C5054" s="1142">
        <v>4</v>
      </c>
      <c r="D5054" s="1142">
        <v>116</v>
      </c>
      <c r="E5054" s="1143">
        <v>42.8</v>
      </c>
      <c r="F5054" s="4">
        <f t="shared" si="85"/>
        <v>-9.2592592592593906E-3</v>
      </c>
      <c r="G5054" s="37">
        <v>40.200000000000003</v>
      </c>
      <c r="H5054" s="1144">
        <v>45883</v>
      </c>
    </row>
    <row r="5055" spans="3:8" x14ac:dyDescent="0.25">
      <c r="C5055" s="1142">
        <v>5</v>
      </c>
      <c r="D5055" s="1142">
        <v>97</v>
      </c>
      <c r="E5055" s="1143">
        <v>30.5</v>
      </c>
      <c r="F5055" s="4">
        <f t="shared" si="85"/>
        <v>3.2894736842105734E-3</v>
      </c>
      <c r="G5055" s="37">
        <v>40.200000000000003</v>
      </c>
      <c r="H5055" s="1144">
        <v>45883</v>
      </c>
    </row>
    <row r="5056" spans="3:8" x14ac:dyDescent="0.25">
      <c r="C5056" s="1142">
        <v>6</v>
      </c>
      <c r="D5056" s="1142">
        <v>116</v>
      </c>
      <c r="E5056" s="1143">
        <v>42</v>
      </c>
      <c r="F5056" s="4">
        <f t="shared" si="85"/>
        <v>7.1942446043164777E-3</v>
      </c>
      <c r="G5056" s="37">
        <v>40.200000000000003</v>
      </c>
      <c r="H5056" s="1144">
        <v>45883</v>
      </c>
    </row>
    <row r="5057" spans="3:8" x14ac:dyDescent="0.25">
      <c r="C5057" s="1142">
        <v>7</v>
      </c>
      <c r="D5057" s="1142">
        <v>73</v>
      </c>
      <c r="E5057" s="1143">
        <v>38.299999999999997</v>
      </c>
      <c r="F5057" s="4">
        <f t="shared" si="85"/>
        <v>1.5915119363395073E-2</v>
      </c>
      <c r="G5057" s="37">
        <v>40.200000000000003</v>
      </c>
      <c r="H5057" s="1144">
        <v>45883</v>
      </c>
    </row>
    <row r="5058" spans="3:8" x14ac:dyDescent="0.25">
      <c r="C5058" s="1142">
        <v>8</v>
      </c>
      <c r="D5058" s="1142">
        <v>0</v>
      </c>
      <c r="E5058" s="1143"/>
      <c r="F5058" s="4" t="str">
        <f t="shared" si="85"/>
        <v/>
      </c>
      <c r="G5058" s="37">
        <v>40.200000000000003</v>
      </c>
      <c r="H5058" s="1144">
        <v>45883</v>
      </c>
    </row>
    <row r="5059" spans="3:8" x14ac:dyDescent="0.25">
      <c r="C5059" s="1142">
        <v>9</v>
      </c>
      <c r="D5059" s="1142">
        <v>97</v>
      </c>
      <c r="E5059" s="1143">
        <v>42.7</v>
      </c>
      <c r="F5059" s="4">
        <f t="shared" si="85"/>
        <v>1.9093078758949982E-2</v>
      </c>
      <c r="G5059" s="37">
        <v>40.200000000000003</v>
      </c>
      <c r="H5059" s="1144">
        <v>45883</v>
      </c>
    </row>
    <row r="5060" spans="3:8" x14ac:dyDescent="0.25">
      <c r="C5060" s="1142">
        <v>10</v>
      </c>
      <c r="D5060" s="1142">
        <v>118</v>
      </c>
      <c r="E5060" s="1143">
        <v>41.3</v>
      </c>
      <c r="F5060" s="4">
        <f t="shared" si="85"/>
        <v>0.24024024024024027</v>
      </c>
      <c r="G5060" s="37">
        <v>40.200000000000003</v>
      </c>
      <c r="H5060" s="1144">
        <v>45883</v>
      </c>
    </row>
    <row r="5061" spans="3:8" x14ac:dyDescent="0.25">
      <c r="C5061" s="1145" t="s">
        <v>0</v>
      </c>
      <c r="D5061" s="1145" t="s">
        <v>7</v>
      </c>
      <c r="E5061" s="1146" t="s">
        <v>4</v>
      </c>
      <c r="F5061" s="4" t="str">
        <f t="shared" si="85"/>
        <v/>
      </c>
      <c r="G5061" s="37">
        <v>39.5</v>
      </c>
      <c r="H5061" s="1147">
        <v>45884</v>
      </c>
    </row>
    <row r="5062" spans="3:8" x14ac:dyDescent="0.25">
      <c r="C5062" s="1145">
        <v>51</v>
      </c>
      <c r="D5062" s="1145">
        <v>36</v>
      </c>
      <c r="E5062" s="1146">
        <v>29.8</v>
      </c>
      <c r="F5062" s="4">
        <f t="shared" si="85"/>
        <v>-0.13119533527696783</v>
      </c>
      <c r="G5062" s="37">
        <v>39.5</v>
      </c>
      <c r="H5062" s="1147">
        <v>45884</v>
      </c>
    </row>
    <row r="5063" spans="3:8" x14ac:dyDescent="0.25">
      <c r="C5063" s="1145">
        <v>1</v>
      </c>
      <c r="D5063" s="1145">
        <v>115</v>
      </c>
      <c r="E5063" s="1146">
        <v>41.9</v>
      </c>
      <c r="F5063" s="4">
        <f t="shared" si="85"/>
        <v>-1.4117647058823563E-2</v>
      </c>
      <c r="G5063" s="37">
        <v>39.5</v>
      </c>
      <c r="H5063" s="1147">
        <v>45884</v>
      </c>
    </row>
    <row r="5064" spans="3:8" x14ac:dyDescent="0.25">
      <c r="C5064" s="1145">
        <v>2</v>
      </c>
      <c r="D5064" s="1145">
        <v>0</v>
      </c>
      <c r="E5064" s="1146"/>
      <c r="F5064" s="4" t="str">
        <f t="shared" si="85"/>
        <v/>
      </c>
      <c r="G5064" s="37">
        <v>39.5</v>
      </c>
      <c r="H5064" s="1147">
        <v>45884</v>
      </c>
    </row>
    <row r="5065" spans="3:8" x14ac:dyDescent="0.25">
      <c r="C5065" s="1145">
        <v>3</v>
      </c>
      <c r="D5065" s="1145">
        <v>49</v>
      </c>
      <c r="E5065" s="1146">
        <v>36.5</v>
      </c>
      <c r="F5065" s="4">
        <f t="shared" si="85"/>
        <v>3.3994334277620483E-2</v>
      </c>
      <c r="G5065" s="37">
        <v>39.5</v>
      </c>
      <c r="H5065" s="1147">
        <v>45884</v>
      </c>
    </row>
    <row r="5066" spans="3:8" x14ac:dyDescent="0.25">
      <c r="C5066" s="1145">
        <v>4</v>
      </c>
      <c r="D5066" s="1145">
        <v>116</v>
      </c>
      <c r="E5066" s="1146">
        <v>43.1</v>
      </c>
      <c r="F5066" s="4">
        <f t="shared" si="85"/>
        <v>7.009345794392623E-3</v>
      </c>
      <c r="G5066" s="37">
        <v>39.5</v>
      </c>
      <c r="H5066" s="1147">
        <v>45884</v>
      </c>
    </row>
    <row r="5067" spans="3:8" x14ac:dyDescent="0.25">
      <c r="C5067" s="1145">
        <v>5</v>
      </c>
      <c r="D5067" s="1145">
        <v>95</v>
      </c>
      <c r="E5067" s="1146">
        <v>31.5</v>
      </c>
      <c r="F5067" s="4">
        <f t="shared" si="85"/>
        <v>3.2786885245901641E-2</v>
      </c>
      <c r="G5067" s="37">
        <v>39.5</v>
      </c>
      <c r="H5067" s="1147">
        <v>45884</v>
      </c>
    </row>
    <row r="5068" spans="3:8" x14ac:dyDescent="0.25">
      <c r="C5068" s="1145">
        <v>6</v>
      </c>
      <c r="D5068" s="1145">
        <v>116</v>
      </c>
      <c r="E5068" s="1146">
        <v>38.799999999999997</v>
      </c>
      <c r="F5068" s="4">
        <f t="shared" si="85"/>
        <v>-7.6190476190476253E-2</v>
      </c>
      <c r="G5068" s="37">
        <v>39.5</v>
      </c>
      <c r="H5068" s="1147">
        <v>45884</v>
      </c>
    </row>
    <row r="5069" spans="3:8" x14ac:dyDescent="0.25">
      <c r="C5069" s="1145">
        <v>7</v>
      </c>
      <c r="D5069" s="1145">
        <v>73</v>
      </c>
      <c r="E5069" s="1146">
        <v>38.4</v>
      </c>
      <c r="F5069" s="4">
        <f t="shared" si="85"/>
        <v>2.6109660574412906E-3</v>
      </c>
      <c r="G5069" s="37">
        <v>39.5</v>
      </c>
      <c r="H5069" s="1147">
        <v>45884</v>
      </c>
    </row>
    <row r="5070" spans="3:8" x14ac:dyDescent="0.25">
      <c r="C5070" s="1145">
        <v>8</v>
      </c>
      <c r="D5070" s="1145">
        <v>0</v>
      </c>
      <c r="E5070" s="1146"/>
      <c r="F5070" s="4" t="str">
        <f t="shared" si="85"/>
        <v/>
      </c>
      <c r="G5070" s="37">
        <v>39.5</v>
      </c>
      <c r="H5070" s="1147">
        <v>45884</v>
      </c>
    </row>
    <row r="5071" spans="3:8" x14ac:dyDescent="0.25">
      <c r="C5071" s="1145">
        <v>9</v>
      </c>
      <c r="D5071" s="1145">
        <v>98</v>
      </c>
      <c r="E5071" s="1146">
        <v>43.2</v>
      </c>
      <c r="F5071" s="4">
        <f t="shared" si="85"/>
        <v>1.1709601873536299E-2</v>
      </c>
      <c r="G5071" s="37">
        <v>39.5</v>
      </c>
      <c r="H5071" s="1147">
        <v>45884</v>
      </c>
    </row>
    <row r="5072" spans="3:8" x14ac:dyDescent="0.25">
      <c r="C5072" s="1145">
        <v>10</v>
      </c>
      <c r="D5072" s="1145">
        <v>118</v>
      </c>
      <c r="E5072" s="1146">
        <v>39.1</v>
      </c>
      <c r="F5072" s="4">
        <f t="shared" si="85"/>
        <v>-5.3268765133171816E-2</v>
      </c>
      <c r="G5072" s="37">
        <v>39.5</v>
      </c>
      <c r="H5072" s="1147">
        <v>45884</v>
      </c>
    </row>
    <row r="5073" spans="3:8" x14ac:dyDescent="0.25">
      <c r="C5073" s="1148" t="s">
        <v>0</v>
      </c>
      <c r="D5073" s="1148" t="s">
        <v>7</v>
      </c>
      <c r="E5073" s="1149" t="s">
        <v>4</v>
      </c>
      <c r="F5073" s="4" t="str">
        <f t="shared" si="85"/>
        <v/>
      </c>
      <c r="G5073" s="37">
        <v>39.6</v>
      </c>
      <c r="H5073" s="1147">
        <v>45885</v>
      </c>
    </row>
    <row r="5074" spans="3:8" x14ac:dyDescent="0.25">
      <c r="C5074" s="1148">
        <v>51</v>
      </c>
      <c r="D5074" s="1148">
        <v>36</v>
      </c>
      <c r="E5074" s="1149">
        <v>35.799999999999997</v>
      </c>
      <c r="F5074" s="4">
        <f t="shared" si="85"/>
        <v>0.20134228187919451</v>
      </c>
      <c r="G5074" s="37">
        <v>39.6</v>
      </c>
      <c r="H5074" s="1147">
        <v>45885</v>
      </c>
    </row>
    <row r="5075" spans="3:8" x14ac:dyDescent="0.25">
      <c r="C5075" s="1148">
        <v>1</v>
      </c>
      <c r="D5075" s="1148">
        <v>115</v>
      </c>
      <c r="E5075" s="1149">
        <v>41</v>
      </c>
      <c r="F5075" s="4">
        <f t="shared" si="85"/>
        <v>-2.1479713603818583E-2</v>
      </c>
      <c r="G5075" s="37">
        <v>39.6</v>
      </c>
      <c r="H5075" s="1147">
        <v>45885</v>
      </c>
    </row>
    <row r="5076" spans="3:8" x14ac:dyDescent="0.25">
      <c r="C5076" s="1148">
        <v>2</v>
      </c>
      <c r="D5076" s="1148">
        <v>0</v>
      </c>
      <c r="E5076" s="1149"/>
      <c r="F5076" s="4" t="str">
        <f t="shared" si="85"/>
        <v/>
      </c>
      <c r="G5076" s="37">
        <v>39.6</v>
      </c>
      <c r="H5076" s="1147">
        <v>45885</v>
      </c>
    </row>
    <row r="5077" spans="3:8" x14ac:dyDescent="0.25">
      <c r="C5077" s="1148">
        <v>3</v>
      </c>
      <c r="D5077" s="1148">
        <v>49</v>
      </c>
      <c r="E5077" s="1149">
        <v>36.1</v>
      </c>
      <c r="F5077" s="4">
        <f t="shared" si="85"/>
        <v>-1.0958904109589003E-2</v>
      </c>
      <c r="G5077" s="37">
        <v>39.6</v>
      </c>
      <c r="H5077" s="1147">
        <v>45885</v>
      </c>
    </row>
    <row r="5078" spans="3:8" x14ac:dyDescent="0.25">
      <c r="C5078" s="1148">
        <v>4</v>
      </c>
      <c r="D5078" s="1148">
        <v>115</v>
      </c>
      <c r="E5078" s="1149">
        <v>41.8</v>
      </c>
      <c r="F5078" s="4">
        <f t="shared" si="85"/>
        <v>-3.0162412993039543E-2</v>
      </c>
      <c r="G5078" s="37">
        <v>39.6</v>
      </c>
      <c r="H5078" s="1147">
        <v>45885</v>
      </c>
    </row>
    <row r="5079" spans="3:8" x14ac:dyDescent="0.25">
      <c r="C5079" s="1148">
        <v>5</v>
      </c>
      <c r="D5079" s="1148">
        <v>95</v>
      </c>
      <c r="E5079" s="1149">
        <v>29.8</v>
      </c>
      <c r="F5079" s="4">
        <f t="shared" si="85"/>
        <v>-5.3968253968253943E-2</v>
      </c>
      <c r="G5079" s="37">
        <v>39.6</v>
      </c>
      <c r="H5079" s="1147">
        <v>45885</v>
      </c>
    </row>
    <row r="5080" spans="3:8" x14ac:dyDescent="0.25">
      <c r="C5080" s="1148">
        <v>6</v>
      </c>
      <c r="D5080" s="1148">
        <v>116</v>
      </c>
      <c r="E5080" s="1149">
        <v>40.799999999999997</v>
      </c>
      <c r="F5080" s="4">
        <f t="shared" si="85"/>
        <v>5.1546391752577324E-2</v>
      </c>
      <c r="G5080" s="37">
        <v>39.6</v>
      </c>
      <c r="H5080" s="1147">
        <v>45885</v>
      </c>
    </row>
    <row r="5081" spans="3:8" x14ac:dyDescent="0.25">
      <c r="C5081" s="1148">
        <v>7</v>
      </c>
      <c r="D5081" s="1148">
        <v>73</v>
      </c>
      <c r="E5081" s="1149">
        <v>37.799999999999997</v>
      </c>
      <c r="F5081" s="4">
        <f t="shared" si="85"/>
        <v>-1.5625000000000038E-2</v>
      </c>
      <c r="G5081" s="37">
        <v>39.6</v>
      </c>
      <c r="H5081" s="1147">
        <v>45885</v>
      </c>
    </row>
    <row r="5082" spans="3:8" x14ac:dyDescent="0.25">
      <c r="C5082" s="1148">
        <v>8</v>
      </c>
      <c r="D5082" s="1148">
        <v>0</v>
      </c>
      <c r="E5082" s="1149"/>
      <c r="F5082" s="4" t="str">
        <f t="shared" si="85"/>
        <v/>
      </c>
      <c r="G5082" s="37">
        <v>39.6</v>
      </c>
      <c r="H5082" s="1147">
        <v>45885</v>
      </c>
    </row>
    <row r="5083" spans="3:8" x14ac:dyDescent="0.25">
      <c r="C5083" s="1148">
        <v>9</v>
      </c>
      <c r="D5083" s="1148">
        <v>98</v>
      </c>
      <c r="E5083" s="1149">
        <v>42</v>
      </c>
      <c r="F5083" s="4">
        <f t="shared" si="85"/>
        <v>-2.7777777777777842E-2</v>
      </c>
      <c r="G5083" s="37">
        <v>39.6</v>
      </c>
      <c r="H5083" s="1147">
        <v>45885</v>
      </c>
    </row>
    <row r="5084" spans="3:8" x14ac:dyDescent="0.25">
      <c r="C5084" s="1148">
        <v>10</v>
      </c>
      <c r="D5084" s="1148">
        <v>118</v>
      </c>
      <c r="E5084" s="1149">
        <v>40.5</v>
      </c>
      <c r="F5084" s="4">
        <f t="shared" si="85"/>
        <v>3.5805626598465437E-2</v>
      </c>
      <c r="G5084" s="37">
        <v>39.6</v>
      </c>
      <c r="H5084" s="1147">
        <v>45885</v>
      </c>
    </row>
    <row r="5085" spans="3:8" x14ac:dyDescent="0.25">
      <c r="C5085" s="1150" t="s">
        <v>0</v>
      </c>
      <c r="D5085" s="1150" t="s">
        <v>7</v>
      </c>
      <c r="E5085" s="1151" t="s">
        <v>4</v>
      </c>
      <c r="F5085" s="4" t="str">
        <f t="shared" si="85"/>
        <v/>
      </c>
      <c r="G5085" s="37">
        <v>40</v>
      </c>
      <c r="H5085" s="1152">
        <v>45886</v>
      </c>
    </row>
    <row r="5086" spans="3:8" x14ac:dyDescent="0.25">
      <c r="C5086" s="1150">
        <v>51</v>
      </c>
      <c r="D5086" s="1150">
        <v>37</v>
      </c>
      <c r="E5086" s="1151">
        <v>36.6</v>
      </c>
      <c r="F5086" s="4">
        <f t="shared" si="85"/>
        <v>2.2346368715083921E-2</v>
      </c>
      <c r="G5086" s="37">
        <v>40</v>
      </c>
      <c r="H5086" s="1152">
        <v>45886</v>
      </c>
    </row>
    <row r="5087" spans="3:8" x14ac:dyDescent="0.25">
      <c r="C5087" s="1150">
        <v>1</v>
      </c>
      <c r="D5087" s="1150">
        <v>115</v>
      </c>
      <c r="E5087" s="1151">
        <v>40.200000000000003</v>
      </c>
      <c r="F5087" s="4">
        <f t="shared" si="85"/>
        <v>-1.951219512195115E-2</v>
      </c>
      <c r="G5087" s="37">
        <v>40</v>
      </c>
      <c r="H5087" s="1152">
        <v>45886</v>
      </c>
    </row>
    <row r="5088" spans="3:8" x14ac:dyDescent="0.25">
      <c r="C5088" s="1150">
        <v>2</v>
      </c>
      <c r="D5088" s="1150">
        <v>0</v>
      </c>
      <c r="E5088" s="1151"/>
      <c r="F5088" s="4" t="str">
        <f t="shared" si="85"/>
        <v/>
      </c>
      <c r="G5088" s="37">
        <v>40</v>
      </c>
      <c r="H5088" s="1152">
        <v>45886</v>
      </c>
    </row>
    <row r="5089" spans="3:8" x14ac:dyDescent="0.25">
      <c r="C5089" s="1150">
        <v>3</v>
      </c>
      <c r="D5089" s="1150">
        <v>49</v>
      </c>
      <c r="E5089" s="1151">
        <v>36.299999999999997</v>
      </c>
      <c r="F5089" s="4">
        <f t="shared" si="85"/>
        <v>5.5401662049860316E-3</v>
      </c>
      <c r="G5089" s="37">
        <v>40</v>
      </c>
      <c r="H5089" s="1152">
        <v>45886</v>
      </c>
    </row>
    <row r="5090" spans="3:8" x14ac:dyDescent="0.25">
      <c r="C5090" s="1150">
        <v>4</v>
      </c>
      <c r="D5090" s="1150">
        <v>115</v>
      </c>
      <c r="E5090" s="1151">
        <v>42.4</v>
      </c>
      <c r="F5090" s="4">
        <f t="shared" si="85"/>
        <v>1.4354066985645968E-2</v>
      </c>
      <c r="G5090" s="37">
        <v>40</v>
      </c>
      <c r="H5090" s="1152">
        <v>45886</v>
      </c>
    </row>
    <row r="5091" spans="3:8" x14ac:dyDescent="0.25">
      <c r="C5091" s="1150">
        <v>5</v>
      </c>
      <c r="D5091" s="1150">
        <v>95</v>
      </c>
      <c r="E5091" s="1151">
        <v>31.5</v>
      </c>
      <c r="F5091" s="4">
        <f t="shared" si="85"/>
        <v>5.7046979865771785E-2</v>
      </c>
      <c r="G5091" s="37">
        <v>40</v>
      </c>
      <c r="H5091" s="1152">
        <v>45886</v>
      </c>
    </row>
    <row r="5092" spans="3:8" x14ac:dyDescent="0.25">
      <c r="C5092" s="1150">
        <v>6</v>
      </c>
      <c r="D5092" s="1150">
        <v>117</v>
      </c>
      <c r="E5092" s="1151">
        <v>40.700000000000003</v>
      </c>
      <c r="F5092" s="4">
        <f t="shared" si="85"/>
        <v>-2.4509803921567235E-3</v>
      </c>
      <c r="G5092" s="37">
        <v>40</v>
      </c>
      <c r="H5092" s="1152">
        <v>45886</v>
      </c>
    </row>
    <row r="5093" spans="3:8" x14ac:dyDescent="0.25">
      <c r="C5093" s="1150">
        <v>7</v>
      </c>
      <c r="D5093" s="1150">
        <v>73</v>
      </c>
      <c r="E5093" s="1151">
        <v>37.6</v>
      </c>
      <c r="F5093" s="4">
        <f t="shared" si="85"/>
        <v>-5.2910052910051788E-3</v>
      </c>
      <c r="G5093" s="37">
        <v>40</v>
      </c>
      <c r="H5093" s="1152">
        <v>45886</v>
      </c>
    </row>
    <row r="5094" spans="3:8" x14ac:dyDescent="0.25">
      <c r="C5094" s="1150">
        <v>8</v>
      </c>
      <c r="D5094" s="1150">
        <v>0</v>
      </c>
      <c r="E5094" s="1151"/>
      <c r="F5094" s="4" t="str">
        <f t="shared" si="85"/>
        <v/>
      </c>
      <c r="G5094" s="37">
        <v>40</v>
      </c>
      <c r="H5094" s="1152">
        <v>45886</v>
      </c>
    </row>
    <row r="5095" spans="3:8" x14ac:dyDescent="0.25">
      <c r="C5095" s="1150">
        <v>9</v>
      </c>
      <c r="D5095" s="1150">
        <v>97</v>
      </c>
      <c r="E5095" s="1151">
        <v>42.7</v>
      </c>
      <c r="F5095" s="4">
        <f t="shared" ref="F5095:F5158" si="86">IFERROR((E5095-E5083)/E5083,"")</f>
        <v>1.6666666666666736E-2</v>
      </c>
      <c r="G5095" s="37">
        <v>40</v>
      </c>
      <c r="H5095" s="1152">
        <v>45886</v>
      </c>
    </row>
    <row r="5096" spans="3:8" x14ac:dyDescent="0.25">
      <c r="C5096" s="1150">
        <v>10</v>
      </c>
      <c r="D5096" s="1150">
        <v>118</v>
      </c>
      <c r="E5096" s="1151">
        <v>41.4</v>
      </c>
      <c r="F5096" s="4">
        <f t="shared" si="86"/>
        <v>2.2222222222222188E-2</v>
      </c>
      <c r="G5096" s="37">
        <v>40</v>
      </c>
      <c r="H5096" s="1152">
        <v>45886</v>
      </c>
    </row>
    <row r="5097" spans="3:8" x14ac:dyDescent="0.25">
      <c r="C5097" s="1153" t="s">
        <v>0</v>
      </c>
      <c r="D5097" s="1153" t="s">
        <v>7</v>
      </c>
      <c r="E5097" s="1154" t="s">
        <v>4</v>
      </c>
      <c r="F5097" s="4" t="str">
        <f t="shared" si="86"/>
        <v/>
      </c>
      <c r="G5097" s="37">
        <v>39.299999999999997</v>
      </c>
      <c r="H5097" s="1155">
        <v>45887</v>
      </c>
    </row>
    <row r="5098" spans="3:8" x14ac:dyDescent="0.25">
      <c r="C5098" s="1153">
        <v>51</v>
      </c>
      <c r="D5098" s="1153">
        <v>36</v>
      </c>
      <c r="E5098" s="1154">
        <v>36.299999999999997</v>
      </c>
      <c r="F5098" s="4">
        <f t="shared" si="86"/>
        <v>-8.1967213114755265E-3</v>
      </c>
      <c r="G5098" s="37">
        <v>39.299999999999997</v>
      </c>
      <c r="H5098" s="1155">
        <v>45887</v>
      </c>
    </row>
    <row r="5099" spans="3:8" x14ac:dyDescent="0.25">
      <c r="C5099" s="1153">
        <v>1</v>
      </c>
      <c r="D5099" s="1153">
        <v>115</v>
      </c>
      <c r="E5099" s="1154">
        <v>41.1</v>
      </c>
      <c r="F5099" s="4">
        <f t="shared" si="86"/>
        <v>2.2388059701492501E-2</v>
      </c>
      <c r="G5099" s="37">
        <v>39.299999999999997</v>
      </c>
      <c r="H5099" s="1155">
        <v>45887</v>
      </c>
    </row>
    <row r="5100" spans="3:8" x14ac:dyDescent="0.25">
      <c r="C5100" s="1153">
        <v>2</v>
      </c>
      <c r="D5100" s="1153">
        <v>0</v>
      </c>
      <c r="E5100" s="1154"/>
      <c r="F5100" s="4" t="str">
        <f t="shared" si="86"/>
        <v/>
      </c>
      <c r="G5100" s="37">
        <v>39.299999999999997</v>
      </c>
      <c r="H5100" s="1155">
        <v>45887</v>
      </c>
    </row>
    <row r="5101" spans="3:8" x14ac:dyDescent="0.25">
      <c r="C5101" s="1153">
        <v>3</v>
      </c>
      <c r="D5101" s="1153">
        <v>47</v>
      </c>
      <c r="E5101" s="1154">
        <v>36.299999999999997</v>
      </c>
      <c r="F5101" s="4">
        <f t="shared" si="86"/>
        <v>0</v>
      </c>
      <c r="G5101" s="37">
        <v>39.299999999999997</v>
      </c>
      <c r="H5101" s="1155">
        <v>45887</v>
      </c>
    </row>
    <row r="5102" spans="3:8" x14ac:dyDescent="0.25">
      <c r="C5102" s="1153">
        <v>4</v>
      </c>
      <c r="D5102" s="1153">
        <v>113</v>
      </c>
      <c r="E5102" s="1154">
        <v>38.799999999999997</v>
      </c>
      <c r="F5102" s="4">
        <f t="shared" si="86"/>
        <v>-8.4905660377358527E-2</v>
      </c>
      <c r="G5102" s="37">
        <v>39.299999999999997</v>
      </c>
      <c r="H5102" s="1155">
        <v>45887</v>
      </c>
    </row>
    <row r="5103" spans="3:8" x14ac:dyDescent="0.25">
      <c r="C5103" s="1153">
        <v>5</v>
      </c>
      <c r="D5103" s="1153">
        <v>89</v>
      </c>
      <c r="E5103" s="1154">
        <v>30.2</v>
      </c>
      <c r="F5103" s="4">
        <f t="shared" si="86"/>
        <v>-4.126984126984129E-2</v>
      </c>
      <c r="G5103" s="37">
        <v>39.299999999999997</v>
      </c>
      <c r="H5103" s="1155">
        <v>45887</v>
      </c>
    </row>
    <row r="5104" spans="3:8" x14ac:dyDescent="0.25">
      <c r="C5104" s="1153">
        <v>6</v>
      </c>
      <c r="D5104" s="1153">
        <v>114</v>
      </c>
      <c r="E5104" s="1154">
        <v>40.1</v>
      </c>
      <c r="F5104" s="4">
        <f t="shared" si="86"/>
        <v>-1.4742014742014775E-2</v>
      </c>
      <c r="G5104" s="37">
        <v>39.299999999999997</v>
      </c>
      <c r="H5104" s="1155">
        <v>45887</v>
      </c>
    </row>
    <row r="5105" spans="3:8" x14ac:dyDescent="0.25">
      <c r="C5105" s="1153">
        <v>7</v>
      </c>
      <c r="D5105" s="1153">
        <v>73</v>
      </c>
      <c r="E5105" s="1154">
        <v>37.5</v>
      </c>
      <c r="F5105" s="4">
        <f t="shared" si="86"/>
        <v>-2.659574468085144E-3</v>
      </c>
      <c r="G5105" s="37">
        <v>39.299999999999997</v>
      </c>
      <c r="H5105" s="1155">
        <v>45887</v>
      </c>
    </row>
    <row r="5106" spans="3:8" x14ac:dyDescent="0.25">
      <c r="C5106" s="1153">
        <v>8</v>
      </c>
      <c r="D5106" s="1153">
        <v>0</v>
      </c>
      <c r="E5106" s="1154"/>
      <c r="F5106" s="4" t="str">
        <f t="shared" si="86"/>
        <v/>
      </c>
      <c r="G5106" s="37">
        <v>39.299999999999997</v>
      </c>
      <c r="H5106" s="1155">
        <v>45887</v>
      </c>
    </row>
    <row r="5107" spans="3:8" x14ac:dyDescent="0.25">
      <c r="C5107" s="1153">
        <v>9</v>
      </c>
      <c r="D5107" s="1153">
        <v>97</v>
      </c>
      <c r="E5107" s="1154">
        <v>41.8</v>
      </c>
      <c r="F5107" s="4">
        <f t="shared" si="86"/>
        <v>-2.1077283372365471E-2</v>
      </c>
      <c r="G5107" s="37">
        <v>39.299999999999997</v>
      </c>
      <c r="H5107" s="1155">
        <v>45887</v>
      </c>
    </row>
    <row r="5108" spans="3:8" x14ac:dyDescent="0.25">
      <c r="C5108" s="1153">
        <v>10</v>
      </c>
      <c r="D5108" s="1153">
        <v>118</v>
      </c>
      <c r="E5108" s="1154">
        <v>40.200000000000003</v>
      </c>
      <c r="F5108" s="4">
        <f t="shared" si="86"/>
        <v>-2.8985507246376711E-2</v>
      </c>
      <c r="G5108" s="37">
        <v>39.299999999999997</v>
      </c>
      <c r="H5108" s="1155">
        <v>45887</v>
      </c>
    </row>
    <row r="5109" spans="3:8" x14ac:dyDescent="0.25">
      <c r="C5109" s="1156" t="s">
        <v>0</v>
      </c>
      <c r="D5109" s="1156" t="s">
        <v>7</v>
      </c>
      <c r="E5109" s="1157" t="s">
        <v>4</v>
      </c>
      <c r="F5109" s="4" t="str">
        <f t="shared" si="86"/>
        <v/>
      </c>
      <c r="G5109" s="37">
        <v>41.2</v>
      </c>
      <c r="H5109" s="1158">
        <v>45888</v>
      </c>
    </row>
    <row r="5110" spans="3:8" x14ac:dyDescent="0.25">
      <c r="C5110" s="1156">
        <v>51</v>
      </c>
      <c r="D5110" s="1156">
        <v>33</v>
      </c>
      <c r="E5110" s="1157">
        <v>36.5</v>
      </c>
      <c r="F5110" s="4">
        <f t="shared" si="86"/>
        <v>5.509641873278316E-3</v>
      </c>
      <c r="G5110" s="37">
        <v>41.2</v>
      </c>
      <c r="H5110" s="1158">
        <v>45888</v>
      </c>
    </row>
    <row r="5111" spans="3:8" x14ac:dyDescent="0.25">
      <c r="C5111" s="1156">
        <v>1</v>
      </c>
      <c r="D5111" s="1156">
        <v>115</v>
      </c>
      <c r="E5111" s="1157">
        <v>42.9</v>
      </c>
      <c r="F5111" s="4">
        <f t="shared" si="86"/>
        <v>4.3795620437956137E-2</v>
      </c>
      <c r="G5111" s="37">
        <v>41.2</v>
      </c>
      <c r="H5111" s="1158">
        <v>45888</v>
      </c>
    </row>
    <row r="5112" spans="3:8" x14ac:dyDescent="0.25">
      <c r="C5112" s="1156">
        <v>2</v>
      </c>
      <c r="D5112" s="1156">
        <v>0</v>
      </c>
      <c r="E5112" s="1157"/>
      <c r="F5112" s="4" t="str">
        <f t="shared" si="86"/>
        <v/>
      </c>
      <c r="G5112" s="37">
        <v>41.2</v>
      </c>
      <c r="H5112" s="1158">
        <v>45888</v>
      </c>
    </row>
    <row r="5113" spans="3:8" x14ac:dyDescent="0.25">
      <c r="C5113" s="1156">
        <v>3</v>
      </c>
      <c r="D5113" s="1156">
        <v>47</v>
      </c>
      <c r="E5113" s="1157">
        <v>38.5</v>
      </c>
      <c r="F5113" s="4">
        <f t="shared" si="86"/>
        <v>6.0606060606060691E-2</v>
      </c>
      <c r="G5113" s="37">
        <v>41.2</v>
      </c>
      <c r="H5113" s="1158">
        <v>45888</v>
      </c>
    </row>
    <row r="5114" spans="3:8" x14ac:dyDescent="0.25">
      <c r="C5114" s="1156">
        <v>4</v>
      </c>
      <c r="D5114" s="1156">
        <v>113</v>
      </c>
      <c r="E5114" s="1157">
        <v>43.3</v>
      </c>
      <c r="F5114" s="4">
        <f t="shared" si="86"/>
        <v>0.11597938144329897</v>
      </c>
      <c r="G5114" s="37">
        <v>41.2</v>
      </c>
      <c r="H5114" s="1158">
        <v>45888</v>
      </c>
    </row>
    <row r="5115" spans="3:8" x14ac:dyDescent="0.25">
      <c r="C5115" s="1156">
        <v>5</v>
      </c>
      <c r="D5115" s="1156">
        <v>88</v>
      </c>
      <c r="E5115" s="1157">
        <v>32.5</v>
      </c>
      <c r="F5115" s="4">
        <f t="shared" si="86"/>
        <v>7.6158940397351022E-2</v>
      </c>
      <c r="G5115" s="37">
        <v>41.2</v>
      </c>
      <c r="H5115" s="1158">
        <v>45888</v>
      </c>
    </row>
    <row r="5116" spans="3:8" x14ac:dyDescent="0.25">
      <c r="C5116" s="1156">
        <v>6</v>
      </c>
      <c r="D5116" s="1156">
        <v>116</v>
      </c>
      <c r="E5116" s="1157">
        <v>41.7</v>
      </c>
      <c r="F5116" s="4">
        <f t="shared" si="86"/>
        <v>3.9900249376558637E-2</v>
      </c>
      <c r="G5116" s="37">
        <v>41.2</v>
      </c>
      <c r="H5116" s="1158">
        <v>45888</v>
      </c>
    </row>
    <row r="5117" spans="3:8" x14ac:dyDescent="0.25">
      <c r="C5117" s="1156">
        <v>7</v>
      </c>
      <c r="D5117" s="1156">
        <v>73</v>
      </c>
      <c r="E5117" s="1157">
        <v>39.6</v>
      </c>
      <c r="F5117" s="4">
        <f t="shared" si="86"/>
        <v>5.6000000000000036E-2</v>
      </c>
      <c r="G5117" s="37">
        <v>41.2</v>
      </c>
      <c r="H5117" s="1158">
        <v>45888</v>
      </c>
    </row>
    <row r="5118" spans="3:8" x14ac:dyDescent="0.25">
      <c r="C5118" s="1156">
        <v>8</v>
      </c>
      <c r="D5118" s="1156">
        <v>0</v>
      </c>
      <c r="E5118" s="1157"/>
      <c r="F5118" s="4" t="str">
        <f t="shared" si="86"/>
        <v/>
      </c>
      <c r="G5118" s="37">
        <v>41.2</v>
      </c>
      <c r="H5118" s="1158">
        <v>45888</v>
      </c>
    </row>
    <row r="5119" spans="3:8" x14ac:dyDescent="0.25">
      <c r="C5119" s="1156">
        <v>9</v>
      </c>
      <c r="D5119" s="1156">
        <v>97</v>
      </c>
      <c r="E5119" s="1157">
        <v>42.5</v>
      </c>
      <c r="F5119" s="4">
        <f t="shared" si="86"/>
        <v>1.6746411483253659E-2</v>
      </c>
      <c r="G5119" s="37">
        <v>41.2</v>
      </c>
      <c r="H5119" s="1158">
        <v>45888</v>
      </c>
    </row>
    <row r="5120" spans="3:8" x14ac:dyDescent="0.25">
      <c r="C5120" s="1156">
        <v>10</v>
      </c>
      <c r="D5120" s="1156">
        <v>117</v>
      </c>
      <c r="E5120" s="1157">
        <v>41.4</v>
      </c>
      <c r="F5120" s="4">
        <f t="shared" si="86"/>
        <v>2.9850746268656608E-2</v>
      </c>
      <c r="G5120" s="37">
        <v>41.2</v>
      </c>
      <c r="H5120" s="1158">
        <v>45888</v>
      </c>
    </row>
    <row r="5121" spans="3:8" x14ac:dyDescent="0.25">
      <c r="C5121" s="1159" t="s">
        <v>0</v>
      </c>
      <c r="D5121" s="1159" t="s">
        <v>7</v>
      </c>
      <c r="E5121" s="1160" t="s">
        <v>4</v>
      </c>
      <c r="F5121" s="4" t="str">
        <f t="shared" si="86"/>
        <v/>
      </c>
      <c r="G5121" s="37">
        <v>41.1</v>
      </c>
      <c r="H5121" s="1161">
        <v>45889</v>
      </c>
    </row>
    <row r="5122" spans="3:8" x14ac:dyDescent="0.25">
      <c r="C5122" s="1159">
        <v>51</v>
      </c>
      <c r="D5122" s="1159">
        <v>34</v>
      </c>
      <c r="E5122" s="1160">
        <v>37.4</v>
      </c>
      <c r="F5122" s="4">
        <f t="shared" si="86"/>
        <v>2.4657534246575304E-2</v>
      </c>
      <c r="G5122" s="37">
        <v>41.1</v>
      </c>
      <c r="H5122" s="1161">
        <v>45889</v>
      </c>
    </row>
    <row r="5123" spans="3:8" x14ac:dyDescent="0.25">
      <c r="C5123" s="1159">
        <v>1</v>
      </c>
      <c r="D5123" s="1159">
        <v>114</v>
      </c>
      <c r="E5123" s="1160">
        <v>43.2</v>
      </c>
      <c r="F5123" s="4">
        <f t="shared" si="86"/>
        <v>6.9930069930070927E-3</v>
      </c>
      <c r="G5123" s="37">
        <v>41.1</v>
      </c>
      <c r="H5123" s="1161">
        <v>45889</v>
      </c>
    </row>
    <row r="5124" spans="3:8" x14ac:dyDescent="0.25">
      <c r="C5124" s="1159">
        <v>2</v>
      </c>
      <c r="D5124" s="1159">
        <v>0</v>
      </c>
      <c r="E5124" s="1160"/>
      <c r="F5124" s="4" t="str">
        <f t="shared" si="86"/>
        <v/>
      </c>
      <c r="G5124" s="37">
        <v>41.1</v>
      </c>
      <c r="H5124" s="1161">
        <v>45889</v>
      </c>
    </row>
    <row r="5125" spans="3:8" x14ac:dyDescent="0.25">
      <c r="C5125" s="1159">
        <v>3</v>
      </c>
      <c r="D5125" s="1159">
        <v>47</v>
      </c>
      <c r="E5125" s="1160">
        <v>38.1</v>
      </c>
      <c r="F5125" s="4">
        <f t="shared" si="86"/>
        <v>-1.0389610389610353E-2</v>
      </c>
      <c r="G5125" s="37">
        <v>41.1</v>
      </c>
      <c r="H5125" s="1161">
        <v>45889</v>
      </c>
    </row>
    <row r="5126" spans="3:8" x14ac:dyDescent="0.25">
      <c r="C5126" s="1159">
        <v>4</v>
      </c>
      <c r="D5126" s="1159">
        <v>113</v>
      </c>
      <c r="E5126" s="1160">
        <v>43.8</v>
      </c>
      <c r="F5126" s="4">
        <f t="shared" si="86"/>
        <v>1.1547344110854504E-2</v>
      </c>
      <c r="G5126" s="37">
        <v>41.1</v>
      </c>
      <c r="H5126" s="1161">
        <v>45889</v>
      </c>
    </row>
    <row r="5127" spans="3:8" x14ac:dyDescent="0.25">
      <c r="C5127" s="1159">
        <v>5</v>
      </c>
      <c r="D5127" s="1159">
        <v>88</v>
      </c>
      <c r="E5127" s="1160">
        <v>31.5</v>
      </c>
      <c r="F5127" s="4">
        <f t="shared" si="86"/>
        <v>-3.0769230769230771E-2</v>
      </c>
      <c r="G5127" s="37">
        <v>41.1</v>
      </c>
      <c r="H5127" s="1161">
        <v>45889</v>
      </c>
    </row>
    <row r="5128" spans="3:8" x14ac:dyDescent="0.25">
      <c r="C5128" s="1159">
        <v>6</v>
      </c>
      <c r="D5128" s="1159">
        <v>117</v>
      </c>
      <c r="E5128" s="1160">
        <v>42.4</v>
      </c>
      <c r="F5128" s="4">
        <f t="shared" si="86"/>
        <v>1.6786570743405171E-2</v>
      </c>
      <c r="G5128" s="37">
        <v>41.1</v>
      </c>
      <c r="H5128" s="1161">
        <v>45889</v>
      </c>
    </row>
    <row r="5129" spans="3:8" x14ac:dyDescent="0.25">
      <c r="C5129" s="1159">
        <v>7</v>
      </c>
      <c r="D5129" s="1159">
        <v>73</v>
      </c>
      <c r="E5129" s="1160">
        <v>37.6</v>
      </c>
      <c r="F5129" s="4">
        <f t="shared" si="86"/>
        <v>-5.0505050505050504E-2</v>
      </c>
      <c r="G5129" s="37">
        <v>41.1</v>
      </c>
      <c r="H5129" s="1161">
        <v>45889</v>
      </c>
    </row>
    <row r="5130" spans="3:8" x14ac:dyDescent="0.25">
      <c r="C5130" s="1159">
        <v>8</v>
      </c>
      <c r="D5130" s="1159">
        <v>0</v>
      </c>
      <c r="E5130" s="1160"/>
      <c r="F5130" s="4" t="str">
        <f t="shared" si="86"/>
        <v/>
      </c>
      <c r="G5130" s="37">
        <v>41.1</v>
      </c>
      <c r="H5130" s="1161">
        <v>45889</v>
      </c>
    </row>
    <row r="5131" spans="3:8" x14ac:dyDescent="0.25">
      <c r="C5131" s="1159">
        <v>9</v>
      </c>
      <c r="D5131" s="1159">
        <v>97</v>
      </c>
      <c r="E5131" s="1160">
        <v>43.6</v>
      </c>
      <c r="F5131" s="4">
        <f t="shared" si="86"/>
        <v>2.5882352941176506E-2</v>
      </c>
      <c r="G5131" s="37">
        <v>41.1</v>
      </c>
      <c r="H5131" s="1161">
        <v>45889</v>
      </c>
    </row>
    <row r="5132" spans="3:8" x14ac:dyDescent="0.25">
      <c r="C5132" s="1159">
        <v>10</v>
      </c>
      <c r="D5132" s="1159">
        <v>117</v>
      </c>
      <c r="E5132" s="1160">
        <v>40.5</v>
      </c>
      <c r="F5132" s="4">
        <f t="shared" si="86"/>
        <v>-2.1739130434782573E-2</v>
      </c>
      <c r="G5132" s="37">
        <v>41.1</v>
      </c>
      <c r="H5132" s="1161">
        <v>45889</v>
      </c>
    </row>
    <row r="5133" spans="3:8" x14ac:dyDescent="0.25">
      <c r="C5133" s="1162" t="s">
        <v>0</v>
      </c>
      <c r="D5133" s="1162" t="s">
        <v>7</v>
      </c>
      <c r="E5133" s="1163" t="s">
        <v>4</v>
      </c>
      <c r="F5133" s="4" t="str">
        <f t="shared" si="86"/>
        <v/>
      </c>
      <c r="G5133" s="37">
        <v>38.700000000000003</v>
      </c>
      <c r="H5133" s="1164">
        <v>45890</v>
      </c>
    </row>
    <row r="5134" spans="3:8" x14ac:dyDescent="0.25">
      <c r="C5134" s="1162">
        <v>51</v>
      </c>
      <c r="D5134" s="1162">
        <v>34</v>
      </c>
      <c r="E5134" s="1163">
        <v>34.5</v>
      </c>
      <c r="F5134" s="4">
        <f t="shared" si="86"/>
        <v>-7.7540106951871621E-2</v>
      </c>
      <c r="G5134" s="37">
        <v>38.700000000000003</v>
      </c>
      <c r="H5134" s="1164">
        <v>45890</v>
      </c>
    </row>
    <row r="5135" spans="3:8" x14ac:dyDescent="0.25">
      <c r="C5135" s="1162">
        <v>1</v>
      </c>
      <c r="D5135" s="1162">
        <v>114</v>
      </c>
      <c r="E5135" s="1163">
        <v>40.9</v>
      </c>
      <c r="F5135" s="4">
        <f t="shared" si="86"/>
        <v>-5.3240740740740838E-2</v>
      </c>
      <c r="G5135" s="37">
        <v>38.700000000000003</v>
      </c>
      <c r="H5135" s="1164">
        <v>45890</v>
      </c>
    </row>
    <row r="5136" spans="3:8" x14ac:dyDescent="0.25">
      <c r="C5136" s="1162">
        <v>2</v>
      </c>
      <c r="D5136" s="1162">
        <v>0</v>
      </c>
      <c r="E5136" s="1163"/>
      <c r="F5136" s="4" t="str">
        <f t="shared" si="86"/>
        <v/>
      </c>
      <c r="G5136" s="37">
        <v>38.700000000000003</v>
      </c>
      <c r="H5136" s="1164">
        <v>45890</v>
      </c>
    </row>
    <row r="5137" spans="3:8" x14ac:dyDescent="0.25">
      <c r="C5137" s="1162">
        <v>3</v>
      </c>
      <c r="D5137" s="1162">
        <v>47</v>
      </c>
      <c r="E5137" s="1163">
        <v>36.200000000000003</v>
      </c>
      <c r="F5137" s="4">
        <f t="shared" si="86"/>
        <v>-4.9868766404199433E-2</v>
      </c>
      <c r="G5137" s="37">
        <v>38.700000000000003</v>
      </c>
      <c r="H5137" s="1164">
        <v>45890</v>
      </c>
    </row>
    <row r="5138" spans="3:8" x14ac:dyDescent="0.25">
      <c r="C5138" s="1162">
        <v>4</v>
      </c>
      <c r="D5138" s="1162">
        <v>112</v>
      </c>
      <c r="E5138" s="1163">
        <v>40.799999999999997</v>
      </c>
      <c r="F5138" s="4">
        <f t="shared" si="86"/>
        <v>-6.8493150684931517E-2</v>
      </c>
      <c r="G5138" s="37">
        <v>38.700000000000003</v>
      </c>
      <c r="H5138" s="1164">
        <v>45890</v>
      </c>
    </row>
    <row r="5139" spans="3:8" x14ac:dyDescent="0.25">
      <c r="C5139" s="1162">
        <v>5</v>
      </c>
      <c r="D5139" s="1162">
        <v>88</v>
      </c>
      <c r="E5139" s="1163">
        <v>28.6</v>
      </c>
      <c r="F5139" s="4">
        <f t="shared" si="86"/>
        <v>-9.2063492063492014E-2</v>
      </c>
      <c r="G5139" s="37">
        <v>38.700000000000003</v>
      </c>
      <c r="H5139" s="1164">
        <v>45890</v>
      </c>
    </row>
    <row r="5140" spans="3:8" x14ac:dyDescent="0.25">
      <c r="C5140" s="1162">
        <v>6</v>
      </c>
      <c r="D5140" s="1162">
        <v>115</v>
      </c>
      <c r="E5140" s="1163">
        <v>39</v>
      </c>
      <c r="F5140" s="4">
        <f t="shared" si="86"/>
        <v>-8.0188679245282987E-2</v>
      </c>
      <c r="G5140" s="37">
        <v>38.700000000000003</v>
      </c>
      <c r="H5140" s="1164">
        <v>45890</v>
      </c>
    </row>
    <row r="5141" spans="3:8" x14ac:dyDescent="0.25">
      <c r="C5141" s="1162">
        <v>7</v>
      </c>
      <c r="D5141" s="1162">
        <v>73</v>
      </c>
      <c r="E5141" s="1163">
        <v>37.700000000000003</v>
      </c>
      <c r="F5141" s="4">
        <f t="shared" si="86"/>
        <v>2.659574468085144E-3</v>
      </c>
      <c r="G5141" s="37">
        <v>38.700000000000003</v>
      </c>
      <c r="H5141" s="1164">
        <v>45890</v>
      </c>
    </row>
    <row r="5142" spans="3:8" x14ac:dyDescent="0.25">
      <c r="C5142" s="1162">
        <v>8</v>
      </c>
      <c r="D5142" s="1162">
        <v>0</v>
      </c>
      <c r="E5142" s="1163"/>
      <c r="F5142" s="4" t="str">
        <f t="shared" si="86"/>
        <v/>
      </c>
      <c r="G5142" s="37">
        <v>38.700000000000003</v>
      </c>
      <c r="H5142" s="1164">
        <v>45890</v>
      </c>
    </row>
    <row r="5143" spans="3:8" x14ac:dyDescent="0.25">
      <c r="C5143" s="1162">
        <v>9</v>
      </c>
      <c r="D5143" s="1162">
        <v>97</v>
      </c>
      <c r="E5143" s="1163">
        <v>41.3</v>
      </c>
      <c r="F5143" s="4">
        <f t="shared" si="86"/>
        <v>-5.2752293577981745E-2</v>
      </c>
      <c r="G5143" s="37">
        <v>38.700000000000003</v>
      </c>
      <c r="H5143" s="1164">
        <v>45890</v>
      </c>
    </row>
    <row r="5144" spans="3:8" x14ac:dyDescent="0.25">
      <c r="C5144" s="1162">
        <v>10</v>
      </c>
      <c r="D5144" s="1162">
        <v>116</v>
      </c>
      <c r="E5144" s="1163">
        <v>38.6</v>
      </c>
      <c r="F5144" s="4">
        <f t="shared" si="86"/>
        <v>-4.6913580246913548E-2</v>
      </c>
      <c r="G5144" s="37">
        <v>38.700000000000003</v>
      </c>
      <c r="H5144" s="1164">
        <v>45890</v>
      </c>
    </row>
    <row r="5145" spans="3:8" x14ac:dyDescent="0.25">
      <c r="C5145" s="1165" t="s">
        <v>0</v>
      </c>
      <c r="D5145" s="1165" t="s">
        <v>7</v>
      </c>
      <c r="E5145" s="1166" t="s">
        <v>4</v>
      </c>
      <c r="F5145" s="4" t="str">
        <f t="shared" si="86"/>
        <v/>
      </c>
      <c r="G5145" s="37">
        <v>40.9</v>
      </c>
      <c r="H5145" s="1167">
        <v>45891</v>
      </c>
    </row>
    <row r="5146" spans="3:8" x14ac:dyDescent="0.25">
      <c r="C5146" s="1165">
        <v>51</v>
      </c>
      <c r="D5146" s="1165">
        <v>37</v>
      </c>
      <c r="E5146" s="1166">
        <v>35.700000000000003</v>
      </c>
      <c r="F5146" s="4">
        <f t="shared" si="86"/>
        <v>3.4782608695652258E-2</v>
      </c>
      <c r="G5146" s="37">
        <v>40.9</v>
      </c>
      <c r="H5146" s="1167">
        <v>45891</v>
      </c>
    </row>
    <row r="5147" spans="3:8" x14ac:dyDescent="0.25">
      <c r="C5147" s="1165">
        <v>1</v>
      </c>
      <c r="D5147" s="1165">
        <v>114</v>
      </c>
      <c r="E5147" s="1166">
        <v>41.5</v>
      </c>
      <c r="F5147" s="4">
        <f t="shared" si="86"/>
        <v>1.4669926650366783E-2</v>
      </c>
      <c r="G5147" s="37">
        <v>40.9</v>
      </c>
      <c r="H5147" s="1167">
        <v>45891</v>
      </c>
    </row>
    <row r="5148" spans="3:8" x14ac:dyDescent="0.25">
      <c r="C5148" s="1165">
        <v>2</v>
      </c>
      <c r="D5148" s="1165">
        <v>0</v>
      </c>
      <c r="E5148" s="1166"/>
      <c r="F5148" s="4" t="str">
        <f t="shared" si="86"/>
        <v/>
      </c>
      <c r="G5148" s="37">
        <v>40.9</v>
      </c>
      <c r="H5148" s="1167">
        <v>45891</v>
      </c>
    </row>
    <row r="5149" spans="3:8" x14ac:dyDescent="0.25">
      <c r="C5149" s="1165">
        <v>3</v>
      </c>
      <c r="D5149" s="1165">
        <v>48</v>
      </c>
      <c r="E5149" s="1166">
        <v>37.1</v>
      </c>
      <c r="F5149" s="4">
        <f t="shared" si="86"/>
        <v>2.4861878453038631E-2</v>
      </c>
      <c r="G5149" s="37">
        <v>40.9</v>
      </c>
      <c r="H5149" s="1167">
        <v>45891</v>
      </c>
    </row>
    <row r="5150" spans="3:8" x14ac:dyDescent="0.25">
      <c r="C5150" s="1165">
        <v>4</v>
      </c>
      <c r="D5150" s="1165">
        <v>112</v>
      </c>
      <c r="E5150" s="1166">
        <v>43.1</v>
      </c>
      <c r="F5150" s="4">
        <f t="shared" si="86"/>
        <v>5.6372549019607948E-2</v>
      </c>
      <c r="G5150" s="37">
        <v>40.9</v>
      </c>
      <c r="H5150" s="1167">
        <v>45891</v>
      </c>
    </row>
    <row r="5151" spans="3:8" x14ac:dyDescent="0.25">
      <c r="C5151" s="1165">
        <v>5</v>
      </c>
      <c r="D5151" s="1165">
        <v>83</v>
      </c>
      <c r="E5151" s="1166">
        <v>32</v>
      </c>
      <c r="F5151" s="4">
        <f t="shared" si="86"/>
        <v>0.11888111888111882</v>
      </c>
      <c r="G5151" s="37">
        <v>40.9</v>
      </c>
      <c r="H5151" s="1167">
        <v>45891</v>
      </c>
    </row>
    <row r="5152" spans="3:8" x14ac:dyDescent="0.25">
      <c r="C5152" s="1165">
        <v>6</v>
      </c>
      <c r="D5152" s="1165">
        <v>115</v>
      </c>
      <c r="E5152" s="1166">
        <v>42.7</v>
      </c>
      <c r="F5152" s="4">
        <f t="shared" si="86"/>
        <v>9.4871794871794951E-2</v>
      </c>
      <c r="G5152" s="37">
        <v>40.9</v>
      </c>
      <c r="H5152" s="1167">
        <v>45891</v>
      </c>
    </row>
    <row r="5153" spans="3:8" x14ac:dyDescent="0.25">
      <c r="C5153" s="1165">
        <v>7</v>
      </c>
      <c r="D5153" s="1165">
        <v>73</v>
      </c>
      <c r="E5153" s="1166">
        <v>39.4</v>
      </c>
      <c r="F5153" s="4">
        <f t="shared" si="86"/>
        <v>4.5092838196286358E-2</v>
      </c>
      <c r="G5153" s="37">
        <v>40.9</v>
      </c>
      <c r="H5153" s="1167">
        <v>45891</v>
      </c>
    </row>
    <row r="5154" spans="3:8" x14ac:dyDescent="0.25">
      <c r="C5154" s="1165">
        <v>8</v>
      </c>
      <c r="D5154" s="1165">
        <v>0</v>
      </c>
      <c r="E5154" s="1166"/>
      <c r="F5154" s="4" t="str">
        <f t="shared" si="86"/>
        <v/>
      </c>
      <c r="G5154" s="37">
        <v>40.9</v>
      </c>
      <c r="H5154" s="1167">
        <v>45891</v>
      </c>
    </row>
    <row r="5155" spans="3:8" x14ac:dyDescent="0.25">
      <c r="C5155" s="1165">
        <v>9</v>
      </c>
      <c r="D5155" s="1165">
        <v>98</v>
      </c>
      <c r="E5155" s="1166">
        <v>43.2</v>
      </c>
      <c r="F5155" s="4">
        <f t="shared" si="86"/>
        <v>4.6004842615012247E-2</v>
      </c>
      <c r="G5155" s="37">
        <v>40.9</v>
      </c>
      <c r="H5155" s="1167">
        <v>45891</v>
      </c>
    </row>
    <row r="5156" spans="3:8" x14ac:dyDescent="0.25">
      <c r="C5156" s="1165">
        <v>10</v>
      </c>
      <c r="D5156" s="1165">
        <v>116</v>
      </c>
      <c r="E5156" s="1166">
        <v>42.1</v>
      </c>
      <c r="F5156" s="4">
        <f t="shared" si="86"/>
        <v>9.0673575129533682E-2</v>
      </c>
      <c r="G5156" s="37">
        <v>40.9</v>
      </c>
      <c r="H5156" s="1167">
        <v>45891</v>
      </c>
    </row>
    <row r="5157" spans="3:8" x14ac:dyDescent="0.25">
      <c r="C5157" s="1168" t="s">
        <v>0</v>
      </c>
      <c r="D5157" s="1168" t="s">
        <v>7</v>
      </c>
      <c r="E5157" s="1169" t="s">
        <v>4</v>
      </c>
      <c r="F5157" s="4" t="str">
        <f t="shared" si="86"/>
        <v/>
      </c>
      <c r="G5157" s="37">
        <v>40.9</v>
      </c>
      <c r="H5157" s="1167">
        <v>45892</v>
      </c>
    </row>
    <row r="5158" spans="3:8" x14ac:dyDescent="0.25">
      <c r="C5158" s="1168">
        <v>51</v>
      </c>
      <c r="D5158" s="1168">
        <v>37</v>
      </c>
      <c r="E5158" s="1169">
        <v>35.5</v>
      </c>
      <c r="F5158" s="4">
        <f t="shared" si="86"/>
        <v>-5.6022408963586224E-3</v>
      </c>
      <c r="G5158" s="37">
        <v>40.9</v>
      </c>
      <c r="H5158" s="1167">
        <v>45892</v>
      </c>
    </row>
    <row r="5159" spans="3:8" x14ac:dyDescent="0.25">
      <c r="C5159" s="1168">
        <v>1</v>
      </c>
      <c r="D5159" s="1168">
        <v>114</v>
      </c>
      <c r="E5159" s="1169">
        <v>42.3</v>
      </c>
      <c r="F5159" s="4">
        <f t="shared" ref="F5159:F5222" si="87">IFERROR((E5159-E5147)/E5147,"")</f>
        <v>1.9277108433734872E-2</v>
      </c>
      <c r="G5159" s="37">
        <v>40.9</v>
      </c>
      <c r="H5159" s="1167">
        <v>45892</v>
      </c>
    </row>
    <row r="5160" spans="3:8" x14ac:dyDescent="0.25">
      <c r="C5160" s="1168">
        <v>2</v>
      </c>
      <c r="D5160" s="1168">
        <v>0</v>
      </c>
      <c r="E5160" s="1169"/>
      <c r="F5160" s="4" t="str">
        <f t="shared" si="87"/>
        <v/>
      </c>
      <c r="G5160" s="37">
        <v>40.9</v>
      </c>
      <c r="H5160" s="1167">
        <v>45892</v>
      </c>
    </row>
    <row r="5161" spans="3:8" x14ac:dyDescent="0.25">
      <c r="C5161" s="1168">
        <v>3</v>
      </c>
      <c r="D5161" s="1168">
        <v>48</v>
      </c>
      <c r="E5161" s="1169">
        <v>36.799999999999997</v>
      </c>
      <c r="F5161" s="4">
        <f t="shared" si="87"/>
        <v>-8.0862533692723521E-3</v>
      </c>
      <c r="G5161" s="37">
        <v>40.9</v>
      </c>
      <c r="H5161" s="1167">
        <v>45892</v>
      </c>
    </row>
    <row r="5162" spans="3:8" x14ac:dyDescent="0.25">
      <c r="C5162" s="1168">
        <v>4</v>
      </c>
      <c r="D5162" s="1168">
        <v>113</v>
      </c>
      <c r="E5162" s="1169">
        <v>43.3</v>
      </c>
      <c r="F5162" s="4">
        <f t="shared" si="87"/>
        <v>4.6403712296982768E-3</v>
      </c>
      <c r="G5162" s="37">
        <v>40.9</v>
      </c>
      <c r="H5162" s="1167">
        <v>45892</v>
      </c>
    </row>
    <row r="5163" spans="3:8" x14ac:dyDescent="0.25">
      <c r="C5163" s="1168">
        <v>5</v>
      </c>
      <c r="D5163" s="1168">
        <v>83</v>
      </c>
      <c r="E5163" s="1169">
        <v>31.6</v>
      </c>
      <c r="F5163" s="4">
        <f t="shared" si="87"/>
        <v>-1.2499999999999956E-2</v>
      </c>
      <c r="G5163" s="37">
        <v>40.9</v>
      </c>
      <c r="H5163" s="1167">
        <v>45892</v>
      </c>
    </row>
    <row r="5164" spans="3:8" x14ac:dyDescent="0.25">
      <c r="C5164" s="1168">
        <v>6</v>
      </c>
      <c r="D5164" s="1168">
        <v>115</v>
      </c>
      <c r="E5164" s="1169">
        <v>41.9</v>
      </c>
      <c r="F5164" s="4">
        <f t="shared" si="87"/>
        <v>-1.8735362997658177E-2</v>
      </c>
      <c r="G5164" s="37">
        <v>40.9</v>
      </c>
      <c r="H5164" s="1167">
        <v>45892</v>
      </c>
    </row>
    <row r="5165" spans="3:8" x14ac:dyDescent="0.25">
      <c r="C5165" s="1168">
        <v>7</v>
      </c>
      <c r="D5165" s="1168">
        <v>73</v>
      </c>
      <c r="E5165" s="1169">
        <v>39.5</v>
      </c>
      <c r="F5165" s="4">
        <f t="shared" si="87"/>
        <v>2.5380710659898839E-3</v>
      </c>
      <c r="G5165" s="37">
        <v>40.9</v>
      </c>
      <c r="H5165" s="1167">
        <v>45892</v>
      </c>
    </row>
    <row r="5166" spans="3:8" x14ac:dyDescent="0.25">
      <c r="C5166" s="1168">
        <v>8</v>
      </c>
      <c r="D5166" s="1168">
        <v>0</v>
      </c>
      <c r="E5166" s="1169"/>
      <c r="F5166" s="4" t="str">
        <f t="shared" si="87"/>
        <v/>
      </c>
      <c r="G5166" s="37">
        <v>40.9</v>
      </c>
      <c r="H5166" s="1167">
        <v>45892</v>
      </c>
    </row>
    <row r="5167" spans="3:8" x14ac:dyDescent="0.25">
      <c r="C5167" s="1168">
        <v>9</v>
      </c>
      <c r="D5167" s="1168">
        <v>99</v>
      </c>
      <c r="E5167" s="1169">
        <v>43</v>
      </c>
      <c r="F5167" s="4">
        <f t="shared" si="87"/>
        <v>-4.6296296296296953E-3</v>
      </c>
      <c r="G5167" s="37">
        <v>40.9</v>
      </c>
      <c r="H5167" s="1167">
        <v>45892</v>
      </c>
    </row>
    <row r="5168" spans="3:8" x14ac:dyDescent="0.25">
      <c r="C5168" s="1168">
        <v>10</v>
      </c>
      <c r="D5168" s="1168">
        <v>116</v>
      </c>
      <c r="E5168" s="1169">
        <v>42.9</v>
      </c>
      <c r="F5168" s="4">
        <f t="shared" si="87"/>
        <v>1.9002375296912045E-2</v>
      </c>
      <c r="G5168" s="37">
        <v>40.9</v>
      </c>
      <c r="H5168" s="1167">
        <v>45892</v>
      </c>
    </row>
    <row r="5169" spans="3:8" x14ac:dyDescent="0.25">
      <c r="C5169" s="1170" t="s">
        <v>0</v>
      </c>
      <c r="D5169" s="1170" t="s">
        <v>7</v>
      </c>
      <c r="E5169" s="1171" t="s">
        <v>4</v>
      </c>
      <c r="F5169" s="4" t="str">
        <f t="shared" si="87"/>
        <v/>
      </c>
      <c r="G5169" s="37">
        <v>41</v>
      </c>
      <c r="H5169" s="1172">
        <v>45893</v>
      </c>
    </row>
    <row r="5170" spans="3:8" x14ac:dyDescent="0.25">
      <c r="C5170" s="1170">
        <v>51</v>
      </c>
      <c r="D5170" s="1170">
        <v>37</v>
      </c>
      <c r="E5170" s="1171">
        <v>38.200000000000003</v>
      </c>
      <c r="F5170" s="4">
        <f t="shared" si="87"/>
        <v>7.6056338028169093E-2</v>
      </c>
      <c r="G5170" s="37">
        <v>41</v>
      </c>
      <c r="H5170" s="1172">
        <v>45893</v>
      </c>
    </row>
    <row r="5171" spans="3:8" x14ac:dyDescent="0.25">
      <c r="C5171" s="1170">
        <v>1</v>
      </c>
      <c r="D5171" s="1170">
        <v>114</v>
      </c>
      <c r="E5171" s="1171">
        <v>42.1</v>
      </c>
      <c r="F5171" s="4">
        <f t="shared" si="87"/>
        <v>-4.7281323877067551E-3</v>
      </c>
      <c r="G5171" s="37">
        <v>41</v>
      </c>
      <c r="H5171" s="1172">
        <v>45893</v>
      </c>
    </row>
    <row r="5172" spans="3:8" x14ac:dyDescent="0.25">
      <c r="C5172" s="1170">
        <v>2</v>
      </c>
      <c r="D5172" s="1170">
        <v>0</v>
      </c>
      <c r="E5172" s="1171"/>
      <c r="F5172" s="4" t="str">
        <f t="shared" si="87"/>
        <v/>
      </c>
      <c r="G5172" s="37">
        <v>41</v>
      </c>
      <c r="H5172" s="1172">
        <v>45893</v>
      </c>
    </row>
    <row r="5173" spans="3:8" x14ac:dyDescent="0.25">
      <c r="C5173" s="1170">
        <v>3</v>
      </c>
      <c r="D5173" s="1170">
        <v>48</v>
      </c>
      <c r="E5173" s="1171">
        <v>38.1</v>
      </c>
      <c r="F5173" s="4">
        <f t="shared" si="87"/>
        <v>3.5326086956521854E-2</v>
      </c>
      <c r="G5173" s="37">
        <v>41</v>
      </c>
      <c r="H5173" s="1172">
        <v>45893</v>
      </c>
    </row>
    <row r="5174" spans="3:8" x14ac:dyDescent="0.25">
      <c r="C5174" s="1170">
        <v>4</v>
      </c>
      <c r="D5174" s="1170">
        <v>113</v>
      </c>
      <c r="E5174" s="1171">
        <v>43.6</v>
      </c>
      <c r="F5174" s="4">
        <f t="shared" si="87"/>
        <v>6.9284064665128013E-3</v>
      </c>
      <c r="G5174" s="37">
        <v>41</v>
      </c>
      <c r="H5174" s="1172">
        <v>45893</v>
      </c>
    </row>
    <row r="5175" spans="3:8" x14ac:dyDescent="0.25">
      <c r="C5175" s="1170">
        <v>5</v>
      </c>
      <c r="D5175" s="1170">
        <v>83</v>
      </c>
      <c r="E5175" s="1171">
        <v>30.5</v>
      </c>
      <c r="F5175" s="4">
        <f t="shared" si="87"/>
        <v>-3.4810126582278528E-2</v>
      </c>
      <c r="G5175" s="37">
        <v>41</v>
      </c>
      <c r="H5175" s="1172">
        <v>45893</v>
      </c>
    </row>
    <row r="5176" spans="3:8" x14ac:dyDescent="0.25">
      <c r="C5176" s="1170">
        <v>6</v>
      </c>
      <c r="D5176" s="1170">
        <v>115</v>
      </c>
      <c r="E5176" s="1171">
        <v>41.4</v>
      </c>
      <c r="F5176" s="4">
        <f t="shared" si="87"/>
        <v>-1.1933174224343675E-2</v>
      </c>
      <c r="G5176" s="37">
        <v>41</v>
      </c>
      <c r="H5176" s="1172">
        <v>45893</v>
      </c>
    </row>
    <row r="5177" spans="3:8" x14ac:dyDescent="0.25">
      <c r="C5177" s="1170">
        <v>7</v>
      </c>
      <c r="D5177" s="1170">
        <v>73</v>
      </c>
      <c r="E5177" s="1171">
        <v>39.6</v>
      </c>
      <c r="F5177" s="4">
        <f t="shared" si="87"/>
        <v>2.5316455696202892E-3</v>
      </c>
      <c r="G5177" s="37">
        <v>41</v>
      </c>
      <c r="H5177" s="1172">
        <v>45893</v>
      </c>
    </row>
    <row r="5178" spans="3:8" x14ac:dyDescent="0.25">
      <c r="C5178" s="1170">
        <v>8</v>
      </c>
      <c r="D5178" s="1170">
        <v>0</v>
      </c>
      <c r="E5178" s="1171"/>
      <c r="F5178" s="4" t="str">
        <f t="shared" si="87"/>
        <v/>
      </c>
      <c r="G5178" s="37">
        <v>41</v>
      </c>
      <c r="H5178" s="1172">
        <v>45893</v>
      </c>
    </row>
    <row r="5179" spans="3:8" x14ac:dyDescent="0.25">
      <c r="C5179" s="1170">
        <v>9</v>
      </c>
      <c r="D5179" s="1170">
        <v>99</v>
      </c>
      <c r="E5179" s="1171">
        <v>43.5</v>
      </c>
      <c r="F5179" s="4">
        <f t="shared" si="87"/>
        <v>1.1627906976744186E-2</v>
      </c>
      <c r="G5179" s="37">
        <v>41</v>
      </c>
      <c r="H5179" s="1172">
        <v>45893</v>
      </c>
    </row>
    <row r="5180" spans="3:8" x14ac:dyDescent="0.25">
      <c r="C5180" s="1170">
        <v>10</v>
      </c>
      <c r="D5180" s="1170">
        <v>116</v>
      </c>
      <c r="E5180" s="1171">
        <v>42.6</v>
      </c>
      <c r="F5180" s="4">
        <f t="shared" si="87"/>
        <v>-6.9930069930069271E-3</v>
      </c>
      <c r="G5180" s="37">
        <v>41</v>
      </c>
      <c r="H5180" s="1172">
        <v>45893</v>
      </c>
    </row>
    <row r="5181" spans="3:8" x14ac:dyDescent="0.25">
      <c r="C5181" s="1173" t="s">
        <v>0</v>
      </c>
      <c r="D5181" s="1173" t="s">
        <v>7</v>
      </c>
      <c r="E5181" s="1174" t="s">
        <v>4</v>
      </c>
      <c r="F5181" s="4" t="str">
        <f t="shared" si="87"/>
        <v/>
      </c>
      <c r="G5181" s="37">
        <v>40</v>
      </c>
      <c r="H5181" s="1175">
        <v>45894</v>
      </c>
    </row>
    <row r="5182" spans="3:8" x14ac:dyDescent="0.25">
      <c r="C5182" s="1173">
        <v>51</v>
      </c>
      <c r="D5182" s="1173">
        <v>34</v>
      </c>
      <c r="E5182" s="1174">
        <v>37.4</v>
      </c>
      <c r="F5182" s="4">
        <f t="shared" si="87"/>
        <v>-2.094240837696346E-2</v>
      </c>
      <c r="G5182" s="37">
        <v>40</v>
      </c>
      <c r="H5182" s="1175">
        <v>45894</v>
      </c>
    </row>
    <row r="5183" spans="3:8" x14ac:dyDescent="0.25">
      <c r="C5183" s="1173">
        <v>1</v>
      </c>
      <c r="D5183" s="1173">
        <v>113</v>
      </c>
      <c r="E5183" s="1174">
        <v>41</v>
      </c>
      <c r="F5183" s="4">
        <f t="shared" si="87"/>
        <v>-2.6128266033254188E-2</v>
      </c>
      <c r="G5183" s="37">
        <v>40</v>
      </c>
      <c r="H5183" s="1175">
        <v>45894</v>
      </c>
    </row>
    <row r="5184" spans="3:8" x14ac:dyDescent="0.25">
      <c r="C5184" s="1173">
        <v>2</v>
      </c>
      <c r="D5184" s="1173">
        <v>0</v>
      </c>
      <c r="E5184" s="1174"/>
      <c r="F5184" s="4" t="str">
        <f t="shared" si="87"/>
        <v/>
      </c>
      <c r="G5184" s="37">
        <v>40</v>
      </c>
      <c r="H5184" s="1175">
        <v>45894</v>
      </c>
    </row>
    <row r="5185" spans="3:8" x14ac:dyDescent="0.25">
      <c r="C5185" s="1173">
        <v>3</v>
      </c>
      <c r="D5185" s="1173">
        <v>48</v>
      </c>
      <c r="E5185" s="1174">
        <v>36.6</v>
      </c>
      <c r="F5185" s="4">
        <f t="shared" si="87"/>
        <v>-3.937007874015748E-2</v>
      </c>
      <c r="G5185" s="37">
        <v>40</v>
      </c>
      <c r="H5185" s="1175">
        <v>45894</v>
      </c>
    </row>
    <row r="5186" spans="3:8" x14ac:dyDescent="0.25">
      <c r="C5186" s="1173">
        <v>4</v>
      </c>
      <c r="D5186" s="1173">
        <v>113</v>
      </c>
      <c r="E5186" s="1174">
        <v>42.7</v>
      </c>
      <c r="F5186" s="4">
        <f t="shared" si="87"/>
        <v>-2.0642201834862352E-2</v>
      </c>
      <c r="G5186" s="37">
        <v>40</v>
      </c>
      <c r="H5186" s="1175">
        <v>45894</v>
      </c>
    </row>
    <row r="5187" spans="3:8" x14ac:dyDescent="0.25">
      <c r="C5187" s="1173">
        <v>5</v>
      </c>
      <c r="D5187" s="1173">
        <v>87</v>
      </c>
      <c r="E5187" s="1174">
        <v>30</v>
      </c>
      <c r="F5187" s="4">
        <f t="shared" si="87"/>
        <v>-1.6393442622950821E-2</v>
      </c>
      <c r="G5187" s="37">
        <v>40</v>
      </c>
      <c r="H5187" s="1175">
        <v>45894</v>
      </c>
    </row>
    <row r="5188" spans="3:8" x14ac:dyDescent="0.25">
      <c r="C5188" s="1173">
        <v>6</v>
      </c>
      <c r="D5188" s="1173">
        <v>117</v>
      </c>
      <c r="E5188" s="1174">
        <v>41</v>
      </c>
      <c r="F5188" s="4">
        <f t="shared" si="87"/>
        <v>-9.6618357487922371E-3</v>
      </c>
      <c r="G5188" s="37">
        <v>40</v>
      </c>
      <c r="H5188" s="1175">
        <v>45894</v>
      </c>
    </row>
    <row r="5189" spans="3:8" x14ac:dyDescent="0.25">
      <c r="C5189" s="1173">
        <v>7</v>
      </c>
      <c r="D5189" s="1173">
        <v>73</v>
      </c>
      <c r="E5189" s="1174">
        <v>38.6</v>
      </c>
      <c r="F5189" s="4">
        <f t="shared" si="87"/>
        <v>-2.5252525252525252E-2</v>
      </c>
      <c r="G5189" s="37">
        <v>40</v>
      </c>
      <c r="H5189" s="1175">
        <v>45894</v>
      </c>
    </row>
    <row r="5190" spans="3:8" x14ac:dyDescent="0.25">
      <c r="C5190" s="1173">
        <v>8</v>
      </c>
      <c r="D5190" s="1173">
        <v>0</v>
      </c>
      <c r="E5190" s="1174"/>
      <c r="F5190" s="4" t="str">
        <f t="shared" si="87"/>
        <v/>
      </c>
      <c r="G5190" s="37">
        <v>40</v>
      </c>
      <c r="H5190" s="1175">
        <v>45894</v>
      </c>
    </row>
    <row r="5191" spans="3:8" x14ac:dyDescent="0.25">
      <c r="C5191" s="1173">
        <v>9</v>
      </c>
      <c r="D5191" s="1173">
        <v>98</v>
      </c>
      <c r="E5191" s="1174">
        <v>42.1</v>
      </c>
      <c r="F5191" s="4">
        <f t="shared" si="87"/>
        <v>-3.2183908045976976E-2</v>
      </c>
      <c r="G5191" s="37">
        <v>40</v>
      </c>
      <c r="H5191" s="1175">
        <v>45894</v>
      </c>
    </row>
    <row r="5192" spans="3:8" x14ac:dyDescent="0.25">
      <c r="C5192" s="1173">
        <v>10</v>
      </c>
      <c r="D5192" s="1173">
        <v>117</v>
      </c>
      <c r="E5192" s="1174">
        <v>41.5</v>
      </c>
      <c r="F5192" s="4">
        <f t="shared" si="87"/>
        <v>-2.5821596244131488E-2</v>
      </c>
      <c r="G5192" s="37">
        <v>40</v>
      </c>
      <c r="H5192" s="1175">
        <v>45894</v>
      </c>
    </row>
    <row r="5193" spans="3:8" x14ac:dyDescent="0.25">
      <c r="C5193" s="1176" t="s">
        <v>0</v>
      </c>
      <c r="D5193" s="1176" t="s">
        <v>7</v>
      </c>
      <c r="E5193" s="1177" t="s">
        <v>4</v>
      </c>
      <c r="F5193" s="4" t="str">
        <f t="shared" si="87"/>
        <v/>
      </c>
      <c r="G5193" s="37">
        <v>40.299999999999997</v>
      </c>
      <c r="H5193" s="1178">
        <v>45895</v>
      </c>
    </row>
    <row r="5194" spans="3:8" x14ac:dyDescent="0.25">
      <c r="C5194" s="1176">
        <v>51</v>
      </c>
      <c r="D5194" s="1176">
        <v>35</v>
      </c>
      <c r="E5194" s="1177">
        <v>24.4</v>
      </c>
      <c r="F5194" s="4">
        <f t="shared" si="87"/>
        <v>-0.34759358288770054</v>
      </c>
      <c r="G5194" s="37">
        <v>40.299999999999997</v>
      </c>
      <c r="H5194" s="1178">
        <v>45895</v>
      </c>
    </row>
    <row r="5195" spans="3:8" x14ac:dyDescent="0.25">
      <c r="C5195" s="1176">
        <v>1</v>
      </c>
      <c r="D5195" s="1176">
        <v>112</v>
      </c>
      <c r="E5195" s="1177">
        <v>41.2</v>
      </c>
      <c r="F5195" s="4">
        <f t="shared" si="87"/>
        <v>4.8780487804878743E-3</v>
      </c>
      <c r="G5195" s="37">
        <v>40.299999999999997</v>
      </c>
      <c r="H5195" s="1178">
        <v>45895</v>
      </c>
    </row>
    <row r="5196" spans="3:8" x14ac:dyDescent="0.25">
      <c r="C5196" s="1176">
        <v>2</v>
      </c>
      <c r="D5196" s="1176">
        <v>0</v>
      </c>
      <c r="E5196" s="1177"/>
      <c r="F5196" s="4" t="str">
        <f t="shared" si="87"/>
        <v/>
      </c>
      <c r="G5196" s="37">
        <v>40.299999999999997</v>
      </c>
      <c r="H5196" s="1178">
        <v>45895</v>
      </c>
    </row>
    <row r="5197" spans="3:8" x14ac:dyDescent="0.25">
      <c r="C5197" s="1176">
        <v>3</v>
      </c>
      <c r="D5197" s="1176">
        <v>48</v>
      </c>
      <c r="E5197" s="1177">
        <v>37.200000000000003</v>
      </c>
      <c r="F5197" s="4">
        <f t="shared" si="87"/>
        <v>1.6393442622950859E-2</v>
      </c>
      <c r="G5197" s="37">
        <v>40.299999999999997</v>
      </c>
      <c r="H5197" s="1178">
        <v>45895</v>
      </c>
    </row>
    <row r="5198" spans="3:8" x14ac:dyDescent="0.25">
      <c r="C5198" s="1176">
        <v>4</v>
      </c>
      <c r="D5198" s="1176">
        <v>113</v>
      </c>
      <c r="E5198" s="1177">
        <v>41.9</v>
      </c>
      <c r="F5198" s="4">
        <f t="shared" si="87"/>
        <v>-1.8735362997658177E-2</v>
      </c>
      <c r="G5198" s="37">
        <v>40.299999999999997</v>
      </c>
      <c r="H5198" s="1178">
        <v>45895</v>
      </c>
    </row>
    <row r="5199" spans="3:8" x14ac:dyDescent="0.25">
      <c r="C5199" s="1176">
        <v>5</v>
      </c>
      <c r="D5199" s="1176">
        <v>86</v>
      </c>
      <c r="E5199" s="1177">
        <v>30.8</v>
      </c>
      <c r="F5199" s="4">
        <f t="shared" si="87"/>
        <v>2.6666666666666689E-2</v>
      </c>
      <c r="G5199" s="37">
        <v>40.299999999999997</v>
      </c>
      <c r="H5199" s="1178">
        <v>45895</v>
      </c>
    </row>
    <row r="5200" spans="3:8" x14ac:dyDescent="0.25">
      <c r="C5200" s="1176">
        <v>6</v>
      </c>
      <c r="D5200" s="1176">
        <v>120</v>
      </c>
      <c r="E5200" s="1177">
        <v>42.5</v>
      </c>
      <c r="F5200" s="4">
        <f t="shared" si="87"/>
        <v>3.6585365853658534E-2</v>
      </c>
      <c r="G5200" s="37">
        <v>40.299999999999997</v>
      </c>
      <c r="H5200" s="1178">
        <v>45895</v>
      </c>
    </row>
    <row r="5201" spans="3:8" x14ac:dyDescent="0.25">
      <c r="C5201" s="1176">
        <v>7</v>
      </c>
      <c r="D5201" s="1176">
        <v>73</v>
      </c>
      <c r="E5201" s="1177">
        <v>38.4</v>
      </c>
      <c r="F5201" s="4">
        <f t="shared" si="87"/>
        <v>-5.1813471502591404E-3</v>
      </c>
      <c r="G5201" s="37">
        <v>40.299999999999997</v>
      </c>
      <c r="H5201" s="1178">
        <v>45895</v>
      </c>
    </row>
    <row r="5202" spans="3:8" x14ac:dyDescent="0.25">
      <c r="C5202" s="1176">
        <v>8</v>
      </c>
      <c r="D5202" s="1176">
        <v>0</v>
      </c>
      <c r="E5202" s="1177"/>
      <c r="F5202" s="4" t="str">
        <f t="shared" si="87"/>
        <v/>
      </c>
      <c r="G5202" s="37">
        <v>40.299999999999997</v>
      </c>
      <c r="H5202" s="1178">
        <v>45895</v>
      </c>
    </row>
    <row r="5203" spans="3:8" x14ac:dyDescent="0.25">
      <c r="C5203" s="1176">
        <v>9</v>
      </c>
      <c r="D5203" s="1176">
        <v>97</v>
      </c>
      <c r="E5203" s="1177">
        <v>43</v>
      </c>
      <c r="F5203" s="4">
        <f t="shared" si="87"/>
        <v>2.1377672209026095E-2</v>
      </c>
      <c r="G5203" s="37">
        <v>40.299999999999997</v>
      </c>
      <c r="H5203" s="1178">
        <v>45895</v>
      </c>
    </row>
    <row r="5204" spans="3:8" x14ac:dyDescent="0.25">
      <c r="C5204" s="1176">
        <v>10</v>
      </c>
      <c r="D5204" s="1176">
        <v>116</v>
      </c>
      <c r="E5204" s="1177">
        <v>42.1</v>
      </c>
      <c r="F5204" s="4">
        <f t="shared" si="87"/>
        <v>1.445783132530124E-2</v>
      </c>
      <c r="G5204" s="37">
        <v>40.299999999999997</v>
      </c>
      <c r="H5204" s="1178">
        <v>45895</v>
      </c>
    </row>
    <row r="5205" spans="3:8" x14ac:dyDescent="0.25">
      <c r="C5205" s="1179" t="s">
        <v>0</v>
      </c>
      <c r="D5205" s="1179" t="s">
        <v>7</v>
      </c>
      <c r="E5205" s="1180" t="s">
        <v>4</v>
      </c>
      <c r="F5205" s="4" t="str">
        <f t="shared" si="87"/>
        <v/>
      </c>
      <c r="G5205" s="37">
        <v>40.299999999999997</v>
      </c>
      <c r="H5205" s="1178">
        <v>45896</v>
      </c>
    </row>
    <row r="5206" spans="3:8" x14ac:dyDescent="0.25">
      <c r="C5206" s="1179">
        <v>51</v>
      </c>
      <c r="D5206" s="1179">
        <v>37</v>
      </c>
      <c r="E5206" s="1180">
        <v>36.200000000000003</v>
      </c>
      <c r="F5206" s="4">
        <f t="shared" si="87"/>
        <v>0.48360655737704938</v>
      </c>
      <c r="G5206" s="37">
        <v>40.299999999999997</v>
      </c>
      <c r="H5206" s="1178">
        <v>45896</v>
      </c>
    </row>
    <row r="5207" spans="3:8" x14ac:dyDescent="0.25">
      <c r="C5207" s="1179">
        <v>1</v>
      </c>
      <c r="D5207" s="1179">
        <v>112</v>
      </c>
      <c r="E5207" s="1180">
        <v>40.9</v>
      </c>
      <c r="F5207" s="4">
        <f t="shared" si="87"/>
        <v>-7.281553398058355E-3</v>
      </c>
      <c r="G5207" s="37">
        <v>40.299999999999997</v>
      </c>
      <c r="H5207" s="1178">
        <v>45896</v>
      </c>
    </row>
    <row r="5208" spans="3:8" x14ac:dyDescent="0.25">
      <c r="C5208" s="1179">
        <v>2</v>
      </c>
      <c r="D5208" s="1179">
        <v>0</v>
      </c>
      <c r="E5208" s="1180"/>
      <c r="F5208" s="4" t="str">
        <f t="shared" si="87"/>
        <v/>
      </c>
      <c r="G5208" s="37">
        <v>40.299999999999997</v>
      </c>
      <c r="H5208" s="1178">
        <v>45896</v>
      </c>
    </row>
    <row r="5209" spans="3:8" x14ac:dyDescent="0.25">
      <c r="C5209" s="1179">
        <v>3</v>
      </c>
      <c r="D5209" s="1179">
        <v>48</v>
      </c>
      <c r="E5209" s="1180">
        <v>36.9</v>
      </c>
      <c r="F5209" s="4">
        <f t="shared" si="87"/>
        <v>-8.0645161290323723E-3</v>
      </c>
      <c r="G5209" s="37">
        <v>40.299999999999997</v>
      </c>
      <c r="H5209" s="1178">
        <v>45896</v>
      </c>
    </row>
    <row r="5210" spans="3:8" x14ac:dyDescent="0.25">
      <c r="C5210" s="1179">
        <v>4</v>
      </c>
      <c r="D5210" s="1179">
        <v>114</v>
      </c>
      <c r="E5210" s="1180">
        <v>43.3</v>
      </c>
      <c r="F5210" s="4">
        <f t="shared" si="87"/>
        <v>3.3412887828162256E-2</v>
      </c>
      <c r="G5210" s="37">
        <v>40.299999999999997</v>
      </c>
      <c r="H5210" s="1178">
        <v>45896</v>
      </c>
    </row>
    <row r="5211" spans="3:8" x14ac:dyDescent="0.25">
      <c r="C5211" s="1179">
        <v>5</v>
      </c>
      <c r="D5211" s="1179">
        <v>86</v>
      </c>
      <c r="E5211" s="1180">
        <v>29.7</v>
      </c>
      <c r="F5211" s="4">
        <f t="shared" si="87"/>
        <v>-3.5714285714285761E-2</v>
      </c>
      <c r="G5211" s="37">
        <v>40.299999999999997</v>
      </c>
      <c r="H5211" s="1178">
        <v>45896</v>
      </c>
    </row>
    <row r="5212" spans="3:8" x14ac:dyDescent="0.25">
      <c r="C5212" s="1179">
        <v>6</v>
      </c>
      <c r="D5212" s="1179">
        <v>119</v>
      </c>
      <c r="E5212" s="1180">
        <v>40.9</v>
      </c>
      <c r="F5212" s="4">
        <f t="shared" si="87"/>
        <v>-3.7647058823529443E-2</v>
      </c>
      <c r="G5212" s="37">
        <v>40.299999999999997</v>
      </c>
      <c r="H5212" s="1178">
        <v>45896</v>
      </c>
    </row>
    <row r="5213" spans="3:8" x14ac:dyDescent="0.25">
      <c r="C5213" s="1179">
        <v>7</v>
      </c>
      <c r="D5213" s="1179">
        <v>72</v>
      </c>
      <c r="E5213" s="1180">
        <v>38</v>
      </c>
      <c r="F5213" s="4">
        <f t="shared" si="87"/>
        <v>-1.041666666666663E-2</v>
      </c>
      <c r="G5213" s="37">
        <v>40.299999999999997</v>
      </c>
      <c r="H5213" s="1178">
        <v>45896</v>
      </c>
    </row>
    <row r="5214" spans="3:8" x14ac:dyDescent="0.25">
      <c r="C5214" s="1179">
        <v>8</v>
      </c>
      <c r="D5214" s="1179">
        <v>0</v>
      </c>
      <c r="E5214" s="1180"/>
      <c r="F5214" s="4" t="str">
        <f t="shared" si="87"/>
        <v/>
      </c>
      <c r="G5214" s="37">
        <v>40.299999999999997</v>
      </c>
      <c r="H5214" s="1178">
        <v>45896</v>
      </c>
    </row>
    <row r="5215" spans="3:8" x14ac:dyDescent="0.25">
      <c r="C5215" s="1179">
        <v>9</v>
      </c>
      <c r="D5215" s="1179">
        <v>97</v>
      </c>
      <c r="E5215" s="1180">
        <v>43.3</v>
      </c>
      <c r="F5215" s="4">
        <f t="shared" si="87"/>
        <v>6.9767441860464456E-3</v>
      </c>
      <c r="G5215" s="37">
        <v>40.299999999999997</v>
      </c>
      <c r="H5215" s="1178">
        <v>45896</v>
      </c>
    </row>
    <row r="5216" spans="3:8" x14ac:dyDescent="0.25">
      <c r="C5216" s="1179">
        <v>10</v>
      </c>
      <c r="D5216" s="1179">
        <v>116</v>
      </c>
      <c r="E5216" s="1180">
        <v>42.1</v>
      </c>
      <c r="F5216" s="4">
        <f t="shared" si="87"/>
        <v>0</v>
      </c>
      <c r="G5216" s="37">
        <v>40.299999999999997</v>
      </c>
      <c r="H5216" s="1178">
        <v>45896</v>
      </c>
    </row>
    <row r="5217" spans="3:8" x14ac:dyDescent="0.25">
      <c r="C5217" s="1181" t="s">
        <v>0</v>
      </c>
      <c r="D5217" s="1181" t="s">
        <v>7</v>
      </c>
      <c r="E5217" s="1182" t="s">
        <v>4</v>
      </c>
      <c r="F5217" s="4" t="str">
        <f t="shared" si="87"/>
        <v/>
      </c>
      <c r="G5217" s="37">
        <v>39.6</v>
      </c>
      <c r="H5217" s="1183">
        <v>45897</v>
      </c>
    </row>
    <row r="5218" spans="3:8" x14ac:dyDescent="0.25">
      <c r="C5218" s="1181">
        <v>51</v>
      </c>
      <c r="D5218" s="1181">
        <v>37</v>
      </c>
      <c r="E5218" s="1182">
        <v>34.200000000000003</v>
      </c>
      <c r="F5218" s="4">
        <f t="shared" si="87"/>
        <v>-5.5248618784530384E-2</v>
      </c>
      <c r="G5218" s="37">
        <v>39.6</v>
      </c>
      <c r="H5218" s="1183">
        <v>45897</v>
      </c>
    </row>
    <row r="5219" spans="3:8" x14ac:dyDescent="0.25">
      <c r="C5219" s="1181">
        <v>1</v>
      </c>
      <c r="D5219" s="1181">
        <v>112</v>
      </c>
      <c r="E5219" s="1182">
        <v>40.700000000000003</v>
      </c>
      <c r="F5219" s="4">
        <f t="shared" si="87"/>
        <v>-4.8899755501221453E-3</v>
      </c>
      <c r="G5219" s="37">
        <v>39.6</v>
      </c>
      <c r="H5219" s="1183">
        <v>45897</v>
      </c>
    </row>
    <row r="5220" spans="3:8" x14ac:dyDescent="0.25">
      <c r="C5220" s="1181">
        <v>2</v>
      </c>
      <c r="D5220" s="1181">
        <v>0</v>
      </c>
      <c r="E5220" s="1182"/>
      <c r="F5220" s="4" t="str">
        <f t="shared" si="87"/>
        <v/>
      </c>
      <c r="G5220" s="37">
        <v>39.6</v>
      </c>
      <c r="H5220" s="1183">
        <v>45897</v>
      </c>
    </row>
    <row r="5221" spans="3:8" x14ac:dyDescent="0.25">
      <c r="C5221" s="1181">
        <v>3</v>
      </c>
      <c r="D5221" s="1181">
        <v>48</v>
      </c>
      <c r="E5221" s="1182">
        <v>36</v>
      </c>
      <c r="F5221" s="4">
        <f t="shared" si="87"/>
        <v>-2.4390243902438987E-2</v>
      </c>
      <c r="G5221" s="37">
        <v>39.6</v>
      </c>
      <c r="H5221" s="1183">
        <v>45897</v>
      </c>
    </row>
    <row r="5222" spans="3:8" x14ac:dyDescent="0.25">
      <c r="C5222" s="1181">
        <v>4</v>
      </c>
      <c r="D5222" s="1181">
        <v>114</v>
      </c>
      <c r="E5222" s="1182">
        <v>42</v>
      </c>
      <c r="F5222" s="4">
        <f t="shared" si="87"/>
        <v>-3.0023094688221647E-2</v>
      </c>
      <c r="G5222" s="37">
        <v>39.6</v>
      </c>
      <c r="H5222" s="1183">
        <v>45897</v>
      </c>
    </row>
    <row r="5223" spans="3:8" x14ac:dyDescent="0.25">
      <c r="C5223" s="1181">
        <v>5</v>
      </c>
      <c r="D5223" s="1181">
        <v>86</v>
      </c>
      <c r="E5223" s="1182">
        <v>31</v>
      </c>
      <c r="F5223" s="4">
        <f t="shared" ref="F5223:F5275" si="88">IFERROR((E5223-E5211)/E5211,"")</f>
        <v>4.3771043771043794E-2</v>
      </c>
      <c r="G5223" s="37">
        <v>39.6</v>
      </c>
      <c r="H5223" s="1183">
        <v>45897</v>
      </c>
    </row>
    <row r="5224" spans="3:8" x14ac:dyDescent="0.25">
      <c r="C5224" s="1181">
        <v>6</v>
      </c>
      <c r="D5224" s="1181">
        <v>119</v>
      </c>
      <c r="E5224" s="1182">
        <v>39.9</v>
      </c>
      <c r="F5224" s="4">
        <f t="shared" si="88"/>
        <v>-2.4449877750611249E-2</v>
      </c>
      <c r="G5224" s="37">
        <v>39.6</v>
      </c>
      <c r="H5224" s="1183">
        <v>45897</v>
      </c>
    </row>
    <row r="5225" spans="3:8" x14ac:dyDescent="0.25">
      <c r="C5225" s="1181">
        <v>7</v>
      </c>
      <c r="D5225" s="1181">
        <v>72</v>
      </c>
      <c r="E5225" s="1182">
        <v>37.9</v>
      </c>
      <c r="F5225" s="4">
        <f t="shared" si="88"/>
        <v>-2.6315789473684583E-3</v>
      </c>
      <c r="G5225" s="37">
        <v>39.6</v>
      </c>
      <c r="H5225" s="1183">
        <v>45897</v>
      </c>
    </row>
    <row r="5226" spans="3:8" x14ac:dyDescent="0.25">
      <c r="C5226" s="1181">
        <v>8</v>
      </c>
      <c r="D5226" s="1181">
        <v>0</v>
      </c>
      <c r="E5226" s="1182"/>
      <c r="F5226" s="4" t="str">
        <f t="shared" si="88"/>
        <v/>
      </c>
      <c r="G5226" s="37">
        <v>39.6</v>
      </c>
      <c r="H5226" s="1183">
        <v>45897</v>
      </c>
    </row>
    <row r="5227" spans="3:8" x14ac:dyDescent="0.25">
      <c r="C5227" s="1181">
        <v>9</v>
      </c>
      <c r="D5227" s="1181">
        <v>97</v>
      </c>
      <c r="E5227" s="1182">
        <v>41.2</v>
      </c>
      <c r="F5227" s="4">
        <f t="shared" si="88"/>
        <v>-4.8498845265588786E-2</v>
      </c>
      <c r="G5227" s="37">
        <v>39.6</v>
      </c>
      <c r="H5227" s="1183">
        <v>45897</v>
      </c>
    </row>
    <row r="5228" spans="3:8" x14ac:dyDescent="0.25">
      <c r="C5228" s="1181">
        <v>10</v>
      </c>
      <c r="D5228" s="1181">
        <v>115</v>
      </c>
      <c r="E5228" s="1182">
        <v>41.9</v>
      </c>
      <c r="F5228" s="4">
        <f t="shared" si="88"/>
        <v>-4.7505938242280955E-3</v>
      </c>
      <c r="G5228" s="37">
        <v>39.6</v>
      </c>
      <c r="H5228" s="1183">
        <v>45897</v>
      </c>
    </row>
    <row r="5229" spans="3:8" x14ac:dyDescent="0.25">
      <c r="C5229" s="1184" t="s">
        <v>0</v>
      </c>
      <c r="D5229" s="1184" t="s">
        <v>7</v>
      </c>
      <c r="E5229" s="1185" t="s">
        <v>4</v>
      </c>
      <c r="F5229" s="4" t="str">
        <f t="shared" si="88"/>
        <v/>
      </c>
      <c r="G5229" s="37">
        <v>40</v>
      </c>
      <c r="H5229" s="1186">
        <v>45898</v>
      </c>
    </row>
    <row r="5230" spans="3:8" x14ac:dyDescent="0.25">
      <c r="C5230" s="1184">
        <v>51</v>
      </c>
      <c r="D5230" s="1184">
        <v>39</v>
      </c>
      <c r="E5230" s="1185">
        <v>37</v>
      </c>
      <c r="F5230" s="4">
        <f t="shared" si="88"/>
        <v>8.1871345029239678E-2</v>
      </c>
      <c r="G5230" s="37">
        <v>40</v>
      </c>
      <c r="H5230" s="1186">
        <v>45898</v>
      </c>
    </row>
    <row r="5231" spans="3:8" x14ac:dyDescent="0.25">
      <c r="C5231" s="1184">
        <v>1</v>
      </c>
      <c r="D5231" s="1184">
        <v>112</v>
      </c>
      <c r="E5231" s="1185">
        <v>40.5</v>
      </c>
      <c r="F5231" s="4">
        <f t="shared" si="88"/>
        <v>-4.9140049140049833E-3</v>
      </c>
      <c r="G5231" s="37">
        <v>40</v>
      </c>
      <c r="H5231" s="1186">
        <v>45898</v>
      </c>
    </row>
    <row r="5232" spans="3:8" x14ac:dyDescent="0.25">
      <c r="C5232" s="1184">
        <v>2</v>
      </c>
      <c r="D5232" s="1184">
        <v>0</v>
      </c>
      <c r="E5232" s="1185"/>
      <c r="F5232" s="4" t="str">
        <f t="shared" si="88"/>
        <v/>
      </c>
      <c r="G5232" s="37">
        <v>40</v>
      </c>
      <c r="H5232" s="1186">
        <v>45898</v>
      </c>
    </row>
    <row r="5233" spans="3:8" x14ac:dyDescent="0.25">
      <c r="C5233" s="1184">
        <v>3</v>
      </c>
      <c r="D5233" s="1184">
        <v>48</v>
      </c>
      <c r="E5233" s="1185">
        <v>37.200000000000003</v>
      </c>
      <c r="F5233" s="4">
        <f t="shared" si="88"/>
        <v>3.3333333333333409E-2</v>
      </c>
      <c r="G5233" s="37">
        <v>40</v>
      </c>
      <c r="H5233" s="1186">
        <v>45898</v>
      </c>
    </row>
    <row r="5234" spans="3:8" x14ac:dyDescent="0.25">
      <c r="C5234" s="1184">
        <v>4</v>
      </c>
      <c r="D5234" s="1184">
        <v>114</v>
      </c>
      <c r="E5234" s="1185">
        <v>43.4</v>
      </c>
      <c r="F5234" s="4">
        <f t="shared" si="88"/>
        <v>3.3333333333333298E-2</v>
      </c>
      <c r="G5234" s="37">
        <v>40</v>
      </c>
      <c r="H5234" s="1186">
        <v>45898</v>
      </c>
    </row>
    <row r="5235" spans="3:8" x14ac:dyDescent="0.25">
      <c r="C5235" s="1184">
        <v>5</v>
      </c>
      <c r="D5235" s="1184">
        <v>82</v>
      </c>
      <c r="E5235" s="1185">
        <v>29.1</v>
      </c>
      <c r="F5235" s="4">
        <f t="shared" si="88"/>
        <v>-6.1290322580645117E-2</v>
      </c>
      <c r="G5235" s="37">
        <v>40</v>
      </c>
      <c r="H5235" s="1186">
        <v>45898</v>
      </c>
    </row>
    <row r="5236" spans="3:8" x14ac:dyDescent="0.25">
      <c r="C5236" s="1184">
        <v>6</v>
      </c>
      <c r="D5236" s="1184">
        <v>119</v>
      </c>
      <c r="E5236" s="1185">
        <v>40.299999999999997</v>
      </c>
      <c r="F5236" s="4">
        <f t="shared" si="88"/>
        <v>1.0025062656641569E-2</v>
      </c>
      <c r="G5236" s="37">
        <v>40</v>
      </c>
      <c r="H5236" s="1186">
        <v>45898</v>
      </c>
    </row>
    <row r="5237" spans="3:8" x14ac:dyDescent="0.25">
      <c r="C5237" s="1184">
        <v>7</v>
      </c>
      <c r="D5237" s="1184">
        <v>71</v>
      </c>
      <c r="E5237" s="1185">
        <v>37.799999999999997</v>
      </c>
      <c r="F5237" s="4">
        <f t="shared" si="88"/>
        <v>-2.6385224274406709E-3</v>
      </c>
      <c r="G5237" s="37">
        <v>40</v>
      </c>
      <c r="H5237" s="1186">
        <v>45898</v>
      </c>
    </row>
    <row r="5238" spans="3:8" x14ac:dyDescent="0.25">
      <c r="C5238" s="1184">
        <v>8</v>
      </c>
      <c r="D5238" s="1184">
        <v>0</v>
      </c>
      <c r="E5238" s="1185"/>
      <c r="F5238" s="4" t="str">
        <f t="shared" si="88"/>
        <v/>
      </c>
      <c r="G5238" s="37">
        <v>40</v>
      </c>
      <c r="H5238" s="1186">
        <v>45898</v>
      </c>
    </row>
    <row r="5239" spans="3:8" x14ac:dyDescent="0.25">
      <c r="C5239" s="1184">
        <v>9</v>
      </c>
      <c r="D5239" s="1184">
        <v>97</v>
      </c>
      <c r="E5239" s="1185">
        <v>42.1</v>
      </c>
      <c r="F5239" s="4">
        <f t="shared" si="88"/>
        <v>2.184466019417472E-2</v>
      </c>
      <c r="G5239" s="37">
        <v>40</v>
      </c>
      <c r="H5239" s="1186">
        <v>45898</v>
      </c>
    </row>
    <row r="5240" spans="3:8" x14ac:dyDescent="0.25">
      <c r="C5240" s="1184">
        <v>10</v>
      </c>
      <c r="D5240" s="1184">
        <v>115</v>
      </c>
      <c r="E5240" s="1185">
        <v>42.5</v>
      </c>
      <c r="F5240" s="4">
        <f t="shared" si="88"/>
        <v>1.4319809069212444E-2</v>
      </c>
      <c r="G5240" s="37">
        <v>40</v>
      </c>
      <c r="H5240" s="1186">
        <v>45898</v>
      </c>
    </row>
    <row r="5241" spans="3:8" x14ac:dyDescent="0.25">
      <c r="C5241" s="1187" t="s">
        <v>0</v>
      </c>
      <c r="D5241" s="1187" t="s">
        <v>7</v>
      </c>
      <c r="E5241" s="1188" t="s">
        <v>4</v>
      </c>
      <c r="F5241" s="4" t="str">
        <f t="shared" si="88"/>
        <v/>
      </c>
      <c r="G5241" s="37">
        <v>41.1</v>
      </c>
      <c r="H5241" s="1186">
        <v>45899</v>
      </c>
    </row>
    <row r="5242" spans="3:8" x14ac:dyDescent="0.25">
      <c r="C5242" s="1187">
        <v>51</v>
      </c>
      <c r="D5242" s="1187">
        <v>39</v>
      </c>
      <c r="E5242" s="1188">
        <v>37.799999999999997</v>
      </c>
      <c r="F5242" s="4">
        <f t="shared" si="88"/>
        <v>2.1621621621621546E-2</v>
      </c>
      <c r="G5242" s="37">
        <v>41.1</v>
      </c>
      <c r="H5242" s="1186">
        <v>45899</v>
      </c>
    </row>
    <row r="5243" spans="3:8" x14ac:dyDescent="0.25">
      <c r="C5243" s="1187">
        <v>1</v>
      </c>
      <c r="D5243" s="1187">
        <v>112</v>
      </c>
      <c r="E5243" s="1188">
        <v>41.7</v>
      </c>
      <c r="F5243" s="4">
        <f t="shared" si="88"/>
        <v>2.96296296296297E-2</v>
      </c>
      <c r="G5243" s="37">
        <v>41.1</v>
      </c>
      <c r="H5243" s="1186">
        <v>45899</v>
      </c>
    </row>
    <row r="5244" spans="3:8" x14ac:dyDescent="0.25">
      <c r="C5244" s="1187">
        <v>2</v>
      </c>
      <c r="D5244" s="1187">
        <v>45</v>
      </c>
      <c r="E5244" s="1188"/>
      <c r="F5244" s="4" t="str">
        <f t="shared" si="88"/>
        <v/>
      </c>
      <c r="G5244" s="37">
        <v>41.1</v>
      </c>
      <c r="H5244" s="1186">
        <v>45899</v>
      </c>
    </row>
    <row r="5245" spans="3:8" x14ac:dyDescent="0.25">
      <c r="C5245" s="1187">
        <v>3</v>
      </c>
      <c r="D5245" s="1187">
        <v>0</v>
      </c>
      <c r="E5245" s="1188">
        <v>37.6</v>
      </c>
      <c r="F5245" s="4">
        <f t="shared" si="88"/>
        <v>1.0752688172042972E-2</v>
      </c>
      <c r="G5245" s="37">
        <v>41.1</v>
      </c>
      <c r="H5245" s="1186">
        <v>45899</v>
      </c>
    </row>
    <row r="5246" spans="3:8" x14ac:dyDescent="0.25">
      <c r="C5246" s="1187">
        <v>4</v>
      </c>
      <c r="D5246" s="1187">
        <v>114</v>
      </c>
      <c r="E5246" s="1188">
        <v>44</v>
      </c>
      <c r="F5246" s="4">
        <f t="shared" si="88"/>
        <v>1.3824884792626762E-2</v>
      </c>
      <c r="G5246" s="37">
        <v>41.1</v>
      </c>
      <c r="H5246" s="1186">
        <v>45899</v>
      </c>
    </row>
    <row r="5247" spans="3:8" x14ac:dyDescent="0.25">
      <c r="C5247" s="1187">
        <v>5</v>
      </c>
      <c r="D5247" s="1187">
        <v>85</v>
      </c>
      <c r="E5247" s="1188">
        <v>31.5</v>
      </c>
      <c r="F5247" s="4">
        <f t="shared" si="88"/>
        <v>8.2474226804123654E-2</v>
      </c>
      <c r="G5247" s="37">
        <v>41.1</v>
      </c>
      <c r="H5247" s="1186">
        <v>45899</v>
      </c>
    </row>
    <row r="5248" spans="3:8" x14ac:dyDescent="0.25">
      <c r="C5248" s="1187">
        <v>6</v>
      </c>
      <c r="D5248" s="1187">
        <v>117</v>
      </c>
      <c r="E5248" s="1188">
        <v>42.2</v>
      </c>
      <c r="F5248" s="4">
        <f t="shared" si="88"/>
        <v>4.7146401985111809E-2</v>
      </c>
      <c r="G5248" s="37">
        <v>41.1</v>
      </c>
      <c r="H5248" s="1186">
        <v>45899</v>
      </c>
    </row>
    <row r="5249" spans="3:8" x14ac:dyDescent="0.25">
      <c r="C5249" s="1187">
        <v>7</v>
      </c>
      <c r="D5249" s="1187">
        <v>71</v>
      </c>
      <c r="E5249" s="1188">
        <v>39.299999999999997</v>
      </c>
      <c r="F5249" s="4">
        <f t="shared" si="88"/>
        <v>3.9682539682539687E-2</v>
      </c>
      <c r="G5249" s="37">
        <v>41.1</v>
      </c>
      <c r="H5249" s="1186">
        <v>45899</v>
      </c>
    </row>
    <row r="5250" spans="3:8" x14ac:dyDescent="0.25">
      <c r="C5250" s="1187">
        <v>8</v>
      </c>
      <c r="D5250" s="1187">
        <v>0</v>
      </c>
      <c r="E5250" s="1188"/>
      <c r="F5250" s="4" t="str">
        <f t="shared" si="88"/>
        <v/>
      </c>
      <c r="G5250" s="37">
        <v>41.1</v>
      </c>
      <c r="H5250" s="1186">
        <v>45899</v>
      </c>
    </row>
    <row r="5251" spans="3:8" x14ac:dyDescent="0.25">
      <c r="C5251" s="1187">
        <v>9</v>
      </c>
      <c r="D5251" s="1187">
        <v>97</v>
      </c>
      <c r="E5251" s="1188">
        <v>43.8</v>
      </c>
      <c r="F5251" s="4">
        <f t="shared" si="88"/>
        <v>4.0380047505938141E-2</v>
      </c>
      <c r="G5251" s="37">
        <v>41.1</v>
      </c>
      <c r="H5251" s="1186">
        <v>45899</v>
      </c>
    </row>
    <row r="5252" spans="3:8" x14ac:dyDescent="0.25">
      <c r="C5252" s="1187">
        <v>10</v>
      </c>
      <c r="D5252" s="1187">
        <v>114</v>
      </c>
      <c r="E5252" s="1188">
        <v>42.5</v>
      </c>
      <c r="F5252" s="4">
        <f t="shared" si="88"/>
        <v>0</v>
      </c>
      <c r="G5252" s="37">
        <v>41.1</v>
      </c>
      <c r="H5252" s="1186">
        <v>45899</v>
      </c>
    </row>
    <row r="5253" spans="3:8" x14ac:dyDescent="0.25">
      <c r="C5253" s="1189" t="s">
        <v>0</v>
      </c>
      <c r="D5253" s="1189" t="s">
        <v>7</v>
      </c>
      <c r="E5253" s="1190" t="s">
        <v>4</v>
      </c>
      <c r="F5253" s="4" t="str">
        <f t="shared" si="88"/>
        <v/>
      </c>
      <c r="G5253" s="37">
        <v>40.5</v>
      </c>
      <c r="H5253" s="1191">
        <v>45900</v>
      </c>
    </row>
    <row r="5254" spans="3:8" x14ac:dyDescent="0.25">
      <c r="C5254" s="1189">
        <v>51</v>
      </c>
      <c r="D5254" s="1189">
        <v>39</v>
      </c>
      <c r="E5254" s="1190">
        <v>37.799999999999997</v>
      </c>
      <c r="F5254" s="4">
        <f t="shared" si="88"/>
        <v>0</v>
      </c>
      <c r="G5254" s="37">
        <v>40.5</v>
      </c>
      <c r="H5254" s="1191">
        <v>45900</v>
      </c>
    </row>
    <row r="5255" spans="3:8" x14ac:dyDescent="0.25">
      <c r="C5255" s="1189">
        <v>1</v>
      </c>
      <c r="D5255" s="1189">
        <v>112</v>
      </c>
      <c r="E5255" s="1190">
        <v>39.1</v>
      </c>
      <c r="F5255" s="4">
        <f t="shared" si="88"/>
        <v>-6.2350119904076767E-2</v>
      </c>
      <c r="G5255" s="37">
        <v>40.5</v>
      </c>
      <c r="H5255" s="1191">
        <v>45900</v>
      </c>
    </row>
    <row r="5256" spans="3:8" x14ac:dyDescent="0.25">
      <c r="C5256" s="1189">
        <v>2</v>
      </c>
      <c r="D5256" s="1189">
        <v>45</v>
      </c>
      <c r="E5256" s="1190">
        <v>41.7</v>
      </c>
      <c r="F5256" s="4" t="str">
        <f t="shared" si="88"/>
        <v/>
      </c>
      <c r="G5256" s="37">
        <v>40.5</v>
      </c>
      <c r="H5256" s="1191">
        <v>45900</v>
      </c>
    </row>
    <row r="5257" spans="3:8" x14ac:dyDescent="0.25">
      <c r="C5257" s="1189">
        <v>3</v>
      </c>
      <c r="D5257" s="1189">
        <v>0</v>
      </c>
      <c r="E5257" s="1190"/>
      <c r="F5257" s="4">
        <f>IFERROR((E5257-E5245)/E5245,"")</f>
        <v>-1</v>
      </c>
      <c r="G5257" s="37">
        <v>40.5</v>
      </c>
      <c r="H5257" s="1191">
        <v>45900</v>
      </c>
    </row>
    <row r="5258" spans="3:8" x14ac:dyDescent="0.25">
      <c r="C5258" s="1189">
        <v>4</v>
      </c>
      <c r="D5258" s="1189">
        <v>113</v>
      </c>
      <c r="E5258" s="1190">
        <v>43.8</v>
      </c>
      <c r="F5258" s="4">
        <f t="shared" si="88"/>
        <v>-4.5454545454546103E-3</v>
      </c>
      <c r="G5258" s="37">
        <v>40.5</v>
      </c>
      <c r="H5258" s="1191">
        <v>45900</v>
      </c>
    </row>
    <row r="5259" spans="3:8" x14ac:dyDescent="0.25">
      <c r="C5259" s="1189">
        <v>5</v>
      </c>
      <c r="D5259" s="1189">
        <v>84</v>
      </c>
      <c r="E5259" s="1190">
        <v>29.8</v>
      </c>
      <c r="F5259" s="4">
        <f t="shared" si="88"/>
        <v>-5.3968253968253943E-2</v>
      </c>
      <c r="G5259" s="37">
        <v>40.5</v>
      </c>
      <c r="H5259" s="1191">
        <v>45900</v>
      </c>
    </row>
    <row r="5260" spans="3:8" x14ac:dyDescent="0.25">
      <c r="C5260" s="1189">
        <v>6</v>
      </c>
      <c r="D5260" s="1189">
        <v>117</v>
      </c>
      <c r="E5260" s="1190">
        <v>40.700000000000003</v>
      </c>
      <c r="F5260" s="4">
        <f t="shared" si="88"/>
        <v>-3.5545023696682464E-2</v>
      </c>
      <c r="G5260" s="37">
        <v>40.5</v>
      </c>
      <c r="H5260" s="1191">
        <v>45900</v>
      </c>
    </row>
    <row r="5261" spans="3:8" x14ac:dyDescent="0.25">
      <c r="C5261" s="1189">
        <v>7</v>
      </c>
      <c r="D5261" s="1189">
        <v>71</v>
      </c>
      <c r="E5261" s="1190">
        <v>38.5</v>
      </c>
      <c r="F5261" s="4">
        <f t="shared" si="88"/>
        <v>-2.0356234096692041E-2</v>
      </c>
      <c r="G5261" s="37">
        <v>40.5</v>
      </c>
      <c r="H5261" s="1191">
        <v>45900</v>
      </c>
    </row>
    <row r="5262" spans="3:8" x14ac:dyDescent="0.25">
      <c r="C5262" s="1189">
        <v>8</v>
      </c>
      <c r="D5262" s="1189">
        <v>0</v>
      </c>
      <c r="E5262" s="1190"/>
      <c r="F5262" s="4" t="str">
        <f t="shared" si="88"/>
        <v/>
      </c>
      <c r="G5262" s="37">
        <v>40.5</v>
      </c>
      <c r="H5262" s="1191">
        <v>45900</v>
      </c>
    </row>
    <row r="5263" spans="3:8" x14ac:dyDescent="0.25">
      <c r="C5263" s="1189">
        <v>9</v>
      </c>
      <c r="D5263" s="1189">
        <v>97</v>
      </c>
      <c r="E5263" s="1190">
        <v>43.1</v>
      </c>
      <c r="F5263" s="4">
        <f t="shared" si="88"/>
        <v>-1.5981735159817254E-2</v>
      </c>
      <c r="G5263" s="37">
        <v>40.5</v>
      </c>
      <c r="H5263" s="1191">
        <v>45900</v>
      </c>
    </row>
    <row r="5264" spans="3:8" x14ac:dyDescent="0.25">
      <c r="C5264" s="1189">
        <v>10</v>
      </c>
      <c r="D5264" s="1189">
        <v>114</v>
      </c>
      <c r="E5264" s="1190">
        <v>41.1</v>
      </c>
      <c r="F5264" s="4">
        <f t="shared" si="88"/>
        <v>-3.2941176470588203E-2</v>
      </c>
      <c r="G5264" s="37">
        <v>40.5</v>
      </c>
      <c r="H5264" s="1191">
        <v>45900</v>
      </c>
    </row>
    <row r="5265" spans="3:8" x14ac:dyDescent="0.25">
      <c r="C5265" s="1192" t="s">
        <v>0</v>
      </c>
      <c r="D5265" s="1192" t="s">
        <v>7</v>
      </c>
      <c r="E5265" s="1193" t="s">
        <v>4</v>
      </c>
      <c r="F5265" s="4" t="str">
        <f t="shared" si="88"/>
        <v/>
      </c>
      <c r="G5265" s="37">
        <v>40.9</v>
      </c>
      <c r="H5265" s="1194">
        <v>45901</v>
      </c>
    </row>
    <row r="5266" spans="3:8" x14ac:dyDescent="0.25">
      <c r="C5266" s="1192">
        <v>51</v>
      </c>
      <c r="D5266" s="1192">
        <v>39</v>
      </c>
      <c r="E5266" s="1193">
        <v>39.799999999999997</v>
      </c>
      <c r="F5266" s="4">
        <f t="shared" si="88"/>
        <v>5.2910052910052914E-2</v>
      </c>
      <c r="G5266" s="37">
        <v>40.9</v>
      </c>
      <c r="H5266" s="1194">
        <v>45901</v>
      </c>
    </row>
    <row r="5267" spans="3:8" x14ac:dyDescent="0.25">
      <c r="C5267" s="1192">
        <v>1</v>
      </c>
      <c r="D5267" s="1192">
        <v>112</v>
      </c>
      <c r="E5267" s="1193">
        <v>41.3</v>
      </c>
      <c r="F5267" s="4">
        <f t="shared" si="88"/>
        <v>5.6265984654731344E-2</v>
      </c>
      <c r="G5267" s="37">
        <v>40.9</v>
      </c>
      <c r="H5267" s="1194">
        <v>45901</v>
      </c>
    </row>
    <row r="5268" spans="3:8" x14ac:dyDescent="0.25">
      <c r="C5268" s="1192">
        <v>2</v>
      </c>
      <c r="D5268" s="1192">
        <v>45</v>
      </c>
      <c r="E5268" s="1193">
        <v>37</v>
      </c>
      <c r="F5268" s="4">
        <f t="shared" si="88"/>
        <v>-0.11270983213429263</v>
      </c>
      <c r="G5268" s="37">
        <v>40.9</v>
      </c>
      <c r="H5268" s="1194">
        <v>45901</v>
      </c>
    </row>
    <row r="5269" spans="3:8" x14ac:dyDescent="0.25">
      <c r="C5269" s="1192">
        <v>3</v>
      </c>
      <c r="D5269" s="1192">
        <v>0</v>
      </c>
      <c r="E5269" s="1193"/>
      <c r="F5269" s="4" t="str">
        <f t="shared" si="88"/>
        <v/>
      </c>
      <c r="G5269" s="37">
        <v>40.9</v>
      </c>
      <c r="H5269" s="1194">
        <v>45901</v>
      </c>
    </row>
    <row r="5270" spans="3:8" x14ac:dyDescent="0.25">
      <c r="C5270" s="1192">
        <v>4</v>
      </c>
      <c r="D5270" s="1192">
        <v>113</v>
      </c>
      <c r="E5270" s="1193">
        <v>44.4</v>
      </c>
      <c r="F5270" s="4">
        <f t="shared" si="88"/>
        <v>1.3698630136986335E-2</v>
      </c>
      <c r="G5270" s="37">
        <v>40.9</v>
      </c>
      <c r="H5270" s="1194">
        <v>45901</v>
      </c>
    </row>
    <row r="5271" spans="3:8" x14ac:dyDescent="0.25">
      <c r="C5271" s="1192">
        <v>5</v>
      </c>
      <c r="D5271" s="1192">
        <v>84</v>
      </c>
      <c r="E5271" s="1193">
        <v>33.200000000000003</v>
      </c>
      <c r="F5271" s="4">
        <f t="shared" si="88"/>
        <v>0.1140939597315437</v>
      </c>
      <c r="G5271" s="37">
        <v>40.9</v>
      </c>
      <c r="H5271" s="1194">
        <v>45901</v>
      </c>
    </row>
    <row r="5272" spans="3:8" x14ac:dyDescent="0.25">
      <c r="C5272" s="1192">
        <v>6</v>
      </c>
      <c r="D5272" s="1192">
        <v>117</v>
      </c>
      <c r="E5272" s="1193">
        <v>41.7</v>
      </c>
      <c r="F5272" s="4">
        <f t="shared" si="88"/>
        <v>2.4570024570024569E-2</v>
      </c>
      <c r="G5272" s="37">
        <v>40.9</v>
      </c>
      <c r="H5272" s="1194">
        <v>45901</v>
      </c>
    </row>
    <row r="5273" spans="3:8" x14ac:dyDescent="0.25">
      <c r="C5273" s="1192">
        <v>7</v>
      </c>
      <c r="D5273" s="1192">
        <v>71</v>
      </c>
      <c r="E5273" s="1193">
        <v>39.5</v>
      </c>
      <c r="F5273" s="4">
        <f t="shared" si="88"/>
        <v>2.5974025974025976E-2</v>
      </c>
      <c r="G5273" s="37">
        <v>40.9</v>
      </c>
      <c r="H5273" s="1194">
        <v>45901</v>
      </c>
    </row>
    <row r="5274" spans="3:8" x14ac:dyDescent="0.25">
      <c r="C5274" s="1192">
        <v>8</v>
      </c>
      <c r="D5274" s="1192">
        <v>0</v>
      </c>
      <c r="E5274" s="1193"/>
      <c r="F5274" s="4" t="str">
        <f t="shared" si="88"/>
        <v/>
      </c>
      <c r="G5274" s="37">
        <v>40.9</v>
      </c>
      <c r="H5274" s="1194">
        <v>45901</v>
      </c>
    </row>
    <row r="5275" spans="3:8" x14ac:dyDescent="0.25">
      <c r="C5275" s="1192">
        <v>9</v>
      </c>
      <c r="D5275" s="1192">
        <v>98</v>
      </c>
      <c r="E5275" s="1193">
        <v>40.6</v>
      </c>
      <c r="F5275" s="4">
        <f t="shared" si="88"/>
        <v>-5.8004640371229696E-2</v>
      </c>
      <c r="G5275" s="37">
        <v>40.9</v>
      </c>
      <c r="H5275" s="1194">
        <v>45901</v>
      </c>
    </row>
    <row r="5276" spans="3:8" x14ac:dyDescent="0.25">
      <c r="C5276" s="1192">
        <v>10</v>
      </c>
      <c r="D5276" s="1192">
        <v>114</v>
      </c>
      <c r="E5276" s="1193">
        <v>42.6</v>
      </c>
      <c r="F5276" s="4">
        <f>IFERROR((E5276-E5264)/E5264,"")</f>
        <v>3.6496350364963501E-2</v>
      </c>
      <c r="G5276" s="37">
        <v>40.9</v>
      </c>
      <c r="H5276" s="1194">
        <v>45901</v>
      </c>
    </row>
    <row r="5277" spans="3:8" x14ac:dyDescent="0.25">
      <c r="C5277" s="1195" t="s">
        <v>0</v>
      </c>
      <c r="D5277" s="1195" t="s">
        <v>7</v>
      </c>
      <c r="E5277" s="1196" t="s">
        <v>4</v>
      </c>
      <c r="F5277" s="4" t="str">
        <f t="shared" ref="F5277:F5340" si="89">IFERROR((E5277-E5265)/E5265,"")</f>
        <v/>
      </c>
      <c r="G5277" s="37">
        <v>40.9</v>
      </c>
      <c r="H5277" s="1197">
        <v>45902</v>
      </c>
    </row>
    <row r="5278" spans="3:8" x14ac:dyDescent="0.25">
      <c r="C5278" s="1195">
        <v>51</v>
      </c>
      <c r="D5278" s="1195">
        <v>37</v>
      </c>
      <c r="E5278" s="1196">
        <v>39.9</v>
      </c>
      <c r="F5278" s="4">
        <f t="shared" si="89"/>
        <v>2.5125628140703878E-3</v>
      </c>
      <c r="G5278" s="37">
        <v>40.9</v>
      </c>
      <c r="H5278" s="1197">
        <v>45902</v>
      </c>
    </row>
    <row r="5279" spans="3:8" x14ac:dyDescent="0.25">
      <c r="C5279" s="1195">
        <v>1</v>
      </c>
      <c r="D5279" s="1195">
        <v>112</v>
      </c>
      <c r="E5279" s="1196">
        <v>41.4</v>
      </c>
      <c r="F5279" s="4">
        <f t="shared" si="89"/>
        <v>2.4213075060533031E-3</v>
      </c>
      <c r="G5279" s="37">
        <v>40.9</v>
      </c>
      <c r="H5279" s="1197">
        <v>45902</v>
      </c>
    </row>
    <row r="5280" spans="3:8" x14ac:dyDescent="0.25">
      <c r="C5280" s="1195">
        <v>2</v>
      </c>
      <c r="D5280" s="1195">
        <v>45</v>
      </c>
      <c r="E5280" s="1196">
        <v>37.5</v>
      </c>
      <c r="F5280" s="4">
        <f t="shared" si="89"/>
        <v>1.3513513513513514E-2</v>
      </c>
      <c r="G5280" s="37">
        <v>40.9</v>
      </c>
      <c r="H5280" s="1197">
        <v>45902</v>
      </c>
    </row>
    <row r="5281" spans="3:8" x14ac:dyDescent="0.25">
      <c r="C5281" s="1195">
        <v>3</v>
      </c>
      <c r="D5281" s="1195">
        <v>0</v>
      </c>
      <c r="E5281" s="1196"/>
      <c r="F5281" s="4" t="str">
        <f t="shared" si="89"/>
        <v/>
      </c>
      <c r="G5281" s="37">
        <v>40.9</v>
      </c>
      <c r="H5281" s="1197">
        <v>45902</v>
      </c>
    </row>
    <row r="5282" spans="3:8" x14ac:dyDescent="0.25">
      <c r="C5282" s="1195">
        <v>4</v>
      </c>
      <c r="D5282" s="1195">
        <v>113</v>
      </c>
      <c r="E5282" s="1196">
        <v>44.7</v>
      </c>
      <c r="F5282" s="4">
        <f t="shared" si="89"/>
        <v>6.7567567567568534E-3</v>
      </c>
      <c r="G5282" s="37">
        <v>40.9</v>
      </c>
      <c r="H5282" s="1197">
        <v>45902</v>
      </c>
    </row>
    <row r="5283" spans="3:8" x14ac:dyDescent="0.25">
      <c r="C5283" s="1195">
        <v>5</v>
      </c>
      <c r="D5283" s="1195">
        <v>93</v>
      </c>
      <c r="E5283" s="1196">
        <v>30.9</v>
      </c>
      <c r="F5283" s="4">
        <f t="shared" si="89"/>
        <v>-6.9277108433735066E-2</v>
      </c>
      <c r="G5283" s="37">
        <v>40.9</v>
      </c>
      <c r="H5283" s="1197">
        <v>45902</v>
      </c>
    </row>
    <row r="5284" spans="3:8" x14ac:dyDescent="0.25">
      <c r="C5284" s="1195">
        <v>6</v>
      </c>
      <c r="D5284" s="1195">
        <v>117</v>
      </c>
      <c r="E5284" s="1196">
        <v>42</v>
      </c>
      <c r="F5284" s="4">
        <f t="shared" si="89"/>
        <v>7.1942446043164777E-3</v>
      </c>
      <c r="G5284" s="37">
        <v>40.9</v>
      </c>
      <c r="H5284" s="1197">
        <v>45902</v>
      </c>
    </row>
    <row r="5285" spans="3:8" x14ac:dyDescent="0.25">
      <c r="C5285" s="1195">
        <v>7</v>
      </c>
      <c r="D5285" s="1195">
        <v>72</v>
      </c>
      <c r="E5285" s="1196">
        <v>39.700000000000003</v>
      </c>
      <c r="F5285" s="4">
        <f t="shared" si="89"/>
        <v>5.0632911392405784E-3</v>
      </c>
      <c r="G5285" s="37">
        <v>40.9</v>
      </c>
      <c r="H5285" s="1197">
        <v>45902</v>
      </c>
    </row>
    <row r="5286" spans="3:8" x14ac:dyDescent="0.25">
      <c r="C5286" s="1195">
        <v>8</v>
      </c>
      <c r="D5286" s="1195">
        <v>0</v>
      </c>
      <c r="E5286" s="1196"/>
      <c r="F5286" s="4" t="str">
        <f t="shared" si="89"/>
        <v/>
      </c>
      <c r="G5286" s="37">
        <v>40.9</v>
      </c>
      <c r="H5286" s="1197">
        <v>45902</v>
      </c>
    </row>
    <row r="5287" spans="3:8" x14ac:dyDescent="0.25">
      <c r="C5287" s="1195">
        <v>9</v>
      </c>
      <c r="D5287" s="1195">
        <v>98</v>
      </c>
      <c r="E5287" s="1196">
        <v>40.5</v>
      </c>
      <c r="F5287" s="4">
        <f t="shared" si="89"/>
        <v>-2.4630541871921529E-3</v>
      </c>
      <c r="G5287" s="37">
        <v>40.9</v>
      </c>
      <c r="H5287" s="1197">
        <v>45902</v>
      </c>
    </row>
    <row r="5288" spans="3:8" x14ac:dyDescent="0.25">
      <c r="C5288" s="1195">
        <v>10</v>
      </c>
      <c r="D5288" s="1195">
        <v>114</v>
      </c>
      <c r="E5288" s="1196">
        <v>42.7</v>
      </c>
      <c r="F5288" s="4">
        <f t="shared" si="89"/>
        <v>2.3474178403756203E-3</v>
      </c>
      <c r="G5288" s="37">
        <v>40.9</v>
      </c>
      <c r="H5288" s="1197">
        <v>45902</v>
      </c>
    </row>
    <row r="5289" spans="3:8" x14ac:dyDescent="0.25">
      <c r="C5289" s="1198" t="s">
        <v>0</v>
      </c>
      <c r="D5289" s="1198" t="s">
        <v>7</v>
      </c>
      <c r="E5289" s="1199" t="s">
        <v>4</v>
      </c>
      <c r="F5289" s="4" t="str">
        <f t="shared" si="89"/>
        <v/>
      </c>
      <c r="G5289" s="37">
        <v>39.4</v>
      </c>
      <c r="H5289" s="1197">
        <v>45903</v>
      </c>
    </row>
    <row r="5290" spans="3:8" x14ac:dyDescent="0.25">
      <c r="C5290" s="1198">
        <v>51</v>
      </c>
      <c r="D5290" s="1198">
        <v>37</v>
      </c>
      <c r="E5290" s="1199">
        <v>35.5</v>
      </c>
      <c r="F5290" s="4">
        <f t="shared" si="89"/>
        <v>-0.11027568922305761</v>
      </c>
      <c r="G5290" s="37">
        <v>39.4</v>
      </c>
      <c r="H5290" s="1197">
        <v>45903</v>
      </c>
    </row>
    <row r="5291" spans="3:8" x14ac:dyDescent="0.25">
      <c r="C5291" s="1198">
        <v>1</v>
      </c>
      <c r="D5291" s="1198">
        <v>112</v>
      </c>
      <c r="E5291" s="1199">
        <v>39.5</v>
      </c>
      <c r="F5291" s="4">
        <f t="shared" si="89"/>
        <v>-4.5893719806763253E-2</v>
      </c>
      <c r="G5291" s="37">
        <v>39.4</v>
      </c>
      <c r="H5291" s="1197">
        <v>45903</v>
      </c>
    </row>
    <row r="5292" spans="3:8" x14ac:dyDescent="0.25">
      <c r="C5292" s="1198">
        <v>2</v>
      </c>
      <c r="D5292" s="1198">
        <v>45</v>
      </c>
      <c r="E5292" s="1199">
        <v>36.799999999999997</v>
      </c>
      <c r="F5292" s="4">
        <f t="shared" si="89"/>
        <v>-1.8666666666666741E-2</v>
      </c>
      <c r="G5292" s="37">
        <v>39.4</v>
      </c>
      <c r="H5292" s="1197">
        <v>45903</v>
      </c>
    </row>
    <row r="5293" spans="3:8" x14ac:dyDescent="0.25">
      <c r="C5293" s="1198">
        <v>3</v>
      </c>
      <c r="D5293" s="1198">
        <v>0</v>
      </c>
      <c r="E5293" s="1199"/>
      <c r="F5293" s="4" t="str">
        <f t="shared" si="89"/>
        <v/>
      </c>
      <c r="G5293" s="37">
        <v>39.4</v>
      </c>
      <c r="H5293" s="1197">
        <v>45903</v>
      </c>
    </row>
    <row r="5294" spans="3:8" x14ac:dyDescent="0.25">
      <c r="C5294" s="1198">
        <v>4</v>
      </c>
      <c r="D5294" s="1198">
        <v>112</v>
      </c>
      <c r="E5294" s="1199">
        <v>43</v>
      </c>
      <c r="F5294" s="4">
        <f t="shared" si="89"/>
        <v>-3.8031319910514602E-2</v>
      </c>
      <c r="G5294" s="37">
        <v>39.4</v>
      </c>
      <c r="H5294" s="1197">
        <v>45903</v>
      </c>
    </row>
    <row r="5295" spans="3:8" x14ac:dyDescent="0.25">
      <c r="C5295" s="1198">
        <v>5</v>
      </c>
      <c r="D5295" s="1198">
        <v>93</v>
      </c>
      <c r="E5295" s="1199">
        <v>29.6</v>
      </c>
      <c r="F5295" s="4">
        <f t="shared" si="89"/>
        <v>-4.2071197411003146E-2</v>
      </c>
      <c r="G5295" s="37">
        <v>39.4</v>
      </c>
      <c r="H5295" s="1197">
        <v>45903</v>
      </c>
    </row>
    <row r="5296" spans="3:8" x14ac:dyDescent="0.25">
      <c r="C5296" s="1198">
        <v>6</v>
      </c>
      <c r="D5296" s="1198">
        <v>117</v>
      </c>
      <c r="E5296" s="1199">
        <v>40.799999999999997</v>
      </c>
      <c r="F5296" s="4">
        <f t="shared" si="89"/>
        <v>-2.857142857142864E-2</v>
      </c>
      <c r="G5296" s="37">
        <v>39.4</v>
      </c>
      <c r="H5296" s="1197">
        <v>45903</v>
      </c>
    </row>
    <row r="5297" spans="3:8" x14ac:dyDescent="0.25">
      <c r="C5297" s="1198">
        <v>7</v>
      </c>
      <c r="D5297" s="1198">
        <v>72</v>
      </c>
      <c r="E5297" s="1199">
        <v>38.1</v>
      </c>
      <c r="F5297" s="4">
        <f t="shared" si="89"/>
        <v>-4.0302267002518925E-2</v>
      </c>
      <c r="G5297" s="37">
        <v>39.4</v>
      </c>
      <c r="H5297" s="1197">
        <v>45903</v>
      </c>
    </row>
    <row r="5298" spans="3:8" x14ac:dyDescent="0.25">
      <c r="C5298" s="1198">
        <v>8</v>
      </c>
      <c r="D5298" s="1198">
        <v>0</v>
      </c>
      <c r="E5298" s="1199"/>
      <c r="F5298" s="4" t="str">
        <f t="shared" si="89"/>
        <v/>
      </c>
      <c r="G5298" s="37">
        <v>39.4</v>
      </c>
      <c r="H5298" s="1197">
        <v>45903</v>
      </c>
    </row>
    <row r="5299" spans="3:8" x14ac:dyDescent="0.25">
      <c r="C5299" s="1198">
        <v>9</v>
      </c>
      <c r="D5299" s="1198">
        <v>98</v>
      </c>
      <c r="E5299" s="1199">
        <v>40.6</v>
      </c>
      <c r="F5299" s="4">
        <f t="shared" si="89"/>
        <v>2.4691358024691709E-3</v>
      </c>
      <c r="G5299" s="37">
        <v>39.4</v>
      </c>
      <c r="H5299" s="1197">
        <v>45903</v>
      </c>
    </row>
    <row r="5300" spans="3:8" x14ac:dyDescent="0.25">
      <c r="C5300" s="1198">
        <v>10</v>
      </c>
      <c r="D5300" s="1198">
        <v>113</v>
      </c>
      <c r="E5300" s="1199">
        <v>41.3</v>
      </c>
      <c r="F5300" s="4">
        <f t="shared" si="89"/>
        <v>-3.2786885245901773E-2</v>
      </c>
      <c r="G5300" s="37">
        <v>39.4</v>
      </c>
      <c r="H5300" s="1197">
        <v>45903</v>
      </c>
    </row>
    <row r="5301" spans="3:8" x14ac:dyDescent="0.25">
      <c r="C5301" s="1200" t="s">
        <v>0</v>
      </c>
      <c r="D5301" s="1200" t="s">
        <v>7</v>
      </c>
      <c r="E5301" s="1201" t="s">
        <v>4</v>
      </c>
      <c r="F5301" s="4" t="str">
        <f t="shared" si="89"/>
        <v/>
      </c>
      <c r="G5301" s="37">
        <v>40.6</v>
      </c>
      <c r="H5301" s="1197">
        <v>45904</v>
      </c>
    </row>
    <row r="5302" spans="3:8" x14ac:dyDescent="0.25">
      <c r="C5302" s="1200">
        <v>51</v>
      </c>
      <c r="D5302" s="1200">
        <v>37</v>
      </c>
      <c r="E5302" s="1201">
        <v>36.4</v>
      </c>
      <c r="F5302" s="4">
        <f t="shared" si="89"/>
        <v>2.5352112676056297E-2</v>
      </c>
      <c r="G5302" s="37">
        <v>40.6</v>
      </c>
      <c r="H5302" s="1197">
        <v>45904</v>
      </c>
    </row>
    <row r="5303" spans="3:8" x14ac:dyDescent="0.25">
      <c r="C5303" s="1200">
        <v>1</v>
      </c>
      <c r="D5303" s="1200">
        <v>112</v>
      </c>
      <c r="E5303" s="1201">
        <v>40.6</v>
      </c>
      <c r="F5303" s="4">
        <f t="shared" si="89"/>
        <v>2.7848101265822822E-2</v>
      </c>
      <c r="G5303" s="37">
        <v>40.6</v>
      </c>
      <c r="H5303" s="1197">
        <v>45904</v>
      </c>
    </row>
    <row r="5304" spans="3:8" x14ac:dyDescent="0.25">
      <c r="C5304" s="1200">
        <v>2</v>
      </c>
      <c r="D5304" s="1200">
        <v>45</v>
      </c>
      <c r="E5304" s="1201">
        <v>36.4</v>
      </c>
      <c r="F5304" s="4">
        <f t="shared" si="89"/>
        <v>-1.0869565217391266E-2</v>
      </c>
      <c r="G5304" s="37">
        <v>40.6</v>
      </c>
      <c r="H5304" s="1197">
        <v>45904</v>
      </c>
    </row>
    <row r="5305" spans="3:8" x14ac:dyDescent="0.25">
      <c r="C5305" s="1200">
        <v>3</v>
      </c>
      <c r="D5305" s="1200">
        <v>0</v>
      </c>
      <c r="E5305" s="1201"/>
      <c r="F5305" s="4" t="str">
        <f t="shared" si="89"/>
        <v/>
      </c>
      <c r="G5305" s="37">
        <v>40.6</v>
      </c>
      <c r="H5305" s="1197">
        <v>45904</v>
      </c>
    </row>
    <row r="5306" spans="3:8" x14ac:dyDescent="0.25">
      <c r="C5306" s="1200">
        <v>4</v>
      </c>
      <c r="D5306" s="1200">
        <v>113</v>
      </c>
      <c r="E5306" s="1201">
        <v>42.9</v>
      </c>
      <c r="F5306" s="4">
        <f t="shared" si="89"/>
        <v>-2.3255813953488701E-3</v>
      </c>
      <c r="G5306" s="37">
        <v>40.6</v>
      </c>
      <c r="H5306" s="1197">
        <v>45904</v>
      </c>
    </row>
    <row r="5307" spans="3:8" x14ac:dyDescent="0.25">
      <c r="C5307" s="1200">
        <v>5</v>
      </c>
      <c r="D5307" s="1200">
        <v>93</v>
      </c>
      <c r="E5307" s="1201">
        <v>31.6</v>
      </c>
      <c r="F5307" s="4">
        <f t="shared" si="89"/>
        <v>6.7567567567567557E-2</v>
      </c>
      <c r="G5307" s="37">
        <v>40.6</v>
      </c>
      <c r="H5307" s="1197">
        <v>45904</v>
      </c>
    </row>
    <row r="5308" spans="3:8" x14ac:dyDescent="0.25">
      <c r="C5308" s="1200">
        <v>6</v>
      </c>
      <c r="D5308" s="1200">
        <v>117</v>
      </c>
      <c r="E5308" s="1201">
        <v>42.8</v>
      </c>
      <c r="F5308" s="4">
        <f t="shared" si="89"/>
        <v>4.9019607843137261E-2</v>
      </c>
      <c r="G5308" s="37">
        <v>40.6</v>
      </c>
      <c r="H5308" s="1197">
        <v>45904</v>
      </c>
    </row>
    <row r="5309" spans="3:8" x14ac:dyDescent="0.25">
      <c r="C5309" s="1200">
        <v>7</v>
      </c>
      <c r="D5309" s="1200">
        <v>72</v>
      </c>
      <c r="E5309" s="1201">
        <v>39</v>
      </c>
      <c r="F5309" s="4">
        <f t="shared" si="89"/>
        <v>2.362204724409445E-2</v>
      </c>
      <c r="G5309" s="37">
        <v>40.6</v>
      </c>
      <c r="H5309" s="1197">
        <v>45904</v>
      </c>
    </row>
    <row r="5310" spans="3:8" x14ac:dyDescent="0.25">
      <c r="C5310" s="1200">
        <v>8</v>
      </c>
      <c r="D5310" s="1200">
        <v>0</v>
      </c>
      <c r="E5310" s="1201"/>
      <c r="F5310" s="4" t="str">
        <f t="shared" si="89"/>
        <v/>
      </c>
      <c r="G5310" s="37">
        <v>40.6</v>
      </c>
      <c r="H5310" s="1197">
        <v>45904</v>
      </c>
    </row>
    <row r="5311" spans="3:8" x14ac:dyDescent="0.25">
      <c r="C5311" s="1200">
        <v>9</v>
      </c>
      <c r="D5311" s="1200">
        <v>98</v>
      </c>
      <c r="E5311" s="1201">
        <v>41.4</v>
      </c>
      <c r="F5311" s="4">
        <f t="shared" si="89"/>
        <v>1.9704433497536877E-2</v>
      </c>
      <c r="G5311" s="37">
        <v>40.6</v>
      </c>
      <c r="H5311" s="1197">
        <v>45904</v>
      </c>
    </row>
    <row r="5312" spans="3:8" x14ac:dyDescent="0.25">
      <c r="C5312" s="1200">
        <v>10</v>
      </c>
      <c r="D5312" s="1200">
        <v>112</v>
      </c>
      <c r="E5312" s="1201">
        <v>42.3</v>
      </c>
      <c r="F5312" s="4">
        <f t="shared" si="89"/>
        <v>2.4213075060532691E-2</v>
      </c>
      <c r="G5312" s="37">
        <v>40.6</v>
      </c>
      <c r="H5312" s="1197">
        <v>45904</v>
      </c>
    </row>
    <row r="5313" spans="3:8" x14ac:dyDescent="0.25">
      <c r="C5313" s="1202" t="s">
        <v>0</v>
      </c>
      <c r="D5313" s="1202" t="s">
        <v>7</v>
      </c>
      <c r="E5313" s="1203" t="s">
        <v>4</v>
      </c>
      <c r="F5313" s="4" t="str">
        <f t="shared" si="89"/>
        <v/>
      </c>
      <c r="G5313" s="37">
        <v>39.9</v>
      </c>
      <c r="H5313" s="1204">
        <v>45905</v>
      </c>
    </row>
    <row r="5314" spans="3:8" x14ac:dyDescent="0.25">
      <c r="C5314" s="1202">
        <v>51</v>
      </c>
      <c r="D5314" s="1202">
        <v>37</v>
      </c>
      <c r="E5314" s="1203">
        <v>37.700000000000003</v>
      </c>
      <c r="F5314" s="4">
        <f t="shared" si="89"/>
        <v>3.571428571428583E-2</v>
      </c>
      <c r="G5314" s="37">
        <v>39.9</v>
      </c>
      <c r="H5314" s="1204">
        <v>45905</v>
      </c>
    </row>
    <row r="5315" spans="3:8" x14ac:dyDescent="0.25">
      <c r="C5315" s="1202">
        <v>1</v>
      </c>
      <c r="D5315" s="1202">
        <v>112</v>
      </c>
      <c r="E5315" s="1203">
        <v>39.9</v>
      </c>
      <c r="F5315" s="4">
        <f t="shared" si="89"/>
        <v>-1.7241379310344897E-2</v>
      </c>
      <c r="G5315" s="37">
        <v>39.9</v>
      </c>
      <c r="H5315" s="1204">
        <v>45905</v>
      </c>
    </row>
    <row r="5316" spans="3:8" x14ac:dyDescent="0.25">
      <c r="C5316" s="1202">
        <v>2</v>
      </c>
      <c r="D5316" s="1202">
        <v>45</v>
      </c>
      <c r="E5316" s="1203">
        <v>36.200000000000003</v>
      </c>
      <c r="F5316" s="4">
        <f t="shared" si="89"/>
        <v>-5.4945054945053778E-3</v>
      </c>
      <c r="G5316" s="37">
        <v>39.9</v>
      </c>
      <c r="H5316" s="1204">
        <v>45905</v>
      </c>
    </row>
    <row r="5317" spans="3:8" x14ac:dyDescent="0.25">
      <c r="C5317" s="1202">
        <v>3</v>
      </c>
      <c r="D5317" s="1202">
        <v>0</v>
      </c>
      <c r="E5317" s="1203"/>
      <c r="F5317" s="4" t="str">
        <f t="shared" si="89"/>
        <v/>
      </c>
      <c r="G5317" s="37">
        <v>39.9</v>
      </c>
      <c r="H5317" s="1204">
        <v>45905</v>
      </c>
    </row>
    <row r="5318" spans="3:8" x14ac:dyDescent="0.25">
      <c r="C5318" s="1202">
        <v>4</v>
      </c>
      <c r="D5318" s="1202">
        <v>113</v>
      </c>
      <c r="E5318" s="1203">
        <v>43.3</v>
      </c>
      <c r="F5318" s="4">
        <f t="shared" si="89"/>
        <v>9.324009324009291E-3</v>
      </c>
      <c r="G5318" s="37">
        <v>39.9</v>
      </c>
      <c r="H5318" s="1204">
        <v>45905</v>
      </c>
    </row>
    <row r="5319" spans="3:8" x14ac:dyDescent="0.25">
      <c r="C5319" s="1202">
        <v>5</v>
      </c>
      <c r="D5319" s="1202">
        <v>90</v>
      </c>
      <c r="E5319" s="1203">
        <v>30.9</v>
      </c>
      <c r="F5319" s="4">
        <f t="shared" si="89"/>
        <v>-2.2151898734177305E-2</v>
      </c>
      <c r="G5319" s="37">
        <v>39.9</v>
      </c>
      <c r="H5319" s="1204">
        <v>45905</v>
      </c>
    </row>
    <row r="5320" spans="3:8" x14ac:dyDescent="0.25">
      <c r="C5320" s="1202">
        <v>6</v>
      </c>
      <c r="D5320" s="1202">
        <v>117</v>
      </c>
      <c r="E5320" s="1203">
        <v>41</v>
      </c>
      <c r="F5320" s="4">
        <f t="shared" si="89"/>
        <v>-4.2056074766355075E-2</v>
      </c>
      <c r="G5320" s="37">
        <v>39.9</v>
      </c>
      <c r="H5320" s="1204">
        <v>45905</v>
      </c>
    </row>
    <row r="5321" spans="3:8" x14ac:dyDescent="0.25">
      <c r="C5321" s="1202">
        <v>7</v>
      </c>
      <c r="D5321" s="1202">
        <v>71</v>
      </c>
      <c r="E5321" s="1203">
        <v>36.9</v>
      </c>
      <c r="F5321" s="4">
        <f t="shared" si="89"/>
        <v>-5.3846153846153884E-2</v>
      </c>
      <c r="G5321" s="37">
        <v>39.9</v>
      </c>
      <c r="H5321" s="1204">
        <v>45905</v>
      </c>
    </row>
    <row r="5322" spans="3:8" x14ac:dyDescent="0.25">
      <c r="C5322" s="1202">
        <v>8</v>
      </c>
      <c r="D5322" s="1202">
        <v>0</v>
      </c>
      <c r="E5322" s="1203"/>
      <c r="F5322" s="4" t="str">
        <f t="shared" si="89"/>
        <v/>
      </c>
      <c r="G5322" s="37">
        <v>39.9</v>
      </c>
      <c r="H5322" s="1204">
        <v>45905</v>
      </c>
    </row>
    <row r="5323" spans="3:8" x14ac:dyDescent="0.25">
      <c r="C5323" s="1202">
        <v>9</v>
      </c>
      <c r="D5323" s="1202">
        <v>98</v>
      </c>
      <c r="E5323" s="1203">
        <v>42.1</v>
      </c>
      <c r="F5323" s="4">
        <f t="shared" si="89"/>
        <v>1.6908212560386542E-2</v>
      </c>
      <c r="G5323" s="37">
        <v>39.9</v>
      </c>
      <c r="H5323" s="1204">
        <v>45905</v>
      </c>
    </row>
    <row r="5324" spans="3:8" x14ac:dyDescent="0.25">
      <c r="C5324" s="1202">
        <v>10</v>
      </c>
      <c r="D5324" s="1202">
        <v>112</v>
      </c>
      <c r="E5324" s="1203">
        <v>42.5</v>
      </c>
      <c r="F5324" s="4">
        <f t="shared" si="89"/>
        <v>4.7281323877069233E-3</v>
      </c>
      <c r="G5324" s="37">
        <v>39.9</v>
      </c>
      <c r="H5324" s="1204">
        <v>45905</v>
      </c>
    </row>
    <row r="5325" spans="3:8" x14ac:dyDescent="0.25">
      <c r="C5325" s="1205" t="s">
        <v>0</v>
      </c>
      <c r="D5325" s="1205" t="s">
        <v>7</v>
      </c>
      <c r="E5325" s="1206" t="s">
        <v>4</v>
      </c>
      <c r="F5325" s="4" t="str">
        <f t="shared" si="89"/>
        <v/>
      </c>
      <c r="G5325" s="37">
        <v>40.4</v>
      </c>
      <c r="H5325" s="1204">
        <v>45906</v>
      </c>
    </row>
    <row r="5326" spans="3:8" x14ac:dyDescent="0.25">
      <c r="C5326" s="1205">
        <v>51</v>
      </c>
      <c r="D5326" s="1205">
        <v>37</v>
      </c>
      <c r="E5326" s="1206">
        <v>37.9</v>
      </c>
      <c r="F5326" s="4">
        <f t="shared" si="89"/>
        <v>5.3050397877982946E-3</v>
      </c>
      <c r="G5326" s="37">
        <v>40.4</v>
      </c>
      <c r="H5326" s="1204">
        <v>45906</v>
      </c>
    </row>
    <row r="5327" spans="3:8" x14ac:dyDescent="0.25">
      <c r="C5327" s="1205">
        <v>1</v>
      </c>
      <c r="D5327" s="1205">
        <v>112</v>
      </c>
      <c r="E5327" s="1206">
        <v>41</v>
      </c>
      <c r="F5327" s="4">
        <f t="shared" si="89"/>
        <v>2.7568922305764448E-2</v>
      </c>
      <c r="G5327" s="37">
        <v>40.4</v>
      </c>
      <c r="H5327" s="1204">
        <v>45906</v>
      </c>
    </row>
    <row r="5328" spans="3:8" x14ac:dyDescent="0.25">
      <c r="C5328" s="1205">
        <v>2</v>
      </c>
      <c r="D5328" s="1205">
        <v>45</v>
      </c>
      <c r="E5328" s="1206">
        <v>37.1</v>
      </c>
      <c r="F5328" s="4">
        <f t="shared" si="89"/>
        <v>2.4861878453038631E-2</v>
      </c>
      <c r="G5328" s="37">
        <v>40.4</v>
      </c>
      <c r="H5328" s="1204">
        <v>45906</v>
      </c>
    </row>
    <row r="5329" spans="3:8" x14ac:dyDescent="0.25">
      <c r="C5329" s="1205">
        <v>3</v>
      </c>
      <c r="D5329" s="1205">
        <v>0</v>
      </c>
      <c r="E5329" s="1206"/>
      <c r="F5329" s="4" t="str">
        <f t="shared" si="89"/>
        <v/>
      </c>
      <c r="G5329" s="37">
        <v>40.4</v>
      </c>
      <c r="H5329" s="1204">
        <v>45906</v>
      </c>
    </row>
    <row r="5330" spans="3:8" x14ac:dyDescent="0.25">
      <c r="C5330" s="1205">
        <v>4</v>
      </c>
      <c r="D5330" s="1205">
        <v>113</v>
      </c>
      <c r="E5330" s="1206">
        <v>43.2</v>
      </c>
      <c r="F5330" s="4">
        <f t="shared" si="89"/>
        <v>-2.3094688221707697E-3</v>
      </c>
      <c r="G5330" s="37">
        <v>40.4</v>
      </c>
      <c r="H5330" s="1204">
        <v>45906</v>
      </c>
    </row>
    <row r="5331" spans="3:8" x14ac:dyDescent="0.25">
      <c r="C5331" s="1205">
        <v>5</v>
      </c>
      <c r="D5331" s="1205">
        <v>89</v>
      </c>
      <c r="E5331" s="1206">
        <v>31</v>
      </c>
      <c r="F5331" s="4">
        <f t="shared" si="89"/>
        <v>3.2362459546926028E-3</v>
      </c>
      <c r="G5331" s="37">
        <v>40.4</v>
      </c>
      <c r="H5331" s="1204">
        <v>45906</v>
      </c>
    </row>
    <row r="5332" spans="3:8" x14ac:dyDescent="0.25">
      <c r="C5332" s="1205">
        <v>6</v>
      </c>
      <c r="D5332" s="1205">
        <v>117</v>
      </c>
      <c r="E5332" s="1206">
        <v>42.4</v>
      </c>
      <c r="F5332" s="4">
        <f t="shared" si="89"/>
        <v>3.4146341463414602E-2</v>
      </c>
      <c r="G5332" s="37">
        <v>40.4</v>
      </c>
      <c r="H5332" s="1204">
        <v>45906</v>
      </c>
    </row>
    <row r="5333" spans="3:8" x14ac:dyDescent="0.25">
      <c r="C5333" s="1205">
        <v>7</v>
      </c>
      <c r="D5333" s="1205">
        <v>71</v>
      </c>
      <c r="E5333" s="1206">
        <v>39.1</v>
      </c>
      <c r="F5333" s="4">
        <f t="shared" si="89"/>
        <v>5.9620596205962141E-2</v>
      </c>
      <c r="G5333" s="37">
        <v>40.4</v>
      </c>
      <c r="H5333" s="1204">
        <v>45906</v>
      </c>
    </row>
    <row r="5334" spans="3:8" x14ac:dyDescent="0.25">
      <c r="C5334" s="1205">
        <v>8</v>
      </c>
      <c r="D5334" s="1205">
        <v>0</v>
      </c>
      <c r="E5334" s="1206"/>
      <c r="F5334" s="4" t="str">
        <f t="shared" si="89"/>
        <v/>
      </c>
      <c r="G5334" s="37">
        <v>40.4</v>
      </c>
      <c r="H5334" s="1204">
        <v>45906</v>
      </c>
    </row>
    <row r="5335" spans="3:8" x14ac:dyDescent="0.25">
      <c r="C5335" s="1205">
        <v>9</v>
      </c>
      <c r="D5335" s="1205">
        <v>98</v>
      </c>
      <c r="E5335" s="1206">
        <v>41.4</v>
      </c>
      <c r="F5335" s="4">
        <f t="shared" si="89"/>
        <v>-1.6627078384798166E-2</v>
      </c>
      <c r="G5335" s="37">
        <v>40.4</v>
      </c>
      <c r="H5335" s="1204">
        <v>45906</v>
      </c>
    </row>
    <row r="5336" spans="3:8" x14ac:dyDescent="0.25">
      <c r="C5336" s="1205">
        <v>10</v>
      </c>
      <c r="D5336" s="1205">
        <v>112</v>
      </c>
      <c r="E5336" s="1206">
        <v>41.6</v>
      </c>
      <c r="F5336" s="4">
        <f t="shared" si="89"/>
        <v>-2.1176470588235262E-2</v>
      </c>
      <c r="G5336" s="37">
        <v>40.4</v>
      </c>
      <c r="H5336" s="1204">
        <v>45906</v>
      </c>
    </row>
    <row r="5337" spans="3:8" x14ac:dyDescent="0.25">
      <c r="C5337" s="1207" t="s">
        <v>0</v>
      </c>
      <c r="D5337" s="1207" t="s">
        <v>7</v>
      </c>
      <c r="E5337" s="1208" t="s">
        <v>4</v>
      </c>
      <c r="F5337" s="4" t="str">
        <f t="shared" si="89"/>
        <v/>
      </c>
      <c r="G5337" s="37">
        <v>40.4</v>
      </c>
      <c r="H5337" s="1209">
        <v>45907</v>
      </c>
    </row>
    <row r="5338" spans="3:8" x14ac:dyDescent="0.25">
      <c r="C5338" s="1207">
        <v>51</v>
      </c>
      <c r="D5338" s="1207">
        <v>37</v>
      </c>
      <c r="E5338" s="1208">
        <v>37.200000000000003</v>
      </c>
      <c r="F5338" s="4">
        <f t="shared" si="89"/>
        <v>-1.8469656992084322E-2</v>
      </c>
      <c r="G5338" s="37">
        <v>40.4</v>
      </c>
      <c r="H5338" s="1209">
        <v>45907</v>
      </c>
    </row>
    <row r="5339" spans="3:8" x14ac:dyDescent="0.25">
      <c r="C5339" s="1207">
        <v>1</v>
      </c>
      <c r="D5339" s="1207">
        <v>112</v>
      </c>
      <c r="E5339" s="1208">
        <v>41.2</v>
      </c>
      <c r="F5339" s="4">
        <f t="shared" si="89"/>
        <v>4.8780487804878743E-3</v>
      </c>
      <c r="G5339" s="37">
        <v>40.4</v>
      </c>
      <c r="H5339" s="1209">
        <v>45907</v>
      </c>
    </row>
    <row r="5340" spans="3:8" x14ac:dyDescent="0.25">
      <c r="C5340" s="1207">
        <v>2</v>
      </c>
      <c r="D5340" s="1207">
        <v>45</v>
      </c>
      <c r="E5340" s="1208">
        <v>37.5</v>
      </c>
      <c r="F5340" s="4">
        <f t="shared" si="89"/>
        <v>1.078167115902961E-2</v>
      </c>
      <c r="G5340" s="37">
        <v>40.4</v>
      </c>
      <c r="H5340" s="1209">
        <v>45907</v>
      </c>
    </row>
    <row r="5341" spans="3:8" x14ac:dyDescent="0.25">
      <c r="C5341" s="1207">
        <v>3</v>
      </c>
      <c r="D5341" s="1207">
        <v>0</v>
      </c>
      <c r="E5341" s="1208"/>
      <c r="F5341" s="4" t="str">
        <f t="shared" ref="F5341:F5404" si="90">IFERROR((E5341-E5329)/E5329,"")</f>
        <v/>
      </c>
      <c r="G5341" s="37">
        <v>40.4</v>
      </c>
      <c r="H5341" s="1209">
        <v>45907</v>
      </c>
    </row>
    <row r="5342" spans="3:8" x14ac:dyDescent="0.25">
      <c r="C5342" s="1207">
        <v>4</v>
      </c>
      <c r="D5342" s="1207">
        <v>113</v>
      </c>
      <c r="E5342" s="1208">
        <v>43</v>
      </c>
      <c r="F5342" s="4">
        <f t="shared" si="90"/>
        <v>-4.6296296296296953E-3</v>
      </c>
      <c r="G5342" s="37">
        <v>40.4</v>
      </c>
      <c r="H5342" s="1209">
        <v>45907</v>
      </c>
    </row>
    <row r="5343" spans="3:8" x14ac:dyDescent="0.25">
      <c r="C5343" s="1207">
        <v>5</v>
      </c>
      <c r="D5343" s="1207">
        <v>88</v>
      </c>
      <c r="E5343" s="1208">
        <v>30</v>
      </c>
      <c r="F5343" s="4">
        <f t="shared" si="90"/>
        <v>-3.2258064516129031E-2</v>
      </c>
      <c r="G5343" s="37">
        <v>40.4</v>
      </c>
      <c r="H5343" s="1209">
        <v>45907</v>
      </c>
    </row>
    <row r="5344" spans="3:8" x14ac:dyDescent="0.25">
      <c r="C5344" s="1207">
        <v>6</v>
      </c>
      <c r="D5344" s="1207">
        <v>117</v>
      </c>
      <c r="E5344" s="1208">
        <v>42.3</v>
      </c>
      <c r="F5344" s="4">
        <f t="shared" si="90"/>
        <v>-2.3584905660377696E-3</v>
      </c>
      <c r="G5344" s="37">
        <v>40.4</v>
      </c>
      <c r="H5344" s="1209">
        <v>45907</v>
      </c>
    </row>
    <row r="5345" spans="3:8" x14ac:dyDescent="0.25">
      <c r="C5345" s="1207">
        <v>7</v>
      </c>
      <c r="D5345" s="1207">
        <v>71</v>
      </c>
      <c r="E5345" s="1208">
        <v>37.9</v>
      </c>
      <c r="F5345" s="4">
        <f t="shared" si="90"/>
        <v>-3.0690537084399047E-2</v>
      </c>
      <c r="G5345" s="37">
        <v>40.4</v>
      </c>
      <c r="H5345" s="1209">
        <v>45907</v>
      </c>
    </row>
    <row r="5346" spans="3:8" x14ac:dyDescent="0.25">
      <c r="C5346" s="1207">
        <v>8</v>
      </c>
      <c r="D5346" s="1207">
        <v>0</v>
      </c>
      <c r="E5346" s="1208"/>
      <c r="F5346" s="4" t="str">
        <f t="shared" si="90"/>
        <v/>
      </c>
      <c r="G5346" s="37">
        <v>40.4</v>
      </c>
      <c r="H5346" s="1209">
        <v>45907</v>
      </c>
    </row>
    <row r="5347" spans="3:8" x14ac:dyDescent="0.25">
      <c r="C5347" s="1207">
        <v>9</v>
      </c>
      <c r="D5347" s="1207">
        <v>98</v>
      </c>
      <c r="E5347" s="1208">
        <v>41.1</v>
      </c>
      <c r="F5347" s="4">
        <f t="shared" si="90"/>
        <v>-7.2463768115941345E-3</v>
      </c>
      <c r="G5347" s="37">
        <v>40.4</v>
      </c>
      <c r="H5347" s="1209">
        <v>45907</v>
      </c>
    </row>
    <row r="5348" spans="3:8" x14ac:dyDescent="0.25">
      <c r="C5348" s="1207">
        <v>10</v>
      </c>
      <c r="D5348" s="1207">
        <v>112</v>
      </c>
      <c r="E5348" s="1208">
        <v>39.799999999999997</v>
      </c>
      <c r="F5348" s="4">
        <f t="shared" si="90"/>
        <v>-4.3269230769230872E-2</v>
      </c>
      <c r="G5348" s="37">
        <v>40.4</v>
      </c>
      <c r="H5348" s="1209">
        <v>45907</v>
      </c>
    </row>
    <row r="5349" spans="3:8" x14ac:dyDescent="0.25">
      <c r="C5349" s="1210" t="s">
        <v>0</v>
      </c>
      <c r="D5349" s="1210" t="s">
        <v>7</v>
      </c>
      <c r="E5349" s="1211" t="s">
        <v>4</v>
      </c>
      <c r="F5349" s="4" t="str">
        <f t="shared" si="90"/>
        <v/>
      </c>
      <c r="G5349" s="37">
        <v>39.9</v>
      </c>
      <c r="H5349" s="1212">
        <v>45908</v>
      </c>
    </row>
    <row r="5350" spans="3:8" x14ac:dyDescent="0.25">
      <c r="C5350" s="1210">
        <v>51</v>
      </c>
      <c r="D5350" s="1210">
        <v>35</v>
      </c>
      <c r="E5350" s="1211">
        <v>36.4</v>
      </c>
      <c r="F5350" s="4">
        <f t="shared" si="90"/>
        <v>-2.1505376344086134E-2</v>
      </c>
      <c r="G5350" s="37">
        <v>39.9</v>
      </c>
      <c r="H5350" s="1212">
        <v>45908</v>
      </c>
    </row>
    <row r="5351" spans="3:8" x14ac:dyDescent="0.25">
      <c r="C5351" s="1210">
        <v>1</v>
      </c>
      <c r="D5351" s="1210">
        <v>112</v>
      </c>
      <c r="E5351" s="1211">
        <v>40.4</v>
      </c>
      <c r="F5351" s="4">
        <f t="shared" si="90"/>
        <v>-1.9417475728155442E-2</v>
      </c>
      <c r="G5351" s="37">
        <v>39.9</v>
      </c>
      <c r="H5351" s="1212">
        <v>45908</v>
      </c>
    </row>
    <row r="5352" spans="3:8" x14ac:dyDescent="0.25">
      <c r="C5352" s="1210">
        <v>2</v>
      </c>
      <c r="D5352" s="1210">
        <v>48</v>
      </c>
      <c r="E5352" s="1211">
        <v>37.200000000000003</v>
      </c>
      <c r="F5352" s="4">
        <f t="shared" si="90"/>
        <v>-7.9999999999999238E-3</v>
      </c>
      <c r="G5352" s="37">
        <v>39.9</v>
      </c>
      <c r="H5352" s="1212">
        <v>45908</v>
      </c>
    </row>
    <row r="5353" spans="3:8" x14ac:dyDescent="0.25">
      <c r="C5353" s="1210">
        <v>3</v>
      </c>
      <c r="D5353" s="1210">
        <v>0</v>
      </c>
      <c r="E5353" s="1211"/>
      <c r="F5353" s="4" t="str">
        <f t="shared" si="90"/>
        <v/>
      </c>
      <c r="G5353" s="37">
        <v>39.9</v>
      </c>
      <c r="H5353" s="1212">
        <v>45908</v>
      </c>
    </row>
    <row r="5354" spans="3:8" x14ac:dyDescent="0.25">
      <c r="C5354" s="1210">
        <v>4</v>
      </c>
      <c r="D5354" s="1210">
        <v>113</v>
      </c>
      <c r="E5354" s="1211">
        <v>43.7</v>
      </c>
      <c r="F5354" s="4">
        <f t="shared" si="90"/>
        <v>1.6279069767441926E-2</v>
      </c>
      <c r="G5354" s="37">
        <v>39.9</v>
      </c>
      <c r="H5354" s="1212">
        <v>45908</v>
      </c>
    </row>
    <row r="5355" spans="3:8" x14ac:dyDescent="0.25">
      <c r="C5355" s="1210">
        <v>5</v>
      </c>
      <c r="D5355" s="1210">
        <v>87</v>
      </c>
      <c r="E5355" s="1211">
        <v>30.1</v>
      </c>
      <c r="F5355" s="4">
        <f t="shared" si="90"/>
        <v>3.3333333333333808E-3</v>
      </c>
      <c r="G5355" s="37">
        <v>39.9</v>
      </c>
      <c r="H5355" s="1212">
        <v>45908</v>
      </c>
    </row>
    <row r="5356" spans="3:8" x14ac:dyDescent="0.25">
      <c r="C5356" s="1210">
        <v>6</v>
      </c>
      <c r="D5356" s="1210">
        <v>117</v>
      </c>
      <c r="E5356" s="1211">
        <v>41.5</v>
      </c>
      <c r="F5356" s="4">
        <f t="shared" si="90"/>
        <v>-1.8912529550827357E-2</v>
      </c>
      <c r="G5356" s="37">
        <v>39.9</v>
      </c>
      <c r="H5356" s="1212">
        <v>45908</v>
      </c>
    </row>
    <row r="5357" spans="3:8" x14ac:dyDescent="0.25">
      <c r="C5357" s="1210">
        <v>7</v>
      </c>
      <c r="D5357" s="1210">
        <v>71</v>
      </c>
      <c r="E5357" s="1211">
        <v>38.200000000000003</v>
      </c>
      <c r="F5357" s="4">
        <f t="shared" si="90"/>
        <v>7.9155672823220131E-3</v>
      </c>
      <c r="G5357" s="37">
        <v>39.9</v>
      </c>
      <c r="H5357" s="1212">
        <v>45908</v>
      </c>
    </row>
    <row r="5358" spans="3:8" x14ac:dyDescent="0.25">
      <c r="C5358" s="1210">
        <v>8</v>
      </c>
      <c r="D5358" s="1210">
        <v>0</v>
      </c>
      <c r="E5358" s="1211"/>
      <c r="F5358" s="4" t="str">
        <f t="shared" si="90"/>
        <v/>
      </c>
      <c r="G5358" s="37">
        <v>39.9</v>
      </c>
      <c r="H5358" s="1212">
        <v>45908</v>
      </c>
    </row>
    <row r="5359" spans="3:8" x14ac:dyDescent="0.25">
      <c r="C5359" s="1210">
        <v>9</v>
      </c>
      <c r="D5359" s="1210">
        <v>98</v>
      </c>
      <c r="E5359" s="1211">
        <v>39.799999999999997</v>
      </c>
      <c r="F5359" s="4">
        <f t="shared" si="90"/>
        <v>-3.1630170316301803E-2</v>
      </c>
      <c r="G5359" s="37">
        <v>39.9</v>
      </c>
      <c r="H5359" s="1212">
        <v>45908</v>
      </c>
    </row>
    <row r="5360" spans="3:8" x14ac:dyDescent="0.25">
      <c r="C5360" s="1210">
        <v>10</v>
      </c>
      <c r="D5360" s="1210">
        <v>111</v>
      </c>
      <c r="E5360" s="1211">
        <v>41.3</v>
      </c>
      <c r="F5360" s="4">
        <f t="shared" si="90"/>
        <v>3.768844221105528E-2</v>
      </c>
      <c r="G5360" s="37">
        <v>39.9</v>
      </c>
      <c r="H5360" s="1212">
        <v>45908</v>
      </c>
    </row>
    <row r="5361" spans="3:8" x14ac:dyDescent="0.25">
      <c r="C5361" s="1213" t="s">
        <v>0</v>
      </c>
      <c r="D5361" s="1213" t="s">
        <v>7</v>
      </c>
      <c r="E5361" s="1214" t="s">
        <v>4</v>
      </c>
      <c r="F5361" s="4" t="str">
        <f t="shared" si="90"/>
        <v/>
      </c>
      <c r="G5361" s="37">
        <v>40.299999999999997</v>
      </c>
      <c r="H5361" s="1215">
        <v>45909</v>
      </c>
    </row>
    <row r="5362" spans="3:8" x14ac:dyDescent="0.25">
      <c r="C5362" s="1213">
        <v>51</v>
      </c>
      <c r="D5362" s="1213">
        <v>37</v>
      </c>
      <c r="E5362" s="1214">
        <v>38.4</v>
      </c>
      <c r="F5362" s="4">
        <f t="shared" si="90"/>
        <v>5.4945054945054944E-2</v>
      </c>
      <c r="G5362" s="37">
        <v>40.299999999999997</v>
      </c>
      <c r="H5362" s="1215">
        <v>45909</v>
      </c>
    </row>
    <row r="5363" spans="3:8" x14ac:dyDescent="0.25">
      <c r="C5363" s="1213">
        <v>1</v>
      </c>
      <c r="D5363" s="1213">
        <v>112</v>
      </c>
      <c r="E5363" s="1214">
        <v>40.700000000000003</v>
      </c>
      <c r="F5363" s="4">
        <f t="shared" si="90"/>
        <v>7.4257425742575312E-3</v>
      </c>
      <c r="G5363" s="37">
        <v>40.299999999999997</v>
      </c>
      <c r="H5363" s="1215">
        <v>45909</v>
      </c>
    </row>
    <row r="5364" spans="3:8" x14ac:dyDescent="0.25">
      <c r="C5364" s="1213">
        <v>2</v>
      </c>
      <c r="D5364" s="1213">
        <v>48</v>
      </c>
      <c r="E5364" s="1214">
        <v>37.1</v>
      </c>
      <c r="F5364" s="4">
        <f t="shared" si="90"/>
        <v>-2.6881720430107906E-3</v>
      </c>
      <c r="G5364" s="37">
        <v>40.299999999999997</v>
      </c>
      <c r="H5364" s="1215">
        <v>45909</v>
      </c>
    </row>
    <row r="5365" spans="3:8" x14ac:dyDescent="0.25">
      <c r="C5365" s="1213">
        <v>3</v>
      </c>
      <c r="D5365" s="1213">
        <v>0</v>
      </c>
      <c r="E5365" s="1214"/>
      <c r="F5365" s="4" t="str">
        <f t="shared" si="90"/>
        <v/>
      </c>
      <c r="G5365" s="37">
        <v>40.299999999999997</v>
      </c>
      <c r="H5365" s="1215">
        <v>45909</v>
      </c>
    </row>
    <row r="5366" spans="3:8" x14ac:dyDescent="0.25">
      <c r="C5366" s="1213">
        <v>4</v>
      </c>
      <c r="D5366" s="1213">
        <v>113</v>
      </c>
      <c r="E5366" s="1214">
        <v>43.1</v>
      </c>
      <c r="F5366" s="4">
        <f t="shared" si="90"/>
        <v>-1.3729977116704838E-2</v>
      </c>
      <c r="G5366" s="37">
        <v>40.299999999999997</v>
      </c>
      <c r="H5366" s="1215">
        <v>45909</v>
      </c>
    </row>
    <row r="5367" spans="3:8" x14ac:dyDescent="0.25">
      <c r="C5367" s="1213">
        <v>5</v>
      </c>
      <c r="D5367" s="1213">
        <v>81</v>
      </c>
      <c r="E5367" s="1214">
        <v>31.2</v>
      </c>
      <c r="F5367" s="4">
        <f t="shared" si="90"/>
        <v>3.6544850498338798E-2</v>
      </c>
      <c r="G5367" s="37">
        <v>40.299999999999997</v>
      </c>
      <c r="H5367" s="1215">
        <v>45909</v>
      </c>
    </row>
    <row r="5368" spans="3:8" x14ac:dyDescent="0.25">
      <c r="C5368" s="1213">
        <v>6</v>
      </c>
      <c r="D5368" s="1213">
        <v>119</v>
      </c>
      <c r="E5368" s="1214">
        <v>42.2</v>
      </c>
      <c r="F5368" s="4">
        <f t="shared" si="90"/>
        <v>1.6867469879518142E-2</v>
      </c>
      <c r="G5368" s="37">
        <v>40.299999999999997</v>
      </c>
      <c r="H5368" s="1215">
        <v>45909</v>
      </c>
    </row>
    <row r="5369" spans="3:8" x14ac:dyDescent="0.25">
      <c r="C5369" s="1213">
        <v>7</v>
      </c>
      <c r="D5369" s="1213">
        <v>71</v>
      </c>
      <c r="E5369" s="1214">
        <v>37.6</v>
      </c>
      <c r="F5369" s="4">
        <f t="shared" si="90"/>
        <v>-1.570680628272255E-2</v>
      </c>
      <c r="G5369" s="37">
        <v>40.299999999999997</v>
      </c>
      <c r="H5369" s="1215">
        <v>45909</v>
      </c>
    </row>
    <row r="5370" spans="3:8" x14ac:dyDescent="0.25">
      <c r="C5370" s="1213">
        <v>8</v>
      </c>
      <c r="D5370" s="1213">
        <v>0</v>
      </c>
      <c r="E5370" s="1214"/>
      <c r="F5370" s="4" t="str">
        <f t="shared" si="90"/>
        <v/>
      </c>
      <c r="G5370" s="37">
        <v>40.299999999999997</v>
      </c>
      <c r="H5370" s="1215">
        <v>45909</v>
      </c>
    </row>
    <row r="5371" spans="3:8" x14ac:dyDescent="0.25">
      <c r="C5371" s="1213">
        <v>9</v>
      </c>
      <c r="D5371" s="1213">
        <v>95</v>
      </c>
      <c r="E5371" s="1214">
        <v>41</v>
      </c>
      <c r="F5371" s="4">
        <f t="shared" si="90"/>
        <v>3.0150753768844296E-2</v>
      </c>
      <c r="G5371" s="37">
        <v>40.299999999999997</v>
      </c>
      <c r="H5371" s="1215">
        <v>45909</v>
      </c>
    </row>
    <row r="5372" spans="3:8" x14ac:dyDescent="0.25">
      <c r="C5372" s="1213">
        <v>10</v>
      </c>
      <c r="D5372" s="1213">
        <v>111</v>
      </c>
      <c r="E5372" s="1214">
        <v>41.5</v>
      </c>
      <c r="F5372" s="4">
        <f t="shared" si="90"/>
        <v>4.8426150121066063E-3</v>
      </c>
      <c r="G5372" s="37">
        <v>40.299999999999997</v>
      </c>
      <c r="H5372" s="1215">
        <v>45909</v>
      </c>
    </row>
    <row r="5373" spans="3:8" x14ac:dyDescent="0.25">
      <c r="C5373" s="1216" t="s">
        <v>0</v>
      </c>
      <c r="D5373" s="1216" t="s">
        <v>7</v>
      </c>
      <c r="E5373" s="1217" t="s">
        <v>4</v>
      </c>
      <c r="F5373" s="4" t="str">
        <f t="shared" si="90"/>
        <v/>
      </c>
      <c r="G5373" s="37">
        <v>39.299999999999997</v>
      </c>
      <c r="H5373" s="1218">
        <v>45910</v>
      </c>
    </row>
    <row r="5374" spans="3:8" x14ac:dyDescent="0.25">
      <c r="C5374" s="1216">
        <v>51</v>
      </c>
      <c r="D5374" s="1216">
        <v>37</v>
      </c>
      <c r="E5374" s="1217">
        <v>38</v>
      </c>
      <c r="F5374" s="4">
        <f t="shared" si="90"/>
        <v>-1.041666666666663E-2</v>
      </c>
      <c r="G5374" s="37">
        <v>39.299999999999997</v>
      </c>
      <c r="H5374" s="1218">
        <v>45910</v>
      </c>
    </row>
    <row r="5375" spans="3:8" x14ac:dyDescent="0.25">
      <c r="C5375" s="1216">
        <v>1</v>
      </c>
      <c r="D5375" s="1216">
        <v>111</v>
      </c>
      <c r="E5375" s="1217">
        <v>39.6</v>
      </c>
      <c r="F5375" s="4">
        <f t="shared" si="90"/>
        <v>-2.702702702702706E-2</v>
      </c>
      <c r="G5375" s="37">
        <v>39.299999999999997</v>
      </c>
      <c r="H5375" s="1218">
        <v>45910</v>
      </c>
    </row>
    <row r="5376" spans="3:8" x14ac:dyDescent="0.25">
      <c r="C5376" s="1216">
        <v>2</v>
      </c>
      <c r="D5376" s="1216">
        <v>48</v>
      </c>
      <c r="E5376" s="1217">
        <v>36.700000000000003</v>
      </c>
      <c r="F5376" s="4">
        <f t="shared" si="90"/>
        <v>-1.078167115902961E-2</v>
      </c>
      <c r="G5376" s="37">
        <v>39.299999999999997</v>
      </c>
      <c r="H5376" s="1218">
        <v>45910</v>
      </c>
    </row>
    <row r="5377" spans="3:8" x14ac:dyDescent="0.25">
      <c r="C5377" s="1216">
        <v>3</v>
      </c>
      <c r="D5377" s="1216">
        <v>0</v>
      </c>
      <c r="E5377" s="1217"/>
      <c r="F5377" s="4" t="str">
        <f t="shared" si="90"/>
        <v/>
      </c>
      <c r="G5377" s="37">
        <v>39.299999999999997</v>
      </c>
      <c r="H5377" s="1218">
        <v>45910</v>
      </c>
    </row>
    <row r="5378" spans="3:8" x14ac:dyDescent="0.25">
      <c r="C5378" s="1216">
        <v>4</v>
      </c>
      <c r="D5378" s="1216">
        <v>113</v>
      </c>
      <c r="E5378" s="1217">
        <v>41.8</v>
      </c>
      <c r="F5378" s="4">
        <f t="shared" si="90"/>
        <v>-3.0162412993039543E-2</v>
      </c>
      <c r="G5378" s="37">
        <v>39.299999999999997</v>
      </c>
      <c r="H5378" s="1218">
        <v>45910</v>
      </c>
    </row>
    <row r="5379" spans="3:8" x14ac:dyDescent="0.25">
      <c r="C5379" s="1216">
        <v>5</v>
      </c>
      <c r="D5379" s="1216">
        <v>84</v>
      </c>
      <c r="E5379" s="1217">
        <v>29.7</v>
      </c>
      <c r="F5379" s="4">
        <f t="shared" si="90"/>
        <v>-4.807692307692308E-2</v>
      </c>
      <c r="G5379" s="37">
        <v>39.299999999999997</v>
      </c>
      <c r="H5379" s="1218">
        <v>45910</v>
      </c>
    </row>
    <row r="5380" spans="3:8" x14ac:dyDescent="0.25">
      <c r="C5380" s="1216">
        <v>6</v>
      </c>
      <c r="D5380" s="1216">
        <v>116</v>
      </c>
      <c r="E5380" s="1217">
        <v>41</v>
      </c>
      <c r="F5380" s="4">
        <f t="shared" si="90"/>
        <v>-2.8436018957346036E-2</v>
      </c>
      <c r="G5380" s="37">
        <v>39.299999999999997</v>
      </c>
      <c r="H5380" s="1218">
        <v>45910</v>
      </c>
    </row>
    <row r="5381" spans="3:8" x14ac:dyDescent="0.25">
      <c r="C5381" s="1216">
        <v>7</v>
      </c>
      <c r="D5381" s="1216">
        <v>71</v>
      </c>
      <c r="E5381" s="1217">
        <v>36.799999999999997</v>
      </c>
      <c r="F5381" s="4">
        <f t="shared" si="90"/>
        <v>-2.1276595744680965E-2</v>
      </c>
      <c r="G5381" s="37">
        <v>39.299999999999997</v>
      </c>
      <c r="H5381" s="1218">
        <v>45910</v>
      </c>
    </row>
    <row r="5382" spans="3:8" x14ac:dyDescent="0.25">
      <c r="C5382" s="1216">
        <v>8</v>
      </c>
      <c r="D5382" s="1216">
        <v>0</v>
      </c>
      <c r="E5382" s="1217"/>
      <c r="F5382" s="4" t="str">
        <f t="shared" si="90"/>
        <v/>
      </c>
      <c r="G5382" s="37">
        <v>39.299999999999997</v>
      </c>
      <c r="H5382" s="1218">
        <v>45910</v>
      </c>
    </row>
    <row r="5383" spans="3:8" x14ac:dyDescent="0.25">
      <c r="C5383" s="1216">
        <v>9</v>
      </c>
      <c r="D5383" s="1216">
        <v>95</v>
      </c>
      <c r="E5383" s="1217">
        <v>41.2</v>
      </c>
      <c r="F5383" s="4">
        <f t="shared" si="90"/>
        <v>4.8780487804878743E-3</v>
      </c>
      <c r="G5383" s="37">
        <v>39.299999999999997</v>
      </c>
      <c r="H5383" s="1218">
        <v>45910</v>
      </c>
    </row>
    <row r="5384" spans="3:8" x14ac:dyDescent="0.25">
      <c r="C5384" s="1216">
        <v>10</v>
      </c>
      <c r="D5384" s="1216">
        <v>111</v>
      </c>
      <c r="E5384" s="1217">
        <v>40.6</v>
      </c>
      <c r="F5384" s="4">
        <f t="shared" si="90"/>
        <v>-2.1686746987951772E-2</v>
      </c>
      <c r="G5384" s="37">
        <v>39.299999999999997</v>
      </c>
      <c r="H5384" s="1218">
        <v>45910</v>
      </c>
    </row>
    <row r="5385" spans="3:8" x14ac:dyDescent="0.25">
      <c r="C5385" s="1219" t="s">
        <v>0</v>
      </c>
      <c r="D5385" s="1219" t="s">
        <v>7</v>
      </c>
      <c r="E5385" s="1220" t="s">
        <v>4</v>
      </c>
      <c r="F5385" s="4" t="str">
        <f t="shared" si="90"/>
        <v/>
      </c>
      <c r="G5385" s="37">
        <v>39.6</v>
      </c>
      <c r="H5385" s="1221">
        <v>45911</v>
      </c>
    </row>
    <row r="5386" spans="3:8" x14ac:dyDescent="0.25">
      <c r="C5386" s="1219">
        <v>51</v>
      </c>
      <c r="D5386" s="1219">
        <v>40</v>
      </c>
      <c r="E5386" s="1220">
        <v>35.700000000000003</v>
      </c>
      <c r="F5386" s="4">
        <f t="shared" si="90"/>
        <v>-6.0526315789473609E-2</v>
      </c>
      <c r="G5386" s="37">
        <v>39.6</v>
      </c>
      <c r="H5386" s="1221">
        <v>45911</v>
      </c>
    </row>
    <row r="5387" spans="3:8" x14ac:dyDescent="0.25">
      <c r="C5387" s="1219">
        <v>1</v>
      </c>
      <c r="D5387" s="1219">
        <v>112</v>
      </c>
      <c r="E5387" s="1220">
        <v>39.4</v>
      </c>
      <c r="F5387" s="4">
        <f t="shared" si="90"/>
        <v>-5.0505050505051221E-3</v>
      </c>
      <c r="G5387" s="37">
        <v>39.6</v>
      </c>
      <c r="H5387" s="1221">
        <v>45911</v>
      </c>
    </row>
    <row r="5388" spans="3:8" x14ac:dyDescent="0.25">
      <c r="C5388" s="1219">
        <v>2</v>
      </c>
      <c r="D5388" s="1219">
        <v>48</v>
      </c>
      <c r="E5388" s="1220">
        <v>37.799999999999997</v>
      </c>
      <c r="F5388" s="4">
        <f t="shared" si="90"/>
        <v>2.9972752043596573E-2</v>
      </c>
      <c r="G5388" s="37">
        <v>39.6</v>
      </c>
      <c r="H5388" s="1221">
        <v>45911</v>
      </c>
    </row>
    <row r="5389" spans="3:8" x14ac:dyDescent="0.25">
      <c r="C5389" s="1219">
        <v>3</v>
      </c>
      <c r="D5389" s="1219">
        <v>0</v>
      </c>
      <c r="E5389" s="1220"/>
      <c r="F5389" s="4" t="str">
        <f t="shared" si="90"/>
        <v/>
      </c>
      <c r="G5389" s="37">
        <v>39.6</v>
      </c>
      <c r="H5389" s="1221">
        <v>45911</v>
      </c>
    </row>
    <row r="5390" spans="3:8" x14ac:dyDescent="0.25">
      <c r="C5390" s="1219">
        <v>4</v>
      </c>
      <c r="D5390" s="1219">
        <v>113</v>
      </c>
      <c r="E5390" s="1220">
        <v>42.3</v>
      </c>
      <c r="F5390" s="4">
        <f t="shared" si="90"/>
        <v>1.1961722488038277E-2</v>
      </c>
      <c r="G5390" s="37">
        <v>39.6</v>
      </c>
      <c r="H5390" s="1221">
        <v>45911</v>
      </c>
    </row>
    <row r="5391" spans="3:8" x14ac:dyDescent="0.25">
      <c r="C5391" s="1219">
        <v>5</v>
      </c>
      <c r="D5391" s="1219">
        <v>84</v>
      </c>
      <c r="E5391" s="1220">
        <v>30.3</v>
      </c>
      <c r="F5391" s="4">
        <f t="shared" si="90"/>
        <v>2.0202020202020249E-2</v>
      </c>
      <c r="G5391" s="37">
        <v>39.6</v>
      </c>
      <c r="H5391" s="1221">
        <v>45911</v>
      </c>
    </row>
    <row r="5392" spans="3:8" x14ac:dyDescent="0.25">
      <c r="C5392" s="1219">
        <v>6</v>
      </c>
      <c r="D5392" s="1219">
        <v>115</v>
      </c>
      <c r="E5392" s="1220">
        <v>41.8</v>
      </c>
      <c r="F5392" s="4">
        <f t="shared" si="90"/>
        <v>1.951219512195115E-2</v>
      </c>
      <c r="G5392" s="37">
        <v>39.6</v>
      </c>
      <c r="H5392" s="1221">
        <v>45911</v>
      </c>
    </row>
    <row r="5393" spans="3:8" x14ac:dyDescent="0.25">
      <c r="C5393" s="1219">
        <v>7</v>
      </c>
      <c r="D5393" s="1219">
        <v>72</v>
      </c>
      <c r="E5393" s="1220">
        <v>39</v>
      </c>
      <c r="F5393" s="4">
        <f t="shared" si="90"/>
        <v>5.9782608695652259E-2</v>
      </c>
      <c r="G5393" s="37">
        <v>39.6</v>
      </c>
      <c r="H5393" s="1221">
        <v>45911</v>
      </c>
    </row>
    <row r="5394" spans="3:8" x14ac:dyDescent="0.25">
      <c r="C5394" s="1219">
        <v>8</v>
      </c>
      <c r="D5394" s="1219">
        <v>0</v>
      </c>
      <c r="E5394" s="1220"/>
      <c r="F5394" s="4" t="str">
        <f t="shared" si="90"/>
        <v/>
      </c>
      <c r="G5394" s="37">
        <v>39.6</v>
      </c>
      <c r="H5394" s="1221">
        <v>45911</v>
      </c>
    </row>
    <row r="5395" spans="3:8" x14ac:dyDescent="0.25">
      <c r="C5395" s="1219">
        <v>9</v>
      </c>
      <c r="D5395" s="1219">
        <v>95</v>
      </c>
      <c r="E5395" s="1220">
        <v>39.200000000000003</v>
      </c>
      <c r="F5395" s="4">
        <f t="shared" si="90"/>
        <v>-4.8543689320388349E-2</v>
      </c>
      <c r="G5395" s="37">
        <v>39.6</v>
      </c>
      <c r="H5395" s="1221">
        <v>45911</v>
      </c>
    </row>
    <row r="5396" spans="3:8" x14ac:dyDescent="0.25">
      <c r="C5396" s="1219">
        <v>10</v>
      </c>
      <c r="D5396" s="1219">
        <v>111</v>
      </c>
      <c r="E5396" s="1220">
        <v>40.700000000000003</v>
      </c>
      <c r="F5396" s="4">
        <f t="shared" si="90"/>
        <v>2.4630541871921529E-3</v>
      </c>
      <c r="G5396" s="37">
        <v>39.6</v>
      </c>
      <c r="H5396" s="1221">
        <v>45911</v>
      </c>
    </row>
    <row r="5397" spans="3:8" x14ac:dyDescent="0.25">
      <c r="C5397" s="1222" t="s">
        <v>0</v>
      </c>
      <c r="D5397" s="1222" t="s">
        <v>7</v>
      </c>
      <c r="E5397" s="1223" t="s">
        <v>4</v>
      </c>
      <c r="F5397" s="4" t="str">
        <f t="shared" si="90"/>
        <v/>
      </c>
      <c r="G5397" s="37">
        <v>39.799999999999997</v>
      </c>
      <c r="H5397" s="1224">
        <v>45912</v>
      </c>
    </row>
    <row r="5398" spans="3:8" x14ac:dyDescent="0.25">
      <c r="C5398" s="1222">
        <v>51</v>
      </c>
      <c r="D5398" s="1222">
        <v>43</v>
      </c>
      <c r="E5398" s="1223">
        <v>34.6</v>
      </c>
      <c r="F5398" s="4">
        <f t="shared" si="90"/>
        <v>-3.0812324929972025E-2</v>
      </c>
      <c r="G5398" s="37">
        <v>39.799999999999997</v>
      </c>
      <c r="H5398" s="1224">
        <v>45912</v>
      </c>
    </row>
    <row r="5399" spans="3:8" x14ac:dyDescent="0.25">
      <c r="C5399" s="1222">
        <v>1</v>
      </c>
      <c r="D5399" s="1222">
        <v>113</v>
      </c>
      <c r="E5399" s="1223">
        <v>40.1</v>
      </c>
      <c r="F5399" s="4">
        <f t="shared" si="90"/>
        <v>1.7766497461929008E-2</v>
      </c>
      <c r="G5399" s="37">
        <v>39.799999999999997</v>
      </c>
      <c r="H5399" s="1224">
        <v>45912</v>
      </c>
    </row>
    <row r="5400" spans="3:8" x14ac:dyDescent="0.25">
      <c r="C5400" s="1222">
        <v>2</v>
      </c>
      <c r="D5400" s="1222">
        <v>48</v>
      </c>
      <c r="E5400" s="1223">
        <v>35.4</v>
      </c>
      <c r="F5400" s="4">
        <f t="shared" si="90"/>
        <v>-6.3492063492063461E-2</v>
      </c>
      <c r="G5400" s="37">
        <v>39.799999999999997</v>
      </c>
      <c r="H5400" s="1224">
        <v>45912</v>
      </c>
    </row>
    <row r="5401" spans="3:8" x14ac:dyDescent="0.25">
      <c r="C5401" s="1222">
        <v>3</v>
      </c>
      <c r="D5401" s="1222">
        <v>0</v>
      </c>
      <c r="E5401" s="1223"/>
      <c r="F5401" s="4" t="str">
        <f t="shared" si="90"/>
        <v/>
      </c>
      <c r="G5401" s="37">
        <v>39.799999999999997</v>
      </c>
      <c r="H5401" s="1224">
        <v>45912</v>
      </c>
    </row>
    <row r="5402" spans="3:8" x14ac:dyDescent="0.25">
      <c r="C5402" s="1222">
        <v>4</v>
      </c>
      <c r="D5402" s="1222">
        <v>114</v>
      </c>
      <c r="E5402" s="1223">
        <v>48.1</v>
      </c>
      <c r="F5402" s="4">
        <f t="shared" si="90"/>
        <v>0.13711583924349893</v>
      </c>
      <c r="G5402" s="37">
        <v>39.799999999999997</v>
      </c>
      <c r="H5402" s="1224">
        <v>45912</v>
      </c>
    </row>
    <row r="5403" spans="3:8" x14ac:dyDescent="0.25">
      <c r="C5403" s="1222">
        <v>5</v>
      </c>
      <c r="D5403" s="1222">
        <v>84</v>
      </c>
      <c r="E5403" s="1223">
        <v>29.4</v>
      </c>
      <c r="F5403" s="4">
        <f t="shared" si="90"/>
        <v>-2.9702970297029771E-2</v>
      </c>
      <c r="G5403" s="37">
        <v>39.799999999999997</v>
      </c>
      <c r="H5403" s="1224">
        <v>45912</v>
      </c>
    </row>
    <row r="5404" spans="3:8" x14ac:dyDescent="0.25">
      <c r="C5404" s="1222">
        <v>6</v>
      </c>
      <c r="D5404" s="1222">
        <v>115</v>
      </c>
      <c r="E5404" s="1223">
        <v>40</v>
      </c>
      <c r="F5404" s="4">
        <f t="shared" si="90"/>
        <v>-4.3062200956937732E-2</v>
      </c>
      <c r="G5404" s="37">
        <v>39.799999999999997</v>
      </c>
      <c r="H5404" s="1224">
        <v>45912</v>
      </c>
    </row>
    <row r="5405" spans="3:8" x14ac:dyDescent="0.25">
      <c r="C5405" s="1222">
        <v>7</v>
      </c>
      <c r="D5405" s="1222">
        <v>72</v>
      </c>
      <c r="E5405" s="1223">
        <v>36.200000000000003</v>
      </c>
      <c r="F5405" s="4">
        <f t="shared" ref="F5405:F5469" si="91">IFERROR((E5405-E5393)/E5393,"")</f>
        <v>-7.179487179487172E-2</v>
      </c>
      <c r="G5405" s="37">
        <v>39.799999999999997</v>
      </c>
      <c r="H5405" s="1224">
        <v>45912</v>
      </c>
    </row>
    <row r="5406" spans="3:8" x14ac:dyDescent="0.25">
      <c r="C5406" s="1222">
        <v>8</v>
      </c>
      <c r="D5406" s="1222">
        <v>0</v>
      </c>
      <c r="E5406" s="1223"/>
      <c r="F5406" s="4" t="str">
        <f t="shared" si="91"/>
        <v/>
      </c>
      <c r="G5406" s="37">
        <v>39.799999999999997</v>
      </c>
      <c r="H5406" s="1224">
        <v>45912</v>
      </c>
    </row>
    <row r="5407" spans="3:8" x14ac:dyDescent="0.25">
      <c r="C5407" s="1222">
        <v>9</v>
      </c>
      <c r="D5407" s="1222">
        <v>96</v>
      </c>
      <c r="E5407" s="1223">
        <v>39.200000000000003</v>
      </c>
      <c r="F5407" s="4">
        <f t="shared" si="91"/>
        <v>0</v>
      </c>
      <c r="G5407" s="37">
        <v>39.799999999999997</v>
      </c>
      <c r="H5407" s="1224">
        <v>45912</v>
      </c>
    </row>
    <row r="5408" spans="3:8" x14ac:dyDescent="0.25">
      <c r="C5408" s="1222">
        <v>10</v>
      </c>
      <c r="D5408" s="1222">
        <v>111</v>
      </c>
      <c r="E5408" s="1223">
        <v>42.5</v>
      </c>
      <c r="F5408" s="4">
        <f t="shared" si="91"/>
        <v>4.4226044226044155E-2</v>
      </c>
      <c r="G5408" s="37">
        <v>39.799999999999997</v>
      </c>
      <c r="H5408" s="1224">
        <v>45912</v>
      </c>
    </row>
    <row r="5409" spans="3:8" x14ac:dyDescent="0.25">
      <c r="C5409" s="1225" t="s">
        <v>0</v>
      </c>
      <c r="D5409" s="1225" t="s">
        <v>7</v>
      </c>
      <c r="E5409" s="1226" t="s">
        <v>4</v>
      </c>
      <c r="F5409" s="4" t="str">
        <f t="shared" si="91"/>
        <v/>
      </c>
      <c r="G5409" s="37">
        <v>39.1</v>
      </c>
      <c r="H5409" s="1224">
        <v>45913</v>
      </c>
    </row>
    <row r="5410" spans="3:8" x14ac:dyDescent="0.25">
      <c r="C5410" s="1225">
        <v>51</v>
      </c>
      <c r="D5410" s="1225">
        <v>39</v>
      </c>
      <c r="E5410" s="1226">
        <v>36.799999999999997</v>
      </c>
      <c r="F5410" s="4">
        <f t="shared" si="91"/>
        <v>6.3583815028901605E-2</v>
      </c>
      <c r="G5410" s="37">
        <v>39.1</v>
      </c>
      <c r="H5410" s="1224">
        <v>45913</v>
      </c>
    </row>
    <row r="5411" spans="3:8" x14ac:dyDescent="0.25">
      <c r="C5411" s="1225">
        <v>1</v>
      </c>
      <c r="D5411" s="1225">
        <v>113</v>
      </c>
      <c r="E5411" s="1226">
        <v>39.5</v>
      </c>
      <c r="F5411" s="4">
        <f t="shared" si="91"/>
        <v>-1.4962593516209511E-2</v>
      </c>
      <c r="G5411" s="37">
        <v>39.1</v>
      </c>
      <c r="H5411" s="1224">
        <v>45913</v>
      </c>
    </row>
    <row r="5412" spans="3:8" x14ac:dyDescent="0.25">
      <c r="C5412" s="1225">
        <v>2</v>
      </c>
      <c r="D5412" s="1225">
        <v>48</v>
      </c>
      <c r="E5412" s="1226">
        <v>36.9</v>
      </c>
      <c r="F5412" s="4">
        <f t="shared" si="91"/>
        <v>4.2372881355932208E-2</v>
      </c>
      <c r="G5412" s="37">
        <v>39.1</v>
      </c>
      <c r="H5412" s="1224">
        <v>45913</v>
      </c>
    </row>
    <row r="5413" spans="3:8" x14ac:dyDescent="0.25">
      <c r="C5413" s="1225">
        <v>3</v>
      </c>
      <c r="D5413" s="1225">
        <v>0</v>
      </c>
      <c r="E5413" s="1226"/>
      <c r="F5413" s="4" t="str">
        <f t="shared" si="91"/>
        <v/>
      </c>
      <c r="G5413" s="37">
        <v>39.1</v>
      </c>
      <c r="H5413" s="1224">
        <v>45913</v>
      </c>
    </row>
    <row r="5414" spans="3:8" x14ac:dyDescent="0.25">
      <c r="C5414" s="1225">
        <v>4</v>
      </c>
      <c r="D5414" s="1225">
        <v>114</v>
      </c>
      <c r="E5414" s="1226">
        <v>42</v>
      </c>
      <c r="F5414" s="4">
        <f t="shared" si="91"/>
        <v>-0.12681912681912685</v>
      </c>
      <c r="G5414" s="37">
        <v>39.1</v>
      </c>
      <c r="H5414" s="1224">
        <v>45913</v>
      </c>
    </row>
    <row r="5415" spans="3:8" x14ac:dyDescent="0.25">
      <c r="C5415" s="1225">
        <v>5</v>
      </c>
      <c r="D5415" s="1225">
        <v>83</v>
      </c>
      <c r="E5415" s="1226">
        <v>29.8</v>
      </c>
      <c r="F5415" s="4">
        <f t="shared" si="91"/>
        <v>1.3605442176870821E-2</v>
      </c>
      <c r="G5415" s="37">
        <v>39.1</v>
      </c>
      <c r="H5415" s="1224">
        <v>45913</v>
      </c>
    </row>
    <row r="5416" spans="3:8" x14ac:dyDescent="0.25">
      <c r="C5416" s="1225">
        <v>6</v>
      </c>
      <c r="D5416" s="1225">
        <v>120</v>
      </c>
      <c r="E5416" s="1226">
        <v>39.9</v>
      </c>
      <c r="F5416" s="4">
        <f t="shared" si="91"/>
        <v>-2.5000000000000356E-3</v>
      </c>
      <c r="G5416" s="37">
        <v>39.1</v>
      </c>
      <c r="H5416" s="1224">
        <v>45913</v>
      </c>
    </row>
    <row r="5417" spans="3:8" x14ac:dyDescent="0.25">
      <c r="C5417" s="1225">
        <v>7</v>
      </c>
      <c r="D5417" s="1225">
        <v>72</v>
      </c>
      <c r="E5417" s="1226">
        <v>36.9</v>
      </c>
      <c r="F5417" s="4">
        <f t="shared" si="91"/>
        <v>1.9337016574585517E-2</v>
      </c>
      <c r="G5417" s="37">
        <v>39.1</v>
      </c>
      <c r="H5417" s="1224">
        <v>45913</v>
      </c>
    </row>
    <row r="5418" spans="3:8" x14ac:dyDescent="0.25">
      <c r="C5418" s="1225">
        <v>8</v>
      </c>
      <c r="D5418" s="1225">
        <v>0</v>
      </c>
      <c r="E5418" s="1226"/>
      <c r="F5418" s="4" t="str">
        <f t="shared" si="91"/>
        <v/>
      </c>
      <c r="G5418" s="37">
        <v>39.1</v>
      </c>
      <c r="H5418" s="1224">
        <v>45913</v>
      </c>
    </row>
    <row r="5419" spans="3:8" x14ac:dyDescent="0.25">
      <c r="C5419" s="1225">
        <v>9</v>
      </c>
      <c r="D5419" s="1225">
        <v>96</v>
      </c>
      <c r="E5419" s="1226">
        <v>41</v>
      </c>
      <c r="F5419" s="4">
        <f t="shared" si="91"/>
        <v>4.5918367346938702E-2</v>
      </c>
      <c r="G5419" s="37">
        <v>39.1</v>
      </c>
      <c r="H5419" s="1224">
        <v>45913</v>
      </c>
    </row>
    <row r="5420" spans="3:8" x14ac:dyDescent="0.25">
      <c r="C5420" s="1225">
        <v>10</v>
      </c>
      <c r="D5420" s="1225">
        <v>111</v>
      </c>
      <c r="E5420" s="1226">
        <v>40.5</v>
      </c>
      <c r="F5420" s="4">
        <f t="shared" si="91"/>
        <v>-4.7058823529411764E-2</v>
      </c>
      <c r="G5420" s="37">
        <v>39.1</v>
      </c>
      <c r="H5420" s="1224">
        <v>45913</v>
      </c>
    </row>
    <row r="5421" spans="3:8" x14ac:dyDescent="0.25">
      <c r="C5421" s="1227" t="s">
        <v>0</v>
      </c>
      <c r="D5421" s="1227" t="s">
        <v>7</v>
      </c>
      <c r="E5421" s="1228" t="s">
        <v>4</v>
      </c>
      <c r="F5421" s="4" t="str">
        <f t="shared" si="91"/>
        <v/>
      </c>
      <c r="G5421" s="37">
        <v>38.799999999999997</v>
      </c>
      <c r="H5421" s="1229">
        <v>45914</v>
      </c>
    </row>
    <row r="5422" spans="3:8" x14ac:dyDescent="0.25">
      <c r="C5422" s="1227">
        <v>51</v>
      </c>
      <c r="D5422" s="1227">
        <v>37</v>
      </c>
      <c r="E5422" s="1228">
        <v>36.5</v>
      </c>
      <c r="F5422" s="4">
        <f t="shared" si="91"/>
        <v>-8.1521739130434017E-3</v>
      </c>
      <c r="G5422" s="37">
        <v>38.799999999999997</v>
      </c>
      <c r="H5422" s="1229">
        <v>45914</v>
      </c>
    </row>
    <row r="5423" spans="3:8" x14ac:dyDescent="0.25">
      <c r="C5423" s="1227">
        <v>1</v>
      </c>
      <c r="D5423" s="1227">
        <v>112</v>
      </c>
      <c r="E5423" s="1228">
        <v>39.5</v>
      </c>
      <c r="F5423" s="4">
        <f t="shared" si="91"/>
        <v>0</v>
      </c>
      <c r="G5423" s="37">
        <v>38.799999999999997</v>
      </c>
      <c r="H5423" s="1229">
        <v>45914</v>
      </c>
    </row>
    <row r="5424" spans="3:8" x14ac:dyDescent="0.25">
      <c r="C5424" s="1227">
        <v>2</v>
      </c>
      <c r="D5424" s="1227">
        <v>48</v>
      </c>
      <c r="E5424" s="1228">
        <v>36.5</v>
      </c>
      <c r="F5424" s="4">
        <f t="shared" si="91"/>
        <v>-1.0840108401083973E-2</v>
      </c>
      <c r="G5424" s="37">
        <v>38.799999999999997</v>
      </c>
      <c r="H5424" s="1229">
        <v>45914</v>
      </c>
    </row>
    <row r="5425" spans="3:8" x14ac:dyDescent="0.25">
      <c r="C5425" s="1227">
        <v>3</v>
      </c>
      <c r="D5425" s="1227">
        <v>0</v>
      </c>
      <c r="E5425" s="1228"/>
      <c r="F5425" s="4" t="str">
        <f t="shared" si="91"/>
        <v/>
      </c>
      <c r="G5425" s="37">
        <v>38.799999999999997</v>
      </c>
      <c r="H5425" s="1229">
        <v>45914</v>
      </c>
    </row>
    <row r="5426" spans="3:8" x14ac:dyDescent="0.25">
      <c r="C5426" s="1227">
        <v>4</v>
      </c>
      <c r="D5426" s="1227">
        <v>114</v>
      </c>
      <c r="E5426" s="1228">
        <v>40.1</v>
      </c>
      <c r="F5426" s="4">
        <f t="shared" si="91"/>
        <v>-4.5238095238095202E-2</v>
      </c>
      <c r="G5426" s="37">
        <v>38.799999999999997</v>
      </c>
      <c r="H5426" s="1229">
        <v>45914</v>
      </c>
    </row>
    <row r="5427" spans="3:8" x14ac:dyDescent="0.25">
      <c r="C5427" s="1227">
        <v>5</v>
      </c>
      <c r="D5427" s="1227">
        <v>90</v>
      </c>
      <c r="E5427" s="1228">
        <v>28.9</v>
      </c>
      <c r="F5427" s="4">
        <f t="shared" si="91"/>
        <v>-3.0201342281879266E-2</v>
      </c>
      <c r="G5427" s="37">
        <v>38.799999999999997</v>
      </c>
      <c r="H5427" s="1229">
        <v>45914</v>
      </c>
    </row>
    <row r="5428" spans="3:8" x14ac:dyDescent="0.25">
      <c r="C5428" s="1227">
        <v>6</v>
      </c>
      <c r="D5428" s="1227">
        <v>113</v>
      </c>
      <c r="E5428" s="1228">
        <v>40.6</v>
      </c>
      <c r="F5428" s="4">
        <f t="shared" si="91"/>
        <v>1.7543859649122879E-2</v>
      </c>
      <c r="G5428" s="37">
        <v>38.799999999999997</v>
      </c>
      <c r="H5428" s="1229">
        <v>45914</v>
      </c>
    </row>
    <row r="5429" spans="3:8" x14ac:dyDescent="0.25">
      <c r="C5429" s="1227">
        <v>7</v>
      </c>
      <c r="D5429" s="1227">
        <v>72</v>
      </c>
      <c r="E5429" s="1228">
        <v>37.200000000000003</v>
      </c>
      <c r="F5429" s="4">
        <f t="shared" si="91"/>
        <v>8.1300813008131235E-3</v>
      </c>
      <c r="G5429" s="37">
        <v>38.799999999999997</v>
      </c>
      <c r="H5429" s="1229">
        <v>45914</v>
      </c>
    </row>
    <row r="5430" spans="3:8" x14ac:dyDescent="0.25">
      <c r="C5430" s="1227">
        <v>8</v>
      </c>
      <c r="D5430" s="1227">
        <v>0</v>
      </c>
      <c r="E5430" s="1228"/>
      <c r="F5430" s="4" t="str">
        <f t="shared" si="91"/>
        <v/>
      </c>
      <c r="G5430" s="37">
        <v>38.799999999999997</v>
      </c>
      <c r="H5430" s="1229">
        <v>45914</v>
      </c>
    </row>
    <row r="5431" spans="3:8" x14ac:dyDescent="0.25">
      <c r="C5431" s="1227">
        <v>9</v>
      </c>
      <c r="D5431" s="1227">
        <v>96</v>
      </c>
      <c r="E5431" s="1228">
        <v>41</v>
      </c>
      <c r="F5431" s="4">
        <f t="shared" si="91"/>
        <v>0</v>
      </c>
      <c r="G5431" s="37">
        <v>38.799999999999997</v>
      </c>
      <c r="H5431" s="1229">
        <v>45914</v>
      </c>
    </row>
    <row r="5432" spans="3:8" x14ac:dyDescent="0.25">
      <c r="C5432" s="1227">
        <v>10</v>
      </c>
      <c r="D5432" s="1227">
        <v>111</v>
      </c>
      <c r="E5432" s="1228">
        <v>40.299999999999997</v>
      </c>
      <c r="F5432" s="4">
        <f t="shared" si="91"/>
        <v>-4.9382716049383418E-3</v>
      </c>
      <c r="G5432" s="37">
        <v>38.799999999999997</v>
      </c>
      <c r="H5432" s="1229">
        <v>45914</v>
      </c>
    </row>
    <row r="5433" spans="3:8" x14ac:dyDescent="0.25">
      <c r="C5433" s="1230" t="s">
        <v>0</v>
      </c>
      <c r="D5433" s="1230" t="s">
        <v>7</v>
      </c>
      <c r="E5433" s="1231" t="s">
        <v>4</v>
      </c>
      <c r="F5433" s="4" t="str">
        <f t="shared" si="91"/>
        <v/>
      </c>
      <c r="G5433" s="37">
        <v>38.700000000000003</v>
      </c>
      <c r="H5433" s="1232">
        <v>45915</v>
      </c>
    </row>
    <row r="5434" spans="3:8" x14ac:dyDescent="0.25">
      <c r="C5434" s="1230">
        <v>51</v>
      </c>
      <c r="D5434" s="1230">
        <v>38</v>
      </c>
      <c r="E5434" s="1231">
        <v>36.9</v>
      </c>
      <c r="F5434" s="4">
        <f t="shared" si="91"/>
        <v>1.0958904109589003E-2</v>
      </c>
      <c r="G5434" s="37">
        <v>38.700000000000003</v>
      </c>
      <c r="H5434" s="1232">
        <v>45915</v>
      </c>
    </row>
    <row r="5435" spans="3:8" x14ac:dyDescent="0.25">
      <c r="C5435" s="1230">
        <v>1</v>
      </c>
      <c r="D5435" s="1230">
        <v>112</v>
      </c>
      <c r="E5435" s="1231">
        <v>38.9</v>
      </c>
      <c r="F5435" s="4">
        <f t="shared" si="91"/>
        <v>-1.5189873417721555E-2</v>
      </c>
      <c r="G5435" s="37">
        <v>38.700000000000003</v>
      </c>
      <c r="H5435" s="1232">
        <v>45915</v>
      </c>
    </row>
    <row r="5436" spans="3:8" x14ac:dyDescent="0.25">
      <c r="C5436" s="1230">
        <v>2</v>
      </c>
      <c r="D5436" s="1230">
        <v>48</v>
      </c>
      <c r="E5436" s="1231">
        <v>36.6</v>
      </c>
      <c r="F5436" s="4">
        <f t="shared" si="91"/>
        <v>2.7397260273972993E-3</v>
      </c>
      <c r="G5436" s="37">
        <v>38.700000000000003</v>
      </c>
      <c r="H5436" s="1232">
        <v>45915</v>
      </c>
    </row>
    <row r="5437" spans="3:8" x14ac:dyDescent="0.25">
      <c r="C5437" s="1230">
        <v>3</v>
      </c>
      <c r="D5437" s="1230">
        <v>0</v>
      </c>
      <c r="E5437" s="1231"/>
      <c r="F5437" s="4" t="str">
        <f t="shared" si="91"/>
        <v/>
      </c>
      <c r="G5437" s="37">
        <v>38.700000000000003</v>
      </c>
      <c r="H5437" s="1232">
        <v>45915</v>
      </c>
    </row>
    <row r="5438" spans="3:8" x14ac:dyDescent="0.25">
      <c r="C5438" s="1230">
        <v>4</v>
      </c>
      <c r="D5438" s="1230">
        <v>114</v>
      </c>
      <c r="E5438" s="1231">
        <v>41.4</v>
      </c>
      <c r="F5438" s="4">
        <f t="shared" si="91"/>
        <v>3.2418952618453796E-2</v>
      </c>
      <c r="G5438" s="37">
        <v>38.700000000000003</v>
      </c>
      <c r="H5438" s="1232">
        <v>45915</v>
      </c>
    </row>
    <row r="5439" spans="3:8" x14ac:dyDescent="0.25">
      <c r="C5439" s="1230">
        <v>5</v>
      </c>
      <c r="D5439" s="1230">
        <v>90</v>
      </c>
      <c r="E5439" s="1231">
        <v>28.5</v>
      </c>
      <c r="F5439" s="4">
        <f t="shared" si="91"/>
        <v>-1.3840830449826941E-2</v>
      </c>
      <c r="G5439" s="37">
        <v>38.700000000000003</v>
      </c>
      <c r="H5439" s="1232">
        <v>45915</v>
      </c>
    </row>
    <row r="5440" spans="3:8" x14ac:dyDescent="0.25">
      <c r="C5440" s="1230">
        <v>6</v>
      </c>
      <c r="D5440" s="1230">
        <v>113</v>
      </c>
      <c r="E5440" s="1231">
        <v>39.799999999999997</v>
      </c>
      <c r="F5440" s="4">
        <f t="shared" si="91"/>
        <v>-1.970443349753705E-2</v>
      </c>
      <c r="G5440" s="37">
        <v>38.700000000000003</v>
      </c>
      <c r="H5440" s="1232">
        <v>45915</v>
      </c>
    </row>
    <row r="5441" spans="3:8" x14ac:dyDescent="0.25">
      <c r="C5441" s="1230">
        <v>7</v>
      </c>
      <c r="D5441" s="1230">
        <v>72</v>
      </c>
      <c r="E5441" s="1231">
        <v>36.5</v>
      </c>
      <c r="F5441" s="4">
        <f t="shared" si="91"/>
        <v>-1.8817204301075342E-2</v>
      </c>
      <c r="G5441" s="37">
        <v>38.700000000000003</v>
      </c>
      <c r="H5441" s="1232">
        <v>45915</v>
      </c>
    </row>
    <row r="5442" spans="3:8" x14ac:dyDescent="0.25">
      <c r="C5442" s="1230">
        <v>8</v>
      </c>
      <c r="D5442" s="1230">
        <v>0</v>
      </c>
      <c r="E5442" s="1231"/>
      <c r="F5442" s="4" t="str">
        <f t="shared" si="91"/>
        <v/>
      </c>
      <c r="G5442" s="37">
        <v>38.700000000000003</v>
      </c>
      <c r="H5442" s="1232">
        <v>45915</v>
      </c>
    </row>
    <row r="5443" spans="3:8" x14ac:dyDescent="0.25">
      <c r="C5443" s="1230">
        <v>9</v>
      </c>
      <c r="D5443" s="1230">
        <v>96</v>
      </c>
      <c r="E5443" s="1231">
        <v>40.5</v>
      </c>
      <c r="F5443" s="4">
        <f t="shared" si="91"/>
        <v>-1.2195121951219513E-2</v>
      </c>
      <c r="G5443" s="37">
        <v>38.700000000000003</v>
      </c>
      <c r="H5443" s="1232">
        <v>45915</v>
      </c>
    </row>
    <row r="5444" spans="3:8" x14ac:dyDescent="0.25">
      <c r="C5444" s="1230">
        <v>10</v>
      </c>
      <c r="D5444" s="1230">
        <v>111</v>
      </c>
      <c r="E5444" s="1231">
        <v>40.6</v>
      </c>
      <c r="F5444" s="4">
        <f t="shared" si="91"/>
        <v>7.4441687344914218E-3</v>
      </c>
      <c r="G5444" s="37">
        <v>38.700000000000003</v>
      </c>
      <c r="H5444" s="1232">
        <v>45915</v>
      </c>
    </row>
    <row r="5445" spans="3:8" x14ac:dyDescent="0.25">
      <c r="C5445" s="1233" t="s">
        <v>0</v>
      </c>
      <c r="D5445" s="1233" t="s">
        <v>7</v>
      </c>
      <c r="E5445" s="1234" t="s">
        <v>4</v>
      </c>
      <c r="F5445" s="4" t="str">
        <f t="shared" si="91"/>
        <v/>
      </c>
      <c r="G5445" s="37">
        <v>38.9</v>
      </c>
      <c r="H5445" s="1235">
        <v>45916</v>
      </c>
    </row>
    <row r="5446" spans="3:8" x14ac:dyDescent="0.25">
      <c r="C5446" s="1233">
        <v>51</v>
      </c>
      <c r="D5446" s="1233">
        <v>33</v>
      </c>
      <c r="E5446" s="1234">
        <v>37.1</v>
      </c>
      <c r="F5446" s="4">
        <f t="shared" si="91"/>
        <v>5.4200542005420826E-3</v>
      </c>
      <c r="G5446" s="37">
        <v>38.9</v>
      </c>
      <c r="H5446" s="1235">
        <v>45916</v>
      </c>
    </row>
    <row r="5447" spans="3:8" x14ac:dyDescent="0.25">
      <c r="C5447" s="1233">
        <v>1</v>
      </c>
      <c r="D5447" s="1233">
        <v>112</v>
      </c>
      <c r="E5447" s="1234">
        <v>39</v>
      </c>
      <c r="F5447" s="4">
        <f t="shared" si="91"/>
        <v>2.5706940874036356E-3</v>
      </c>
      <c r="G5447" s="37">
        <v>38.9</v>
      </c>
      <c r="H5447" s="1235">
        <v>45916</v>
      </c>
    </row>
    <row r="5448" spans="3:8" x14ac:dyDescent="0.25">
      <c r="C5448" s="1233">
        <v>2</v>
      </c>
      <c r="D5448" s="1233">
        <v>49</v>
      </c>
      <c r="E5448" s="1234">
        <v>36.799999999999997</v>
      </c>
      <c r="F5448" s="4">
        <f t="shared" si="91"/>
        <v>5.4644808743168228E-3</v>
      </c>
      <c r="G5448" s="37">
        <v>38.9</v>
      </c>
      <c r="H5448" s="1235">
        <v>45916</v>
      </c>
    </row>
    <row r="5449" spans="3:8" x14ac:dyDescent="0.25">
      <c r="C5449" s="1233">
        <v>3</v>
      </c>
      <c r="D5449" s="1233">
        <v>0</v>
      </c>
      <c r="E5449" s="1234"/>
      <c r="F5449" s="4" t="str">
        <f t="shared" si="91"/>
        <v/>
      </c>
      <c r="G5449" s="37">
        <v>38.9</v>
      </c>
      <c r="H5449" s="1235">
        <v>45916</v>
      </c>
    </row>
    <row r="5450" spans="3:8" x14ac:dyDescent="0.25">
      <c r="C5450" s="1233">
        <v>4</v>
      </c>
      <c r="D5450" s="1233">
        <v>114</v>
      </c>
      <c r="E5450" s="1234">
        <v>41.8</v>
      </c>
      <c r="F5450" s="4">
        <f t="shared" si="91"/>
        <v>9.6618357487922371E-3</v>
      </c>
      <c r="G5450" s="37">
        <v>38.9</v>
      </c>
      <c r="H5450" s="1235">
        <v>45916</v>
      </c>
    </row>
    <row r="5451" spans="3:8" x14ac:dyDescent="0.25">
      <c r="C5451" s="1233">
        <v>5</v>
      </c>
      <c r="D5451" s="1233">
        <v>90</v>
      </c>
      <c r="E5451" s="1234">
        <v>29.4</v>
      </c>
      <c r="F5451" s="4">
        <f t="shared" si="91"/>
        <v>3.1578947368421005E-2</v>
      </c>
      <c r="G5451" s="37">
        <v>38.9</v>
      </c>
      <c r="H5451" s="1235">
        <v>45916</v>
      </c>
    </row>
    <row r="5452" spans="3:8" x14ac:dyDescent="0.25">
      <c r="C5452" s="1233">
        <v>6</v>
      </c>
      <c r="D5452" s="1233">
        <v>118</v>
      </c>
      <c r="E5452" s="1234">
        <v>40.4</v>
      </c>
      <c r="F5452" s="4">
        <f t="shared" si="91"/>
        <v>1.5075376884422148E-2</v>
      </c>
      <c r="G5452" s="37">
        <v>38.9</v>
      </c>
      <c r="H5452" s="1235">
        <v>45916</v>
      </c>
    </row>
    <row r="5453" spans="3:8" x14ac:dyDescent="0.25">
      <c r="C5453" s="1233">
        <v>7</v>
      </c>
      <c r="D5453" s="1233">
        <v>72</v>
      </c>
      <c r="E5453" s="1234">
        <v>36.4</v>
      </c>
      <c r="F5453" s="4">
        <f t="shared" si="91"/>
        <v>-2.7397260273972993E-3</v>
      </c>
      <c r="G5453" s="37">
        <v>38.9</v>
      </c>
      <c r="H5453" s="1235">
        <v>45916</v>
      </c>
    </row>
    <row r="5454" spans="3:8" x14ac:dyDescent="0.25">
      <c r="C5454" s="1233">
        <v>8</v>
      </c>
      <c r="D5454" s="1233">
        <v>0</v>
      </c>
      <c r="E5454" s="1234"/>
      <c r="F5454" s="4" t="str">
        <f t="shared" si="91"/>
        <v/>
      </c>
      <c r="G5454" s="37">
        <v>38.9</v>
      </c>
      <c r="H5454" s="1235">
        <v>45916</v>
      </c>
    </row>
    <row r="5455" spans="3:8" x14ac:dyDescent="0.25">
      <c r="C5455" s="1233">
        <v>9</v>
      </c>
      <c r="D5455" s="1233">
        <v>97</v>
      </c>
      <c r="E5455" s="1234">
        <v>40.700000000000003</v>
      </c>
      <c r="F5455" s="4">
        <f t="shared" si="91"/>
        <v>4.9382716049383418E-3</v>
      </c>
      <c r="G5455" s="37">
        <v>38.9</v>
      </c>
      <c r="H5455" s="1235">
        <v>45916</v>
      </c>
    </row>
    <row r="5456" spans="3:8" x14ac:dyDescent="0.25">
      <c r="C5456" s="1233">
        <v>10</v>
      </c>
      <c r="D5456" s="1233">
        <v>111</v>
      </c>
      <c r="E5456" s="1234">
        <v>40</v>
      </c>
      <c r="F5456" s="4">
        <f t="shared" si="91"/>
        <v>-1.4778325123152743E-2</v>
      </c>
      <c r="G5456" s="37">
        <v>38.9</v>
      </c>
      <c r="H5456" s="1235">
        <v>45916</v>
      </c>
    </row>
    <row r="5457" spans="3:8" x14ac:dyDescent="0.25">
      <c r="C5457" s="1236" t="s">
        <v>0</v>
      </c>
      <c r="D5457" s="1236" t="s">
        <v>7</v>
      </c>
      <c r="E5457" s="1237" t="s">
        <v>4</v>
      </c>
      <c r="F5457" s="4" t="str">
        <f t="shared" si="91"/>
        <v/>
      </c>
      <c r="G5457" s="37">
        <v>38.700000000000003</v>
      </c>
      <c r="H5457" s="1238">
        <v>45917</v>
      </c>
    </row>
    <row r="5458" spans="3:8" x14ac:dyDescent="0.25">
      <c r="C5458" s="1236">
        <v>51</v>
      </c>
      <c r="D5458" s="1236">
        <v>32</v>
      </c>
      <c r="E5458" s="1237">
        <v>37.1</v>
      </c>
      <c r="F5458" s="4">
        <f t="shared" si="91"/>
        <v>0</v>
      </c>
      <c r="G5458" s="37">
        <v>38.700000000000003</v>
      </c>
      <c r="H5458" s="1238">
        <v>45917</v>
      </c>
    </row>
    <row r="5459" spans="3:8" x14ac:dyDescent="0.25">
      <c r="C5459" s="1236">
        <v>1</v>
      </c>
      <c r="D5459" s="1236">
        <v>112</v>
      </c>
      <c r="E5459" s="1237">
        <v>39.5</v>
      </c>
      <c r="F5459" s="4">
        <f t="shared" si="91"/>
        <v>1.282051282051282E-2</v>
      </c>
      <c r="G5459" s="37">
        <v>38.700000000000003</v>
      </c>
      <c r="H5459" s="1238">
        <v>45917</v>
      </c>
    </row>
    <row r="5460" spans="3:8" x14ac:dyDescent="0.25">
      <c r="C5460" s="1236">
        <v>2</v>
      </c>
      <c r="D5460" s="1236">
        <v>49</v>
      </c>
      <c r="E5460" s="1237">
        <v>36.1</v>
      </c>
      <c r="F5460" s="4">
        <f t="shared" si="91"/>
        <v>-1.9021739130434669E-2</v>
      </c>
      <c r="G5460" s="37">
        <v>38.700000000000003</v>
      </c>
      <c r="H5460" s="1238">
        <v>45917</v>
      </c>
    </row>
    <row r="5461" spans="3:8" x14ac:dyDescent="0.25">
      <c r="C5461" s="1236">
        <v>3</v>
      </c>
      <c r="D5461" s="1236">
        <v>0</v>
      </c>
      <c r="E5461" s="1237"/>
      <c r="F5461" s="4" t="str">
        <f t="shared" si="91"/>
        <v/>
      </c>
      <c r="G5461" s="37">
        <v>38.700000000000003</v>
      </c>
      <c r="H5461" s="1238">
        <v>45917</v>
      </c>
    </row>
    <row r="5462" spans="3:8" x14ac:dyDescent="0.25">
      <c r="C5462" s="1236">
        <v>4</v>
      </c>
      <c r="D5462" s="1236">
        <v>114</v>
      </c>
      <c r="E5462" s="1237">
        <v>41.7</v>
      </c>
      <c r="F5462" s="4">
        <f t="shared" si="91"/>
        <v>-2.3923444976075197E-3</v>
      </c>
      <c r="G5462" s="37">
        <v>38.700000000000003</v>
      </c>
      <c r="H5462" s="1238">
        <v>45917</v>
      </c>
    </row>
    <row r="5463" spans="3:8" x14ac:dyDescent="0.25">
      <c r="C5463" s="1236">
        <v>5</v>
      </c>
      <c r="D5463" s="1236">
        <v>90</v>
      </c>
      <c r="E5463" s="1237">
        <v>30.2</v>
      </c>
      <c r="F5463" s="4">
        <f t="shared" si="91"/>
        <v>2.7210884353741523E-2</v>
      </c>
      <c r="G5463" s="37">
        <v>38.700000000000003</v>
      </c>
      <c r="H5463" s="1238">
        <v>45917</v>
      </c>
    </row>
    <row r="5464" spans="3:8" x14ac:dyDescent="0.25">
      <c r="C5464" s="1236">
        <v>6</v>
      </c>
      <c r="D5464" s="1236">
        <v>117</v>
      </c>
      <c r="E5464" s="1237">
        <v>39.799999999999997</v>
      </c>
      <c r="F5464" s="4">
        <f t="shared" si="91"/>
        <v>-1.4851485148514887E-2</v>
      </c>
      <c r="G5464" s="37">
        <v>38.700000000000003</v>
      </c>
      <c r="H5464" s="1238">
        <v>45917</v>
      </c>
    </row>
    <row r="5465" spans="3:8" x14ac:dyDescent="0.25">
      <c r="C5465" s="1236">
        <v>7</v>
      </c>
      <c r="D5465" s="1236">
        <v>72</v>
      </c>
      <c r="E5465" s="1237">
        <v>36.5</v>
      </c>
      <c r="F5465" s="4">
        <f t="shared" si="91"/>
        <v>2.7472527472527865E-3</v>
      </c>
      <c r="G5465" s="37">
        <v>38.700000000000003</v>
      </c>
      <c r="H5465" s="1238">
        <v>45917</v>
      </c>
    </row>
    <row r="5466" spans="3:8" x14ac:dyDescent="0.25">
      <c r="C5466" s="1236">
        <v>8</v>
      </c>
      <c r="D5466" s="1236">
        <v>0</v>
      </c>
      <c r="E5466" s="1237"/>
      <c r="F5466" s="4" t="str">
        <f t="shared" si="91"/>
        <v/>
      </c>
      <c r="G5466" s="37">
        <v>38.700000000000003</v>
      </c>
      <c r="H5466" s="1238">
        <v>45917</v>
      </c>
    </row>
    <row r="5467" spans="3:8" x14ac:dyDescent="0.25">
      <c r="C5467" s="1236">
        <v>9</v>
      </c>
      <c r="D5467" s="1236">
        <v>97</v>
      </c>
      <c r="E5467" s="1237">
        <v>40</v>
      </c>
      <c r="F5467" s="4">
        <f t="shared" si="91"/>
        <v>-1.7199017199017268E-2</v>
      </c>
      <c r="G5467" s="37">
        <v>38.700000000000003</v>
      </c>
      <c r="H5467" s="1238">
        <v>45917</v>
      </c>
    </row>
    <row r="5468" spans="3:8" x14ac:dyDescent="0.25">
      <c r="C5468" s="1236">
        <v>10</v>
      </c>
      <c r="D5468" s="1236">
        <v>111</v>
      </c>
      <c r="E5468" s="1237">
        <v>40.200000000000003</v>
      </c>
      <c r="F5468" s="4">
        <f t="shared" si="91"/>
        <v>5.0000000000000712E-3</v>
      </c>
      <c r="G5468" s="37">
        <v>38.700000000000003</v>
      </c>
      <c r="H5468" s="1238">
        <v>45917</v>
      </c>
    </row>
    <row r="5469" spans="3:8" x14ac:dyDescent="0.25">
      <c r="C5469" s="1239" t="s">
        <v>0</v>
      </c>
      <c r="D5469" s="1239" t="s">
        <v>7</v>
      </c>
      <c r="E5469" s="1240" t="s">
        <v>4</v>
      </c>
      <c r="F5469" s="4" t="str">
        <f t="shared" si="91"/>
        <v/>
      </c>
      <c r="G5469" s="37">
        <v>39.200000000000003</v>
      </c>
      <c r="H5469" s="1241">
        <v>45918</v>
      </c>
    </row>
    <row r="5470" spans="3:8" x14ac:dyDescent="0.25">
      <c r="C5470" s="1239">
        <v>51</v>
      </c>
      <c r="D5470" s="1239">
        <v>35</v>
      </c>
      <c r="E5470" s="1240">
        <v>36.9</v>
      </c>
      <c r="F5470" s="4">
        <f t="shared" ref="F5470:F5533" si="92">IFERROR((E5470-E5458)/E5458,"")</f>
        <v>-5.3908355795149014E-3</v>
      </c>
      <c r="G5470" s="37">
        <v>39.200000000000003</v>
      </c>
      <c r="H5470" s="1241">
        <v>45918</v>
      </c>
    </row>
    <row r="5471" spans="3:8" x14ac:dyDescent="0.25">
      <c r="C5471" s="1239">
        <v>1</v>
      </c>
      <c r="D5471" s="1239">
        <v>112</v>
      </c>
      <c r="E5471" s="1240">
        <v>39</v>
      </c>
      <c r="F5471" s="4">
        <f t="shared" si="92"/>
        <v>-1.2658227848101266E-2</v>
      </c>
      <c r="G5471" s="37">
        <v>39.200000000000003</v>
      </c>
      <c r="H5471" s="1241">
        <v>45918</v>
      </c>
    </row>
    <row r="5472" spans="3:8" x14ac:dyDescent="0.25">
      <c r="C5472" s="1239">
        <v>2</v>
      </c>
      <c r="D5472" s="1239">
        <v>49</v>
      </c>
      <c r="E5472" s="1240">
        <v>37.200000000000003</v>
      </c>
      <c r="F5472" s="4">
        <f t="shared" si="92"/>
        <v>3.0470914127423861E-2</v>
      </c>
      <c r="G5472" s="37">
        <v>39.200000000000003</v>
      </c>
      <c r="H5472" s="1241">
        <v>45918</v>
      </c>
    </row>
    <row r="5473" spans="3:8" x14ac:dyDescent="0.25">
      <c r="C5473" s="1239">
        <v>3</v>
      </c>
      <c r="D5473" s="1239">
        <v>0</v>
      </c>
      <c r="E5473" s="1240"/>
      <c r="F5473" s="4" t="str">
        <f t="shared" si="92"/>
        <v/>
      </c>
      <c r="G5473" s="37">
        <v>39.200000000000003</v>
      </c>
      <c r="H5473" s="1241">
        <v>45918</v>
      </c>
    </row>
    <row r="5474" spans="3:8" x14ac:dyDescent="0.25">
      <c r="C5474" s="1239">
        <v>4</v>
      </c>
      <c r="D5474" s="1239">
        <v>114</v>
      </c>
      <c r="E5474" s="1240">
        <v>42.3</v>
      </c>
      <c r="F5474" s="4">
        <f t="shared" si="92"/>
        <v>1.4388489208632955E-2</v>
      </c>
      <c r="G5474" s="37">
        <v>39.200000000000003</v>
      </c>
      <c r="H5474" s="1241">
        <v>45918</v>
      </c>
    </row>
    <row r="5475" spans="3:8" x14ac:dyDescent="0.25">
      <c r="C5475" s="1239">
        <v>5</v>
      </c>
      <c r="D5475" s="1239">
        <v>90</v>
      </c>
      <c r="E5475" s="1240">
        <v>29.9</v>
      </c>
      <c r="F5475" s="4">
        <f t="shared" si="92"/>
        <v>-9.9337748344371091E-3</v>
      </c>
      <c r="G5475" s="37">
        <v>39.200000000000003</v>
      </c>
      <c r="H5475" s="1241">
        <v>45918</v>
      </c>
    </row>
    <row r="5476" spans="3:8" x14ac:dyDescent="0.25">
      <c r="C5476" s="1239">
        <v>6</v>
      </c>
      <c r="D5476" s="1239">
        <v>117</v>
      </c>
      <c r="E5476" s="1240">
        <v>41.1</v>
      </c>
      <c r="F5476" s="4">
        <f t="shared" si="92"/>
        <v>3.266331658291468E-2</v>
      </c>
      <c r="G5476" s="37">
        <v>39.200000000000003</v>
      </c>
      <c r="H5476" s="1241">
        <v>45918</v>
      </c>
    </row>
    <row r="5477" spans="3:8" x14ac:dyDescent="0.25">
      <c r="C5477" s="1239">
        <v>7</v>
      </c>
      <c r="D5477" s="1239">
        <v>71</v>
      </c>
      <c r="E5477" s="1240">
        <v>37.1</v>
      </c>
      <c r="F5477" s="4">
        <f t="shared" si="92"/>
        <v>1.6438356164383602E-2</v>
      </c>
      <c r="G5477" s="37">
        <v>39.200000000000003</v>
      </c>
      <c r="H5477" s="1241">
        <v>45918</v>
      </c>
    </row>
    <row r="5478" spans="3:8" x14ac:dyDescent="0.25">
      <c r="C5478" s="1239">
        <v>8</v>
      </c>
      <c r="D5478" s="1239">
        <v>0</v>
      </c>
      <c r="E5478" s="1240"/>
      <c r="F5478" s="4" t="str">
        <f t="shared" si="92"/>
        <v/>
      </c>
      <c r="G5478" s="37">
        <v>39.200000000000003</v>
      </c>
      <c r="H5478" s="1241">
        <v>45918</v>
      </c>
    </row>
    <row r="5479" spans="3:8" x14ac:dyDescent="0.25">
      <c r="C5479" s="1239">
        <v>9</v>
      </c>
      <c r="D5479" s="1239">
        <v>96</v>
      </c>
      <c r="E5479" s="1240">
        <v>40</v>
      </c>
      <c r="F5479" s="4">
        <f t="shared" si="92"/>
        <v>0</v>
      </c>
      <c r="G5479" s="37">
        <v>39.200000000000003</v>
      </c>
      <c r="H5479" s="1241">
        <v>45918</v>
      </c>
    </row>
    <row r="5480" spans="3:8" x14ac:dyDescent="0.25">
      <c r="C5480" s="1239">
        <v>10</v>
      </c>
      <c r="D5480" s="1239">
        <v>111</v>
      </c>
      <c r="E5480" s="1240">
        <v>41.1</v>
      </c>
      <c r="F5480" s="4">
        <f t="shared" si="92"/>
        <v>2.2388059701492501E-2</v>
      </c>
      <c r="G5480" s="37">
        <v>39.200000000000003</v>
      </c>
      <c r="H5480" s="1241">
        <v>45918</v>
      </c>
    </row>
    <row r="5481" spans="3:8" x14ac:dyDescent="0.25">
      <c r="C5481" s="1242" t="s">
        <v>0</v>
      </c>
      <c r="D5481" s="1242" t="s">
        <v>7</v>
      </c>
      <c r="E5481" s="1243" t="s">
        <v>4</v>
      </c>
      <c r="F5481" s="4" t="str">
        <f t="shared" si="92"/>
        <v/>
      </c>
      <c r="G5481" s="37">
        <v>39.6</v>
      </c>
      <c r="H5481" s="1244">
        <v>45919</v>
      </c>
    </row>
    <row r="5482" spans="3:8" x14ac:dyDescent="0.25">
      <c r="C5482" s="1242">
        <v>51</v>
      </c>
      <c r="D5482" s="1242">
        <v>35</v>
      </c>
      <c r="E5482" s="1243">
        <v>36.4</v>
      </c>
      <c r="F5482" s="4">
        <f t="shared" si="92"/>
        <v>-1.3550135501355014E-2</v>
      </c>
      <c r="G5482" s="37">
        <v>39.6</v>
      </c>
      <c r="H5482" s="1244">
        <v>45919</v>
      </c>
    </row>
    <row r="5483" spans="3:8" x14ac:dyDescent="0.25">
      <c r="C5483" s="1242">
        <v>1</v>
      </c>
      <c r="D5483" s="1242">
        <v>111</v>
      </c>
      <c r="E5483" s="1243">
        <v>42.6</v>
      </c>
      <c r="F5483" s="4">
        <f t="shared" si="92"/>
        <v>9.2307692307692341E-2</v>
      </c>
      <c r="G5483" s="37">
        <v>39.6</v>
      </c>
      <c r="H5483" s="1244">
        <v>45919</v>
      </c>
    </row>
    <row r="5484" spans="3:8" x14ac:dyDescent="0.25">
      <c r="C5484" s="1242">
        <v>2</v>
      </c>
      <c r="D5484" s="1242">
        <v>49</v>
      </c>
      <c r="E5484" s="1243">
        <v>37</v>
      </c>
      <c r="F5484" s="4">
        <f t="shared" si="92"/>
        <v>-5.3763440860215813E-3</v>
      </c>
      <c r="G5484" s="37">
        <v>39.6</v>
      </c>
      <c r="H5484" s="1244">
        <v>45919</v>
      </c>
    </row>
    <row r="5485" spans="3:8" x14ac:dyDescent="0.25">
      <c r="C5485" s="1242">
        <v>3</v>
      </c>
      <c r="D5485" s="1242">
        <v>0</v>
      </c>
      <c r="E5485" s="1243"/>
      <c r="F5485" s="4" t="str">
        <f t="shared" si="92"/>
        <v/>
      </c>
      <c r="G5485" s="37">
        <v>39.6</v>
      </c>
      <c r="H5485" s="1244">
        <v>45919</v>
      </c>
    </row>
    <row r="5486" spans="3:8" x14ac:dyDescent="0.25">
      <c r="C5486" s="1242">
        <v>4</v>
      </c>
      <c r="D5486" s="1242">
        <v>114</v>
      </c>
      <c r="E5486" s="1243">
        <v>41.6</v>
      </c>
      <c r="F5486" s="4">
        <f t="shared" si="92"/>
        <v>-1.6548463356973894E-2</v>
      </c>
      <c r="G5486" s="37">
        <v>39.6</v>
      </c>
      <c r="H5486" s="1244">
        <v>45919</v>
      </c>
    </row>
    <row r="5487" spans="3:8" x14ac:dyDescent="0.25">
      <c r="C5487" s="1242">
        <v>5</v>
      </c>
      <c r="D5487" s="1242">
        <v>88</v>
      </c>
      <c r="E5487" s="1243">
        <v>29.6</v>
      </c>
      <c r="F5487" s="4">
        <f t="shared" si="92"/>
        <v>-1.0033444816053417E-2</v>
      </c>
      <c r="G5487" s="37">
        <v>39.6</v>
      </c>
      <c r="H5487" s="1244">
        <v>45919</v>
      </c>
    </row>
    <row r="5488" spans="3:8" x14ac:dyDescent="0.25">
      <c r="C5488" s="1242">
        <v>6</v>
      </c>
      <c r="D5488" s="1242">
        <v>117</v>
      </c>
      <c r="E5488" s="1243">
        <v>40.799999999999997</v>
      </c>
      <c r="F5488" s="4">
        <f t="shared" si="92"/>
        <v>-7.2992700729928046E-3</v>
      </c>
      <c r="G5488" s="37">
        <v>39.6</v>
      </c>
      <c r="H5488" s="1244">
        <v>45919</v>
      </c>
    </row>
    <row r="5489" spans="3:8" x14ac:dyDescent="0.25">
      <c r="C5489" s="1242">
        <v>7</v>
      </c>
      <c r="D5489" s="1242">
        <v>68</v>
      </c>
      <c r="E5489" s="1243">
        <v>34.200000000000003</v>
      </c>
      <c r="F5489" s="4">
        <f t="shared" si="92"/>
        <v>-7.816711590296492E-2</v>
      </c>
      <c r="G5489" s="37">
        <v>39.6</v>
      </c>
      <c r="H5489" s="1244">
        <v>45919</v>
      </c>
    </row>
    <row r="5490" spans="3:8" x14ac:dyDescent="0.25">
      <c r="C5490" s="1242">
        <v>8</v>
      </c>
      <c r="D5490" s="1242">
        <v>0</v>
      </c>
      <c r="E5490" s="1243"/>
      <c r="F5490" s="4" t="str">
        <f t="shared" si="92"/>
        <v/>
      </c>
      <c r="G5490" s="37">
        <v>39.6</v>
      </c>
      <c r="H5490" s="1244">
        <v>45919</v>
      </c>
    </row>
    <row r="5491" spans="3:8" x14ac:dyDescent="0.25">
      <c r="C5491" s="1242">
        <v>9</v>
      </c>
      <c r="D5491" s="1242">
        <v>95</v>
      </c>
      <c r="E5491" s="1243">
        <v>40.700000000000003</v>
      </c>
      <c r="F5491" s="4">
        <f t="shared" si="92"/>
        <v>1.7500000000000071E-2</v>
      </c>
      <c r="G5491" s="37">
        <v>39.6</v>
      </c>
      <c r="H5491" s="1244">
        <v>45919</v>
      </c>
    </row>
    <row r="5492" spans="3:8" x14ac:dyDescent="0.25">
      <c r="C5492" s="1242">
        <v>10</v>
      </c>
      <c r="D5492" s="1242">
        <v>111</v>
      </c>
      <c r="E5492" s="1243">
        <v>40.4</v>
      </c>
      <c r="F5492" s="4">
        <f t="shared" si="92"/>
        <v>-1.7031630170316371E-2</v>
      </c>
      <c r="G5492" s="37">
        <v>39.6</v>
      </c>
      <c r="H5492" s="1244">
        <v>45919</v>
      </c>
    </row>
    <row r="5493" spans="3:8" x14ac:dyDescent="0.25">
      <c r="C5493" s="1245" t="s">
        <v>0</v>
      </c>
      <c r="D5493" s="1245" t="s">
        <v>7</v>
      </c>
      <c r="E5493" s="1246" t="s">
        <v>4</v>
      </c>
      <c r="F5493" s="4" t="str">
        <f t="shared" si="92"/>
        <v/>
      </c>
      <c r="G5493" s="37">
        <v>38.9</v>
      </c>
      <c r="H5493" s="1244">
        <v>45920</v>
      </c>
    </row>
    <row r="5494" spans="3:8" x14ac:dyDescent="0.25">
      <c r="C5494" s="1245">
        <v>51</v>
      </c>
      <c r="D5494" s="1245">
        <v>40</v>
      </c>
      <c r="E5494" s="1246">
        <v>37.299999999999997</v>
      </c>
      <c r="F5494" s="4">
        <f t="shared" si="92"/>
        <v>2.4725274725274686E-2</v>
      </c>
      <c r="G5494" s="37">
        <v>38.9</v>
      </c>
      <c r="H5494" s="1244">
        <v>45920</v>
      </c>
    </row>
    <row r="5495" spans="3:8" x14ac:dyDescent="0.25">
      <c r="C5495" s="1245">
        <v>1</v>
      </c>
      <c r="D5495" s="1245">
        <v>110</v>
      </c>
      <c r="E5495" s="1246">
        <v>39.299999999999997</v>
      </c>
      <c r="F5495" s="4">
        <f t="shared" si="92"/>
        <v>-7.7464788732394457E-2</v>
      </c>
      <c r="G5495" s="37">
        <v>38.9</v>
      </c>
      <c r="H5495" s="1244">
        <v>45920</v>
      </c>
    </row>
    <row r="5496" spans="3:8" x14ac:dyDescent="0.25">
      <c r="C5496" s="1245">
        <v>2</v>
      </c>
      <c r="D5496" s="1245">
        <v>48</v>
      </c>
      <c r="E5496" s="1246">
        <v>35.9</v>
      </c>
      <c r="F5496" s="4">
        <f t="shared" si="92"/>
        <v>-2.972972972972977E-2</v>
      </c>
      <c r="G5496" s="37">
        <v>38.9</v>
      </c>
      <c r="H5496" s="1244">
        <v>45920</v>
      </c>
    </row>
    <row r="5497" spans="3:8" x14ac:dyDescent="0.25">
      <c r="C5497" s="1245">
        <v>3</v>
      </c>
      <c r="D5497" s="1245">
        <v>0</v>
      </c>
      <c r="E5497" s="1246"/>
      <c r="F5497" s="4" t="str">
        <f t="shared" si="92"/>
        <v/>
      </c>
      <c r="G5497" s="37">
        <v>38.9</v>
      </c>
      <c r="H5497" s="1244">
        <v>45920</v>
      </c>
    </row>
    <row r="5498" spans="3:8" x14ac:dyDescent="0.25">
      <c r="C5498" s="1245">
        <v>4</v>
      </c>
      <c r="D5498" s="1245">
        <v>112</v>
      </c>
      <c r="E5498" s="1246">
        <v>41</v>
      </c>
      <c r="F5498" s="4">
        <f t="shared" si="92"/>
        <v>-1.4423076923076957E-2</v>
      </c>
      <c r="G5498" s="37">
        <v>38.9</v>
      </c>
      <c r="H5498" s="1244">
        <v>45920</v>
      </c>
    </row>
    <row r="5499" spans="3:8" x14ac:dyDescent="0.25">
      <c r="C5499" s="1245">
        <v>5</v>
      </c>
      <c r="D5499" s="1245">
        <v>88</v>
      </c>
      <c r="E5499" s="1246">
        <v>29.8</v>
      </c>
      <c r="F5499" s="4">
        <f t="shared" si="92"/>
        <v>6.7567567567567328E-3</v>
      </c>
      <c r="G5499" s="37">
        <v>38.9</v>
      </c>
      <c r="H5499" s="1244">
        <v>45920</v>
      </c>
    </row>
    <row r="5500" spans="3:8" x14ac:dyDescent="0.25">
      <c r="C5500" s="1245">
        <v>6</v>
      </c>
      <c r="D5500" s="1245">
        <v>117</v>
      </c>
      <c r="E5500" s="1246">
        <v>40.9</v>
      </c>
      <c r="F5500" s="4">
        <f t="shared" si="92"/>
        <v>2.4509803921568978E-3</v>
      </c>
      <c r="G5500" s="37">
        <v>38.9</v>
      </c>
      <c r="H5500" s="1244">
        <v>45920</v>
      </c>
    </row>
    <row r="5501" spans="3:8" x14ac:dyDescent="0.25">
      <c r="C5501" s="1245">
        <v>7</v>
      </c>
      <c r="D5501" s="1245">
        <v>68</v>
      </c>
      <c r="E5501" s="1246">
        <v>37</v>
      </c>
      <c r="F5501" s="4">
        <f t="shared" si="92"/>
        <v>8.1871345029239678E-2</v>
      </c>
      <c r="G5501" s="37">
        <v>38.9</v>
      </c>
      <c r="H5501" s="1244">
        <v>45920</v>
      </c>
    </row>
    <row r="5502" spans="3:8" x14ac:dyDescent="0.25">
      <c r="C5502" s="1245">
        <v>8</v>
      </c>
      <c r="D5502" s="1245">
        <v>0</v>
      </c>
      <c r="E5502" s="1246"/>
      <c r="F5502" s="4" t="str">
        <f t="shared" si="92"/>
        <v/>
      </c>
      <c r="G5502" s="37">
        <v>38.9</v>
      </c>
      <c r="H5502" s="1244">
        <v>45920</v>
      </c>
    </row>
    <row r="5503" spans="3:8" x14ac:dyDescent="0.25">
      <c r="C5503" s="1245">
        <v>9</v>
      </c>
      <c r="D5503" s="1245">
        <v>95</v>
      </c>
      <c r="E5503" s="1246">
        <v>40.5</v>
      </c>
      <c r="F5503" s="4">
        <f t="shared" si="92"/>
        <v>-4.9140049140049833E-3</v>
      </c>
      <c r="G5503" s="37">
        <v>38.9</v>
      </c>
      <c r="H5503" s="1244">
        <v>45920</v>
      </c>
    </row>
    <row r="5504" spans="3:8" x14ac:dyDescent="0.25">
      <c r="C5504" s="1245">
        <v>10</v>
      </c>
      <c r="D5504" s="1245">
        <v>112</v>
      </c>
      <c r="E5504" s="1246">
        <v>40.9</v>
      </c>
      <c r="F5504" s="4">
        <f t="shared" si="92"/>
        <v>1.2376237623762377E-2</v>
      </c>
      <c r="G5504" s="37">
        <v>38.9</v>
      </c>
      <c r="H5504" s="1244">
        <v>45920</v>
      </c>
    </row>
    <row r="5505" spans="3:8" x14ac:dyDescent="0.25">
      <c r="C5505" s="1247" t="s">
        <v>0</v>
      </c>
      <c r="D5505" s="1247" t="s">
        <v>7</v>
      </c>
      <c r="E5505" s="1248" t="s">
        <v>4</v>
      </c>
      <c r="F5505" s="4" t="str">
        <f t="shared" si="92"/>
        <v/>
      </c>
      <c r="G5505" s="37">
        <v>38.5</v>
      </c>
      <c r="H5505" s="1244">
        <v>45921</v>
      </c>
    </row>
    <row r="5506" spans="3:8" x14ac:dyDescent="0.25">
      <c r="C5506" s="1247">
        <v>51</v>
      </c>
      <c r="D5506" s="1247">
        <v>37</v>
      </c>
      <c r="E5506" s="1248">
        <v>35.700000000000003</v>
      </c>
      <c r="F5506" s="4">
        <f t="shared" si="92"/>
        <v>-4.2895442359249178E-2</v>
      </c>
      <c r="G5506" s="37">
        <v>38.5</v>
      </c>
      <c r="H5506" s="1244">
        <v>45921</v>
      </c>
    </row>
    <row r="5507" spans="3:8" x14ac:dyDescent="0.25">
      <c r="C5507" s="1247">
        <v>1</v>
      </c>
      <c r="D5507" s="1247">
        <v>110</v>
      </c>
      <c r="E5507" s="1248">
        <v>39.6</v>
      </c>
      <c r="F5507" s="4">
        <f t="shared" si="92"/>
        <v>7.633587786259651E-3</v>
      </c>
      <c r="G5507" s="37">
        <v>38.5</v>
      </c>
      <c r="H5507" s="1244">
        <v>45921</v>
      </c>
    </row>
    <row r="5508" spans="3:8" x14ac:dyDescent="0.25">
      <c r="C5508" s="1247">
        <v>2</v>
      </c>
      <c r="D5508" s="1247">
        <v>45</v>
      </c>
      <c r="E5508" s="1248">
        <v>36.700000000000003</v>
      </c>
      <c r="F5508" s="4">
        <f t="shared" si="92"/>
        <v>2.2284122562674213E-2</v>
      </c>
      <c r="G5508" s="37">
        <v>38.5</v>
      </c>
      <c r="H5508" s="1244">
        <v>45921</v>
      </c>
    </row>
    <row r="5509" spans="3:8" x14ac:dyDescent="0.25">
      <c r="C5509" s="1247">
        <v>3</v>
      </c>
      <c r="D5509" s="1247">
        <v>0</v>
      </c>
      <c r="E5509" s="1248"/>
      <c r="F5509" s="4" t="str">
        <f t="shared" si="92"/>
        <v/>
      </c>
      <c r="G5509" s="37">
        <v>38.5</v>
      </c>
      <c r="H5509" s="1244">
        <v>45921</v>
      </c>
    </row>
    <row r="5510" spans="3:8" x14ac:dyDescent="0.25">
      <c r="C5510" s="1247">
        <v>4</v>
      </c>
      <c r="D5510" s="1247">
        <v>111</v>
      </c>
      <c r="E5510" s="1248">
        <v>41.9</v>
      </c>
      <c r="F5510" s="4">
        <f t="shared" si="92"/>
        <v>2.1951219512195086E-2</v>
      </c>
      <c r="G5510" s="37">
        <v>38.5</v>
      </c>
      <c r="H5510" s="1244">
        <v>45921</v>
      </c>
    </row>
    <row r="5511" spans="3:8" x14ac:dyDescent="0.25">
      <c r="C5511" s="1247">
        <v>5</v>
      </c>
      <c r="D5511" s="1247">
        <v>91</v>
      </c>
      <c r="E5511" s="1248">
        <v>29.3</v>
      </c>
      <c r="F5511" s="4">
        <f t="shared" si="92"/>
        <v>-1.6778523489932886E-2</v>
      </c>
      <c r="G5511" s="37">
        <v>38.5</v>
      </c>
      <c r="H5511" s="1244">
        <v>45921</v>
      </c>
    </row>
    <row r="5512" spans="3:8" x14ac:dyDescent="0.25">
      <c r="C5512" s="1247">
        <v>6</v>
      </c>
      <c r="D5512" s="1247">
        <v>120</v>
      </c>
      <c r="E5512" s="1248">
        <v>40.4</v>
      </c>
      <c r="F5512" s="4">
        <f t="shared" si="92"/>
        <v>-1.2224938875305624E-2</v>
      </c>
      <c r="G5512" s="37">
        <v>38.5</v>
      </c>
      <c r="H5512" s="1244">
        <v>45921</v>
      </c>
    </row>
    <row r="5513" spans="3:8" x14ac:dyDescent="0.25">
      <c r="C5513" s="1247">
        <v>7</v>
      </c>
      <c r="D5513" s="1247">
        <v>68</v>
      </c>
      <c r="E5513" s="1248">
        <v>36.700000000000003</v>
      </c>
      <c r="F5513" s="4">
        <f t="shared" si="92"/>
        <v>-8.1081081081080305E-3</v>
      </c>
      <c r="G5513" s="37">
        <v>38.5</v>
      </c>
      <c r="H5513" s="1244">
        <v>45921</v>
      </c>
    </row>
    <row r="5514" spans="3:8" x14ac:dyDescent="0.25">
      <c r="C5514" s="1247">
        <v>8</v>
      </c>
      <c r="D5514" s="1247">
        <v>0</v>
      </c>
      <c r="E5514" s="1248"/>
      <c r="F5514" s="4" t="str">
        <f t="shared" si="92"/>
        <v/>
      </c>
      <c r="G5514" s="37">
        <v>38.5</v>
      </c>
      <c r="H5514" s="1244">
        <v>45921</v>
      </c>
    </row>
    <row r="5515" spans="3:8" x14ac:dyDescent="0.25">
      <c r="C5515" s="1247">
        <v>9</v>
      </c>
      <c r="D5515" s="1247">
        <v>95</v>
      </c>
      <c r="E5515" s="1248">
        <v>39.799999999999997</v>
      </c>
      <c r="F5515" s="4">
        <f t="shared" si="92"/>
        <v>-1.7283950617284022E-2</v>
      </c>
      <c r="G5515" s="37">
        <v>38.5</v>
      </c>
      <c r="H5515" s="1244">
        <v>45921</v>
      </c>
    </row>
    <row r="5516" spans="3:8" x14ac:dyDescent="0.25">
      <c r="C5516" s="1247">
        <v>10</v>
      </c>
      <c r="D5516" s="1247">
        <v>112</v>
      </c>
      <c r="E5516" s="1248">
        <v>40.4</v>
      </c>
      <c r="F5516" s="4">
        <f t="shared" si="92"/>
        <v>-1.2224938875305624E-2</v>
      </c>
      <c r="G5516" s="37">
        <v>38.5</v>
      </c>
      <c r="H5516" s="1244">
        <v>45921</v>
      </c>
    </row>
    <row r="5517" spans="3:8" x14ac:dyDescent="0.25">
      <c r="C5517" s="1249" t="s">
        <v>0</v>
      </c>
      <c r="D5517" s="1249" t="s">
        <v>7</v>
      </c>
      <c r="E5517" s="1250" t="s">
        <v>4</v>
      </c>
      <c r="F5517" s="4" t="str">
        <f t="shared" si="92"/>
        <v/>
      </c>
      <c r="G5517" s="37">
        <v>39.1</v>
      </c>
      <c r="H5517" s="1251">
        <v>45922</v>
      </c>
    </row>
    <row r="5518" spans="3:8" x14ac:dyDescent="0.25">
      <c r="C5518" s="1249">
        <v>51</v>
      </c>
      <c r="D5518" s="1249">
        <v>37</v>
      </c>
      <c r="E5518" s="1250">
        <v>35.799999999999997</v>
      </c>
      <c r="F5518" s="4">
        <f t="shared" si="92"/>
        <v>2.8011204481791121E-3</v>
      </c>
      <c r="G5518" s="37">
        <v>39.1</v>
      </c>
      <c r="H5518" s="1251">
        <v>45922</v>
      </c>
    </row>
    <row r="5519" spans="3:8" x14ac:dyDescent="0.25">
      <c r="C5519" s="1249">
        <v>1</v>
      </c>
      <c r="D5519" s="1249">
        <v>110</v>
      </c>
      <c r="E5519" s="1250">
        <v>39.4</v>
      </c>
      <c r="F5519" s="4">
        <f t="shared" si="92"/>
        <v>-5.0505050505051221E-3</v>
      </c>
      <c r="G5519" s="37">
        <v>39.1</v>
      </c>
      <c r="H5519" s="1251">
        <v>45922</v>
      </c>
    </row>
    <row r="5520" spans="3:8" x14ac:dyDescent="0.25">
      <c r="C5520" s="1249">
        <v>2</v>
      </c>
      <c r="D5520" s="1249">
        <v>45</v>
      </c>
      <c r="E5520" s="1250">
        <v>37.200000000000003</v>
      </c>
      <c r="F5520" s="4">
        <f t="shared" si="92"/>
        <v>1.3623978201634876E-2</v>
      </c>
      <c r="G5520" s="37">
        <v>39.1</v>
      </c>
      <c r="H5520" s="1251">
        <v>45922</v>
      </c>
    </row>
    <row r="5521" spans="3:8" x14ac:dyDescent="0.25">
      <c r="C5521" s="1249">
        <v>3</v>
      </c>
      <c r="D5521" s="1249">
        <v>0</v>
      </c>
      <c r="E5521" s="1250"/>
      <c r="F5521" s="4" t="str">
        <f t="shared" si="92"/>
        <v/>
      </c>
      <c r="G5521" s="37">
        <v>39.1</v>
      </c>
      <c r="H5521" s="1251">
        <v>45922</v>
      </c>
    </row>
    <row r="5522" spans="3:8" x14ac:dyDescent="0.25">
      <c r="C5522" s="1249">
        <v>4</v>
      </c>
      <c r="D5522" s="1249">
        <v>110</v>
      </c>
      <c r="E5522" s="1250">
        <v>43.2</v>
      </c>
      <c r="F5522" s="4">
        <f t="shared" si="92"/>
        <v>3.1026252983293659E-2</v>
      </c>
      <c r="G5522" s="37">
        <v>39.1</v>
      </c>
      <c r="H5522" s="1251">
        <v>45922</v>
      </c>
    </row>
    <row r="5523" spans="3:8" x14ac:dyDescent="0.25">
      <c r="C5523" s="1249">
        <v>5</v>
      </c>
      <c r="D5523" s="1249">
        <v>90</v>
      </c>
      <c r="E5523" s="1250">
        <v>29.2</v>
      </c>
      <c r="F5523" s="4">
        <f t="shared" si="92"/>
        <v>-3.4129692832764991E-3</v>
      </c>
      <c r="G5523" s="37">
        <v>39.1</v>
      </c>
      <c r="H5523" s="1251">
        <v>45922</v>
      </c>
    </row>
    <row r="5524" spans="3:8" x14ac:dyDescent="0.25">
      <c r="C5524" s="1249">
        <v>6</v>
      </c>
      <c r="D5524" s="1249">
        <v>119</v>
      </c>
      <c r="E5524" s="1250">
        <v>41.3</v>
      </c>
      <c r="F5524" s="4">
        <f t="shared" si="92"/>
        <v>2.2277227722772242E-2</v>
      </c>
      <c r="G5524" s="37">
        <v>39.1</v>
      </c>
      <c r="H5524" s="1251">
        <v>45922</v>
      </c>
    </row>
    <row r="5525" spans="3:8" x14ac:dyDescent="0.25">
      <c r="C5525" s="1249">
        <v>7</v>
      </c>
      <c r="D5525" s="1249">
        <v>68</v>
      </c>
      <c r="E5525" s="1250">
        <v>37.5</v>
      </c>
      <c r="F5525" s="4">
        <f t="shared" si="92"/>
        <v>2.1798365122615723E-2</v>
      </c>
      <c r="G5525" s="37">
        <v>39.1</v>
      </c>
      <c r="H5525" s="1251">
        <v>45922</v>
      </c>
    </row>
    <row r="5526" spans="3:8" x14ac:dyDescent="0.25">
      <c r="C5526" s="1249">
        <v>8</v>
      </c>
      <c r="D5526" s="1249">
        <v>0</v>
      </c>
      <c r="E5526" s="1250"/>
      <c r="F5526" s="4" t="str">
        <f t="shared" si="92"/>
        <v/>
      </c>
      <c r="G5526" s="37">
        <v>39.1</v>
      </c>
      <c r="H5526" s="1251">
        <v>45922</v>
      </c>
    </row>
    <row r="5527" spans="3:8" x14ac:dyDescent="0.25">
      <c r="C5527" s="1249">
        <v>9</v>
      </c>
      <c r="D5527" s="1249">
        <v>95</v>
      </c>
      <c r="E5527" s="1250">
        <v>40.799999999999997</v>
      </c>
      <c r="F5527" s="4">
        <f t="shared" si="92"/>
        <v>2.5125628140703519E-2</v>
      </c>
      <c r="G5527" s="37">
        <v>39.1</v>
      </c>
      <c r="H5527" s="1251">
        <v>45922</v>
      </c>
    </row>
    <row r="5528" spans="3:8" x14ac:dyDescent="0.25">
      <c r="C5528" s="1249">
        <v>10</v>
      </c>
      <c r="D5528" s="1249">
        <v>112</v>
      </c>
      <c r="E5528" s="1250">
        <v>41.1</v>
      </c>
      <c r="F5528" s="4">
        <f t="shared" si="92"/>
        <v>1.7326732673267398E-2</v>
      </c>
      <c r="G5528" s="37">
        <v>39.1</v>
      </c>
      <c r="H5528" s="1251">
        <v>45922</v>
      </c>
    </row>
    <row r="5529" spans="3:8" x14ac:dyDescent="0.25">
      <c r="C5529" s="1252" t="s">
        <v>0</v>
      </c>
      <c r="D5529" s="1252" t="s">
        <v>7</v>
      </c>
      <c r="E5529" s="1253" t="s">
        <v>4</v>
      </c>
      <c r="F5529" s="4" t="str">
        <f t="shared" si="92"/>
        <v/>
      </c>
      <c r="G5529" s="37">
        <v>39.299999999999997</v>
      </c>
      <c r="H5529" s="1254">
        <v>45966</v>
      </c>
    </row>
    <row r="5530" spans="3:8" x14ac:dyDescent="0.25">
      <c r="C5530" s="1252">
        <v>51</v>
      </c>
      <c r="D5530" s="1252">
        <v>36</v>
      </c>
      <c r="E5530" s="1253">
        <v>36.4</v>
      </c>
      <c r="F5530" s="4">
        <f t="shared" si="92"/>
        <v>1.675977653631289E-2</v>
      </c>
      <c r="G5530" s="37">
        <v>39.299999999999997</v>
      </c>
      <c r="H5530" s="1254">
        <v>45966</v>
      </c>
    </row>
    <row r="5531" spans="3:8" x14ac:dyDescent="0.25">
      <c r="C5531" s="1252">
        <v>1</v>
      </c>
      <c r="D5531" s="1252">
        <v>110</v>
      </c>
      <c r="E5531" s="1253">
        <v>39</v>
      </c>
      <c r="F5531" s="4">
        <f t="shared" si="92"/>
        <v>-1.0152284263959355E-2</v>
      </c>
      <c r="G5531" s="37">
        <v>39.299999999999997</v>
      </c>
      <c r="H5531" s="1254">
        <v>45966</v>
      </c>
    </row>
    <row r="5532" spans="3:8" x14ac:dyDescent="0.25">
      <c r="C5532" s="1252">
        <v>2</v>
      </c>
      <c r="D5532" s="1252">
        <v>44</v>
      </c>
      <c r="E5532" s="1253">
        <v>36.5</v>
      </c>
      <c r="F5532" s="4">
        <f t="shared" si="92"/>
        <v>-1.8817204301075342E-2</v>
      </c>
      <c r="G5532" s="37">
        <v>39.299999999999997</v>
      </c>
      <c r="H5532" s="1254">
        <v>45966</v>
      </c>
    </row>
    <row r="5533" spans="3:8" x14ac:dyDescent="0.25">
      <c r="C5533" s="1252">
        <v>3</v>
      </c>
      <c r="D5533" s="1252">
        <v>0</v>
      </c>
      <c r="E5533" s="1253">
        <v>36.5</v>
      </c>
      <c r="F5533" s="4" t="str">
        <f t="shared" si="92"/>
        <v/>
      </c>
      <c r="G5533" s="37">
        <v>39.299999999999997</v>
      </c>
      <c r="H5533" s="1254">
        <v>45966</v>
      </c>
    </row>
    <row r="5534" spans="3:8" x14ac:dyDescent="0.25">
      <c r="C5534" s="1252">
        <v>4</v>
      </c>
      <c r="D5534" s="1252">
        <v>110</v>
      </c>
      <c r="E5534" s="1253">
        <v>43.1</v>
      </c>
      <c r="F5534" s="4">
        <f t="shared" ref="F5534:F5597" si="93">IFERROR((E5534-E5522)/E5522,"")</f>
        <v>-2.3148148148148476E-3</v>
      </c>
      <c r="G5534" s="37">
        <v>39.299999999999997</v>
      </c>
      <c r="H5534" s="1254">
        <v>45966</v>
      </c>
    </row>
    <row r="5535" spans="3:8" x14ac:dyDescent="0.25">
      <c r="C5535" s="1252">
        <v>5</v>
      </c>
      <c r="D5535" s="1252">
        <v>90</v>
      </c>
      <c r="E5535" s="1253">
        <v>29.8</v>
      </c>
      <c r="F5535" s="4">
        <f t="shared" si="93"/>
        <v>2.0547945205479503E-2</v>
      </c>
      <c r="G5535" s="37">
        <v>39.299999999999997</v>
      </c>
      <c r="H5535" s="1254">
        <v>45966</v>
      </c>
    </row>
    <row r="5536" spans="3:8" x14ac:dyDescent="0.25">
      <c r="C5536" s="1252">
        <v>6</v>
      </c>
      <c r="D5536" s="1252">
        <v>119</v>
      </c>
      <c r="E5536" s="1253">
        <v>40.799999999999997</v>
      </c>
      <c r="F5536" s="4">
        <f t="shared" si="93"/>
        <v>-1.2106537530266345E-2</v>
      </c>
      <c r="G5536" s="37">
        <v>39.299999999999997</v>
      </c>
      <c r="H5536" s="1254">
        <v>45966</v>
      </c>
    </row>
    <row r="5537" spans="3:8" x14ac:dyDescent="0.25">
      <c r="C5537" s="1252">
        <v>7</v>
      </c>
      <c r="D5537" s="1252">
        <v>68</v>
      </c>
      <c r="E5537" s="1253">
        <v>38.799999999999997</v>
      </c>
      <c r="F5537" s="4">
        <f t="shared" si="93"/>
        <v>3.4666666666666589E-2</v>
      </c>
      <c r="G5537" s="37">
        <v>39.299999999999997</v>
      </c>
      <c r="H5537" s="1254">
        <v>45966</v>
      </c>
    </row>
    <row r="5538" spans="3:8" x14ac:dyDescent="0.25">
      <c r="C5538" s="1252">
        <v>8</v>
      </c>
      <c r="D5538" s="1252">
        <v>0</v>
      </c>
      <c r="E5538" s="1253"/>
      <c r="F5538" s="4" t="str">
        <f t="shared" si="93"/>
        <v/>
      </c>
      <c r="G5538" s="37">
        <v>39.299999999999997</v>
      </c>
      <c r="H5538" s="1254">
        <v>45966</v>
      </c>
    </row>
    <row r="5539" spans="3:8" x14ac:dyDescent="0.25">
      <c r="C5539" s="1252">
        <v>9</v>
      </c>
      <c r="D5539" s="1252">
        <v>95</v>
      </c>
      <c r="E5539" s="1253">
        <v>40.6</v>
      </c>
      <c r="F5539" s="4">
        <f t="shared" si="93"/>
        <v>-4.9019607843136213E-3</v>
      </c>
      <c r="G5539" s="37">
        <v>39.299999999999997</v>
      </c>
      <c r="H5539" s="1254">
        <v>45966</v>
      </c>
    </row>
    <row r="5540" spans="3:8" x14ac:dyDescent="0.25">
      <c r="C5540" s="1252">
        <v>10</v>
      </c>
      <c r="D5540" s="1252">
        <v>112</v>
      </c>
      <c r="E5540" s="1253">
        <v>40.799999999999997</v>
      </c>
      <c r="F5540" s="4">
        <f t="shared" si="93"/>
        <v>-7.2992700729928046E-3</v>
      </c>
      <c r="G5540" s="37">
        <v>39.299999999999997</v>
      </c>
      <c r="H5540" s="1254">
        <v>45966</v>
      </c>
    </row>
    <row r="5541" spans="3:8" x14ac:dyDescent="0.25">
      <c r="C5541" s="1252" t="s">
        <v>0</v>
      </c>
      <c r="D5541" s="1252" t="s">
        <v>7</v>
      </c>
      <c r="E5541" s="1253" t="s">
        <v>4</v>
      </c>
      <c r="F5541" s="4" t="str">
        <f t="shared" si="93"/>
        <v/>
      </c>
      <c r="G5541" s="37">
        <v>35.9</v>
      </c>
      <c r="H5541" s="1254">
        <v>45967</v>
      </c>
    </row>
    <row r="5542" spans="3:8" x14ac:dyDescent="0.25">
      <c r="C5542" s="1252">
        <v>51</v>
      </c>
      <c r="D5542" s="1252">
        <v>31</v>
      </c>
      <c r="E5542" s="1253">
        <v>29.9</v>
      </c>
      <c r="F5542" s="4">
        <f t="shared" si="93"/>
        <v>-0.17857142857142858</v>
      </c>
      <c r="G5542" s="37">
        <v>35.9</v>
      </c>
      <c r="H5542" s="1254">
        <v>45967</v>
      </c>
    </row>
    <row r="5543" spans="3:8" x14ac:dyDescent="0.25">
      <c r="C5543" s="1252">
        <v>1</v>
      </c>
      <c r="D5543" s="1252">
        <v>99</v>
      </c>
      <c r="E5543" s="1253">
        <v>34.299999999999997</v>
      </c>
      <c r="F5543" s="4">
        <f t="shared" si="93"/>
        <v>-0.12051282051282058</v>
      </c>
      <c r="G5543" s="37">
        <v>35.9</v>
      </c>
      <c r="H5543" s="1254">
        <v>45967</v>
      </c>
    </row>
    <row r="5544" spans="3:8" x14ac:dyDescent="0.25">
      <c r="C5544" s="1252">
        <v>2</v>
      </c>
      <c r="D5544" s="1252">
        <v>37</v>
      </c>
      <c r="E5544" s="1253">
        <v>34.4</v>
      </c>
      <c r="F5544" s="4">
        <f t="shared" si="93"/>
        <v>-5.7534246575342507E-2</v>
      </c>
      <c r="G5544" s="37">
        <v>35.9</v>
      </c>
      <c r="H5544" s="1254">
        <v>45967</v>
      </c>
    </row>
    <row r="5545" spans="3:8" x14ac:dyDescent="0.25">
      <c r="C5545" s="1252">
        <v>3</v>
      </c>
      <c r="D5545" s="1252">
        <v>120</v>
      </c>
      <c r="E5545" s="1253">
        <v>38.799999999999997</v>
      </c>
      <c r="F5545" s="4">
        <f t="shared" si="93"/>
        <v>6.3013698630136908E-2</v>
      </c>
      <c r="G5545" s="37">
        <v>35.9</v>
      </c>
      <c r="H5545" s="1254">
        <v>45967</v>
      </c>
    </row>
    <row r="5546" spans="3:8" x14ac:dyDescent="0.25">
      <c r="C5546" s="1252">
        <v>4</v>
      </c>
      <c r="D5546" s="1252">
        <v>99</v>
      </c>
      <c r="E5546" s="1253">
        <v>39.4</v>
      </c>
      <c r="F5546" s="4">
        <f t="shared" si="93"/>
        <v>-8.5846867749420019E-2</v>
      </c>
      <c r="G5546" s="37">
        <v>35.9</v>
      </c>
      <c r="H5546" s="1254">
        <v>45967</v>
      </c>
    </row>
    <row r="5547" spans="3:8" x14ac:dyDescent="0.25">
      <c r="C5547" s="1252">
        <v>5</v>
      </c>
      <c r="D5547" s="1252">
        <v>134</v>
      </c>
      <c r="E5547" s="1253">
        <v>27.4</v>
      </c>
      <c r="F5547" s="4">
        <f t="shared" si="93"/>
        <v>-8.0536912751677917E-2</v>
      </c>
      <c r="G5547" s="37">
        <v>35.9</v>
      </c>
      <c r="H5547" s="1254">
        <v>45967</v>
      </c>
    </row>
    <row r="5548" spans="3:8" x14ac:dyDescent="0.25">
      <c r="C5548" s="1252">
        <v>6</v>
      </c>
      <c r="D5548" s="1252">
        <v>0</v>
      </c>
      <c r="E5548" s="1253"/>
      <c r="F5548" s="4"/>
      <c r="G5548" s="37">
        <v>35.9</v>
      </c>
      <c r="H5548" s="1254">
        <v>45967</v>
      </c>
    </row>
    <row r="5549" spans="3:8" x14ac:dyDescent="0.25">
      <c r="C5549" s="1252">
        <v>7</v>
      </c>
      <c r="D5549" s="1252">
        <v>0</v>
      </c>
      <c r="E5549" s="1253"/>
      <c r="F5549" s="4"/>
      <c r="G5549" s="37">
        <v>35.9</v>
      </c>
      <c r="H5549" s="1254">
        <v>45967</v>
      </c>
    </row>
    <row r="5550" spans="3:8" x14ac:dyDescent="0.25">
      <c r="C5550" s="1252">
        <v>8</v>
      </c>
      <c r="D5550" s="1252">
        <v>0</v>
      </c>
      <c r="E5550" s="1253"/>
      <c r="F5550" s="4"/>
      <c r="G5550" s="37">
        <v>35.9</v>
      </c>
      <c r="H5550" s="1254">
        <v>45967</v>
      </c>
    </row>
    <row r="5551" spans="3:8" x14ac:dyDescent="0.25">
      <c r="C5551" s="1252">
        <v>9</v>
      </c>
      <c r="D5551" s="1252">
        <v>95</v>
      </c>
      <c r="E5551" s="1253">
        <v>37.799999999999997</v>
      </c>
      <c r="F5551" s="4">
        <f t="shared" si="93"/>
        <v>-6.8965517241379407E-2</v>
      </c>
      <c r="G5551" s="37">
        <v>35.9</v>
      </c>
      <c r="H5551" s="1254">
        <v>45967</v>
      </c>
    </row>
    <row r="5552" spans="3:8" x14ac:dyDescent="0.25">
      <c r="C5552" s="1252">
        <v>10</v>
      </c>
      <c r="D5552" s="1252">
        <v>116</v>
      </c>
      <c r="E5552" s="1253">
        <v>37.1</v>
      </c>
      <c r="F5552" s="4">
        <f t="shared" si="93"/>
        <v>-9.0686274509803821E-2</v>
      </c>
      <c r="G5552" s="37">
        <v>35.9</v>
      </c>
      <c r="H5552" s="1254">
        <v>45967</v>
      </c>
    </row>
    <row r="5553" spans="3:8" x14ac:dyDescent="0.25">
      <c r="C5553" s="1255" t="s">
        <v>0</v>
      </c>
      <c r="D5553" s="1255" t="s">
        <v>7</v>
      </c>
      <c r="E5553" s="1256" t="s">
        <v>4</v>
      </c>
      <c r="F5553" s="4" t="str">
        <f t="shared" si="93"/>
        <v/>
      </c>
      <c r="G5553" s="37">
        <v>35.799999999999997</v>
      </c>
      <c r="H5553" s="1257">
        <v>45968</v>
      </c>
    </row>
    <row r="5554" spans="3:8" x14ac:dyDescent="0.25">
      <c r="C5554" s="1255">
        <v>51</v>
      </c>
      <c r="D5554" s="1255">
        <v>33</v>
      </c>
      <c r="E5554" s="1256">
        <v>29.9</v>
      </c>
      <c r="F5554" s="4">
        <f t="shared" si="93"/>
        <v>0</v>
      </c>
      <c r="G5554" s="37">
        <v>35.799999999999997</v>
      </c>
      <c r="H5554" s="1257">
        <v>45968</v>
      </c>
    </row>
    <row r="5555" spans="3:8" x14ac:dyDescent="0.25">
      <c r="C5555" s="1255">
        <v>1</v>
      </c>
      <c r="D5555" s="1255">
        <v>99</v>
      </c>
      <c r="E5555" s="1256">
        <v>34.299999999999997</v>
      </c>
      <c r="F5555" s="4">
        <f t="shared" si="93"/>
        <v>0</v>
      </c>
      <c r="G5555" s="37">
        <v>35.799999999999997</v>
      </c>
      <c r="H5555" s="1257">
        <v>45968</v>
      </c>
    </row>
    <row r="5556" spans="3:8" x14ac:dyDescent="0.25">
      <c r="C5556" s="1255">
        <v>2</v>
      </c>
      <c r="D5556" s="1255">
        <v>38</v>
      </c>
      <c r="E5556" s="1256">
        <v>33.4</v>
      </c>
      <c r="F5556" s="4">
        <f t="shared" si="93"/>
        <v>-2.9069767441860465E-2</v>
      </c>
      <c r="G5556" s="37">
        <v>35.799999999999997</v>
      </c>
      <c r="H5556" s="1257">
        <v>45968</v>
      </c>
    </row>
    <row r="5557" spans="3:8" x14ac:dyDescent="0.25">
      <c r="C5557" s="1255">
        <v>3</v>
      </c>
      <c r="D5557" s="1255">
        <v>121</v>
      </c>
      <c r="E5557" s="1256">
        <v>38.700000000000003</v>
      </c>
      <c r="F5557" s="4">
        <f t="shared" si="93"/>
        <v>-2.5773195876287198E-3</v>
      </c>
      <c r="G5557" s="37">
        <v>35.799999999999997</v>
      </c>
      <c r="H5557" s="1257">
        <v>45968</v>
      </c>
    </row>
    <row r="5558" spans="3:8" x14ac:dyDescent="0.25">
      <c r="C5558" s="1255">
        <v>4</v>
      </c>
      <c r="D5558" s="1255">
        <v>99</v>
      </c>
      <c r="E5558" s="1256">
        <v>39.4</v>
      </c>
      <c r="F5558" s="4">
        <f t="shared" si="93"/>
        <v>0</v>
      </c>
      <c r="G5558" s="37">
        <v>35.799999999999997</v>
      </c>
      <c r="H5558" s="1257">
        <v>45968</v>
      </c>
    </row>
    <row r="5559" spans="3:8" x14ac:dyDescent="0.25">
      <c r="C5559" s="1255">
        <v>5</v>
      </c>
      <c r="D5559" s="1255">
        <v>115</v>
      </c>
      <c r="E5559" s="1256">
        <v>27.1</v>
      </c>
      <c r="F5559" s="4">
        <f t="shared" si="93"/>
        <v>-1.0948905109488948E-2</v>
      </c>
      <c r="G5559" s="37">
        <v>35.799999999999997</v>
      </c>
      <c r="H5559" s="1257">
        <v>45968</v>
      </c>
    </row>
    <row r="5560" spans="3:8" x14ac:dyDescent="0.25">
      <c r="C5560" s="1255">
        <v>6</v>
      </c>
      <c r="D5560" s="1255">
        <v>0</v>
      </c>
      <c r="E5560" s="1256"/>
      <c r="F5560" s="4" t="str">
        <f t="shared" si="93"/>
        <v/>
      </c>
      <c r="G5560" s="37">
        <v>35.799999999999997</v>
      </c>
      <c r="H5560" s="1257">
        <v>45968</v>
      </c>
    </row>
    <row r="5561" spans="3:8" x14ac:dyDescent="0.25">
      <c r="C5561" s="1255">
        <v>7</v>
      </c>
      <c r="D5561" s="1255">
        <v>0</v>
      </c>
      <c r="E5561" s="1256"/>
      <c r="F5561" s="4" t="str">
        <f t="shared" si="93"/>
        <v/>
      </c>
      <c r="G5561" s="37">
        <v>35.799999999999997</v>
      </c>
      <c r="H5561" s="1257">
        <v>45968</v>
      </c>
    </row>
    <row r="5562" spans="3:8" x14ac:dyDescent="0.25">
      <c r="C5562" s="1255">
        <v>8</v>
      </c>
      <c r="D5562" s="1255">
        <v>0</v>
      </c>
      <c r="E5562" s="1256"/>
      <c r="F5562" s="4" t="str">
        <f t="shared" si="93"/>
        <v/>
      </c>
      <c r="G5562" s="37">
        <v>35.799999999999997</v>
      </c>
      <c r="H5562" s="1257">
        <v>45968</v>
      </c>
    </row>
    <row r="5563" spans="3:8" x14ac:dyDescent="0.25">
      <c r="C5563" s="1255">
        <v>9</v>
      </c>
      <c r="D5563" s="1255">
        <v>95</v>
      </c>
      <c r="E5563" s="1256">
        <v>37.9</v>
      </c>
      <c r="F5563" s="4">
        <f t="shared" si="93"/>
        <v>2.6455026455026831E-3</v>
      </c>
      <c r="G5563" s="37">
        <v>35.799999999999997</v>
      </c>
      <c r="H5563" s="1257">
        <v>45968</v>
      </c>
    </row>
    <row r="5564" spans="3:8" x14ac:dyDescent="0.25">
      <c r="C5564" s="1255">
        <v>10</v>
      </c>
      <c r="D5564" s="1255">
        <v>116</v>
      </c>
      <c r="E5564" s="1256">
        <v>37.5</v>
      </c>
      <c r="F5564" s="4">
        <f t="shared" si="93"/>
        <v>1.078167115902961E-2</v>
      </c>
      <c r="G5564" s="37">
        <v>35.799999999999997</v>
      </c>
      <c r="H5564" s="1257">
        <v>45968</v>
      </c>
    </row>
    <row r="5565" spans="3:8" x14ac:dyDescent="0.25">
      <c r="C5565" s="1258" t="s">
        <v>0</v>
      </c>
      <c r="D5565" s="1258" t="s">
        <v>7</v>
      </c>
      <c r="E5565" s="1259" t="s">
        <v>4</v>
      </c>
      <c r="F5565" s="4" t="str">
        <f t="shared" si="93"/>
        <v/>
      </c>
      <c r="G5565" s="37">
        <v>35.700000000000003</v>
      </c>
      <c r="H5565" s="1257">
        <v>45969</v>
      </c>
    </row>
    <row r="5566" spans="3:8" x14ac:dyDescent="0.25">
      <c r="C5566" s="1258">
        <v>51</v>
      </c>
      <c r="D5566" s="1258">
        <v>30</v>
      </c>
      <c r="E5566" s="1259">
        <v>30.6</v>
      </c>
      <c r="F5566" s="4">
        <f t="shared" si="93"/>
        <v>2.3411371237458289E-2</v>
      </c>
      <c r="G5566" s="37">
        <v>35.700000000000003</v>
      </c>
      <c r="H5566" s="1257">
        <v>45969</v>
      </c>
    </row>
    <row r="5567" spans="3:8" x14ac:dyDescent="0.25">
      <c r="C5567" s="1258">
        <v>1</v>
      </c>
      <c r="D5567" s="1258">
        <v>99</v>
      </c>
      <c r="E5567" s="1259">
        <v>34.4</v>
      </c>
      <c r="F5567" s="4">
        <f t="shared" si="93"/>
        <v>2.9154518950437734E-3</v>
      </c>
      <c r="G5567" s="37">
        <v>35.700000000000003</v>
      </c>
      <c r="H5567" s="1257">
        <v>45969</v>
      </c>
    </row>
    <row r="5568" spans="3:8" x14ac:dyDescent="0.25">
      <c r="C5568" s="1258">
        <v>2</v>
      </c>
      <c r="D5568" s="1258">
        <v>38</v>
      </c>
      <c r="E5568" s="1259">
        <v>33.4</v>
      </c>
      <c r="F5568" s="4">
        <f t="shared" si="93"/>
        <v>0</v>
      </c>
      <c r="G5568" s="37">
        <v>35.700000000000003</v>
      </c>
      <c r="H5568" s="1257">
        <v>45969</v>
      </c>
    </row>
    <row r="5569" spans="3:8" x14ac:dyDescent="0.25">
      <c r="C5569" s="1258">
        <v>3</v>
      </c>
      <c r="D5569" s="1258">
        <v>121</v>
      </c>
      <c r="E5569" s="1259">
        <v>37.9</v>
      </c>
      <c r="F5569" s="4">
        <f t="shared" si="93"/>
        <v>-2.0671834625323106E-2</v>
      </c>
      <c r="G5569" s="37">
        <v>35.700000000000003</v>
      </c>
      <c r="H5569" s="1257">
        <v>45969</v>
      </c>
    </row>
    <row r="5570" spans="3:8" x14ac:dyDescent="0.25">
      <c r="C5570" s="1258">
        <v>4</v>
      </c>
      <c r="D5570" s="1258">
        <v>99</v>
      </c>
      <c r="E5570" s="1259">
        <v>38.700000000000003</v>
      </c>
      <c r="F5570" s="4">
        <f t="shared" si="93"/>
        <v>-1.7766497461928828E-2</v>
      </c>
      <c r="G5570" s="37">
        <v>35.700000000000003</v>
      </c>
      <c r="H5570" s="1257">
        <v>45969</v>
      </c>
    </row>
    <row r="5571" spans="3:8" x14ac:dyDescent="0.25">
      <c r="C5571" s="1258">
        <v>5</v>
      </c>
      <c r="D5571" s="1258">
        <v>115</v>
      </c>
      <c r="E5571" s="1259">
        <v>27.1</v>
      </c>
      <c r="F5571" s="4">
        <f t="shared" si="93"/>
        <v>0</v>
      </c>
      <c r="G5571" s="37">
        <v>35.700000000000003</v>
      </c>
      <c r="H5571" s="1257">
        <v>45969</v>
      </c>
    </row>
    <row r="5572" spans="3:8" x14ac:dyDescent="0.25">
      <c r="C5572" s="1258">
        <v>6</v>
      </c>
      <c r="D5572" s="1258">
        <v>0</v>
      </c>
      <c r="E5572" s="1259"/>
      <c r="F5572" s="4" t="str">
        <f t="shared" si="93"/>
        <v/>
      </c>
      <c r="G5572" s="37">
        <v>35.700000000000003</v>
      </c>
      <c r="H5572" s="1257">
        <v>45969</v>
      </c>
    </row>
    <row r="5573" spans="3:8" x14ac:dyDescent="0.25">
      <c r="C5573" s="1258">
        <v>7</v>
      </c>
      <c r="D5573" s="1258">
        <v>0</v>
      </c>
      <c r="E5573" s="1259"/>
      <c r="F5573" s="4" t="str">
        <f t="shared" si="93"/>
        <v/>
      </c>
      <c r="G5573" s="37">
        <v>35.700000000000003</v>
      </c>
      <c r="H5573" s="1257">
        <v>45969</v>
      </c>
    </row>
    <row r="5574" spans="3:8" x14ac:dyDescent="0.25">
      <c r="C5574" s="1258">
        <v>8</v>
      </c>
      <c r="D5574" s="1258">
        <v>0</v>
      </c>
      <c r="E5574" s="1259"/>
      <c r="F5574" s="4" t="str">
        <f t="shared" si="93"/>
        <v/>
      </c>
      <c r="G5574" s="37">
        <v>35.700000000000003</v>
      </c>
      <c r="H5574" s="1257">
        <v>45969</v>
      </c>
    </row>
    <row r="5575" spans="3:8" x14ac:dyDescent="0.25">
      <c r="C5575" s="1258">
        <v>9</v>
      </c>
      <c r="D5575" s="1258">
        <v>95</v>
      </c>
      <c r="E5575" s="1259">
        <v>38.1</v>
      </c>
      <c r="F5575" s="4">
        <f t="shared" si="93"/>
        <v>5.2770448548813418E-3</v>
      </c>
      <c r="G5575" s="37">
        <v>35.700000000000003</v>
      </c>
      <c r="H5575" s="1257">
        <v>45969</v>
      </c>
    </row>
    <row r="5576" spans="3:8" x14ac:dyDescent="0.25">
      <c r="C5576" s="1258">
        <v>10</v>
      </c>
      <c r="D5576" s="1258">
        <v>116</v>
      </c>
      <c r="E5576" s="1259">
        <v>37.4</v>
      </c>
      <c r="F5576" s="4">
        <f t="shared" si="93"/>
        <v>-2.6666666666667047E-3</v>
      </c>
      <c r="G5576" s="37">
        <v>35.700000000000003</v>
      </c>
      <c r="H5576" s="1257">
        <v>45969</v>
      </c>
    </row>
    <row r="5577" spans="3:8" x14ac:dyDescent="0.25">
      <c r="C5577" s="1260" t="s">
        <v>0</v>
      </c>
      <c r="D5577" s="1260" t="s">
        <v>7</v>
      </c>
      <c r="E5577" s="1261" t="s">
        <v>4</v>
      </c>
      <c r="F5577" s="4" t="str">
        <f t="shared" si="93"/>
        <v/>
      </c>
      <c r="G5577" s="37">
        <v>35.1</v>
      </c>
      <c r="H5577" s="1257">
        <v>45970</v>
      </c>
    </row>
    <row r="5578" spans="3:8" x14ac:dyDescent="0.25">
      <c r="C5578" s="1260">
        <v>51</v>
      </c>
      <c r="D5578" s="1260">
        <v>29</v>
      </c>
      <c r="E5578" s="1261">
        <v>30.7</v>
      </c>
      <c r="F5578" s="4">
        <f t="shared" si="93"/>
        <v>3.2679738562090806E-3</v>
      </c>
      <c r="G5578" s="37">
        <v>35.1</v>
      </c>
      <c r="H5578" s="1257">
        <v>45970</v>
      </c>
    </row>
    <row r="5579" spans="3:8" x14ac:dyDescent="0.25">
      <c r="C5579" s="1260">
        <v>1</v>
      </c>
      <c r="D5579" s="1260">
        <v>99</v>
      </c>
      <c r="E5579" s="1261">
        <v>33.299999999999997</v>
      </c>
      <c r="F5579" s="4">
        <f t="shared" si="93"/>
        <v>-3.1976744186046555E-2</v>
      </c>
      <c r="G5579" s="37">
        <v>35.1</v>
      </c>
      <c r="H5579" s="1257">
        <v>45970</v>
      </c>
    </row>
    <row r="5580" spans="3:8" x14ac:dyDescent="0.25">
      <c r="C5580" s="1260">
        <v>2</v>
      </c>
      <c r="D5580" s="1260">
        <v>38</v>
      </c>
      <c r="E5580" s="1261">
        <v>32.5</v>
      </c>
      <c r="F5580" s="4">
        <f t="shared" si="93"/>
        <v>-2.6946107784431097E-2</v>
      </c>
      <c r="G5580" s="37">
        <v>35.1</v>
      </c>
      <c r="H5580" s="1257">
        <v>45970</v>
      </c>
    </row>
    <row r="5581" spans="3:8" x14ac:dyDescent="0.25">
      <c r="C5581" s="1260">
        <v>3</v>
      </c>
      <c r="D5581" s="1260">
        <v>121</v>
      </c>
      <c r="E5581" s="1261">
        <v>37.6</v>
      </c>
      <c r="F5581" s="4">
        <f t="shared" si="93"/>
        <v>-7.9155672823218257E-3</v>
      </c>
      <c r="G5581" s="37">
        <v>35.1</v>
      </c>
      <c r="H5581" s="1257">
        <v>45970</v>
      </c>
    </row>
    <row r="5582" spans="3:8" x14ac:dyDescent="0.25">
      <c r="C5582" s="1260">
        <v>4</v>
      </c>
      <c r="D5582" s="1260">
        <v>99</v>
      </c>
      <c r="E5582" s="1261">
        <v>37.5</v>
      </c>
      <c r="F5582" s="4">
        <f t="shared" si="93"/>
        <v>-3.1007751937984569E-2</v>
      </c>
      <c r="G5582" s="37">
        <v>35.1</v>
      </c>
      <c r="H5582" s="1257">
        <v>45970</v>
      </c>
    </row>
    <row r="5583" spans="3:8" x14ac:dyDescent="0.25">
      <c r="C5583" s="1260">
        <v>5</v>
      </c>
      <c r="D5583" s="1260">
        <v>116</v>
      </c>
      <c r="E5583" s="1261">
        <v>27.2</v>
      </c>
      <c r="F5583" s="4">
        <f t="shared" si="93"/>
        <v>3.6900369003689247E-3</v>
      </c>
      <c r="G5583" s="37">
        <v>35.1</v>
      </c>
      <c r="H5583" s="1257">
        <v>45970</v>
      </c>
    </row>
    <row r="5584" spans="3:8" x14ac:dyDescent="0.25">
      <c r="C5584" s="1260">
        <v>6</v>
      </c>
      <c r="D5584" s="1260">
        <v>0</v>
      </c>
      <c r="E5584" s="1261"/>
      <c r="F5584" s="4" t="str">
        <f t="shared" si="93"/>
        <v/>
      </c>
      <c r="G5584" s="37">
        <v>35.1</v>
      </c>
      <c r="H5584" s="1257">
        <v>45970</v>
      </c>
    </row>
    <row r="5585" spans="3:8" x14ac:dyDescent="0.25">
      <c r="C5585" s="1260">
        <v>7</v>
      </c>
      <c r="D5585" s="1260">
        <v>0</v>
      </c>
      <c r="E5585" s="1261"/>
      <c r="F5585" s="4" t="str">
        <f t="shared" si="93"/>
        <v/>
      </c>
      <c r="G5585" s="37">
        <v>35.1</v>
      </c>
      <c r="H5585" s="1257">
        <v>45970</v>
      </c>
    </row>
    <row r="5586" spans="3:8" x14ac:dyDescent="0.25">
      <c r="C5586" s="1260">
        <v>8</v>
      </c>
      <c r="D5586" s="1260">
        <v>0</v>
      </c>
      <c r="E5586" s="1261"/>
      <c r="F5586" s="4" t="str">
        <f t="shared" si="93"/>
        <v/>
      </c>
      <c r="G5586" s="37">
        <v>35.1</v>
      </c>
      <c r="H5586" s="1257">
        <v>45970</v>
      </c>
    </row>
    <row r="5587" spans="3:8" x14ac:dyDescent="0.25">
      <c r="C5587" s="1260">
        <v>9</v>
      </c>
      <c r="D5587" s="1260">
        <v>95</v>
      </c>
      <c r="E5587" s="1261">
        <v>37.4</v>
      </c>
      <c r="F5587" s="4">
        <f t="shared" si="93"/>
        <v>-1.8372703412073563E-2</v>
      </c>
      <c r="G5587" s="37">
        <v>35.1</v>
      </c>
      <c r="H5587" s="1257">
        <v>45970</v>
      </c>
    </row>
    <row r="5588" spans="3:8" x14ac:dyDescent="0.25">
      <c r="C5588" s="1260">
        <v>10</v>
      </c>
      <c r="D5588" s="1260">
        <v>117</v>
      </c>
      <c r="E5588" s="1261">
        <v>36.799999999999997</v>
      </c>
      <c r="F5588" s="4">
        <f t="shared" si="93"/>
        <v>-1.6042780748663141E-2</v>
      </c>
      <c r="G5588" s="37">
        <v>35.1</v>
      </c>
      <c r="H5588" s="1257">
        <v>45970</v>
      </c>
    </row>
    <row r="5589" spans="3:8" x14ac:dyDescent="0.25">
      <c r="C5589" s="1262" t="s">
        <v>0</v>
      </c>
      <c r="D5589" s="1262" t="s">
        <v>7</v>
      </c>
      <c r="E5589" s="1263" t="s">
        <v>4</v>
      </c>
      <c r="F5589" s="4" t="str">
        <f t="shared" si="93"/>
        <v/>
      </c>
      <c r="G5589" s="37">
        <v>34.799999999999997</v>
      </c>
      <c r="H5589" s="1257">
        <v>45971</v>
      </c>
    </row>
    <row r="5590" spans="3:8" x14ac:dyDescent="0.25">
      <c r="C5590" s="1262">
        <v>51</v>
      </c>
      <c r="D5590" s="1262">
        <v>31</v>
      </c>
      <c r="E5590" s="1263">
        <v>32.200000000000003</v>
      </c>
      <c r="F5590" s="4">
        <f t="shared" si="93"/>
        <v>4.8859934853420314E-2</v>
      </c>
      <c r="G5590" s="37">
        <v>34.799999999999997</v>
      </c>
      <c r="H5590" s="1257">
        <v>45971</v>
      </c>
    </row>
    <row r="5591" spans="3:8" x14ac:dyDescent="0.25">
      <c r="C5591" s="1262">
        <v>1</v>
      </c>
      <c r="D5591" s="1262">
        <v>96</v>
      </c>
      <c r="E5591" s="1263">
        <v>33.6</v>
      </c>
      <c r="F5591" s="4">
        <f t="shared" si="93"/>
        <v>9.0090090090091373E-3</v>
      </c>
      <c r="G5591" s="37">
        <v>34.799999999999997</v>
      </c>
      <c r="H5591" s="1257">
        <v>45971</v>
      </c>
    </row>
    <row r="5592" spans="3:8" x14ac:dyDescent="0.25">
      <c r="C5592" s="1262">
        <v>2</v>
      </c>
      <c r="D5592" s="1262">
        <v>38</v>
      </c>
      <c r="E5592" s="1263">
        <v>31.9</v>
      </c>
      <c r="F5592" s="4">
        <f t="shared" si="93"/>
        <v>-1.8461538461538505E-2</v>
      </c>
      <c r="G5592" s="37">
        <v>34.799999999999997</v>
      </c>
      <c r="H5592" s="1257">
        <v>45971</v>
      </c>
    </row>
    <row r="5593" spans="3:8" x14ac:dyDescent="0.25">
      <c r="C5593" s="1262">
        <v>3</v>
      </c>
      <c r="D5593" s="1262">
        <v>121</v>
      </c>
      <c r="E5593" s="1263">
        <v>36.299999999999997</v>
      </c>
      <c r="F5593" s="4">
        <f t="shared" si="93"/>
        <v>-3.4574468085106495E-2</v>
      </c>
      <c r="G5593" s="37">
        <v>34.799999999999997</v>
      </c>
      <c r="H5593" s="1257">
        <v>45971</v>
      </c>
    </row>
    <row r="5594" spans="3:8" x14ac:dyDescent="0.25">
      <c r="C5594" s="1262">
        <v>4</v>
      </c>
      <c r="D5594" s="1262">
        <v>99</v>
      </c>
      <c r="E5594" s="1263">
        <v>38.6</v>
      </c>
      <c r="F5594" s="4">
        <f t="shared" si="93"/>
        <v>2.9333333333333371E-2</v>
      </c>
      <c r="G5594" s="37">
        <v>34.799999999999997</v>
      </c>
      <c r="H5594" s="1257">
        <v>45971</v>
      </c>
    </row>
    <row r="5595" spans="3:8" x14ac:dyDescent="0.25">
      <c r="C5595" s="1262">
        <v>5</v>
      </c>
      <c r="D5595" s="1262">
        <v>0</v>
      </c>
      <c r="E5595" s="1263">
        <v>27.3</v>
      </c>
      <c r="F5595" s="4">
        <f t="shared" si="93"/>
        <v>3.6764705882353465E-3</v>
      </c>
      <c r="G5595" s="37">
        <v>34.799999999999997</v>
      </c>
      <c r="H5595" s="1257">
        <v>45971</v>
      </c>
    </row>
    <row r="5596" spans="3:8" x14ac:dyDescent="0.25">
      <c r="C5596" s="1262">
        <v>6</v>
      </c>
      <c r="D5596" s="1262">
        <v>118</v>
      </c>
      <c r="E5596" s="1263"/>
      <c r="F5596" s="4" t="str">
        <f t="shared" si="93"/>
        <v/>
      </c>
      <c r="G5596" s="37">
        <v>34.799999999999997</v>
      </c>
      <c r="H5596" s="1257">
        <v>45971</v>
      </c>
    </row>
    <row r="5597" spans="3:8" x14ac:dyDescent="0.25">
      <c r="C5597" s="1262">
        <v>7</v>
      </c>
      <c r="D5597" s="1262">
        <v>0</v>
      </c>
      <c r="E5597" s="1263"/>
      <c r="F5597" s="4" t="str">
        <f t="shared" si="93"/>
        <v/>
      </c>
      <c r="G5597" s="37">
        <v>34.799999999999997</v>
      </c>
      <c r="H5597" s="1257">
        <v>45971</v>
      </c>
    </row>
    <row r="5598" spans="3:8" x14ac:dyDescent="0.25">
      <c r="C5598" s="1262">
        <v>8</v>
      </c>
      <c r="D5598" s="1262">
        <v>0</v>
      </c>
      <c r="E5598" s="1263"/>
      <c r="F5598" s="4" t="str">
        <f t="shared" ref="F5598:F5661" si="94">IFERROR((E5598-E5586)/E5586,"")</f>
        <v/>
      </c>
      <c r="G5598" s="37">
        <v>34.799999999999997</v>
      </c>
      <c r="H5598" s="1257">
        <v>45971</v>
      </c>
    </row>
    <row r="5599" spans="3:8" x14ac:dyDescent="0.25">
      <c r="C5599" s="1262">
        <v>9</v>
      </c>
      <c r="D5599" s="1262">
        <v>97</v>
      </c>
      <c r="E5599" s="1263">
        <v>37.1</v>
      </c>
      <c r="F5599" s="4">
        <f t="shared" si="94"/>
        <v>-8.0213903743314753E-3</v>
      </c>
      <c r="G5599" s="37">
        <v>34.799999999999997</v>
      </c>
      <c r="H5599" s="1257">
        <v>45971</v>
      </c>
    </row>
    <row r="5600" spans="3:8" x14ac:dyDescent="0.25">
      <c r="C5600" s="1262">
        <v>10</v>
      </c>
      <c r="D5600" s="1262">
        <v>117</v>
      </c>
      <c r="E5600" s="1263">
        <v>36.700000000000003</v>
      </c>
      <c r="F5600" s="4">
        <f t="shared" si="94"/>
        <v>-2.7173913043476716E-3</v>
      </c>
      <c r="G5600" s="37">
        <v>34.799999999999997</v>
      </c>
      <c r="H5600" s="1257">
        <v>45971</v>
      </c>
    </row>
    <row r="5601" spans="3:8" x14ac:dyDescent="0.25">
      <c r="C5601" s="1264" t="s">
        <v>0</v>
      </c>
      <c r="D5601" s="1264" t="s">
        <v>7</v>
      </c>
      <c r="E5601" s="1265" t="s">
        <v>4</v>
      </c>
      <c r="F5601" s="4" t="str">
        <f t="shared" si="94"/>
        <v/>
      </c>
      <c r="G5601" s="37">
        <v>34.700000000000003</v>
      </c>
      <c r="H5601" s="1257">
        <v>45972</v>
      </c>
    </row>
    <row r="5602" spans="3:8" x14ac:dyDescent="0.25">
      <c r="C5602" s="1264">
        <v>51</v>
      </c>
      <c r="D5602" s="1264">
        <v>20</v>
      </c>
      <c r="E5602" s="1265">
        <v>32.6</v>
      </c>
      <c r="F5602" s="4">
        <f t="shared" si="94"/>
        <v>1.2422360248447159E-2</v>
      </c>
      <c r="G5602" s="37">
        <v>34.700000000000003</v>
      </c>
      <c r="H5602" s="1257">
        <v>45972</v>
      </c>
    </row>
    <row r="5603" spans="3:8" x14ac:dyDescent="0.25">
      <c r="C5603" s="1264">
        <v>1</v>
      </c>
      <c r="D5603" s="1264">
        <v>96</v>
      </c>
      <c r="E5603" s="1265">
        <v>32.6</v>
      </c>
      <c r="F5603" s="4">
        <f t="shared" si="94"/>
        <v>-2.976190476190476E-2</v>
      </c>
      <c r="G5603" s="37">
        <v>34.700000000000003</v>
      </c>
      <c r="H5603" s="1257">
        <v>45972</v>
      </c>
    </row>
    <row r="5604" spans="3:8" x14ac:dyDescent="0.25">
      <c r="C5604" s="1264">
        <v>2</v>
      </c>
      <c r="D5604" s="1264">
        <v>41</v>
      </c>
      <c r="E5604" s="1265">
        <v>32.299999999999997</v>
      </c>
      <c r="F5604" s="4">
        <f t="shared" si="94"/>
        <v>1.2539184952978013E-2</v>
      </c>
      <c r="G5604" s="37">
        <v>34.700000000000003</v>
      </c>
      <c r="H5604" s="1257">
        <v>45972</v>
      </c>
    </row>
    <row r="5605" spans="3:8" x14ac:dyDescent="0.25">
      <c r="C5605" s="1264">
        <v>3</v>
      </c>
      <c r="D5605" s="1264">
        <v>121</v>
      </c>
      <c r="E5605" s="1265">
        <v>35.9</v>
      </c>
      <c r="F5605" s="4">
        <f t="shared" si="94"/>
        <v>-1.1019283746556436E-2</v>
      </c>
      <c r="G5605" s="37">
        <v>34.700000000000003</v>
      </c>
      <c r="H5605" s="1257">
        <v>45972</v>
      </c>
    </row>
    <row r="5606" spans="3:8" x14ac:dyDescent="0.25">
      <c r="C5606" s="1264">
        <v>4</v>
      </c>
      <c r="D5606" s="1264">
        <v>99</v>
      </c>
      <c r="E5606" s="1265">
        <v>39</v>
      </c>
      <c r="F5606" s="4">
        <f t="shared" si="94"/>
        <v>1.0362694300518097E-2</v>
      </c>
      <c r="G5606" s="37">
        <v>34.700000000000003</v>
      </c>
      <c r="H5606" s="1257">
        <v>45972</v>
      </c>
    </row>
    <row r="5607" spans="3:8" x14ac:dyDescent="0.25">
      <c r="C5607" s="1264">
        <v>5</v>
      </c>
      <c r="D5607" s="1264">
        <v>0</v>
      </c>
      <c r="E5607" s="1265"/>
      <c r="F5607" s="4">
        <f t="shared" si="94"/>
        <v>-1</v>
      </c>
      <c r="G5607" s="37">
        <v>34.700000000000003</v>
      </c>
      <c r="H5607" s="1257">
        <v>45972</v>
      </c>
    </row>
    <row r="5608" spans="3:8" x14ac:dyDescent="0.25">
      <c r="C5608" s="1264">
        <v>6</v>
      </c>
      <c r="D5608" s="1264">
        <v>122</v>
      </c>
      <c r="E5608" s="1265">
        <v>25.9</v>
      </c>
      <c r="F5608" s="4" t="str">
        <f t="shared" si="94"/>
        <v/>
      </c>
      <c r="G5608" s="37">
        <v>34.700000000000003</v>
      </c>
      <c r="H5608" s="1257">
        <v>45972</v>
      </c>
    </row>
    <row r="5609" spans="3:8" x14ac:dyDescent="0.25">
      <c r="C5609" s="1264">
        <v>7</v>
      </c>
      <c r="D5609" s="1264">
        <v>0</v>
      </c>
      <c r="E5609" s="1265"/>
      <c r="F5609" s="4" t="str">
        <f t="shared" si="94"/>
        <v/>
      </c>
      <c r="G5609" s="37">
        <v>34.700000000000003</v>
      </c>
      <c r="H5609" s="1257">
        <v>45972</v>
      </c>
    </row>
    <row r="5610" spans="3:8" x14ac:dyDescent="0.25">
      <c r="C5610" s="1264">
        <v>8</v>
      </c>
      <c r="D5610" s="1264">
        <v>0</v>
      </c>
      <c r="E5610" s="1265"/>
      <c r="F5610" s="4" t="str">
        <f t="shared" si="94"/>
        <v/>
      </c>
      <c r="G5610" s="37">
        <v>34.700000000000003</v>
      </c>
      <c r="H5610" s="1257">
        <v>45972</v>
      </c>
    </row>
    <row r="5611" spans="3:8" x14ac:dyDescent="0.25">
      <c r="C5611" s="1264">
        <v>9</v>
      </c>
      <c r="D5611" s="1264">
        <v>97</v>
      </c>
      <c r="E5611" s="1265">
        <v>36.5</v>
      </c>
      <c r="F5611" s="4">
        <f t="shared" si="94"/>
        <v>-1.6172506738544513E-2</v>
      </c>
      <c r="G5611" s="37">
        <v>34.700000000000003</v>
      </c>
      <c r="H5611" s="1257">
        <v>45972</v>
      </c>
    </row>
    <row r="5612" spans="3:8" x14ac:dyDescent="0.25">
      <c r="C5612" s="1264">
        <v>10</v>
      </c>
      <c r="D5612" s="1264">
        <v>117</v>
      </c>
      <c r="E5612" s="1265">
        <v>35.6</v>
      </c>
      <c r="F5612" s="4">
        <f t="shared" si="94"/>
        <v>-2.9972752043596767E-2</v>
      </c>
      <c r="G5612" s="37">
        <v>34.700000000000003</v>
      </c>
      <c r="H5612" s="1257">
        <v>45972</v>
      </c>
    </row>
    <row r="5613" spans="3:8" x14ac:dyDescent="0.25">
      <c r="C5613" s="1266" t="s">
        <v>0</v>
      </c>
      <c r="D5613" s="1266" t="s">
        <v>7</v>
      </c>
      <c r="E5613" s="1267" t="s">
        <v>4</v>
      </c>
      <c r="F5613" s="4" t="str">
        <f t="shared" si="94"/>
        <v/>
      </c>
      <c r="G5613" s="37">
        <v>33.700000000000003</v>
      </c>
      <c r="H5613" s="1257">
        <v>45973</v>
      </c>
    </row>
    <row r="5614" spans="3:8" x14ac:dyDescent="0.25">
      <c r="C5614" s="1266">
        <v>51</v>
      </c>
      <c r="D5614" s="1266">
        <v>19</v>
      </c>
      <c r="E5614" s="1267">
        <v>31.4</v>
      </c>
      <c r="F5614" s="4">
        <f t="shared" si="94"/>
        <v>-3.6809815950920331E-2</v>
      </c>
      <c r="G5614" s="37">
        <v>33.700000000000003</v>
      </c>
      <c r="H5614" s="1257">
        <v>45973</v>
      </c>
    </row>
    <row r="5615" spans="3:8" x14ac:dyDescent="0.25">
      <c r="C5615" s="1266">
        <v>1</v>
      </c>
      <c r="D5615" s="1266">
        <v>95</v>
      </c>
      <c r="E5615" s="1267">
        <v>31.4</v>
      </c>
      <c r="F5615" s="4">
        <f t="shared" si="94"/>
        <v>-3.6809815950920331E-2</v>
      </c>
      <c r="G5615" s="37">
        <v>33.700000000000003</v>
      </c>
      <c r="H5615" s="1257">
        <v>45973</v>
      </c>
    </row>
    <row r="5616" spans="3:8" x14ac:dyDescent="0.25">
      <c r="C5616" s="1266">
        <v>2</v>
      </c>
      <c r="D5616" s="1266">
        <v>41</v>
      </c>
      <c r="E5616" s="1267">
        <v>31.3</v>
      </c>
      <c r="F5616" s="4">
        <f t="shared" si="94"/>
        <v>-3.0959752321981317E-2</v>
      </c>
      <c r="G5616" s="37">
        <v>33.700000000000003</v>
      </c>
      <c r="H5616" s="1257">
        <v>45973</v>
      </c>
    </row>
    <row r="5617" spans="3:8" x14ac:dyDescent="0.25">
      <c r="C5617" s="1266">
        <v>3</v>
      </c>
      <c r="D5617" s="1266">
        <v>119</v>
      </c>
      <c r="E5617" s="1267">
        <v>35.200000000000003</v>
      </c>
      <c r="F5617" s="4">
        <f t="shared" si="94"/>
        <v>-1.9498607242339715E-2</v>
      </c>
      <c r="G5617" s="37">
        <v>33.700000000000003</v>
      </c>
      <c r="H5617" s="1257">
        <v>45973</v>
      </c>
    </row>
    <row r="5618" spans="3:8" x14ac:dyDescent="0.25">
      <c r="C5618" s="1266">
        <v>4</v>
      </c>
      <c r="D5618" s="1266">
        <v>99</v>
      </c>
      <c r="E5618" s="1267">
        <v>36.5</v>
      </c>
      <c r="F5618" s="4">
        <f t="shared" si="94"/>
        <v>-6.4102564102564097E-2</v>
      </c>
      <c r="G5618" s="37">
        <v>33.700000000000003</v>
      </c>
      <c r="H5618" s="1257">
        <v>45973</v>
      </c>
    </row>
    <row r="5619" spans="3:8" x14ac:dyDescent="0.25">
      <c r="C5619" s="1266">
        <v>5</v>
      </c>
      <c r="D5619" s="1266">
        <v>0</v>
      </c>
      <c r="E5619" s="1267"/>
      <c r="F5619" s="4" t="str">
        <f t="shared" si="94"/>
        <v/>
      </c>
      <c r="G5619" s="37">
        <v>33.700000000000003</v>
      </c>
      <c r="H5619" s="1257">
        <v>45973</v>
      </c>
    </row>
    <row r="5620" spans="3:8" x14ac:dyDescent="0.25">
      <c r="C5620" s="1266">
        <v>6</v>
      </c>
      <c r="D5620" s="1266">
        <v>111</v>
      </c>
      <c r="E5620" s="1267">
        <v>25</v>
      </c>
      <c r="F5620" s="4">
        <f t="shared" si="94"/>
        <v>-3.4749034749034693E-2</v>
      </c>
      <c r="G5620" s="37">
        <v>33.700000000000003</v>
      </c>
      <c r="H5620" s="1257">
        <v>45973</v>
      </c>
    </row>
    <row r="5621" spans="3:8" x14ac:dyDescent="0.25">
      <c r="C5621" s="1266">
        <v>7</v>
      </c>
      <c r="D5621" s="1266">
        <v>0</v>
      </c>
      <c r="E5621" s="1267"/>
      <c r="F5621" s="4" t="str">
        <f t="shared" si="94"/>
        <v/>
      </c>
      <c r="G5621" s="37">
        <v>33.700000000000003</v>
      </c>
      <c r="H5621" s="1257">
        <v>45973</v>
      </c>
    </row>
    <row r="5622" spans="3:8" x14ac:dyDescent="0.25">
      <c r="C5622" s="1266">
        <v>8</v>
      </c>
      <c r="D5622" s="1266">
        <v>0</v>
      </c>
      <c r="E5622" s="1267"/>
      <c r="F5622" s="4" t="str">
        <f t="shared" si="94"/>
        <v/>
      </c>
      <c r="G5622" s="37">
        <v>33.700000000000003</v>
      </c>
      <c r="H5622" s="1257">
        <v>45973</v>
      </c>
    </row>
    <row r="5623" spans="3:8" x14ac:dyDescent="0.25">
      <c r="C5623" s="1266">
        <v>9</v>
      </c>
      <c r="D5623" s="1266">
        <v>97</v>
      </c>
      <c r="E5623" s="1267">
        <v>35.299999999999997</v>
      </c>
      <c r="F5623" s="4">
        <f t="shared" si="94"/>
        <v>-3.2876712328767203E-2</v>
      </c>
      <c r="G5623" s="37">
        <v>33.700000000000003</v>
      </c>
      <c r="H5623" s="1257">
        <v>45973</v>
      </c>
    </row>
    <row r="5624" spans="3:8" x14ac:dyDescent="0.25">
      <c r="C5624" s="1266">
        <v>10</v>
      </c>
      <c r="D5624" s="1266">
        <v>117</v>
      </c>
      <c r="E5624" s="1267">
        <v>34.299999999999997</v>
      </c>
      <c r="F5624" s="4">
        <f t="shared" si="94"/>
        <v>-3.6516853932584387E-2</v>
      </c>
      <c r="G5624" s="37">
        <v>33.700000000000003</v>
      </c>
      <c r="H5624" s="1257">
        <v>45973</v>
      </c>
    </row>
    <row r="5625" spans="3:8" x14ac:dyDescent="0.25">
      <c r="C5625" s="1268" t="s">
        <v>0</v>
      </c>
      <c r="D5625" s="1268" t="s">
        <v>7</v>
      </c>
      <c r="E5625" s="1269" t="s">
        <v>4</v>
      </c>
      <c r="F5625" s="4" t="str">
        <f t="shared" si="94"/>
        <v/>
      </c>
      <c r="G5625" s="37">
        <v>33</v>
      </c>
      <c r="H5625" s="1257">
        <v>45974</v>
      </c>
    </row>
    <row r="5626" spans="3:8" x14ac:dyDescent="0.25">
      <c r="C5626" s="1268">
        <v>51</v>
      </c>
      <c r="D5626" s="1268">
        <v>19</v>
      </c>
      <c r="E5626" s="1269">
        <v>32.799999999999997</v>
      </c>
      <c r="F5626" s="4">
        <f t="shared" si="94"/>
        <v>4.4585987261146452E-2</v>
      </c>
      <c r="G5626" s="37">
        <v>33</v>
      </c>
      <c r="H5626" s="1257">
        <v>45974</v>
      </c>
    </row>
    <row r="5627" spans="3:8" x14ac:dyDescent="0.25">
      <c r="C5627" s="1268">
        <v>1</v>
      </c>
      <c r="D5627" s="1268">
        <v>95</v>
      </c>
      <c r="E5627" s="1269">
        <v>30.8</v>
      </c>
      <c r="F5627" s="4">
        <f t="shared" si="94"/>
        <v>-1.9108280254777003E-2</v>
      </c>
      <c r="G5627" s="37">
        <v>33</v>
      </c>
      <c r="H5627" s="1257">
        <v>45974</v>
      </c>
    </row>
    <row r="5628" spans="3:8" x14ac:dyDescent="0.25">
      <c r="C5628" s="1268">
        <v>2</v>
      </c>
      <c r="D5628" s="1268">
        <v>41</v>
      </c>
      <c r="E5628" s="1269">
        <v>30.4</v>
      </c>
      <c r="F5628" s="4">
        <f t="shared" si="94"/>
        <v>-2.875399361022371E-2</v>
      </c>
      <c r="G5628" s="37">
        <v>33</v>
      </c>
      <c r="H5628" s="1257">
        <v>45974</v>
      </c>
    </row>
    <row r="5629" spans="3:8" x14ac:dyDescent="0.25">
      <c r="C5629" s="1268">
        <v>3</v>
      </c>
      <c r="D5629" s="1268">
        <v>119</v>
      </c>
      <c r="E5629" s="1269">
        <v>35.1</v>
      </c>
      <c r="F5629" s="4">
        <f t="shared" si="94"/>
        <v>-2.8409090909091309E-3</v>
      </c>
      <c r="G5629" s="37">
        <v>33</v>
      </c>
      <c r="H5629" s="1257">
        <v>45974</v>
      </c>
    </row>
    <row r="5630" spans="3:8" x14ac:dyDescent="0.25">
      <c r="C5630" s="1268">
        <v>4</v>
      </c>
      <c r="D5630" s="1268">
        <v>99</v>
      </c>
      <c r="E5630" s="1269">
        <v>36.1</v>
      </c>
      <c r="F5630" s="4">
        <f t="shared" si="94"/>
        <v>-1.0958904109589003E-2</v>
      </c>
      <c r="G5630" s="37">
        <v>33</v>
      </c>
      <c r="H5630" s="1257">
        <v>45974</v>
      </c>
    </row>
    <row r="5631" spans="3:8" x14ac:dyDescent="0.25">
      <c r="C5631" s="1268">
        <v>5</v>
      </c>
      <c r="D5631" s="1268">
        <v>0</v>
      </c>
      <c r="E5631" s="1269"/>
      <c r="F5631" s="4" t="str">
        <f t="shared" si="94"/>
        <v/>
      </c>
      <c r="G5631" s="37">
        <v>33</v>
      </c>
      <c r="H5631" s="1257">
        <v>45974</v>
      </c>
    </row>
    <row r="5632" spans="3:8" x14ac:dyDescent="0.25">
      <c r="C5632" s="1268">
        <v>6</v>
      </c>
      <c r="D5632" s="1268">
        <v>111</v>
      </c>
      <c r="E5632" s="1269">
        <v>26.2</v>
      </c>
      <c r="F5632" s="4">
        <f t="shared" si="94"/>
        <v>4.7999999999999973E-2</v>
      </c>
      <c r="G5632" s="37">
        <v>33</v>
      </c>
      <c r="H5632" s="1257">
        <v>45974</v>
      </c>
    </row>
    <row r="5633" spans="3:8" x14ac:dyDescent="0.25">
      <c r="C5633" s="1268">
        <v>7</v>
      </c>
      <c r="D5633" s="1268">
        <v>0</v>
      </c>
      <c r="E5633" s="1269"/>
      <c r="F5633" s="4" t="str">
        <f t="shared" si="94"/>
        <v/>
      </c>
      <c r="G5633" s="37">
        <v>33</v>
      </c>
      <c r="H5633" s="1257">
        <v>45974</v>
      </c>
    </row>
    <row r="5634" spans="3:8" x14ac:dyDescent="0.25">
      <c r="C5634" s="1268">
        <v>8</v>
      </c>
      <c r="D5634" s="1268">
        <v>0</v>
      </c>
      <c r="E5634" s="1269"/>
      <c r="F5634" s="4" t="str">
        <f t="shared" si="94"/>
        <v/>
      </c>
      <c r="G5634" s="37">
        <v>33</v>
      </c>
      <c r="H5634" s="1257">
        <v>45974</v>
      </c>
    </row>
    <row r="5635" spans="3:8" x14ac:dyDescent="0.25">
      <c r="C5635" s="1268">
        <v>9</v>
      </c>
      <c r="D5635" s="1268">
        <v>96</v>
      </c>
      <c r="E5635" s="1269">
        <v>34.5</v>
      </c>
      <c r="F5635" s="4">
        <f t="shared" si="94"/>
        <v>-2.2662889518413519E-2</v>
      </c>
      <c r="G5635" s="37">
        <v>33</v>
      </c>
      <c r="H5635" s="1257">
        <v>45974</v>
      </c>
    </row>
    <row r="5636" spans="3:8" x14ac:dyDescent="0.25">
      <c r="C5636" s="1268">
        <v>10</v>
      </c>
      <c r="D5636" s="1268">
        <v>117</v>
      </c>
      <c r="E5636" s="1269">
        <v>33.4</v>
      </c>
      <c r="F5636" s="4">
        <f t="shared" si="94"/>
        <v>-2.6239067055393545E-2</v>
      </c>
      <c r="G5636" s="37">
        <v>33</v>
      </c>
      <c r="H5636" s="1257">
        <v>45974</v>
      </c>
    </row>
    <row r="5637" spans="3:8" x14ac:dyDescent="0.25">
      <c r="C5637" s="1270" t="s">
        <v>0</v>
      </c>
      <c r="D5637" s="1270" t="s">
        <v>7</v>
      </c>
      <c r="E5637" s="1271" t="s">
        <v>4</v>
      </c>
      <c r="F5637" s="4" t="str">
        <f t="shared" si="94"/>
        <v/>
      </c>
      <c r="G5637" s="37">
        <v>31.8</v>
      </c>
      <c r="H5637" s="1257">
        <v>45975</v>
      </c>
    </row>
    <row r="5638" spans="3:8" x14ac:dyDescent="0.25">
      <c r="C5638" s="1270">
        <v>51</v>
      </c>
      <c r="D5638" s="1270">
        <v>22</v>
      </c>
      <c r="E5638" s="1271">
        <v>31.5</v>
      </c>
      <c r="F5638" s="4">
        <f t="shared" si="94"/>
        <v>-3.9634146341463332E-2</v>
      </c>
      <c r="G5638" s="37">
        <v>31.8</v>
      </c>
      <c r="H5638" s="1257">
        <v>45975</v>
      </c>
    </row>
    <row r="5639" spans="3:8" x14ac:dyDescent="0.25">
      <c r="C5639" s="1270">
        <v>1</v>
      </c>
      <c r="D5639" s="1270">
        <v>95</v>
      </c>
      <c r="E5639" s="1271">
        <v>29.3</v>
      </c>
      <c r="F5639" s="4">
        <f t="shared" si="94"/>
        <v>-4.8701298701298704E-2</v>
      </c>
      <c r="G5639" s="37">
        <v>31.8</v>
      </c>
      <c r="H5639" s="1257">
        <v>45975</v>
      </c>
    </row>
    <row r="5640" spans="3:8" x14ac:dyDescent="0.25">
      <c r="C5640" s="1270">
        <v>2</v>
      </c>
      <c r="D5640" s="1270">
        <v>42</v>
      </c>
      <c r="E5640" s="1271">
        <v>29.1</v>
      </c>
      <c r="F5640" s="4">
        <f t="shared" si="94"/>
        <v>-4.2763157894736753E-2</v>
      </c>
      <c r="G5640" s="37">
        <v>31.8</v>
      </c>
      <c r="H5640" s="1257">
        <v>45975</v>
      </c>
    </row>
    <row r="5641" spans="3:8" x14ac:dyDescent="0.25">
      <c r="C5641" s="1270">
        <v>3</v>
      </c>
      <c r="D5641" s="1270">
        <v>122</v>
      </c>
      <c r="E5641" s="1271">
        <v>34.299999999999997</v>
      </c>
      <c r="F5641" s="4">
        <f t="shared" si="94"/>
        <v>-2.2792022792022911E-2</v>
      </c>
      <c r="G5641" s="37">
        <v>31.8</v>
      </c>
      <c r="H5641" s="1257">
        <v>45975</v>
      </c>
    </row>
    <row r="5642" spans="3:8" x14ac:dyDescent="0.25">
      <c r="C5642" s="1270">
        <v>4</v>
      </c>
      <c r="D5642" s="1270">
        <v>97</v>
      </c>
      <c r="E5642" s="1271">
        <v>34.700000000000003</v>
      </c>
      <c r="F5642" s="4">
        <f t="shared" si="94"/>
        <v>-3.8781163434903003E-2</v>
      </c>
      <c r="G5642" s="37">
        <v>31.8</v>
      </c>
      <c r="H5642" s="1257">
        <v>45975</v>
      </c>
    </row>
    <row r="5643" spans="3:8" x14ac:dyDescent="0.25">
      <c r="C5643" s="1270">
        <v>5</v>
      </c>
      <c r="D5643" s="1270">
        <v>0</v>
      </c>
      <c r="E5643" s="1271"/>
      <c r="F5643" s="4" t="str">
        <f t="shared" si="94"/>
        <v/>
      </c>
      <c r="G5643" s="37">
        <v>31.8</v>
      </c>
      <c r="H5643" s="1257">
        <v>45975</v>
      </c>
    </row>
    <row r="5644" spans="3:8" x14ac:dyDescent="0.25">
      <c r="C5644" s="1270">
        <v>6</v>
      </c>
      <c r="D5644" s="1270">
        <v>106</v>
      </c>
      <c r="E5644" s="1271">
        <v>24.8</v>
      </c>
      <c r="F5644" s="4">
        <f t="shared" si="94"/>
        <v>-5.3435114503816744E-2</v>
      </c>
      <c r="G5644" s="37">
        <v>31.8</v>
      </c>
      <c r="H5644" s="1257">
        <v>45975</v>
      </c>
    </row>
    <row r="5645" spans="3:8" x14ac:dyDescent="0.25">
      <c r="C5645" s="1270">
        <v>7</v>
      </c>
      <c r="D5645" s="1270">
        <v>0</v>
      </c>
      <c r="E5645" s="1271"/>
      <c r="F5645" s="4" t="str">
        <f t="shared" si="94"/>
        <v/>
      </c>
      <c r="G5645" s="37">
        <v>31.8</v>
      </c>
      <c r="H5645" s="1257">
        <v>45975</v>
      </c>
    </row>
    <row r="5646" spans="3:8" x14ac:dyDescent="0.25">
      <c r="C5646" s="1270">
        <v>8</v>
      </c>
      <c r="D5646" s="1270">
        <v>0</v>
      </c>
      <c r="E5646" s="1271"/>
      <c r="F5646" s="4" t="str">
        <f t="shared" si="94"/>
        <v/>
      </c>
      <c r="G5646" s="37">
        <v>31.8</v>
      </c>
      <c r="H5646" s="1257">
        <v>45975</v>
      </c>
    </row>
    <row r="5647" spans="3:8" x14ac:dyDescent="0.25">
      <c r="C5647" s="1270">
        <v>9</v>
      </c>
      <c r="D5647" s="1270">
        <v>96</v>
      </c>
      <c r="E5647" s="1271">
        <v>33.200000000000003</v>
      </c>
      <c r="F5647" s="4">
        <f t="shared" si="94"/>
        <v>-3.7681159420289774E-2</v>
      </c>
      <c r="G5647" s="37">
        <v>31.8</v>
      </c>
      <c r="H5647" s="1257">
        <v>45975</v>
      </c>
    </row>
    <row r="5648" spans="3:8" x14ac:dyDescent="0.25">
      <c r="C5648" s="1270">
        <v>10</v>
      </c>
      <c r="D5648" s="1270">
        <v>117</v>
      </c>
      <c r="E5648" s="1271">
        <v>31.9</v>
      </c>
      <c r="F5648" s="4">
        <f t="shared" si="94"/>
        <v>-4.4910179640718563E-2</v>
      </c>
      <c r="G5648" s="37">
        <v>31.8</v>
      </c>
      <c r="H5648" s="1257">
        <v>45975</v>
      </c>
    </row>
    <row r="5649" spans="3:8" x14ac:dyDescent="0.25">
      <c r="C5649" s="1272" t="s">
        <v>0</v>
      </c>
      <c r="D5649" s="1272" t="s">
        <v>7</v>
      </c>
      <c r="E5649" s="1273" t="s">
        <v>4</v>
      </c>
      <c r="F5649" s="4" t="str">
        <f t="shared" si="94"/>
        <v/>
      </c>
      <c r="G5649" s="37">
        <v>31.4</v>
      </c>
      <c r="H5649" s="1257">
        <v>45976</v>
      </c>
    </row>
    <row r="5650" spans="3:8" x14ac:dyDescent="0.25">
      <c r="C5650" s="1272">
        <v>51</v>
      </c>
      <c r="D5650" s="1272">
        <v>23</v>
      </c>
      <c r="E5650" s="1273">
        <v>30.5</v>
      </c>
      <c r="F5650" s="4">
        <f t="shared" si="94"/>
        <v>-3.1746031746031744E-2</v>
      </c>
      <c r="G5650" s="37">
        <v>31.4</v>
      </c>
      <c r="H5650" s="1257">
        <v>45976</v>
      </c>
    </row>
    <row r="5651" spans="3:8" x14ac:dyDescent="0.25">
      <c r="C5651" s="1272">
        <v>1</v>
      </c>
      <c r="D5651" s="1272">
        <v>95</v>
      </c>
      <c r="E5651" s="1273">
        <v>29</v>
      </c>
      <c r="F5651" s="4">
        <f t="shared" si="94"/>
        <v>-1.0238907849829375E-2</v>
      </c>
      <c r="G5651" s="37">
        <v>31.4</v>
      </c>
      <c r="H5651" s="1257">
        <v>45976</v>
      </c>
    </row>
    <row r="5652" spans="3:8" x14ac:dyDescent="0.25">
      <c r="C5652" s="1272">
        <v>2</v>
      </c>
      <c r="D5652" s="1272">
        <v>42</v>
      </c>
      <c r="E5652" s="1273">
        <v>29.4</v>
      </c>
      <c r="F5652" s="4">
        <f t="shared" si="94"/>
        <v>1.0309278350515367E-2</v>
      </c>
      <c r="G5652" s="37">
        <v>31.4</v>
      </c>
      <c r="H5652" s="1257">
        <v>45976</v>
      </c>
    </row>
    <row r="5653" spans="3:8" x14ac:dyDescent="0.25">
      <c r="C5653" s="1272">
        <v>3</v>
      </c>
      <c r="D5653" s="1272">
        <v>122</v>
      </c>
      <c r="E5653" s="1273">
        <v>33.5</v>
      </c>
      <c r="F5653" s="4">
        <f t="shared" si="94"/>
        <v>-2.3323615160349774E-2</v>
      </c>
      <c r="G5653" s="37">
        <v>31.4</v>
      </c>
      <c r="H5653" s="1257">
        <v>45976</v>
      </c>
    </row>
    <row r="5654" spans="3:8" x14ac:dyDescent="0.25">
      <c r="C5654" s="1272">
        <v>4</v>
      </c>
      <c r="D5654" s="1272">
        <v>97</v>
      </c>
      <c r="E5654" s="1273">
        <v>34.6</v>
      </c>
      <c r="F5654" s="4">
        <f t="shared" si="94"/>
        <v>-2.8818443804034988E-3</v>
      </c>
      <c r="G5654" s="37">
        <v>31.4</v>
      </c>
      <c r="H5654" s="1257">
        <v>45976</v>
      </c>
    </row>
    <row r="5655" spans="3:8" x14ac:dyDescent="0.25">
      <c r="C5655" s="1272">
        <v>5</v>
      </c>
      <c r="D5655" s="1272">
        <v>0</v>
      </c>
      <c r="E5655" s="1273"/>
      <c r="F5655" s="4" t="str">
        <f t="shared" si="94"/>
        <v/>
      </c>
      <c r="G5655" s="37">
        <v>31.4</v>
      </c>
      <c r="H5655" s="1257">
        <v>45976</v>
      </c>
    </row>
    <row r="5656" spans="3:8" x14ac:dyDescent="0.25">
      <c r="C5656" s="1272">
        <v>6</v>
      </c>
      <c r="D5656" s="1272">
        <v>106</v>
      </c>
      <c r="E5656" s="1273">
        <v>25.8</v>
      </c>
      <c r="F5656" s="4">
        <f t="shared" si="94"/>
        <v>4.0322580645161289E-2</v>
      </c>
      <c r="G5656" s="37">
        <v>31.4</v>
      </c>
      <c r="H5656" s="1257">
        <v>45976</v>
      </c>
    </row>
    <row r="5657" spans="3:8" x14ac:dyDescent="0.25">
      <c r="C5657" s="1272">
        <v>7</v>
      </c>
      <c r="D5657" s="1272">
        <v>0</v>
      </c>
      <c r="E5657" s="1273"/>
      <c r="F5657" s="4" t="str">
        <f t="shared" si="94"/>
        <v/>
      </c>
      <c r="G5657" s="37">
        <v>31.4</v>
      </c>
      <c r="H5657" s="1257">
        <v>45976</v>
      </c>
    </row>
    <row r="5658" spans="3:8" x14ac:dyDescent="0.25">
      <c r="C5658" s="1272">
        <v>8</v>
      </c>
      <c r="D5658" s="1272">
        <v>0</v>
      </c>
      <c r="E5658" s="1273"/>
      <c r="F5658" s="4" t="str">
        <f t="shared" si="94"/>
        <v/>
      </c>
      <c r="G5658" s="37">
        <v>31.4</v>
      </c>
      <c r="H5658" s="1257">
        <v>45976</v>
      </c>
    </row>
    <row r="5659" spans="3:8" x14ac:dyDescent="0.25">
      <c r="C5659" s="1272">
        <v>9</v>
      </c>
      <c r="D5659" s="1272">
        <v>96</v>
      </c>
      <c r="E5659" s="1273">
        <v>31.8</v>
      </c>
      <c r="F5659" s="4">
        <f t="shared" si="94"/>
        <v>-4.216867469879524E-2</v>
      </c>
      <c r="G5659" s="37">
        <v>31.4</v>
      </c>
      <c r="H5659" s="1257">
        <v>45976</v>
      </c>
    </row>
    <row r="5660" spans="3:8" x14ac:dyDescent="0.25">
      <c r="C5660" s="1272">
        <v>10</v>
      </c>
      <c r="D5660" s="1272">
        <v>117</v>
      </c>
      <c r="E5660" s="1273">
        <v>30.8</v>
      </c>
      <c r="F5660" s="4">
        <f t="shared" si="94"/>
        <v>-3.4482758620689592E-2</v>
      </c>
      <c r="G5660" s="37">
        <v>31.4</v>
      </c>
      <c r="H5660" s="1257">
        <v>45976</v>
      </c>
    </row>
    <row r="5661" spans="3:8" x14ac:dyDescent="0.25">
      <c r="C5661" s="1274" t="s">
        <v>0</v>
      </c>
      <c r="D5661" s="1274" t="s">
        <v>7</v>
      </c>
      <c r="E5661" s="1275" t="s">
        <v>4</v>
      </c>
      <c r="F5661" s="4" t="str">
        <f t="shared" si="94"/>
        <v/>
      </c>
      <c r="G5661" s="37">
        <v>30.9</v>
      </c>
      <c r="H5661" s="1257">
        <v>45977</v>
      </c>
    </row>
    <row r="5662" spans="3:8" x14ac:dyDescent="0.25">
      <c r="C5662" s="1274">
        <v>51</v>
      </c>
      <c r="D5662" s="1274">
        <v>23</v>
      </c>
      <c r="E5662" s="1275">
        <v>30.2</v>
      </c>
      <c r="F5662" s="4">
        <f t="shared" ref="F5662:F5725" si="95">IFERROR((E5662-E5650)/E5650,"")</f>
        <v>-9.8360655737705152E-3</v>
      </c>
      <c r="G5662" s="37">
        <v>30.9</v>
      </c>
      <c r="H5662" s="1257">
        <v>45977</v>
      </c>
    </row>
    <row r="5663" spans="3:8" x14ac:dyDescent="0.25">
      <c r="C5663" s="1274">
        <v>1</v>
      </c>
      <c r="D5663" s="1274">
        <v>94</v>
      </c>
      <c r="E5663" s="1275">
        <v>28.7</v>
      </c>
      <c r="F5663" s="4">
        <f t="shared" si="95"/>
        <v>-1.0344827586206921E-2</v>
      </c>
      <c r="G5663" s="37">
        <v>30.9</v>
      </c>
      <c r="H5663" s="1257">
        <v>45977</v>
      </c>
    </row>
    <row r="5664" spans="3:8" x14ac:dyDescent="0.25">
      <c r="C5664" s="1274">
        <v>2</v>
      </c>
      <c r="D5664" s="1274">
        <v>37</v>
      </c>
      <c r="E5664" s="1275">
        <v>28.9</v>
      </c>
      <c r="F5664" s="4">
        <f t="shared" si="95"/>
        <v>-1.7006802721088437E-2</v>
      </c>
      <c r="G5664" s="37">
        <v>30.9</v>
      </c>
      <c r="H5664" s="1257">
        <v>45977</v>
      </c>
    </row>
    <row r="5665" spans="3:8" x14ac:dyDescent="0.25">
      <c r="C5665" s="1274">
        <v>3</v>
      </c>
      <c r="D5665" s="1274">
        <v>116</v>
      </c>
      <c r="E5665" s="1275">
        <v>33</v>
      </c>
      <c r="F5665" s="4">
        <f t="shared" si="95"/>
        <v>-1.4925373134328358E-2</v>
      </c>
      <c r="G5665" s="37">
        <v>30.9</v>
      </c>
      <c r="H5665" s="1257">
        <v>45977</v>
      </c>
    </row>
    <row r="5666" spans="3:8" x14ac:dyDescent="0.25">
      <c r="C5666" s="1274">
        <v>4</v>
      </c>
      <c r="D5666" s="1274">
        <v>97</v>
      </c>
      <c r="E5666" s="1275">
        <v>34</v>
      </c>
      <c r="F5666" s="4">
        <f t="shared" si="95"/>
        <v>-1.7341040462427786E-2</v>
      </c>
      <c r="G5666" s="37">
        <v>30.9</v>
      </c>
      <c r="H5666" s="1257">
        <v>45977</v>
      </c>
    </row>
    <row r="5667" spans="3:8" x14ac:dyDescent="0.25">
      <c r="C5667" s="1274">
        <v>5</v>
      </c>
      <c r="D5667" s="1274">
        <v>0</v>
      </c>
      <c r="E5667" s="1275"/>
      <c r="F5667" s="4" t="str">
        <f t="shared" si="95"/>
        <v/>
      </c>
      <c r="G5667" s="37">
        <v>30.9</v>
      </c>
      <c r="H5667" s="1257">
        <v>45977</v>
      </c>
    </row>
    <row r="5668" spans="3:8" x14ac:dyDescent="0.25">
      <c r="C5668" s="1274">
        <v>6</v>
      </c>
      <c r="D5668" s="1274">
        <v>117</v>
      </c>
      <c r="E5668" s="1275">
        <v>24.7</v>
      </c>
      <c r="F5668" s="4">
        <f t="shared" si="95"/>
        <v>-4.2635658914728737E-2</v>
      </c>
      <c r="G5668" s="37">
        <v>30.9</v>
      </c>
      <c r="H5668" s="1257">
        <v>45977</v>
      </c>
    </row>
    <row r="5669" spans="3:8" x14ac:dyDescent="0.25">
      <c r="C5669" s="1274">
        <v>7</v>
      </c>
      <c r="D5669" s="1274">
        <v>0</v>
      </c>
      <c r="E5669" s="1275"/>
      <c r="F5669" s="4" t="str">
        <f t="shared" si="95"/>
        <v/>
      </c>
      <c r="G5669" s="37">
        <v>30.9</v>
      </c>
      <c r="H5669" s="1257">
        <v>45977</v>
      </c>
    </row>
    <row r="5670" spans="3:8" x14ac:dyDescent="0.25">
      <c r="C5670" s="1274">
        <v>8</v>
      </c>
      <c r="D5670" s="1274">
        <v>0</v>
      </c>
      <c r="E5670" s="1275"/>
      <c r="F5670" s="4" t="str">
        <f t="shared" si="95"/>
        <v/>
      </c>
      <c r="G5670" s="37">
        <v>30.9</v>
      </c>
      <c r="H5670" s="1257">
        <v>45977</v>
      </c>
    </row>
    <row r="5671" spans="3:8" x14ac:dyDescent="0.25">
      <c r="C5671" s="1274">
        <v>9</v>
      </c>
      <c r="D5671" s="1274">
        <v>96</v>
      </c>
      <c r="E5671" s="1275">
        <v>31.3</v>
      </c>
      <c r="F5671" s="4">
        <f t="shared" si="95"/>
        <v>-1.5723270440251572E-2</v>
      </c>
      <c r="G5671" s="37">
        <v>30.9</v>
      </c>
      <c r="H5671" s="1257">
        <v>45977</v>
      </c>
    </row>
    <row r="5672" spans="3:8" x14ac:dyDescent="0.25">
      <c r="C5672" s="1274">
        <v>10</v>
      </c>
      <c r="D5672" s="1274">
        <v>117</v>
      </c>
      <c r="E5672" s="1275">
        <v>31.8</v>
      </c>
      <c r="F5672" s="4">
        <f t="shared" si="95"/>
        <v>3.2467532467532464E-2</v>
      </c>
      <c r="G5672" s="37">
        <v>30.9</v>
      </c>
      <c r="H5672" s="1257">
        <v>45977</v>
      </c>
    </row>
    <row r="5673" spans="3:8" x14ac:dyDescent="0.25">
      <c r="C5673" s="1276" t="s">
        <v>0</v>
      </c>
      <c r="D5673" s="1276" t="s">
        <v>7</v>
      </c>
      <c r="E5673" s="1277" t="s">
        <v>4</v>
      </c>
      <c r="F5673" s="4" t="str">
        <f t="shared" si="95"/>
        <v/>
      </c>
      <c r="G5673" s="37">
        <v>31.2</v>
      </c>
      <c r="H5673" s="1257">
        <v>45978</v>
      </c>
    </row>
    <row r="5674" spans="3:8" x14ac:dyDescent="0.25">
      <c r="C5674" s="1276">
        <v>51</v>
      </c>
      <c r="D5674" s="1276">
        <v>19</v>
      </c>
      <c r="E5674" s="1277">
        <v>32.1</v>
      </c>
      <c r="F5674" s="4">
        <f t="shared" si="95"/>
        <v>6.2913907284768283E-2</v>
      </c>
      <c r="G5674" s="37">
        <v>31.2</v>
      </c>
      <c r="H5674" s="1257">
        <v>45978</v>
      </c>
    </row>
    <row r="5675" spans="3:8" x14ac:dyDescent="0.25">
      <c r="C5675" s="1276">
        <v>1</v>
      </c>
      <c r="D5675" s="1276">
        <v>93</v>
      </c>
      <c r="E5675" s="1277">
        <v>29.2</v>
      </c>
      <c r="F5675" s="4">
        <f t="shared" si="95"/>
        <v>1.7421602787456445E-2</v>
      </c>
      <c r="G5675" s="37">
        <v>31.2</v>
      </c>
      <c r="H5675" s="1257">
        <v>45978</v>
      </c>
    </row>
    <row r="5676" spans="3:8" x14ac:dyDescent="0.25">
      <c r="C5676" s="1276">
        <v>2</v>
      </c>
      <c r="D5676" s="1276">
        <v>37</v>
      </c>
      <c r="E5676" s="1277">
        <v>29</v>
      </c>
      <c r="F5676" s="4">
        <f t="shared" si="95"/>
        <v>3.4602076124567969E-3</v>
      </c>
      <c r="G5676" s="37">
        <v>31.2</v>
      </c>
      <c r="H5676" s="1257">
        <v>45978</v>
      </c>
    </row>
    <row r="5677" spans="3:8" x14ac:dyDescent="0.25">
      <c r="C5677" s="1276">
        <v>3</v>
      </c>
      <c r="D5677" s="1276">
        <v>120</v>
      </c>
      <c r="E5677" s="1277">
        <v>33.5</v>
      </c>
      <c r="F5677" s="4">
        <f t="shared" si="95"/>
        <v>1.5151515151515152E-2</v>
      </c>
      <c r="G5677" s="37">
        <v>31.2</v>
      </c>
      <c r="H5677" s="1257">
        <v>45978</v>
      </c>
    </row>
    <row r="5678" spans="3:8" x14ac:dyDescent="0.25">
      <c r="C5678" s="1276">
        <v>4</v>
      </c>
      <c r="D5678" s="1276">
        <v>97</v>
      </c>
      <c r="E5678" s="1277">
        <v>34.6</v>
      </c>
      <c r="F5678" s="4">
        <f t="shared" si="95"/>
        <v>1.7647058823529453E-2</v>
      </c>
      <c r="G5678" s="37">
        <v>31.2</v>
      </c>
      <c r="H5678" s="1257">
        <v>45978</v>
      </c>
    </row>
    <row r="5679" spans="3:8" x14ac:dyDescent="0.25">
      <c r="C5679" s="1276">
        <v>5</v>
      </c>
      <c r="D5679" s="1276">
        <v>0</v>
      </c>
      <c r="E5679" s="1277"/>
      <c r="F5679" s="4" t="str">
        <f t="shared" si="95"/>
        <v/>
      </c>
      <c r="G5679" s="37">
        <v>31.2</v>
      </c>
      <c r="H5679" s="1257">
        <v>45978</v>
      </c>
    </row>
    <row r="5680" spans="3:8" x14ac:dyDescent="0.25">
      <c r="C5680" s="1276">
        <v>6</v>
      </c>
      <c r="D5680" s="1276">
        <v>117</v>
      </c>
      <c r="E5680" s="1277">
        <v>25.3</v>
      </c>
      <c r="F5680" s="4">
        <f t="shared" si="95"/>
        <v>2.4291497975708561E-2</v>
      </c>
      <c r="G5680" s="37">
        <v>31.2</v>
      </c>
      <c r="H5680" s="1257">
        <v>45978</v>
      </c>
    </row>
    <row r="5681" spans="3:15" x14ac:dyDescent="0.25">
      <c r="C5681" s="1276">
        <v>7</v>
      </c>
      <c r="D5681" s="1276">
        <v>0</v>
      </c>
      <c r="E5681" s="1277"/>
      <c r="F5681" s="4" t="str">
        <f t="shared" si="95"/>
        <v/>
      </c>
      <c r="G5681" s="37">
        <v>31.2</v>
      </c>
      <c r="H5681" s="1257">
        <v>45978</v>
      </c>
    </row>
    <row r="5682" spans="3:15" x14ac:dyDescent="0.25">
      <c r="C5682" s="1276">
        <v>8</v>
      </c>
      <c r="D5682" s="1276">
        <v>0</v>
      </c>
      <c r="E5682" s="1277"/>
      <c r="F5682" s="4" t="str">
        <f t="shared" si="95"/>
        <v/>
      </c>
      <c r="G5682" s="37">
        <v>31.2</v>
      </c>
      <c r="H5682" s="1257">
        <v>45978</v>
      </c>
    </row>
    <row r="5683" spans="3:15" x14ac:dyDescent="0.25">
      <c r="C5683" s="1276">
        <v>9</v>
      </c>
      <c r="D5683" s="1276">
        <v>96</v>
      </c>
      <c r="E5683" s="1277">
        <v>31.3</v>
      </c>
      <c r="F5683" s="4">
        <f t="shared" si="95"/>
        <v>0</v>
      </c>
      <c r="G5683" s="37">
        <v>31.2</v>
      </c>
      <c r="H5683" s="1257">
        <v>45978</v>
      </c>
      <c r="N5683" t="s">
        <v>16</v>
      </c>
    </row>
    <row r="5684" spans="3:15" x14ac:dyDescent="0.25">
      <c r="C5684" s="1276">
        <v>10</v>
      </c>
      <c r="D5684" s="1276">
        <v>117</v>
      </c>
      <c r="E5684" s="1277">
        <v>31.6</v>
      </c>
      <c r="F5684" s="4">
        <f t="shared" si="95"/>
        <v>-6.2893081761006067E-3</v>
      </c>
      <c r="G5684" s="37">
        <v>31.2</v>
      </c>
      <c r="H5684" s="1257">
        <v>45978</v>
      </c>
      <c r="L5684" s="1285">
        <v>45979</v>
      </c>
      <c r="M5684" s="1285">
        <v>45979</v>
      </c>
      <c r="N5684" s="1285">
        <v>45978</v>
      </c>
    </row>
    <row r="5685" spans="3:15" x14ac:dyDescent="0.25">
      <c r="C5685" s="1278" t="s">
        <v>0</v>
      </c>
      <c r="D5685" s="1278" t="s">
        <v>7</v>
      </c>
      <c r="E5685" s="1279" t="s">
        <v>4</v>
      </c>
      <c r="F5685" s="4" t="str">
        <f t="shared" si="95"/>
        <v/>
      </c>
      <c r="G5685" s="37">
        <v>32.6</v>
      </c>
      <c r="H5685" s="1280">
        <v>45979</v>
      </c>
      <c r="L5685" t="s">
        <v>12</v>
      </c>
      <c r="M5685" t="s">
        <v>13</v>
      </c>
      <c r="N5685" s="1287" t="s">
        <v>14</v>
      </c>
      <c r="O5685" t="s">
        <v>15</v>
      </c>
    </row>
    <row r="5686" spans="3:15" x14ac:dyDescent="0.25">
      <c r="C5686" s="1278">
        <v>51</v>
      </c>
      <c r="D5686" s="1278">
        <v>19</v>
      </c>
      <c r="E5686" s="1279">
        <v>33.54</v>
      </c>
      <c r="F5686" s="4">
        <f t="shared" si="95"/>
        <v>4.4859813084112077E-2</v>
      </c>
      <c r="G5686" s="37">
        <v>32.6</v>
      </c>
      <c r="H5686" s="1280">
        <v>45979</v>
      </c>
      <c r="K5686" s="1284">
        <v>51</v>
      </c>
      <c r="L5686">
        <v>11.26</v>
      </c>
      <c r="M5686">
        <v>11.42</v>
      </c>
      <c r="N5686">
        <v>10.86</v>
      </c>
      <c r="O5686" s="1286">
        <f>SUM(L5686:N5686)</f>
        <v>33.54</v>
      </c>
    </row>
    <row r="5687" spans="3:15" x14ac:dyDescent="0.25">
      <c r="C5687" s="1278">
        <v>1</v>
      </c>
      <c r="D5687" s="1278">
        <v>93</v>
      </c>
      <c r="E5687" s="1279">
        <v>29.32</v>
      </c>
      <c r="F5687" s="4">
        <f t="shared" si="95"/>
        <v>4.1095890410959247E-3</v>
      </c>
      <c r="G5687" s="37">
        <v>32.6</v>
      </c>
      <c r="H5687" s="1280">
        <v>45979</v>
      </c>
      <c r="K5687" s="1284">
        <v>1</v>
      </c>
      <c r="L5687">
        <v>10.38</v>
      </c>
      <c r="M5687">
        <v>9.1</v>
      </c>
      <c r="N5687">
        <v>9.84</v>
      </c>
      <c r="O5687" s="1286">
        <f t="shared" ref="O5687:O5696" si="96">SUM(L5687:N5687)</f>
        <v>29.32</v>
      </c>
    </row>
    <row r="5688" spans="3:15" x14ac:dyDescent="0.25">
      <c r="C5688" s="1278">
        <v>2</v>
      </c>
      <c r="D5688" s="1278">
        <v>39</v>
      </c>
      <c r="E5688" s="1279">
        <v>30.63</v>
      </c>
      <c r="F5688" s="4">
        <f t="shared" si="95"/>
        <v>5.6206896551724103E-2</v>
      </c>
      <c r="G5688" s="37">
        <v>32.6</v>
      </c>
      <c r="H5688" s="1280">
        <v>45979</v>
      </c>
      <c r="K5688" s="1284">
        <v>2</v>
      </c>
      <c r="L5688">
        <v>12.87</v>
      </c>
      <c r="M5688">
        <v>8.1</v>
      </c>
      <c r="N5688">
        <v>9.66</v>
      </c>
      <c r="O5688" s="1286">
        <f t="shared" si="96"/>
        <v>30.63</v>
      </c>
    </row>
    <row r="5689" spans="3:15" x14ac:dyDescent="0.25">
      <c r="C5689" s="1278">
        <v>3</v>
      </c>
      <c r="D5689" s="1278">
        <v>121</v>
      </c>
      <c r="E5689" s="1279">
        <v>33.340000000000003</v>
      </c>
      <c r="F5689" s="4">
        <f t="shared" si="95"/>
        <v>-4.7761194029849732E-3</v>
      </c>
      <c r="G5689" s="37">
        <v>32.6</v>
      </c>
      <c r="H5689" s="1280">
        <v>45979</v>
      </c>
      <c r="K5689" s="1284">
        <v>3</v>
      </c>
      <c r="L5689">
        <v>9.7200000000000006</v>
      </c>
      <c r="M5689">
        <v>14.73</v>
      </c>
      <c r="N5689">
        <v>8.89</v>
      </c>
      <c r="O5689" s="1286">
        <f t="shared" si="96"/>
        <v>33.340000000000003</v>
      </c>
    </row>
    <row r="5690" spans="3:15" x14ac:dyDescent="0.25">
      <c r="C5690" s="1278">
        <v>4</v>
      </c>
      <c r="D5690" s="1278">
        <v>97</v>
      </c>
      <c r="E5690" s="1279">
        <v>33.83</v>
      </c>
      <c r="F5690" s="4">
        <f t="shared" si="95"/>
        <v>-2.2254335260115696E-2</v>
      </c>
      <c r="G5690" s="37">
        <v>32.6</v>
      </c>
      <c r="H5690" s="1280">
        <v>45979</v>
      </c>
      <c r="K5690" s="1284">
        <v>4</v>
      </c>
      <c r="L5690">
        <v>8.59</v>
      </c>
      <c r="M5690">
        <v>9.91</v>
      </c>
      <c r="N5690">
        <v>15.33</v>
      </c>
      <c r="O5690" s="1286">
        <f t="shared" si="96"/>
        <v>33.83</v>
      </c>
    </row>
    <row r="5691" spans="3:15" x14ac:dyDescent="0.25">
      <c r="C5691" s="1278">
        <v>5</v>
      </c>
      <c r="D5691" s="1278">
        <v>0</v>
      </c>
      <c r="E5691" s="1279"/>
      <c r="F5691" s="4" t="str">
        <f t="shared" si="95"/>
        <v/>
      </c>
      <c r="G5691" s="37">
        <v>32.6</v>
      </c>
      <c r="H5691" s="1280">
        <v>45979</v>
      </c>
      <c r="K5691" s="1284">
        <v>5</v>
      </c>
      <c r="O5691" s="1286"/>
    </row>
    <row r="5692" spans="3:15" x14ac:dyDescent="0.25">
      <c r="C5692" s="1278">
        <v>6</v>
      </c>
      <c r="D5692" s="1278">
        <v>117</v>
      </c>
      <c r="E5692" s="1279">
        <v>25.83</v>
      </c>
      <c r="F5692" s="4">
        <f t="shared" si="95"/>
        <v>2.0948616600790417E-2</v>
      </c>
      <c r="G5692" s="37">
        <v>32.6</v>
      </c>
      <c r="H5692" s="1280">
        <v>45979</v>
      </c>
      <c r="K5692" s="1284">
        <v>6</v>
      </c>
      <c r="L5692">
        <v>9.01</v>
      </c>
      <c r="M5692">
        <v>8.0399999999999991</v>
      </c>
      <c r="N5692">
        <v>8.7799999999999994</v>
      </c>
      <c r="O5692" s="1286">
        <f t="shared" si="96"/>
        <v>25.83</v>
      </c>
    </row>
    <row r="5693" spans="3:15" x14ac:dyDescent="0.25">
      <c r="C5693" s="1278">
        <v>7</v>
      </c>
      <c r="D5693" s="1278">
        <v>0</v>
      </c>
      <c r="E5693" s="1279"/>
      <c r="F5693" s="4" t="str">
        <f t="shared" si="95"/>
        <v/>
      </c>
      <c r="G5693" s="37">
        <v>32.6</v>
      </c>
      <c r="H5693" s="1280">
        <v>45979</v>
      </c>
      <c r="K5693" s="1284">
        <v>7</v>
      </c>
      <c r="O5693" s="1286"/>
    </row>
    <row r="5694" spans="3:15" x14ac:dyDescent="0.25">
      <c r="C5694" s="1278">
        <v>8</v>
      </c>
      <c r="D5694" s="1278">
        <v>0</v>
      </c>
      <c r="E5694" s="1279"/>
      <c r="F5694" s="4" t="str">
        <f t="shared" si="95"/>
        <v/>
      </c>
      <c r="G5694" s="37">
        <v>32.6</v>
      </c>
      <c r="H5694" s="1280">
        <v>45979</v>
      </c>
      <c r="K5694" s="1284">
        <v>8</v>
      </c>
      <c r="O5694" s="1286"/>
    </row>
    <row r="5695" spans="3:15" x14ac:dyDescent="0.25">
      <c r="C5695" s="1278">
        <v>9</v>
      </c>
      <c r="D5695" s="1278">
        <v>95</v>
      </c>
      <c r="E5695" s="1279">
        <v>31.75</v>
      </c>
      <c r="F5695" s="4">
        <f t="shared" si="95"/>
        <v>1.4376996805111798E-2</v>
      </c>
      <c r="G5695" s="37">
        <v>32.6</v>
      </c>
      <c r="H5695" s="1280">
        <v>45979</v>
      </c>
      <c r="K5695" s="1284">
        <v>9</v>
      </c>
      <c r="L5695">
        <v>11.7</v>
      </c>
      <c r="M5695">
        <v>10.46</v>
      </c>
      <c r="N5695">
        <v>9.59</v>
      </c>
      <c r="O5695" s="1286">
        <f t="shared" si="96"/>
        <v>31.75</v>
      </c>
    </row>
    <row r="5696" spans="3:15" x14ac:dyDescent="0.25">
      <c r="C5696" s="1278">
        <v>10</v>
      </c>
      <c r="D5696" s="1278">
        <v>117</v>
      </c>
      <c r="E5696" s="1279">
        <v>31.13</v>
      </c>
      <c r="F5696" s="4">
        <f t="shared" si="95"/>
        <v>-1.4873417721519063E-2</v>
      </c>
      <c r="G5696" s="37">
        <v>32.6</v>
      </c>
      <c r="H5696" s="1280">
        <v>45979</v>
      </c>
      <c r="K5696" s="1284">
        <v>10</v>
      </c>
      <c r="L5696">
        <v>12.54</v>
      </c>
      <c r="M5696">
        <v>9.2899999999999991</v>
      </c>
      <c r="N5696">
        <v>9.3000000000000007</v>
      </c>
      <c r="O5696" s="1286">
        <f t="shared" si="96"/>
        <v>31.13</v>
      </c>
    </row>
    <row r="5697" spans="3:15" x14ac:dyDescent="0.25">
      <c r="C5697" s="1281" t="s">
        <v>0</v>
      </c>
      <c r="D5697" s="1281" t="s">
        <v>7</v>
      </c>
      <c r="E5697" s="1282" t="s">
        <v>4</v>
      </c>
      <c r="F5697" s="4" t="str">
        <f t="shared" si="95"/>
        <v/>
      </c>
      <c r="G5697" s="37">
        <v>30.1</v>
      </c>
      <c r="H5697" s="1283">
        <v>45980</v>
      </c>
    </row>
    <row r="5698" spans="3:15" x14ac:dyDescent="0.25">
      <c r="C5698" s="1281">
        <v>51</v>
      </c>
      <c r="D5698" s="1281">
        <v>24</v>
      </c>
      <c r="E5698" s="1282">
        <v>32.75</v>
      </c>
      <c r="F5698" s="4">
        <f t="shared" si="95"/>
        <v>-2.3553965414430507E-2</v>
      </c>
      <c r="G5698" s="37">
        <v>30.1</v>
      </c>
      <c r="H5698" s="1283">
        <v>45980</v>
      </c>
      <c r="L5698" s="1287" t="s">
        <v>12</v>
      </c>
      <c r="M5698" t="s">
        <v>13</v>
      </c>
      <c r="N5698" t="s">
        <v>14</v>
      </c>
      <c r="O5698" t="s">
        <v>15</v>
      </c>
    </row>
    <row r="5699" spans="3:15" x14ac:dyDescent="0.25">
      <c r="C5699" s="1281">
        <v>1</v>
      </c>
      <c r="D5699" s="1281">
        <v>93</v>
      </c>
      <c r="E5699" s="1282">
        <v>28.4</v>
      </c>
      <c r="F5699" s="4">
        <f t="shared" si="95"/>
        <v>-3.1377899045020523E-2</v>
      </c>
      <c r="G5699" s="37">
        <v>30.1</v>
      </c>
      <c r="H5699" s="1283">
        <v>45980</v>
      </c>
      <c r="K5699" s="1284">
        <v>51</v>
      </c>
      <c r="L5699">
        <v>11.26</v>
      </c>
      <c r="M5699">
        <v>10.96</v>
      </c>
      <c r="N5699">
        <v>10.53</v>
      </c>
      <c r="O5699" s="1286">
        <f>SUM(L5699:N5699)</f>
        <v>32.75</v>
      </c>
    </row>
    <row r="5700" spans="3:15" x14ac:dyDescent="0.25">
      <c r="C5700" s="1281">
        <v>2</v>
      </c>
      <c r="D5700" s="1281">
        <v>38</v>
      </c>
      <c r="E5700" s="1282">
        <v>27.9</v>
      </c>
      <c r="F5700" s="4">
        <f t="shared" si="95"/>
        <v>-8.912830558276201E-2</v>
      </c>
      <c r="G5700" s="37">
        <v>30.1</v>
      </c>
      <c r="H5700" s="1283">
        <v>45980</v>
      </c>
    </row>
    <row r="5701" spans="3:15" x14ac:dyDescent="0.25">
      <c r="C5701" s="1281">
        <v>3</v>
      </c>
      <c r="D5701" s="1281">
        <v>121</v>
      </c>
      <c r="E5701" s="1282">
        <v>32.5</v>
      </c>
      <c r="F5701" s="4">
        <f t="shared" si="95"/>
        <v>-2.5194961007798541E-2</v>
      </c>
      <c r="G5701" s="37">
        <v>30.1</v>
      </c>
      <c r="H5701" s="1283">
        <v>45980</v>
      </c>
    </row>
    <row r="5702" spans="3:15" x14ac:dyDescent="0.25">
      <c r="C5702" s="1281">
        <v>4</v>
      </c>
      <c r="D5702" s="1281">
        <v>97</v>
      </c>
      <c r="E5702" s="1282">
        <v>32.700000000000003</v>
      </c>
      <c r="F5702" s="4">
        <f t="shared" si="95"/>
        <v>-3.3402305645876311E-2</v>
      </c>
      <c r="G5702" s="37">
        <v>30.1</v>
      </c>
      <c r="H5702" s="1283">
        <v>45980</v>
      </c>
    </row>
    <row r="5703" spans="3:15" x14ac:dyDescent="0.25">
      <c r="C5703" s="1281">
        <v>5</v>
      </c>
      <c r="D5703" s="1281">
        <v>0</v>
      </c>
      <c r="E5703" s="1282"/>
      <c r="F5703" s="4" t="str">
        <f t="shared" si="95"/>
        <v/>
      </c>
      <c r="G5703" s="37">
        <v>30.1</v>
      </c>
      <c r="H5703" s="1283">
        <v>45980</v>
      </c>
    </row>
    <row r="5704" spans="3:15" x14ac:dyDescent="0.25">
      <c r="C5704" s="1281">
        <v>6</v>
      </c>
      <c r="D5704" s="1281">
        <v>117</v>
      </c>
      <c r="E5704" s="1282">
        <v>24.7</v>
      </c>
      <c r="F5704" s="4">
        <f t="shared" si="95"/>
        <v>-4.3747580332946151E-2</v>
      </c>
      <c r="G5704" s="37">
        <v>30.1</v>
      </c>
      <c r="H5704" s="1283">
        <v>45980</v>
      </c>
    </row>
    <row r="5705" spans="3:15" x14ac:dyDescent="0.25">
      <c r="C5705" s="1281">
        <v>7</v>
      </c>
      <c r="D5705" s="1281">
        <v>0</v>
      </c>
      <c r="E5705" s="1282"/>
      <c r="F5705" s="4" t="str">
        <f t="shared" si="95"/>
        <v/>
      </c>
      <c r="G5705" s="37">
        <v>30.1</v>
      </c>
      <c r="H5705" s="1283">
        <v>45980</v>
      </c>
    </row>
    <row r="5706" spans="3:15" x14ac:dyDescent="0.25">
      <c r="C5706" s="1281">
        <v>8</v>
      </c>
      <c r="D5706" s="1281">
        <v>0</v>
      </c>
      <c r="E5706" s="1282"/>
      <c r="F5706" s="4" t="str">
        <f t="shared" si="95"/>
        <v/>
      </c>
      <c r="G5706" s="37">
        <v>30.1</v>
      </c>
      <c r="H5706" s="1283">
        <v>45980</v>
      </c>
    </row>
    <row r="5707" spans="3:15" x14ac:dyDescent="0.25">
      <c r="C5707" s="1281">
        <v>9</v>
      </c>
      <c r="D5707" s="1281">
        <v>95</v>
      </c>
      <c r="E5707" s="1282">
        <v>31.6</v>
      </c>
      <c r="F5707" s="4">
        <f t="shared" si="95"/>
        <v>-4.7244094488188525E-3</v>
      </c>
      <c r="G5707" s="37">
        <v>30.1</v>
      </c>
      <c r="H5707" s="1283">
        <v>45980</v>
      </c>
    </row>
    <row r="5708" spans="3:15" x14ac:dyDescent="0.25">
      <c r="C5708" s="1281">
        <v>10</v>
      </c>
      <c r="D5708" s="1281">
        <v>117</v>
      </c>
      <c r="E5708" s="1282">
        <v>31.2</v>
      </c>
      <c r="F5708" s="4">
        <f t="shared" si="95"/>
        <v>2.2486347574686891E-3</v>
      </c>
      <c r="G5708" s="37">
        <v>30.1</v>
      </c>
      <c r="H5708" s="1283">
        <v>45980</v>
      </c>
    </row>
    <row r="5709" spans="3:15" x14ac:dyDescent="0.25">
      <c r="C5709" s="1288" t="s">
        <v>0</v>
      </c>
      <c r="D5709" s="1288" t="s">
        <v>7</v>
      </c>
      <c r="E5709" s="1289" t="s">
        <v>4</v>
      </c>
      <c r="F5709" s="4" t="str">
        <f t="shared" si="95"/>
        <v/>
      </c>
      <c r="G5709" s="37">
        <v>31.8</v>
      </c>
      <c r="H5709" s="1290">
        <v>45981</v>
      </c>
    </row>
    <row r="5710" spans="3:15" x14ac:dyDescent="0.25">
      <c r="C5710" s="1288">
        <v>51</v>
      </c>
      <c r="D5710" s="1288">
        <v>19</v>
      </c>
      <c r="E5710" s="1289">
        <v>33.299999999999997</v>
      </c>
      <c r="F5710" s="4">
        <f t="shared" si="95"/>
        <v>1.6793893129770907E-2</v>
      </c>
      <c r="G5710" s="37">
        <v>31.8</v>
      </c>
      <c r="H5710" s="1290">
        <v>45981</v>
      </c>
    </row>
    <row r="5711" spans="3:15" x14ac:dyDescent="0.25">
      <c r="C5711" s="1288">
        <v>1</v>
      </c>
      <c r="D5711" s="1288">
        <v>93</v>
      </c>
      <c r="E5711" s="1289">
        <v>29.9</v>
      </c>
      <c r="F5711" s="4">
        <f t="shared" si="95"/>
        <v>5.281690140845071E-2</v>
      </c>
      <c r="G5711" s="37">
        <v>31.8</v>
      </c>
      <c r="H5711" s="1290">
        <v>45981</v>
      </c>
    </row>
    <row r="5712" spans="3:15" x14ac:dyDescent="0.25">
      <c r="C5712" s="1288">
        <v>2</v>
      </c>
      <c r="D5712" s="1288">
        <v>40</v>
      </c>
      <c r="E5712" s="1289">
        <v>30.1</v>
      </c>
      <c r="F5712" s="4">
        <f t="shared" si="95"/>
        <v>7.8853046594982185E-2</v>
      </c>
      <c r="G5712" s="37">
        <v>31.8</v>
      </c>
      <c r="H5712" s="1290">
        <v>45981</v>
      </c>
    </row>
    <row r="5713" spans="3:8" x14ac:dyDescent="0.25">
      <c r="C5713" s="1288">
        <v>3</v>
      </c>
      <c r="D5713" s="1288">
        <v>118</v>
      </c>
      <c r="E5713" s="1289">
        <v>33.6</v>
      </c>
      <c r="F5713" s="4">
        <f t="shared" si="95"/>
        <v>3.3846153846153887E-2</v>
      </c>
      <c r="G5713" s="37">
        <v>31.8</v>
      </c>
      <c r="H5713" s="1290">
        <v>45981</v>
      </c>
    </row>
    <row r="5714" spans="3:8" x14ac:dyDescent="0.25">
      <c r="C5714" s="1288">
        <v>4</v>
      </c>
      <c r="D5714" s="1288">
        <v>97</v>
      </c>
      <c r="E5714" s="1289">
        <v>35.700000000000003</v>
      </c>
      <c r="F5714" s="4">
        <f t="shared" si="95"/>
        <v>9.1743119266055037E-2</v>
      </c>
      <c r="G5714" s="37">
        <v>31.8</v>
      </c>
      <c r="H5714" s="1290">
        <v>45981</v>
      </c>
    </row>
    <row r="5715" spans="3:8" x14ac:dyDescent="0.25">
      <c r="C5715" s="1288">
        <v>5</v>
      </c>
      <c r="D5715" s="1288">
        <v>0</v>
      </c>
      <c r="E5715" s="1289"/>
      <c r="F5715" s="4" t="str">
        <f t="shared" si="95"/>
        <v/>
      </c>
      <c r="G5715" s="37">
        <v>31.8</v>
      </c>
      <c r="H5715" s="1290">
        <v>45981</v>
      </c>
    </row>
    <row r="5716" spans="3:8" x14ac:dyDescent="0.25">
      <c r="C5716" s="1288">
        <v>6</v>
      </c>
      <c r="D5716" s="1288">
        <v>123</v>
      </c>
      <c r="E5716" s="1289">
        <v>25.1</v>
      </c>
      <c r="F5716" s="4">
        <f t="shared" si="95"/>
        <v>1.6194331983805755E-2</v>
      </c>
      <c r="G5716" s="37">
        <v>31.8</v>
      </c>
      <c r="H5716" s="1290">
        <v>45981</v>
      </c>
    </row>
    <row r="5717" spans="3:8" x14ac:dyDescent="0.25">
      <c r="C5717" s="1288">
        <v>7</v>
      </c>
      <c r="D5717" s="1288">
        <v>0</v>
      </c>
      <c r="E5717" s="1289"/>
      <c r="F5717" s="4" t="str">
        <f t="shared" si="95"/>
        <v/>
      </c>
      <c r="G5717" s="37">
        <v>31.8</v>
      </c>
      <c r="H5717" s="1290">
        <v>45981</v>
      </c>
    </row>
    <row r="5718" spans="3:8" x14ac:dyDescent="0.25">
      <c r="C5718" s="1288">
        <v>8</v>
      </c>
      <c r="D5718" s="1288">
        <v>0</v>
      </c>
      <c r="E5718" s="1289"/>
      <c r="F5718" s="4" t="str">
        <f t="shared" si="95"/>
        <v/>
      </c>
      <c r="G5718" s="37">
        <v>31.8</v>
      </c>
      <c r="H5718" s="1290">
        <v>45981</v>
      </c>
    </row>
    <row r="5719" spans="3:8" x14ac:dyDescent="0.25">
      <c r="C5719" s="1288">
        <v>9</v>
      </c>
      <c r="D5719" s="1288">
        <v>95</v>
      </c>
      <c r="E5719" s="1289">
        <v>32.799999999999997</v>
      </c>
      <c r="F5719" s="4">
        <f t="shared" si="95"/>
        <v>3.797468354430366E-2</v>
      </c>
      <c r="G5719" s="37">
        <v>31.8</v>
      </c>
      <c r="H5719" s="1290">
        <v>45981</v>
      </c>
    </row>
    <row r="5720" spans="3:8" x14ac:dyDescent="0.25">
      <c r="C5720" s="1288">
        <v>10</v>
      </c>
      <c r="D5720" s="1288">
        <v>116</v>
      </c>
      <c r="E5720" s="1289">
        <v>32.5</v>
      </c>
      <c r="F5720" s="4">
        <f t="shared" si="95"/>
        <v>4.1666666666666692E-2</v>
      </c>
      <c r="G5720" s="37">
        <v>31.8</v>
      </c>
      <c r="H5720" s="1290">
        <v>45981</v>
      </c>
    </row>
    <row r="5721" spans="3:8" x14ac:dyDescent="0.25">
      <c r="C5721" s="1291" t="s">
        <v>0</v>
      </c>
      <c r="D5721" s="1291" t="s">
        <v>7</v>
      </c>
      <c r="E5721" s="1292" t="s">
        <v>4</v>
      </c>
      <c r="F5721" s="4" t="str">
        <f t="shared" si="95"/>
        <v/>
      </c>
      <c r="G5721" s="37">
        <v>32.6</v>
      </c>
      <c r="H5721" s="1293">
        <v>45982</v>
      </c>
    </row>
    <row r="5722" spans="3:8" x14ac:dyDescent="0.25">
      <c r="C5722" s="1291">
        <v>51</v>
      </c>
      <c r="D5722" s="1291">
        <v>21</v>
      </c>
      <c r="E5722" s="1292">
        <v>33.299999999999997</v>
      </c>
      <c r="F5722" s="4">
        <f t="shared" si="95"/>
        <v>0</v>
      </c>
      <c r="G5722" s="37">
        <v>32.6</v>
      </c>
      <c r="H5722" s="1293">
        <v>45982</v>
      </c>
    </row>
    <row r="5723" spans="3:8" x14ac:dyDescent="0.25">
      <c r="C5723" s="1291">
        <v>1</v>
      </c>
      <c r="D5723" s="1291">
        <v>88</v>
      </c>
      <c r="E5723" s="1292">
        <v>30</v>
      </c>
      <c r="F5723" s="4">
        <f t="shared" si="95"/>
        <v>3.3444816053512182E-3</v>
      </c>
      <c r="G5723" s="37">
        <v>32.6</v>
      </c>
      <c r="H5723" s="1293">
        <v>45982</v>
      </c>
    </row>
    <row r="5724" spans="3:8" x14ac:dyDescent="0.25">
      <c r="C5724" s="1291">
        <v>2</v>
      </c>
      <c r="D5724" s="1291">
        <v>39</v>
      </c>
      <c r="E5724" s="1292">
        <v>30.5</v>
      </c>
      <c r="F5724" s="4">
        <f t="shared" si="95"/>
        <v>1.328903654485045E-2</v>
      </c>
      <c r="G5724" s="37">
        <v>32.6</v>
      </c>
      <c r="H5724" s="1293">
        <v>45982</v>
      </c>
    </row>
    <row r="5725" spans="3:8" x14ac:dyDescent="0.25">
      <c r="C5725" s="1291">
        <v>3</v>
      </c>
      <c r="D5725" s="1291">
        <v>118</v>
      </c>
      <c r="E5725" s="1292">
        <v>35.1</v>
      </c>
      <c r="F5725" s="4">
        <f t="shared" si="95"/>
        <v>4.4642857142857144E-2</v>
      </c>
      <c r="G5725" s="37">
        <v>32.6</v>
      </c>
      <c r="H5725" s="1293">
        <v>45982</v>
      </c>
    </row>
    <row r="5726" spans="3:8" x14ac:dyDescent="0.25">
      <c r="C5726" s="1291">
        <v>4</v>
      </c>
      <c r="D5726" s="1291">
        <v>97</v>
      </c>
      <c r="E5726" s="1292">
        <v>36.299999999999997</v>
      </c>
      <c r="F5726" s="4">
        <f t="shared" ref="F5726:F5789" si="97">IFERROR((E5726-E5714)/E5714,"")</f>
        <v>1.680672268907547E-2</v>
      </c>
      <c r="G5726" s="37">
        <v>32.6</v>
      </c>
      <c r="H5726" s="1293">
        <v>45982</v>
      </c>
    </row>
    <row r="5727" spans="3:8" x14ac:dyDescent="0.25">
      <c r="C5727" s="1291">
        <v>5</v>
      </c>
      <c r="D5727" s="1291">
        <v>0</v>
      </c>
      <c r="E5727" s="1292"/>
      <c r="F5727" s="4" t="str">
        <f t="shared" si="97"/>
        <v/>
      </c>
      <c r="G5727" s="37">
        <v>32.6</v>
      </c>
      <c r="H5727" s="1293">
        <v>45982</v>
      </c>
    </row>
    <row r="5728" spans="3:8" x14ac:dyDescent="0.25">
      <c r="C5728" s="1291">
        <v>6</v>
      </c>
      <c r="D5728" s="1291">
        <v>120</v>
      </c>
      <c r="E5728" s="1292">
        <v>25</v>
      </c>
      <c r="F5728" s="4">
        <f t="shared" si="97"/>
        <v>-3.9840637450199766E-3</v>
      </c>
      <c r="G5728" s="37">
        <v>32.6</v>
      </c>
      <c r="H5728" s="1293">
        <v>45982</v>
      </c>
    </row>
    <row r="5729" spans="3:8" x14ac:dyDescent="0.25">
      <c r="C5729" s="1291">
        <v>7</v>
      </c>
      <c r="D5729" s="1291">
        <v>0</v>
      </c>
      <c r="E5729" s="1292"/>
      <c r="F5729" s="4" t="str">
        <f t="shared" si="97"/>
        <v/>
      </c>
      <c r="G5729" s="37">
        <v>32.6</v>
      </c>
      <c r="H5729" s="1293">
        <v>45982</v>
      </c>
    </row>
    <row r="5730" spans="3:8" x14ac:dyDescent="0.25">
      <c r="C5730" s="1291">
        <v>8</v>
      </c>
      <c r="D5730" s="1291">
        <v>0</v>
      </c>
      <c r="E5730" s="1292"/>
      <c r="F5730" s="4" t="str">
        <f t="shared" si="97"/>
        <v/>
      </c>
      <c r="G5730" s="37">
        <v>32.6</v>
      </c>
      <c r="H5730" s="1293">
        <v>45982</v>
      </c>
    </row>
    <row r="5731" spans="3:8" x14ac:dyDescent="0.25">
      <c r="C5731" s="1291">
        <v>9</v>
      </c>
      <c r="D5731" s="1291">
        <v>95</v>
      </c>
      <c r="E5731" s="1292">
        <v>33.5</v>
      </c>
      <c r="F5731" s="4">
        <f t="shared" si="97"/>
        <v>2.1341463414634235E-2</v>
      </c>
      <c r="G5731" s="37">
        <v>32.6</v>
      </c>
      <c r="H5731" s="1293">
        <v>45982</v>
      </c>
    </row>
    <row r="5732" spans="3:8" x14ac:dyDescent="0.25">
      <c r="C5732" s="1291">
        <v>10</v>
      </c>
      <c r="D5732" s="1291">
        <v>115</v>
      </c>
      <c r="E5732" s="1292">
        <v>32.700000000000003</v>
      </c>
      <c r="F5732" s="4">
        <f t="shared" si="97"/>
        <v>6.1538461538462414E-3</v>
      </c>
      <c r="G5732" s="37">
        <v>32.6</v>
      </c>
      <c r="H5732" s="1293">
        <v>45982</v>
      </c>
    </row>
    <row r="5733" spans="3:8" x14ac:dyDescent="0.25">
      <c r="C5733" s="1294" t="s">
        <v>0</v>
      </c>
      <c r="D5733" s="1294" t="s">
        <v>7</v>
      </c>
      <c r="E5733" s="1295" t="s">
        <v>4</v>
      </c>
      <c r="F5733" s="4" t="str">
        <f t="shared" si="97"/>
        <v/>
      </c>
      <c r="G5733" s="37">
        <v>32.1</v>
      </c>
      <c r="H5733" s="1293">
        <v>45983</v>
      </c>
    </row>
    <row r="5734" spans="3:8" x14ac:dyDescent="0.25">
      <c r="C5734" s="1294">
        <v>51</v>
      </c>
      <c r="D5734" s="1294">
        <v>21</v>
      </c>
      <c r="E5734" s="1295">
        <v>32.799999999999997</v>
      </c>
      <c r="F5734" s="4">
        <f t="shared" si="97"/>
        <v>-1.5015015015015017E-2</v>
      </c>
      <c r="G5734" s="37">
        <v>32.1</v>
      </c>
      <c r="H5734" s="1293">
        <v>45983</v>
      </c>
    </row>
    <row r="5735" spans="3:8" x14ac:dyDescent="0.25">
      <c r="C5735" s="1294">
        <v>1</v>
      </c>
      <c r="D5735" s="1294">
        <v>88</v>
      </c>
      <c r="E5735" s="1295">
        <v>30.4</v>
      </c>
      <c r="F5735" s="4">
        <f t="shared" si="97"/>
        <v>1.3333333333333286E-2</v>
      </c>
      <c r="G5735" s="37">
        <v>32.1</v>
      </c>
      <c r="H5735" s="1293">
        <v>45983</v>
      </c>
    </row>
    <row r="5736" spans="3:8" x14ac:dyDescent="0.25">
      <c r="C5736" s="1294">
        <v>2</v>
      </c>
      <c r="D5736" s="1294">
        <v>39</v>
      </c>
      <c r="E5736" s="1295">
        <v>31.4</v>
      </c>
      <c r="F5736" s="4">
        <f t="shared" si="97"/>
        <v>2.9508196721311428E-2</v>
      </c>
      <c r="G5736" s="37">
        <v>32.1</v>
      </c>
      <c r="H5736" s="1293">
        <v>45983</v>
      </c>
    </row>
    <row r="5737" spans="3:8" x14ac:dyDescent="0.25">
      <c r="C5737" s="1294">
        <v>3</v>
      </c>
      <c r="D5737" s="1294">
        <v>118</v>
      </c>
      <c r="E5737" s="1295">
        <v>34.6</v>
      </c>
      <c r="F5737" s="4">
        <f t="shared" si="97"/>
        <v>-1.4245014245014245E-2</v>
      </c>
      <c r="G5737" s="37">
        <v>32.1</v>
      </c>
      <c r="H5737" s="1293">
        <v>45983</v>
      </c>
    </row>
    <row r="5738" spans="3:8" x14ac:dyDescent="0.25">
      <c r="C5738" s="1294">
        <v>4</v>
      </c>
      <c r="D5738" s="1294">
        <v>97</v>
      </c>
      <c r="E5738" s="1295">
        <v>35.4</v>
      </c>
      <c r="F5738" s="4">
        <f t="shared" si="97"/>
        <v>-2.4793388429752029E-2</v>
      </c>
      <c r="G5738" s="37">
        <v>32.1</v>
      </c>
      <c r="H5738" s="1293">
        <v>45983</v>
      </c>
    </row>
    <row r="5739" spans="3:8" x14ac:dyDescent="0.25">
      <c r="C5739" s="1294">
        <v>5</v>
      </c>
      <c r="D5739" s="1294">
        <v>0</v>
      </c>
      <c r="E5739" s="1295"/>
      <c r="F5739" s="4" t="str">
        <f t="shared" si="97"/>
        <v/>
      </c>
      <c r="G5739" s="37">
        <v>32.1</v>
      </c>
      <c r="H5739" s="1293">
        <v>45983</v>
      </c>
    </row>
    <row r="5740" spans="3:8" x14ac:dyDescent="0.25">
      <c r="C5740" s="1294">
        <v>6</v>
      </c>
      <c r="D5740" s="1294">
        <v>120</v>
      </c>
      <c r="E5740" s="1295">
        <v>25.2</v>
      </c>
      <c r="F5740" s="4">
        <f t="shared" si="97"/>
        <v>7.9999999999999724E-3</v>
      </c>
      <c r="G5740" s="37">
        <v>32.1</v>
      </c>
      <c r="H5740" s="1293">
        <v>45983</v>
      </c>
    </row>
    <row r="5741" spans="3:8" x14ac:dyDescent="0.25">
      <c r="C5741" s="1294">
        <v>7</v>
      </c>
      <c r="D5741" s="1294">
        <v>0</v>
      </c>
      <c r="E5741" s="1295"/>
      <c r="F5741" s="4" t="str">
        <f t="shared" si="97"/>
        <v/>
      </c>
      <c r="G5741" s="37">
        <v>32.1</v>
      </c>
      <c r="H5741" s="1293">
        <v>45983</v>
      </c>
    </row>
    <row r="5742" spans="3:8" x14ac:dyDescent="0.25">
      <c r="C5742" s="1294">
        <v>8</v>
      </c>
      <c r="D5742" s="1294">
        <v>0</v>
      </c>
      <c r="E5742" s="1295"/>
      <c r="F5742" s="4" t="str">
        <f t="shared" si="97"/>
        <v/>
      </c>
      <c r="G5742" s="37">
        <v>32.1</v>
      </c>
      <c r="H5742" s="1293">
        <v>45983</v>
      </c>
    </row>
    <row r="5743" spans="3:8" x14ac:dyDescent="0.25">
      <c r="C5743" s="1294">
        <v>9</v>
      </c>
      <c r="D5743" s="1294">
        <v>95</v>
      </c>
      <c r="E5743" s="1295">
        <v>34.200000000000003</v>
      </c>
      <c r="F5743" s="4">
        <f t="shared" si="97"/>
        <v>2.0895522388059785E-2</v>
      </c>
      <c r="G5743" s="37">
        <v>32.1</v>
      </c>
      <c r="H5743" s="1293">
        <v>45983</v>
      </c>
    </row>
    <row r="5744" spans="3:8" x14ac:dyDescent="0.25">
      <c r="C5744" s="1294">
        <v>10</v>
      </c>
      <c r="D5744" s="1294">
        <v>115</v>
      </c>
      <c r="E5744" s="1295">
        <v>32.4</v>
      </c>
      <c r="F5744" s="4">
        <f t="shared" si="97"/>
        <v>-9.1743119266056335E-3</v>
      </c>
      <c r="G5744" s="37">
        <v>32.1</v>
      </c>
      <c r="H5744" s="1293">
        <v>45983</v>
      </c>
    </row>
    <row r="5745" spans="3:8" x14ac:dyDescent="0.25">
      <c r="C5745" s="1296" t="s">
        <v>0</v>
      </c>
      <c r="D5745" s="1296" t="s">
        <v>7</v>
      </c>
      <c r="E5745" s="1297" t="s">
        <v>4</v>
      </c>
      <c r="F5745" s="4" t="str">
        <f t="shared" si="97"/>
        <v/>
      </c>
      <c r="G5745" s="37">
        <v>32.4</v>
      </c>
      <c r="H5745" s="1298">
        <v>45984</v>
      </c>
    </row>
    <row r="5746" spans="3:8" x14ac:dyDescent="0.25">
      <c r="C5746" s="1296">
        <v>51</v>
      </c>
      <c r="D5746" s="1296">
        <v>20</v>
      </c>
      <c r="E5746" s="1297">
        <v>32.4</v>
      </c>
      <c r="F5746" s="4">
        <f t="shared" si="97"/>
        <v>-1.2195121951219469E-2</v>
      </c>
      <c r="G5746" s="37">
        <v>32.4</v>
      </c>
      <c r="H5746" s="1298">
        <v>45984</v>
      </c>
    </row>
    <row r="5747" spans="3:8" x14ac:dyDescent="0.25">
      <c r="C5747" s="1296">
        <v>1</v>
      </c>
      <c r="D5747" s="1296">
        <v>88</v>
      </c>
      <c r="E5747" s="1297">
        <v>30.3</v>
      </c>
      <c r="F5747" s="4">
        <f t="shared" si="97"/>
        <v>-3.2894736842104563E-3</v>
      </c>
      <c r="G5747" s="37">
        <v>32.4</v>
      </c>
      <c r="H5747" s="1298">
        <v>45984</v>
      </c>
    </row>
    <row r="5748" spans="3:8" x14ac:dyDescent="0.25">
      <c r="C5748" s="1296">
        <v>2</v>
      </c>
      <c r="D5748" s="1296">
        <v>39</v>
      </c>
      <c r="E5748" s="1297">
        <v>30.6</v>
      </c>
      <c r="F5748" s="4">
        <f t="shared" si="97"/>
        <v>-2.5477707006369338E-2</v>
      </c>
      <c r="G5748" s="37">
        <v>32.4</v>
      </c>
      <c r="H5748" s="1298">
        <v>45984</v>
      </c>
    </row>
    <row r="5749" spans="3:8" x14ac:dyDescent="0.25">
      <c r="C5749" s="1296">
        <v>3</v>
      </c>
      <c r="D5749" s="1296">
        <v>118</v>
      </c>
      <c r="E5749" s="1297">
        <v>34.299999999999997</v>
      </c>
      <c r="F5749" s="4">
        <f t="shared" si="97"/>
        <v>-8.6705202312139951E-3</v>
      </c>
      <c r="G5749" s="37">
        <v>32.4</v>
      </c>
      <c r="H5749" s="1298">
        <v>45984</v>
      </c>
    </row>
    <row r="5750" spans="3:8" x14ac:dyDescent="0.25">
      <c r="C5750" s="1296">
        <v>4</v>
      </c>
      <c r="D5750" s="1296">
        <v>97</v>
      </c>
      <c r="E5750" s="1297">
        <v>33.299999999999997</v>
      </c>
      <c r="F5750" s="4">
        <f t="shared" si="97"/>
        <v>-5.9322033898305128E-2</v>
      </c>
      <c r="G5750" s="37">
        <v>32.4</v>
      </c>
      <c r="H5750" s="1298">
        <v>45984</v>
      </c>
    </row>
    <row r="5751" spans="3:8" x14ac:dyDescent="0.25">
      <c r="C5751" s="1296">
        <v>5</v>
      </c>
      <c r="D5751" s="1296">
        <v>0</v>
      </c>
      <c r="E5751" s="1297"/>
      <c r="F5751" s="4" t="str">
        <f t="shared" si="97"/>
        <v/>
      </c>
      <c r="G5751" s="37">
        <v>32.4</v>
      </c>
      <c r="H5751" s="1298">
        <v>45984</v>
      </c>
    </row>
    <row r="5752" spans="3:8" x14ac:dyDescent="0.25">
      <c r="C5752" s="1296">
        <v>6</v>
      </c>
      <c r="D5752" s="1296">
        <v>120</v>
      </c>
      <c r="E5752" s="1297">
        <v>25.8</v>
      </c>
      <c r="F5752" s="4">
        <f t="shared" si="97"/>
        <v>2.3809523809523867E-2</v>
      </c>
      <c r="G5752" s="37">
        <v>32.4</v>
      </c>
      <c r="H5752" s="1298">
        <v>45984</v>
      </c>
    </row>
    <row r="5753" spans="3:8" x14ac:dyDescent="0.25">
      <c r="C5753" s="1296">
        <v>7</v>
      </c>
      <c r="D5753" s="1296">
        <v>0</v>
      </c>
      <c r="E5753" s="1297"/>
      <c r="F5753" s="4" t="str">
        <f t="shared" si="97"/>
        <v/>
      </c>
      <c r="G5753" s="37">
        <v>32.4</v>
      </c>
      <c r="H5753" s="1298">
        <v>45984</v>
      </c>
    </row>
    <row r="5754" spans="3:8" x14ac:dyDescent="0.25">
      <c r="C5754" s="1296">
        <v>8</v>
      </c>
      <c r="D5754" s="1296">
        <v>0</v>
      </c>
      <c r="E5754" s="1297"/>
      <c r="F5754" s="4" t="str">
        <f t="shared" si="97"/>
        <v/>
      </c>
      <c r="G5754" s="37">
        <v>32.4</v>
      </c>
      <c r="H5754" s="1298">
        <v>45984</v>
      </c>
    </row>
    <row r="5755" spans="3:8" x14ac:dyDescent="0.25">
      <c r="C5755" s="1296">
        <v>9</v>
      </c>
      <c r="D5755" s="1296">
        <v>95</v>
      </c>
      <c r="E5755" s="1297">
        <v>34.4</v>
      </c>
      <c r="F5755" s="4">
        <f t="shared" si="97"/>
        <v>5.8479532163741438E-3</v>
      </c>
      <c r="G5755" s="37">
        <v>32.4</v>
      </c>
      <c r="H5755" s="1298">
        <v>45984</v>
      </c>
    </row>
    <row r="5756" spans="3:8" x14ac:dyDescent="0.25">
      <c r="C5756" s="1296">
        <v>10</v>
      </c>
      <c r="D5756" s="1296">
        <v>115</v>
      </c>
      <c r="E5756" s="1297">
        <v>32.799999999999997</v>
      </c>
      <c r="F5756" s="4">
        <f t="shared" si="97"/>
        <v>1.2345679012345635E-2</v>
      </c>
      <c r="G5756" s="37">
        <v>32.4</v>
      </c>
      <c r="H5756" s="1298">
        <v>45984</v>
      </c>
    </row>
    <row r="5757" spans="3:8" x14ac:dyDescent="0.25">
      <c r="C5757" s="1299" t="s">
        <v>0</v>
      </c>
      <c r="D5757" s="1299" t="s">
        <v>7</v>
      </c>
      <c r="E5757" s="1300" t="s">
        <v>4</v>
      </c>
      <c r="F5757" s="4" t="str">
        <f t="shared" si="97"/>
        <v/>
      </c>
      <c r="G5757" s="37">
        <v>33</v>
      </c>
      <c r="H5757" s="1301">
        <v>45985</v>
      </c>
    </row>
    <row r="5758" spans="3:8" x14ac:dyDescent="0.25">
      <c r="C5758" s="1299">
        <v>51</v>
      </c>
      <c r="D5758" s="1299">
        <v>20</v>
      </c>
      <c r="E5758" s="1300">
        <v>32.6</v>
      </c>
      <c r="F5758" s="4">
        <f t="shared" si="97"/>
        <v>6.1728395061729276E-3</v>
      </c>
      <c r="G5758" s="37">
        <v>33</v>
      </c>
      <c r="H5758" s="1301">
        <v>45985</v>
      </c>
    </row>
    <row r="5759" spans="3:8" x14ac:dyDescent="0.25">
      <c r="C5759" s="1299">
        <v>1</v>
      </c>
      <c r="D5759" s="1299">
        <v>88</v>
      </c>
      <c r="E5759" s="1300">
        <v>30.9</v>
      </c>
      <c r="F5759" s="4">
        <f t="shared" si="97"/>
        <v>1.9801980198019733E-2</v>
      </c>
      <c r="G5759" s="37">
        <v>33</v>
      </c>
      <c r="H5759" s="1301">
        <v>45985</v>
      </c>
    </row>
    <row r="5760" spans="3:8" x14ac:dyDescent="0.25">
      <c r="C5760" s="1299">
        <v>2</v>
      </c>
      <c r="D5760" s="1299">
        <v>39</v>
      </c>
      <c r="E5760" s="1300">
        <v>32.5</v>
      </c>
      <c r="F5760" s="4">
        <f t="shared" si="97"/>
        <v>6.2091503267973809E-2</v>
      </c>
      <c r="G5760" s="37">
        <v>33</v>
      </c>
      <c r="H5760" s="1301">
        <v>45985</v>
      </c>
    </row>
    <row r="5761" spans="3:8" x14ac:dyDescent="0.25">
      <c r="C5761" s="1299">
        <v>3</v>
      </c>
      <c r="D5761" s="1299">
        <v>118</v>
      </c>
      <c r="E5761" s="1300">
        <v>35.200000000000003</v>
      </c>
      <c r="F5761" s="4">
        <f t="shared" si="97"/>
        <v>2.6239067055393753E-2</v>
      </c>
      <c r="G5761" s="37">
        <v>33</v>
      </c>
      <c r="H5761" s="1301">
        <v>45985</v>
      </c>
    </row>
    <row r="5762" spans="3:8" x14ac:dyDescent="0.25">
      <c r="C5762" s="1299">
        <v>4</v>
      </c>
      <c r="D5762" s="1299">
        <v>97</v>
      </c>
      <c r="E5762" s="1300">
        <v>36.9</v>
      </c>
      <c r="F5762" s="4">
        <f t="shared" si="97"/>
        <v>0.10810810810810816</v>
      </c>
      <c r="G5762" s="37">
        <v>33</v>
      </c>
      <c r="H5762" s="1301">
        <v>45985</v>
      </c>
    </row>
    <row r="5763" spans="3:8" x14ac:dyDescent="0.25">
      <c r="C5763" s="1299">
        <v>5</v>
      </c>
      <c r="D5763" s="1299">
        <v>0</v>
      </c>
      <c r="E5763" s="1300"/>
      <c r="F5763" s="4" t="str">
        <f t="shared" si="97"/>
        <v/>
      </c>
      <c r="G5763" s="37">
        <v>33</v>
      </c>
      <c r="H5763" s="1301">
        <v>45985</v>
      </c>
    </row>
    <row r="5764" spans="3:8" x14ac:dyDescent="0.25">
      <c r="C5764" s="1299">
        <v>6</v>
      </c>
      <c r="D5764" s="1299">
        <v>120</v>
      </c>
      <c r="E5764" s="1300">
        <v>26.5</v>
      </c>
      <c r="F5764" s="4">
        <f t="shared" si="97"/>
        <v>2.7131782945736406E-2</v>
      </c>
      <c r="G5764" s="37">
        <v>33</v>
      </c>
      <c r="H5764" s="1301">
        <v>45985</v>
      </c>
    </row>
    <row r="5765" spans="3:8" x14ac:dyDescent="0.25">
      <c r="C5765" s="1299">
        <v>7</v>
      </c>
      <c r="D5765" s="1299">
        <v>0</v>
      </c>
      <c r="E5765" s="1300"/>
      <c r="F5765" s="4" t="str">
        <f t="shared" si="97"/>
        <v/>
      </c>
      <c r="G5765" s="37">
        <v>33</v>
      </c>
      <c r="H5765" s="1301">
        <v>45985</v>
      </c>
    </row>
    <row r="5766" spans="3:8" x14ac:dyDescent="0.25">
      <c r="C5766" s="1299">
        <v>8</v>
      </c>
      <c r="D5766" s="1299">
        <v>0</v>
      </c>
      <c r="E5766" s="1300"/>
      <c r="F5766" s="4" t="str">
        <f t="shared" si="97"/>
        <v/>
      </c>
      <c r="G5766" s="37">
        <v>33</v>
      </c>
      <c r="H5766" s="1301">
        <v>45985</v>
      </c>
    </row>
    <row r="5767" spans="3:8" x14ac:dyDescent="0.25">
      <c r="C5767" s="1299">
        <v>9</v>
      </c>
      <c r="D5767" s="1299">
        <v>95</v>
      </c>
      <c r="E5767" s="1300">
        <v>35</v>
      </c>
      <c r="F5767" s="4">
        <f t="shared" si="97"/>
        <v>1.744186046511632E-2</v>
      </c>
      <c r="G5767" s="37">
        <v>33</v>
      </c>
      <c r="H5767" s="1301">
        <v>45985</v>
      </c>
    </row>
    <row r="5768" spans="3:8" x14ac:dyDescent="0.25">
      <c r="C5768" s="1299">
        <v>10</v>
      </c>
      <c r="D5768" s="1299">
        <v>115</v>
      </c>
      <c r="E5768" s="1300">
        <v>33.9</v>
      </c>
      <c r="F5768" s="4">
        <f t="shared" si="97"/>
        <v>3.3536585365853702E-2</v>
      </c>
      <c r="G5768" s="37">
        <v>33</v>
      </c>
      <c r="H5768" s="1301">
        <v>45985</v>
      </c>
    </row>
    <row r="5769" spans="3:8" x14ac:dyDescent="0.25">
      <c r="C5769" s="1302" t="s">
        <v>0</v>
      </c>
      <c r="D5769" s="1302" t="s">
        <v>7</v>
      </c>
      <c r="E5769" s="1303" t="s">
        <v>4</v>
      </c>
      <c r="F5769" s="4" t="str">
        <f t="shared" si="97"/>
        <v/>
      </c>
      <c r="G5769" s="37">
        <v>33.5</v>
      </c>
      <c r="H5769" s="1304">
        <v>45986</v>
      </c>
    </row>
    <row r="5770" spans="3:8" x14ac:dyDescent="0.25">
      <c r="C5770" s="1302">
        <v>51</v>
      </c>
      <c r="D5770" s="1302">
        <v>19</v>
      </c>
      <c r="E5770" s="1303">
        <v>33.4</v>
      </c>
      <c r="F5770" s="4">
        <f t="shared" si="97"/>
        <v>2.4539877300613407E-2</v>
      </c>
      <c r="G5770" s="37">
        <v>33.5</v>
      </c>
      <c r="H5770" s="1304">
        <v>45986</v>
      </c>
    </row>
    <row r="5771" spans="3:8" x14ac:dyDescent="0.25">
      <c r="C5771" s="1302">
        <v>1</v>
      </c>
      <c r="D5771" s="1302">
        <v>88</v>
      </c>
      <c r="E5771" s="1303">
        <v>30.7</v>
      </c>
      <c r="F5771" s="4">
        <f t="shared" si="97"/>
        <v>-6.4724919093850902E-3</v>
      </c>
      <c r="G5771" s="37">
        <v>33.5</v>
      </c>
      <c r="H5771" s="1304">
        <v>45986</v>
      </c>
    </row>
    <row r="5772" spans="3:8" x14ac:dyDescent="0.25">
      <c r="C5772" s="1302">
        <v>2</v>
      </c>
      <c r="D5772" s="1302">
        <v>41</v>
      </c>
      <c r="E5772" s="1303">
        <v>32.4</v>
      </c>
      <c r="F5772" s="4">
        <f t="shared" si="97"/>
        <v>-3.0769230769231207E-3</v>
      </c>
      <c r="G5772" s="37">
        <v>33.5</v>
      </c>
      <c r="H5772" s="1304">
        <v>45986</v>
      </c>
    </row>
    <row r="5773" spans="3:8" x14ac:dyDescent="0.25">
      <c r="C5773" s="1302">
        <v>3</v>
      </c>
      <c r="D5773" s="1302">
        <v>123</v>
      </c>
      <c r="E5773" s="1303">
        <v>36.200000000000003</v>
      </c>
      <c r="F5773" s="4">
        <f t="shared" si="97"/>
        <v>2.8409090909090908E-2</v>
      </c>
      <c r="G5773" s="37">
        <v>33.5</v>
      </c>
      <c r="H5773" s="1304">
        <v>45986</v>
      </c>
    </row>
    <row r="5774" spans="3:8" x14ac:dyDescent="0.25">
      <c r="C5774" s="1302">
        <v>4</v>
      </c>
      <c r="D5774" s="1302">
        <v>98</v>
      </c>
      <c r="E5774" s="1303">
        <v>36.9</v>
      </c>
      <c r="F5774" s="4">
        <f t="shared" si="97"/>
        <v>0</v>
      </c>
      <c r="G5774" s="37">
        <v>33.5</v>
      </c>
      <c r="H5774" s="1304">
        <v>45986</v>
      </c>
    </row>
    <row r="5775" spans="3:8" x14ac:dyDescent="0.25">
      <c r="C5775" s="1302">
        <v>5</v>
      </c>
      <c r="D5775" s="1302">
        <v>0</v>
      </c>
      <c r="E5775" s="1303"/>
      <c r="F5775" s="4" t="str">
        <f t="shared" si="97"/>
        <v/>
      </c>
      <c r="G5775" s="37">
        <v>33.5</v>
      </c>
      <c r="H5775" s="1304">
        <v>45986</v>
      </c>
    </row>
    <row r="5776" spans="3:8" x14ac:dyDescent="0.25">
      <c r="C5776" s="1302">
        <v>6</v>
      </c>
      <c r="D5776" s="1302">
        <v>121</v>
      </c>
      <c r="E5776" s="1303">
        <v>26.4</v>
      </c>
      <c r="F5776" s="4">
        <f t="shared" si="97"/>
        <v>-3.7735849056604312E-3</v>
      </c>
      <c r="G5776" s="37">
        <v>33.5</v>
      </c>
      <c r="H5776" s="1304">
        <v>45986</v>
      </c>
    </row>
    <row r="5777" spans="3:8" x14ac:dyDescent="0.25">
      <c r="C5777" s="1302">
        <v>7</v>
      </c>
      <c r="D5777" s="1302">
        <v>0</v>
      </c>
      <c r="E5777" s="1303"/>
      <c r="F5777" s="4" t="str">
        <f t="shared" si="97"/>
        <v/>
      </c>
      <c r="G5777" s="37">
        <v>33.5</v>
      </c>
      <c r="H5777" s="1304">
        <v>45986</v>
      </c>
    </row>
    <row r="5778" spans="3:8" x14ac:dyDescent="0.25">
      <c r="C5778" s="1302">
        <v>8</v>
      </c>
      <c r="D5778" s="1302">
        <v>0</v>
      </c>
      <c r="E5778" s="1303"/>
      <c r="F5778" s="4" t="str">
        <f t="shared" si="97"/>
        <v/>
      </c>
      <c r="G5778" s="37">
        <v>33.5</v>
      </c>
      <c r="H5778" s="1304">
        <v>45986</v>
      </c>
    </row>
    <row r="5779" spans="3:8" x14ac:dyDescent="0.25">
      <c r="C5779" s="1302">
        <v>9</v>
      </c>
      <c r="D5779" s="1302">
        <v>94</v>
      </c>
      <c r="E5779" s="1303">
        <v>35.5</v>
      </c>
      <c r="F5779" s="4">
        <f t="shared" si="97"/>
        <v>1.4285714285714285E-2</v>
      </c>
      <c r="G5779" s="37">
        <v>33.5</v>
      </c>
      <c r="H5779" s="1304">
        <v>45986</v>
      </c>
    </row>
    <row r="5780" spans="3:8" x14ac:dyDescent="0.25">
      <c r="C5780" s="1302">
        <v>10</v>
      </c>
      <c r="D5780" s="1302">
        <v>115</v>
      </c>
      <c r="E5780" s="1303">
        <v>34.200000000000003</v>
      </c>
      <c r="F5780" s="4">
        <f t="shared" si="97"/>
        <v>8.8495575221240203E-3</v>
      </c>
      <c r="G5780" s="37">
        <v>33.5</v>
      </c>
      <c r="H5780" s="1304">
        <v>45986</v>
      </c>
    </row>
    <row r="5781" spans="3:8" x14ac:dyDescent="0.25">
      <c r="C5781" s="1305" t="s">
        <v>0</v>
      </c>
      <c r="D5781" s="1305" t="s">
        <v>7</v>
      </c>
      <c r="E5781" s="1306" t="s">
        <v>4</v>
      </c>
      <c r="F5781" s="4" t="str">
        <f t="shared" si="97"/>
        <v/>
      </c>
      <c r="G5781" s="37">
        <v>34</v>
      </c>
      <c r="H5781" s="1307">
        <v>45987</v>
      </c>
    </row>
    <row r="5782" spans="3:8" x14ac:dyDescent="0.25">
      <c r="C5782" s="1305">
        <v>51</v>
      </c>
      <c r="D5782" s="1305">
        <v>19</v>
      </c>
      <c r="E5782" s="1306">
        <v>31.3</v>
      </c>
      <c r="F5782" s="4">
        <f t="shared" si="97"/>
        <v>-6.2874251497005929E-2</v>
      </c>
      <c r="G5782" s="37">
        <v>34</v>
      </c>
      <c r="H5782" s="1307">
        <v>45987</v>
      </c>
    </row>
    <row r="5783" spans="3:8" x14ac:dyDescent="0.25">
      <c r="C5783" s="1305">
        <v>1</v>
      </c>
      <c r="D5783" s="1305">
        <v>88</v>
      </c>
      <c r="E5783" s="1306">
        <v>30.4</v>
      </c>
      <c r="F5783" s="4">
        <f t="shared" si="97"/>
        <v>-9.7719869706840625E-3</v>
      </c>
      <c r="G5783" s="37">
        <v>34</v>
      </c>
      <c r="H5783" s="1307">
        <v>45987</v>
      </c>
    </row>
    <row r="5784" spans="3:8" x14ac:dyDescent="0.25">
      <c r="C5784" s="1305">
        <v>2</v>
      </c>
      <c r="D5784" s="1305">
        <v>41</v>
      </c>
      <c r="E5784" s="1306">
        <v>31.3</v>
      </c>
      <c r="F5784" s="4">
        <f t="shared" si="97"/>
        <v>-3.3950617283950553E-2</v>
      </c>
      <c r="G5784" s="37">
        <v>34</v>
      </c>
      <c r="H5784" s="1307">
        <v>45987</v>
      </c>
    </row>
    <row r="5785" spans="3:8" x14ac:dyDescent="0.25">
      <c r="C5785" s="1305">
        <v>3</v>
      </c>
      <c r="D5785" s="1305">
        <v>121</v>
      </c>
      <c r="E5785" s="1306">
        <v>37.1</v>
      </c>
      <c r="F5785" s="4">
        <f t="shared" si="97"/>
        <v>2.4861878453038631E-2</v>
      </c>
      <c r="G5785" s="37">
        <v>34</v>
      </c>
      <c r="H5785" s="1307">
        <v>45987</v>
      </c>
    </row>
    <row r="5786" spans="3:8" x14ac:dyDescent="0.25">
      <c r="C5786" s="1305">
        <v>4</v>
      </c>
      <c r="D5786" s="1305">
        <v>99</v>
      </c>
      <c r="E5786" s="1306">
        <v>37.5</v>
      </c>
      <c r="F5786" s="4">
        <f t="shared" si="97"/>
        <v>1.6260162601626056E-2</v>
      </c>
      <c r="G5786" s="37">
        <v>34</v>
      </c>
      <c r="H5786" s="1307">
        <v>45987</v>
      </c>
    </row>
    <row r="5787" spans="3:8" x14ac:dyDescent="0.25">
      <c r="C5787" s="1305">
        <v>5</v>
      </c>
      <c r="D5787" s="1305">
        <v>0</v>
      </c>
      <c r="E5787" s="1306"/>
      <c r="F5787" s="4" t="str">
        <f t="shared" si="97"/>
        <v/>
      </c>
      <c r="G5787" s="37">
        <v>34</v>
      </c>
      <c r="H5787" s="1307">
        <v>45987</v>
      </c>
    </row>
    <row r="5788" spans="3:8" x14ac:dyDescent="0.25">
      <c r="C5788" s="1305">
        <v>6</v>
      </c>
      <c r="D5788" s="1305">
        <v>121</v>
      </c>
      <c r="E5788" s="1306">
        <v>26.6</v>
      </c>
      <c r="F5788" s="4">
        <f t="shared" si="97"/>
        <v>7.5757575757576835E-3</v>
      </c>
      <c r="G5788" s="37">
        <v>34</v>
      </c>
      <c r="H5788" s="1307">
        <v>45987</v>
      </c>
    </row>
    <row r="5789" spans="3:8" x14ac:dyDescent="0.25">
      <c r="C5789" s="1305">
        <v>7</v>
      </c>
      <c r="D5789" s="1305">
        <v>0</v>
      </c>
      <c r="E5789" s="1306"/>
      <c r="F5789" s="4" t="str">
        <f t="shared" si="97"/>
        <v/>
      </c>
      <c r="G5789" s="37">
        <v>34</v>
      </c>
      <c r="H5789" s="1307">
        <v>45987</v>
      </c>
    </row>
    <row r="5790" spans="3:8" x14ac:dyDescent="0.25">
      <c r="C5790" s="1305">
        <v>8</v>
      </c>
      <c r="D5790" s="1305">
        <v>0</v>
      </c>
      <c r="E5790" s="1306"/>
      <c r="F5790" s="4" t="str">
        <f t="shared" ref="F5790:F5853" si="98">IFERROR((E5790-E5778)/E5778,"")</f>
        <v/>
      </c>
      <c r="G5790" s="37">
        <v>34</v>
      </c>
      <c r="H5790" s="1307">
        <v>45987</v>
      </c>
    </row>
    <row r="5791" spans="3:8" x14ac:dyDescent="0.25">
      <c r="C5791" s="1305">
        <v>9</v>
      </c>
      <c r="D5791" s="1305">
        <v>94</v>
      </c>
      <c r="E5791" s="1306">
        <v>36.799999999999997</v>
      </c>
      <c r="F5791" s="4">
        <f t="shared" si="98"/>
        <v>3.6619718309859071E-2</v>
      </c>
      <c r="G5791" s="37">
        <v>34</v>
      </c>
      <c r="H5791" s="1307">
        <v>45987</v>
      </c>
    </row>
    <row r="5792" spans="3:8" x14ac:dyDescent="0.25">
      <c r="C5792" s="1305">
        <v>10</v>
      </c>
      <c r="D5792" s="1305">
        <v>114</v>
      </c>
      <c r="E5792" s="1306">
        <v>35</v>
      </c>
      <c r="F5792" s="4">
        <f t="shared" si="98"/>
        <v>2.3391812865496991E-2</v>
      </c>
      <c r="G5792" s="37">
        <v>34</v>
      </c>
      <c r="H5792" s="1307">
        <v>45987</v>
      </c>
    </row>
    <row r="5793" spans="3:8" x14ac:dyDescent="0.25">
      <c r="C5793" s="1308" t="s">
        <v>0</v>
      </c>
      <c r="D5793" s="1308" t="s">
        <v>7</v>
      </c>
      <c r="E5793" s="1309" t="s">
        <v>4</v>
      </c>
      <c r="F5793" s="4" t="str">
        <f t="shared" si="98"/>
        <v/>
      </c>
      <c r="G5793" s="37">
        <v>34</v>
      </c>
      <c r="H5793" s="1310">
        <v>45988</v>
      </c>
    </row>
    <row r="5794" spans="3:8" x14ac:dyDescent="0.25">
      <c r="C5794" s="1308">
        <v>51</v>
      </c>
      <c r="D5794" s="1308">
        <v>24</v>
      </c>
      <c r="E5794" s="1309">
        <v>30.9</v>
      </c>
      <c r="F5794" s="4">
        <f t="shared" si="98"/>
        <v>-1.2779552715655019E-2</v>
      </c>
      <c r="G5794" s="37">
        <v>34</v>
      </c>
      <c r="H5794" s="1310">
        <v>45988</v>
      </c>
    </row>
    <row r="5795" spans="3:8" x14ac:dyDescent="0.25">
      <c r="C5795" s="1308">
        <v>1</v>
      </c>
      <c r="D5795" s="1308">
        <v>87</v>
      </c>
      <c r="E5795" s="1309">
        <v>31.6</v>
      </c>
      <c r="F5795" s="4">
        <f t="shared" si="98"/>
        <v>3.9473684210526411E-2</v>
      </c>
      <c r="G5795" s="37">
        <v>34</v>
      </c>
      <c r="H5795" s="1310">
        <v>45988</v>
      </c>
    </row>
    <row r="5796" spans="3:8" x14ac:dyDescent="0.25">
      <c r="C5796" s="1308">
        <v>2</v>
      </c>
      <c r="D5796" s="1308">
        <v>41</v>
      </c>
      <c r="E5796" s="1309">
        <v>31.8</v>
      </c>
      <c r="F5796" s="4">
        <f t="shared" si="98"/>
        <v>1.5974440894568689E-2</v>
      </c>
      <c r="G5796" s="37">
        <v>34</v>
      </c>
      <c r="H5796" s="1310">
        <v>45988</v>
      </c>
    </row>
    <row r="5797" spans="3:8" x14ac:dyDescent="0.25">
      <c r="C5797" s="1308">
        <v>3</v>
      </c>
      <c r="D5797" s="1308">
        <v>122</v>
      </c>
      <c r="E5797" s="1309">
        <v>36.9</v>
      </c>
      <c r="F5797" s="4">
        <f t="shared" si="98"/>
        <v>-5.3908355795149014E-3</v>
      </c>
      <c r="G5797" s="37">
        <v>34</v>
      </c>
      <c r="H5797" s="1310">
        <v>45988</v>
      </c>
    </row>
    <row r="5798" spans="3:8" x14ac:dyDescent="0.25">
      <c r="C5798" s="1308">
        <v>4</v>
      </c>
      <c r="D5798" s="1308">
        <v>99</v>
      </c>
      <c r="E5798" s="1309">
        <v>37.700000000000003</v>
      </c>
      <c r="F5798" s="4">
        <f t="shared" si="98"/>
        <v>5.3333333333334095E-3</v>
      </c>
      <c r="G5798" s="37">
        <v>34</v>
      </c>
      <c r="H5798" s="1310">
        <v>45988</v>
      </c>
    </row>
    <row r="5799" spans="3:8" x14ac:dyDescent="0.25">
      <c r="C5799" s="1308">
        <v>5</v>
      </c>
      <c r="D5799" s="1308">
        <v>0</v>
      </c>
      <c r="E5799" s="1309"/>
      <c r="F5799" s="4" t="str">
        <f t="shared" si="98"/>
        <v/>
      </c>
      <c r="G5799" s="37">
        <v>34</v>
      </c>
      <c r="H5799" s="1310">
        <v>45988</v>
      </c>
    </row>
    <row r="5800" spans="3:8" x14ac:dyDescent="0.25">
      <c r="C5800" s="1308">
        <v>6</v>
      </c>
      <c r="D5800" s="1308">
        <v>121</v>
      </c>
      <c r="E5800" s="1309">
        <v>26.5</v>
      </c>
      <c r="F5800" s="4">
        <f t="shared" si="98"/>
        <v>-3.7593984962406546E-3</v>
      </c>
      <c r="G5800" s="37">
        <v>34</v>
      </c>
      <c r="H5800" s="1310">
        <v>45988</v>
      </c>
    </row>
    <row r="5801" spans="3:8" x14ac:dyDescent="0.25">
      <c r="C5801" s="1308">
        <v>7</v>
      </c>
      <c r="D5801" s="1308">
        <v>0</v>
      </c>
      <c r="E5801" s="1309"/>
      <c r="F5801" s="4" t="str">
        <f t="shared" si="98"/>
        <v/>
      </c>
      <c r="G5801" s="37">
        <v>34</v>
      </c>
      <c r="H5801" s="1310">
        <v>45988</v>
      </c>
    </row>
    <row r="5802" spans="3:8" x14ac:dyDescent="0.25">
      <c r="C5802" s="1308">
        <v>8</v>
      </c>
      <c r="D5802" s="1308">
        <v>0</v>
      </c>
      <c r="E5802" s="1309"/>
      <c r="F5802" s="4" t="str">
        <f t="shared" si="98"/>
        <v/>
      </c>
      <c r="G5802" s="37">
        <v>34</v>
      </c>
      <c r="H5802" s="1310">
        <v>45988</v>
      </c>
    </row>
    <row r="5803" spans="3:8" x14ac:dyDescent="0.25">
      <c r="C5803" s="1308">
        <v>9</v>
      </c>
      <c r="D5803" s="1308">
        <v>94</v>
      </c>
      <c r="E5803" s="1309">
        <v>34.5</v>
      </c>
      <c r="F5803" s="4">
        <f t="shared" si="98"/>
        <v>-6.2499999999999931E-2</v>
      </c>
      <c r="G5803" s="37">
        <v>34</v>
      </c>
      <c r="H5803" s="1310">
        <v>45988</v>
      </c>
    </row>
    <row r="5804" spans="3:8" x14ac:dyDescent="0.25">
      <c r="C5804" s="1308">
        <v>10</v>
      </c>
      <c r="D5804" s="1308">
        <v>114</v>
      </c>
      <c r="E5804" s="1309">
        <v>34.6</v>
      </c>
      <c r="F5804" s="4">
        <f t="shared" si="98"/>
        <v>-1.1428571428571389E-2</v>
      </c>
      <c r="G5804" s="37">
        <v>34</v>
      </c>
      <c r="H5804" s="1310">
        <v>45988</v>
      </c>
    </row>
    <row r="5805" spans="3:8" x14ac:dyDescent="0.25">
      <c r="C5805" s="1311" t="s">
        <v>0</v>
      </c>
      <c r="D5805" s="1311" t="s">
        <v>7</v>
      </c>
      <c r="E5805" s="1312" t="s">
        <v>4</v>
      </c>
      <c r="F5805" s="4" t="str">
        <f t="shared" si="98"/>
        <v/>
      </c>
      <c r="G5805" s="37">
        <v>33.6</v>
      </c>
      <c r="H5805" s="1313">
        <v>45989</v>
      </c>
    </row>
    <row r="5806" spans="3:8" x14ac:dyDescent="0.25">
      <c r="C5806" s="1311">
        <v>51</v>
      </c>
      <c r="D5806" s="1311">
        <v>29</v>
      </c>
      <c r="E5806" s="1312">
        <v>23.1</v>
      </c>
      <c r="F5806" s="4">
        <f t="shared" si="98"/>
        <v>-0.25242718446601936</v>
      </c>
      <c r="G5806" s="37">
        <v>33.6</v>
      </c>
      <c r="H5806" s="1313">
        <v>45989</v>
      </c>
    </row>
    <row r="5807" spans="3:8" x14ac:dyDescent="0.25">
      <c r="C5807" s="1311">
        <v>1</v>
      </c>
      <c r="D5807" s="1311">
        <v>80</v>
      </c>
      <c r="E5807" s="1312">
        <v>29.1</v>
      </c>
      <c r="F5807" s="4">
        <f t="shared" si="98"/>
        <v>-7.9113924050632903E-2</v>
      </c>
      <c r="G5807" s="37">
        <v>33.6</v>
      </c>
      <c r="H5807" s="1313">
        <v>45989</v>
      </c>
    </row>
    <row r="5808" spans="3:8" x14ac:dyDescent="0.25">
      <c r="C5808" s="1311">
        <v>2</v>
      </c>
      <c r="D5808" s="1311">
        <v>41</v>
      </c>
      <c r="E5808" s="1312">
        <v>27.9</v>
      </c>
      <c r="F5808" s="4">
        <f t="shared" si="98"/>
        <v>-0.12264150943396233</v>
      </c>
      <c r="G5808" s="37">
        <v>33.6</v>
      </c>
      <c r="H5808" s="1313">
        <v>45989</v>
      </c>
    </row>
    <row r="5809" spans="3:8" x14ac:dyDescent="0.25">
      <c r="C5809" s="1311">
        <v>3</v>
      </c>
      <c r="D5809" s="1311">
        <v>118</v>
      </c>
      <c r="E5809" s="1312">
        <v>37.1</v>
      </c>
      <c r="F5809" s="4">
        <f t="shared" si="98"/>
        <v>5.4200542005420826E-3</v>
      </c>
      <c r="G5809" s="37">
        <v>33.6</v>
      </c>
      <c r="H5809" s="1313">
        <v>45989</v>
      </c>
    </row>
    <row r="5810" spans="3:8" x14ac:dyDescent="0.25">
      <c r="C5810" s="1311">
        <v>4</v>
      </c>
      <c r="D5810" s="1311">
        <v>99</v>
      </c>
      <c r="E5810" s="1312">
        <v>38.6</v>
      </c>
      <c r="F5810" s="4">
        <f t="shared" si="98"/>
        <v>2.3872679045092798E-2</v>
      </c>
      <c r="G5810" s="37">
        <v>33.6</v>
      </c>
      <c r="H5810" s="1313">
        <v>45989</v>
      </c>
    </row>
    <row r="5811" spans="3:8" x14ac:dyDescent="0.25">
      <c r="C5811" s="1311">
        <v>5</v>
      </c>
      <c r="D5811" s="1311">
        <v>0</v>
      </c>
      <c r="E5811" s="1312"/>
      <c r="F5811" s="4" t="str">
        <f t="shared" si="98"/>
        <v/>
      </c>
      <c r="G5811" s="37">
        <v>33.6</v>
      </c>
      <c r="H5811" s="1313">
        <v>45989</v>
      </c>
    </row>
    <row r="5812" spans="3:8" x14ac:dyDescent="0.25">
      <c r="C5812" s="1311">
        <v>6</v>
      </c>
      <c r="D5812" s="1311">
        <v>111</v>
      </c>
      <c r="E5812" s="1312">
        <v>25.9</v>
      </c>
      <c r="F5812" s="4">
        <f t="shared" si="98"/>
        <v>-2.2641509433962318E-2</v>
      </c>
      <c r="G5812" s="37">
        <v>33.6</v>
      </c>
      <c r="H5812" s="1313">
        <v>45989</v>
      </c>
    </row>
    <row r="5813" spans="3:8" x14ac:dyDescent="0.25">
      <c r="C5813" s="1311">
        <v>7</v>
      </c>
      <c r="D5813" s="1311">
        <v>0</v>
      </c>
      <c r="E5813" s="1312"/>
      <c r="F5813" s="4" t="str">
        <f t="shared" si="98"/>
        <v/>
      </c>
      <c r="G5813" s="37">
        <v>33.6</v>
      </c>
      <c r="H5813" s="1313">
        <v>45989</v>
      </c>
    </row>
    <row r="5814" spans="3:8" x14ac:dyDescent="0.25">
      <c r="C5814" s="1311">
        <v>8</v>
      </c>
      <c r="D5814" s="1311">
        <v>0</v>
      </c>
      <c r="E5814" s="1312"/>
      <c r="F5814" s="4" t="str">
        <f t="shared" si="98"/>
        <v/>
      </c>
      <c r="G5814" s="37">
        <v>33.6</v>
      </c>
      <c r="H5814" s="1313">
        <v>45989</v>
      </c>
    </row>
    <row r="5815" spans="3:8" x14ac:dyDescent="0.25">
      <c r="C5815" s="1311">
        <v>9</v>
      </c>
      <c r="D5815" s="1311">
        <v>94</v>
      </c>
      <c r="E5815" s="1312">
        <v>36.799999999999997</v>
      </c>
      <c r="F5815" s="4">
        <f t="shared" si="98"/>
        <v>6.6666666666666582E-2</v>
      </c>
      <c r="G5815" s="37">
        <v>33.6</v>
      </c>
      <c r="H5815" s="1313">
        <v>45989</v>
      </c>
    </row>
    <row r="5816" spans="3:8" x14ac:dyDescent="0.25">
      <c r="C5816" s="1311">
        <v>10</v>
      </c>
      <c r="D5816" s="1311">
        <v>114</v>
      </c>
      <c r="E5816" s="1312">
        <v>35.1</v>
      </c>
      <c r="F5816" s="4">
        <f t="shared" si="98"/>
        <v>1.4450867052023121E-2</v>
      </c>
      <c r="G5816" s="37">
        <v>33.6</v>
      </c>
      <c r="H5816" s="1313">
        <v>45989</v>
      </c>
    </row>
    <row r="5817" spans="3:8" x14ac:dyDescent="0.25">
      <c r="C5817" s="1314" t="s">
        <v>0</v>
      </c>
      <c r="D5817" s="1314" t="s">
        <v>7</v>
      </c>
      <c r="E5817" s="1315" t="s">
        <v>4</v>
      </c>
      <c r="F5817" s="4" t="str">
        <f t="shared" si="98"/>
        <v/>
      </c>
      <c r="G5817" s="37">
        <v>34.700000000000003</v>
      </c>
      <c r="H5817" s="1313">
        <v>45990</v>
      </c>
    </row>
    <row r="5818" spans="3:8" x14ac:dyDescent="0.25">
      <c r="C5818" s="1314">
        <v>51</v>
      </c>
      <c r="D5818" s="1314">
        <v>29</v>
      </c>
      <c r="E5818" s="1315">
        <v>30.8</v>
      </c>
      <c r="F5818" s="4">
        <f t="shared" si="98"/>
        <v>0.33333333333333326</v>
      </c>
      <c r="G5818" s="37">
        <v>34.700000000000003</v>
      </c>
      <c r="H5818" s="1313">
        <v>45990</v>
      </c>
    </row>
    <row r="5819" spans="3:8" x14ac:dyDescent="0.25">
      <c r="C5819" s="1314">
        <v>1</v>
      </c>
      <c r="D5819" s="1314">
        <v>80</v>
      </c>
      <c r="E5819" s="1315">
        <v>31.6</v>
      </c>
      <c r="F5819" s="4">
        <f t="shared" si="98"/>
        <v>8.5910652920962199E-2</v>
      </c>
      <c r="G5819" s="37">
        <v>34.700000000000003</v>
      </c>
      <c r="H5819" s="1313">
        <v>45990</v>
      </c>
    </row>
    <row r="5820" spans="3:8" x14ac:dyDescent="0.25">
      <c r="C5820" s="1314">
        <v>2</v>
      </c>
      <c r="D5820" s="1314">
        <v>41</v>
      </c>
      <c r="E5820" s="1315">
        <v>33.200000000000003</v>
      </c>
      <c r="F5820" s="4">
        <f t="shared" si="98"/>
        <v>0.18996415770609335</v>
      </c>
      <c r="G5820" s="37">
        <v>34.700000000000003</v>
      </c>
      <c r="H5820" s="1313">
        <v>45990</v>
      </c>
    </row>
    <row r="5821" spans="3:8" x14ac:dyDescent="0.25">
      <c r="C5821" s="1314">
        <v>3</v>
      </c>
      <c r="D5821" s="1314">
        <v>118</v>
      </c>
      <c r="E5821" s="1315">
        <v>36.299999999999997</v>
      </c>
      <c r="F5821" s="4">
        <f t="shared" si="98"/>
        <v>-2.1563342318059415E-2</v>
      </c>
      <c r="G5821" s="37">
        <v>34.700000000000003</v>
      </c>
      <c r="H5821" s="1313">
        <v>45990</v>
      </c>
    </row>
    <row r="5822" spans="3:8" x14ac:dyDescent="0.25">
      <c r="C5822" s="1314">
        <v>4</v>
      </c>
      <c r="D5822" s="1314">
        <v>99</v>
      </c>
      <c r="E5822" s="1315">
        <v>37.700000000000003</v>
      </c>
      <c r="F5822" s="4">
        <f t="shared" si="98"/>
        <v>-2.3316062176165765E-2</v>
      </c>
      <c r="G5822" s="37">
        <v>34.700000000000003</v>
      </c>
      <c r="H5822" s="1313">
        <v>45990</v>
      </c>
    </row>
    <row r="5823" spans="3:8" x14ac:dyDescent="0.25">
      <c r="C5823" s="1314">
        <v>5</v>
      </c>
      <c r="D5823" s="1314">
        <v>0</v>
      </c>
      <c r="E5823" s="1315"/>
      <c r="F5823" s="4" t="str">
        <f t="shared" si="98"/>
        <v/>
      </c>
      <c r="G5823" s="37">
        <v>34.700000000000003</v>
      </c>
      <c r="H5823" s="1313">
        <v>45990</v>
      </c>
    </row>
    <row r="5824" spans="3:8" x14ac:dyDescent="0.25">
      <c r="C5824" s="1314">
        <v>6</v>
      </c>
      <c r="D5824" s="1314">
        <v>111</v>
      </c>
      <c r="E5824" s="1315">
        <v>27.4</v>
      </c>
      <c r="F5824" s="4">
        <f t="shared" si="98"/>
        <v>5.7915057915057917E-2</v>
      </c>
      <c r="G5824" s="37">
        <v>34.700000000000003</v>
      </c>
      <c r="H5824" s="1313">
        <v>45990</v>
      </c>
    </row>
    <row r="5825" spans="3:8" x14ac:dyDescent="0.25">
      <c r="C5825" s="1314">
        <v>7</v>
      </c>
      <c r="D5825" s="1314">
        <v>0</v>
      </c>
      <c r="E5825" s="1315"/>
      <c r="F5825" s="4" t="str">
        <f t="shared" si="98"/>
        <v/>
      </c>
      <c r="G5825" s="37">
        <v>34.700000000000003</v>
      </c>
      <c r="H5825" s="1313">
        <v>45990</v>
      </c>
    </row>
    <row r="5826" spans="3:8" x14ac:dyDescent="0.25">
      <c r="C5826" s="1314">
        <v>8</v>
      </c>
      <c r="D5826" s="1314">
        <v>0</v>
      </c>
      <c r="E5826" s="1315"/>
      <c r="F5826" s="4" t="str">
        <f t="shared" si="98"/>
        <v/>
      </c>
      <c r="G5826" s="37">
        <v>34.700000000000003</v>
      </c>
      <c r="H5826" s="1313">
        <v>45990</v>
      </c>
    </row>
    <row r="5827" spans="3:8" x14ac:dyDescent="0.25">
      <c r="C5827" s="1314">
        <v>9</v>
      </c>
      <c r="D5827" s="1314">
        <v>94</v>
      </c>
      <c r="E5827" s="1315">
        <v>37</v>
      </c>
      <c r="F5827" s="4">
        <f t="shared" si="98"/>
        <v>5.4347826086957301E-3</v>
      </c>
      <c r="G5827" s="37">
        <v>34.700000000000003</v>
      </c>
      <c r="H5827" s="1313">
        <v>45990</v>
      </c>
    </row>
    <row r="5828" spans="3:8" x14ac:dyDescent="0.25">
      <c r="C5828" s="1314">
        <v>10</v>
      </c>
      <c r="D5828" s="1314">
        <v>114</v>
      </c>
      <c r="E5828" s="1315">
        <v>34.4</v>
      </c>
      <c r="F5828" s="4">
        <f t="shared" si="98"/>
        <v>-1.9943019943020023E-2</v>
      </c>
      <c r="G5828" s="37">
        <v>34.700000000000003</v>
      </c>
      <c r="H5828" s="1313">
        <v>45990</v>
      </c>
    </row>
    <row r="5829" spans="3:8" x14ac:dyDescent="0.25">
      <c r="C5829" s="1316" t="s">
        <v>0</v>
      </c>
      <c r="D5829" s="1316" t="s">
        <v>7</v>
      </c>
      <c r="E5829" s="1317" t="s">
        <v>4</v>
      </c>
      <c r="F5829" s="4" t="str">
        <f t="shared" si="98"/>
        <v/>
      </c>
      <c r="G5829" s="37">
        <v>34.200000000000003</v>
      </c>
      <c r="H5829" s="1318">
        <v>45991</v>
      </c>
    </row>
    <row r="5830" spans="3:8" x14ac:dyDescent="0.25">
      <c r="C5830" s="1316">
        <v>51</v>
      </c>
      <c r="D5830" s="1316">
        <v>31</v>
      </c>
      <c r="E5830" s="1317">
        <v>27.1</v>
      </c>
      <c r="F5830" s="4">
        <f t="shared" si="98"/>
        <v>-0.1201298701298701</v>
      </c>
      <c r="G5830" s="37">
        <v>34.200000000000003</v>
      </c>
      <c r="H5830" s="1318">
        <v>45991</v>
      </c>
    </row>
    <row r="5831" spans="3:8" x14ac:dyDescent="0.25">
      <c r="C5831" s="1316">
        <v>1</v>
      </c>
      <c r="D5831" s="1316">
        <v>76</v>
      </c>
      <c r="E5831" s="1317">
        <v>30.9</v>
      </c>
      <c r="F5831" s="4">
        <f t="shared" si="98"/>
        <v>-2.2151898734177305E-2</v>
      </c>
      <c r="G5831" s="37">
        <v>34.200000000000003</v>
      </c>
      <c r="H5831" s="1318">
        <v>45991</v>
      </c>
    </row>
    <row r="5832" spans="3:8" x14ac:dyDescent="0.25">
      <c r="C5832" s="1316">
        <v>2</v>
      </c>
      <c r="D5832" s="1316">
        <v>37</v>
      </c>
      <c r="E5832" s="1317">
        <v>32.799999999999997</v>
      </c>
      <c r="F5832" s="4">
        <f t="shared" si="98"/>
        <v>-1.2048192771084508E-2</v>
      </c>
      <c r="G5832" s="37">
        <v>34.200000000000003</v>
      </c>
      <c r="H5832" s="1318">
        <v>45991</v>
      </c>
    </row>
    <row r="5833" spans="3:8" x14ac:dyDescent="0.25">
      <c r="C5833" s="1316">
        <v>3</v>
      </c>
      <c r="D5833" s="1316">
        <v>112</v>
      </c>
      <c r="E5833" s="1317">
        <v>38.4</v>
      </c>
      <c r="F5833" s="4">
        <f t="shared" si="98"/>
        <v>5.7851239669421531E-2</v>
      </c>
      <c r="G5833" s="37">
        <v>34.200000000000003</v>
      </c>
      <c r="H5833" s="1318">
        <v>45991</v>
      </c>
    </row>
    <row r="5834" spans="3:8" x14ac:dyDescent="0.25">
      <c r="C5834" s="1316">
        <v>4</v>
      </c>
      <c r="D5834" s="1316">
        <v>99</v>
      </c>
      <c r="E5834" s="1317">
        <v>36.799999999999997</v>
      </c>
      <c r="F5834" s="4">
        <f t="shared" si="98"/>
        <v>-2.3872679045092986E-2</v>
      </c>
      <c r="G5834" s="37">
        <v>34.200000000000003</v>
      </c>
      <c r="H5834" s="1318">
        <v>45991</v>
      </c>
    </row>
    <row r="5835" spans="3:8" x14ac:dyDescent="0.25">
      <c r="C5835" s="1316">
        <v>5</v>
      </c>
      <c r="D5835" s="1316">
        <v>0</v>
      </c>
      <c r="E5835" s="1317"/>
      <c r="F5835" s="4" t="str">
        <f t="shared" si="98"/>
        <v/>
      </c>
      <c r="G5835" s="37">
        <v>34.200000000000003</v>
      </c>
      <c r="H5835" s="1318">
        <v>45991</v>
      </c>
    </row>
    <row r="5836" spans="3:8" x14ac:dyDescent="0.25">
      <c r="C5836" s="1316">
        <v>6</v>
      </c>
      <c r="D5836" s="1316">
        <v>125</v>
      </c>
      <c r="E5836" s="1317">
        <v>27.1</v>
      </c>
      <c r="F5836" s="4">
        <f t="shared" si="98"/>
        <v>-1.0948905109488948E-2</v>
      </c>
      <c r="G5836" s="37">
        <v>34.200000000000003</v>
      </c>
      <c r="H5836" s="1318">
        <v>45991</v>
      </c>
    </row>
    <row r="5837" spans="3:8" x14ac:dyDescent="0.25">
      <c r="C5837" s="1316">
        <v>7</v>
      </c>
      <c r="D5837" s="1316">
        <v>0</v>
      </c>
      <c r="E5837" s="1317"/>
      <c r="F5837" s="4" t="str">
        <f t="shared" si="98"/>
        <v/>
      </c>
      <c r="G5837" s="37">
        <v>34.200000000000003</v>
      </c>
      <c r="H5837" s="1318">
        <v>45991</v>
      </c>
    </row>
    <row r="5838" spans="3:8" x14ac:dyDescent="0.25">
      <c r="C5838" s="1316">
        <v>8</v>
      </c>
      <c r="D5838" s="1316">
        <v>0</v>
      </c>
      <c r="E5838" s="1317"/>
      <c r="F5838" s="4" t="str">
        <f t="shared" si="98"/>
        <v/>
      </c>
      <c r="G5838" s="37">
        <v>34.200000000000003</v>
      </c>
      <c r="H5838" s="1318">
        <v>45991</v>
      </c>
    </row>
    <row r="5839" spans="3:8" x14ac:dyDescent="0.25">
      <c r="C5839" s="1316">
        <v>9</v>
      </c>
      <c r="D5839" s="1316">
        <v>94</v>
      </c>
      <c r="E5839" s="1317">
        <v>37.1</v>
      </c>
      <c r="F5839" s="4">
        <f t="shared" si="98"/>
        <v>2.702702702702741E-3</v>
      </c>
      <c r="G5839" s="37">
        <v>34.200000000000003</v>
      </c>
      <c r="H5839" s="1318">
        <v>45991</v>
      </c>
    </row>
    <row r="5840" spans="3:8" x14ac:dyDescent="0.25">
      <c r="C5840" s="1316">
        <v>10</v>
      </c>
      <c r="D5840" s="1316">
        <v>113</v>
      </c>
      <c r="E5840" s="1317">
        <v>34.9</v>
      </c>
      <c r="F5840" s="4">
        <f t="shared" si="98"/>
        <v>1.4534883720930232E-2</v>
      </c>
      <c r="G5840" s="37">
        <v>34.200000000000003</v>
      </c>
      <c r="H5840" s="1318">
        <v>45991</v>
      </c>
    </row>
    <row r="5841" spans="3:8" x14ac:dyDescent="0.25">
      <c r="C5841" s="1319" t="s">
        <v>0</v>
      </c>
      <c r="D5841" s="1319" t="s">
        <v>7</v>
      </c>
      <c r="E5841" s="1320" t="s">
        <v>4</v>
      </c>
      <c r="F5841" s="4" t="str">
        <f t="shared" si="98"/>
        <v/>
      </c>
      <c r="G5841" s="37">
        <v>34.299999999999997</v>
      </c>
      <c r="H5841" s="1321">
        <v>45992</v>
      </c>
    </row>
    <row r="5842" spans="3:8" x14ac:dyDescent="0.25">
      <c r="C5842" s="1319">
        <v>51</v>
      </c>
      <c r="D5842" s="1319">
        <v>25</v>
      </c>
      <c r="E5842" s="1320">
        <v>34.1</v>
      </c>
      <c r="F5842" s="4">
        <f t="shared" si="98"/>
        <v>0.25830258302583026</v>
      </c>
      <c r="G5842" s="37">
        <v>34.299999999999997</v>
      </c>
      <c r="H5842" s="1321">
        <v>45992</v>
      </c>
    </row>
    <row r="5843" spans="3:8" x14ac:dyDescent="0.25">
      <c r="C5843" s="1319">
        <v>1</v>
      </c>
      <c r="D5843" s="1319">
        <v>76</v>
      </c>
      <c r="E5843" s="1320">
        <v>30.2</v>
      </c>
      <c r="F5843" s="4">
        <f t="shared" si="98"/>
        <v>-2.2653721682847874E-2</v>
      </c>
      <c r="G5843" s="37">
        <v>34.299999999999997</v>
      </c>
      <c r="H5843" s="1321">
        <v>45992</v>
      </c>
    </row>
    <row r="5844" spans="3:8" x14ac:dyDescent="0.25">
      <c r="C5844" s="1319">
        <v>2</v>
      </c>
      <c r="D5844" s="1319">
        <v>38</v>
      </c>
      <c r="E5844" s="1320">
        <v>29.8</v>
      </c>
      <c r="F5844" s="4">
        <f t="shared" si="98"/>
        <v>-9.1463414634146242E-2</v>
      </c>
      <c r="G5844" s="37">
        <v>34.299999999999997</v>
      </c>
      <c r="H5844" s="1321">
        <v>45992</v>
      </c>
    </row>
    <row r="5845" spans="3:8" x14ac:dyDescent="0.25">
      <c r="C5845" s="1319">
        <v>3</v>
      </c>
      <c r="D5845" s="1319">
        <v>120</v>
      </c>
      <c r="E5845" s="1320">
        <v>40.799999999999997</v>
      </c>
      <c r="F5845" s="4">
        <f t="shared" si="98"/>
        <v>6.2499999999999965E-2</v>
      </c>
      <c r="G5845" s="37">
        <v>34.299999999999997</v>
      </c>
      <c r="H5845" s="1321">
        <v>45992</v>
      </c>
    </row>
    <row r="5846" spans="3:8" x14ac:dyDescent="0.25">
      <c r="C5846" s="1319">
        <v>4</v>
      </c>
      <c r="D5846" s="1319">
        <v>100</v>
      </c>
      <c r="E5846" s="1320">
        <v>33.299999999999997</v>
      </c>
      <c r="F5846" s="4">
        <f t="shared" si="98"/>
        <v>-9.5108695652173919E-2</v>
      </c>
      <c r="G5846" s="37">
        <v>34.299999999999997</v>
      </c>
      <c r="H5846" s="1321">
        <v>45992</v>
      </c>
    </row>
    <row r="5847" spans="3:8" x14ac:dyDescent="0.25">
      <c r="C5847" s="1319">
        <v>5</v>
      </c>
      <c r="D5847" s="1319">
        <v>0</v>
      </c>
      <c r="E5847" s="1320"/>
      <c r="F5847" s="4" t="str">
        <f t="shared" si="98"/>
        <v/>
      </c>
      <c r="G5847" s="37">
        <v>34.299999999999997</v>
      </c>
      <c r="H5847" s="1321">
        <v>45992</v>
      </c>
    </row>
    <row r="5848" spans="3:8" x14ac:dyDescent="0.25">
      <c r="C5848" s="1319">
        <v>6</v>
      </c>
      <c r="D5848" s="1319">
        <v>125</v>
      </c>
      <c r="E5848" s="1320">
        <v>27.2</v>
      </c>
      <c r="F5848" s="4">
        <f t="shared" si="98"/>
        <v>3.6900369003689247E-3</v>
      </c>
      <c r="G5848" s="37">
        <v>34.299999999999997</v>
      </c>
      <c r="H5848" s="1321">
        <v>45992</v>
      </c>
    </row>
    <row r="5849" spans="3:8" x14ac:dyDescent="0.25">
      <c r="C5849" s="1319">
        <v>7</v>
      </c>
      <c r="D5849" s="1319">
        <v>0</v>
      </c>
      <c r="E5849" s="1320"/>
      <c r="F5849" s="4" t="str">
        <f t="shared" si="98"/>
        <v/>
      </c>
      <c r="G5849" s="37">
        <v>34.299999999999997</v>
      </c>
      <c r="H5849" s="1321">
        <v>45992</v>
      </c>
    </row>
    <row r="5850" spans="3:8" x14ac:dyDescent="0.25">
      <c r="C5850" s="1319">
        <v>8</v>
      </c>
      <c r="D5850" s="1319">
        <v>0</v>
      </c>
      <c r="E5850" s="1320"/>
      <c r="F5850" s="4" t="str">
        <f t="shared" si="98"/>
        <v/>
      </c>
      <c r="G5850" s="37">
        <v>34.299999999999997</v>
      </c>
      <c r="H5850" s="1321">
        <v>45992</v>
      </c>
    </row>
    <row r="5851" spans="3:8" x14ac:dyDescent="0.25">
      <c r="C5851" s="1319">
        <v>9</v>
      </c>
      <c r="D5851" s="1319">
        <v>95</v>
      </c>
      <c r="E5851" s="1320">
        <v>37.5</v>
      </c>
      <c r="F5851" s="4">
        <f t="shared" si="98"/>
        <v>1.078167115902961E-2</v>
      </c>
      <c r="G5851" s="37">
        <v>34.299999999999997</v>
      </c>
      <c r="H5851" s="1321">
        <v>45992</v>
      </c>
    </row>
    <row r="5852" spans="3:8" x14ac:dyDescent="0.25">
      <c r="C5852" s="1319">
        <v>10</v>
      </c>
      <c r="D5852" s="1319">
        <v>111</v>
      </c>
      <c r="E5852" s="1320">
        <v>35.799999999999997</v>
      </c>
      <c r="F5852" s="4">
        <f t="shared" si="98"/>
        <v>2.5787965616045804E-2</v>
      </c>
      <c r="G5852" s="37">
        <v>34.299999999999997</v>
      </c>
      <c r="H5852" s="1321">
        <v>45992</v>
      </c>
    </row>
    <row r="5853" spans="3:8" x14ac:dyDescent="0.25">
      <c r="C5853" s="1322" t="s">
        <v>0</v>
      </c>
      <c r="D5853" s="1322" t="s">
        <v>7</v>
      </c>
      <c r="E5853" s="1323" t="s">
        <v>4</v>
      </c>
      <c r="F5853" s="4" t="str">
        <f t="shared" si="98"/>
        <v/>
      </c>
      <c r="G5853" s="37">
        <v>34.6</v>
      </c>
      <c r="H5853" s="1324">
        <v>45993</v>
      </c>
    </row>
    <row r="5854" spans="3:8" x14ac:dyDescent="0.25">
      <c r="C5854" s="1322">
        <v>51</v>
      </c>
      <c r="D5854" s="1322">
        <v>26</v>
      </c>
      <c r="E5854" s="1323">
        <v>30.8</v>
      </c>
      <c r="F5854" s="4">
        <f t="shared" ref="F5854:F5917" si="99">IFERROR((E5854-E5842)/E5842,"")</f>
        <v>-9.6774193548387108E-2</v>
      </c>
      <c r="G5854" s="37">
        <v>34.6</v>
      </c>
      <c r="H5854" s="1324">
        <v>45993</v>
      </c>
    </row>
    <row r="5855" spans="3:8" x14ac:dyDescent="0.25">
      <c r="C5855" s="1322">
        <v>1</v>
      </c>
      <c r="D5855" s="1322">
        <v>76</v>
      </c>
      <c r="E5855" s="1323">
        <v>30</v>
      </c>
      <c r="F5855" s="4">
        <f t="shared" si="99"/>
        <v>-6.6225165562913673E-3</v>
      </c>
      <c r="G5855" s="37">
        <v>34.6</v>
      </c>
      <c r="H5855" s="1324">
        <v>45993</v>
      </c>
    </row>
    <row r="5856" spans="3:8" x14ac:dyDescent="0.25">
      <c r="C5856" s="1322">
        <v>2</v>
      </c>
      <c r="D5856" s="1322">
        <v>38</v>
      </c>
      <c r="E5856" s="1323">
        <v>32.9</v>
      </c>
      <c r="F5856" s="4">
        <f t="shared" si="99"/>
        <v>0.10402684563758381</v>
      </c>
      <c r="G5856" s="37">
        <v>34.6</v>
      </c>
      <c r="H5856" s="1324">
        <v>45993</v>
      </c>
    </row>
    <row r="5857" spans="3:8" x14ac:dyDescent="0.25">
      <c r="C5857" s="1322">
        <v>3</v>
      </c>
      <c r="D5857" s="1322">
        <v>119</v>
      </c>
      <c r="E5857" s="1323">
        <v>39</v>
      </c>
      <c r="F5857" s="4">
        <f t="shared" si="99"/>
        <v>-4.4117647058823463E-2</v>
      </c>
      <c r="G5857" s="37">
        <v>34.6</v>
      </c>
      <c r="H5857" s="1324">
        <v>45993</v>
      </c>
    </row>
    <row r="5858" spans="3:8" x14ac:dyDescent="0.25">
      <c r="C5858" s="1322">
        <v>4</v>
      </c>
      <c r="D5858" s="1322">
        <v>100</v>
      </c>
      <c r="E5858" s="1323">
        <v>38</v>
      </c>
      <c r="F5858" s="4">
        <f t="shared" si="99"/>
        <v>0.14114114114114124</v>
      </c>
      <c r="G5858" s="37">
        <v>34.6</v>
      </c>
      <c r="H5858" s="1324">
        <v>45993</v>
      </c>
    </row>
    <row r="5859" spans="3:8" x14ac:dyDescent="0.25">
      <c r="C5859" s="1322">
        <v>5</v>
      </c>
      <c r="D5859" s="1322">
        <v>0</v>
      </c>
      <c r="E5859" s="1323"/>
      <c r="F5859" s="4" t="str">
        <f t="shared" si="99"/>
        <v/>
      </c>
      <c r="G5859" s="37">
        <v>34.6</v>
      </c>
      <c r="H5859" s="1324">
        <v>45993</v>
      </c>
    </row>
    <row r="5860" spans="3:8" x14ac:dyDescent="0.25">
      <c r="C5860" s="1322">
        <v>6</v>
      </c>
      <c r="D5860" s="1322">
        <v>125</v>
      </c>
      <c r="E5860" s="1323">
        <v>27.3</v>
      </c>
      <c r="F5860" s="4">
        <f t="shared" si="99"/>
        <v>3.6764705882353465E-3</v>
      </c>
      <c r="G5860" s="37">
        <v>34.6</v>
      </c>
      <c r="H5860" s="1324">
        <v>45993</v>
      </c>
    </row>
    <row r="5861" spans="3:8" x14ac:dyDescent="0.25">
      <c r="C5861" s="1322">
        <v>7</v>
      </c>
      <c r="D5861" s="1322">
        <v>0</v>
      </c>
      <c r="E5861" s="1323"/>
      <c r="F5861" s="4" t="str">
        <f t="shared" si="99"/>
        <v/>
      </c>
      <c r="G5861" s="37">
        <v>34.6</v>
      </c>
      <c r="H5861" s="1324">
        <v>45993</v>
      </c>
    </row>
    <row r="5862" spans="3:8" x14ac:dyDescent="0.25">
      <c r="C5862" s="1322">
        <v>8</v>
      </c>
      <c r="D5862" s="1322">
        <v>0</v>
      </c>
      <c r="E5862" s="1323"/>
      <c r="F5862" s="4" t="str">
        <f t="shared" si="99"/>
        <v/>
      </c>
      <c r="G5862" s="37">
        <v>34.6</v>
      </c>
      <c r="H5862" s="1324">
        <v>45993</v>
      </c>
    </row>
    <row r="5863" spans="3:8" x14ac:dyDescent="0.25">
      <c r="C5863" s="1322">
        <v>9</v>
      </c>
      <c r="D5863" s="1322">
        <v>94</v>
      </c>
      <c r="E5863" s="1323">
        <v>37.1</v>
      </c>
      <c r="F5863" s="4">
        <f t="shared" si="99"/>
        <v>-1.0666666666666628E-2</v>
      </c>
      <c r="G5863" s="37">
        <v>34.6</v>
      </c>
      <c r="H5863" s="1324">
        <v>45993</v>
      </c>
    </row>
    <row r="5864" spans="3:8" x14ac:dyDescent="0.25">
      <c r="C5864" s="1322">
        <v>10</v>
      </c>
      <c r="D5864" s="1322">
        <v>112</v>
      </c>
      <c r="E5864" s="1323">
        <v>35.5</v>
      </c>
      <c r="F5864" s="4">
        <f t="shared" si="99"/>
        <v>-8.3798882681563464E-3</v>
      </c>
      <c r="G5864" s="37">
        <v>34.6</v>
      </c>
      <c r="H5864" s="1324">
        <v>45993</v>
      </c>
    </row>
    <row r="5865" spans="3:8" x14ac:dyDescent="0.25">
      <c r="C5865" s="1325" t="s">
        <v>0</v>
      </c>
      <c r="D5865" s="1325" t="s">
        <v>7</v>
      </c>
      <c r="E5865" s="1326" t="s">
        <v>4</v>
      </c>
      <c r="F5865" s="4" t="str">
        <f t="shared" si="99"/>
        <v/>
      </c>
      <c r="G5865" s="37">
        <v>34.799999999999997</v>
      </c>
      <c r="H5865" s="1327">
        <v>45994</v>
      </c>
    </row>
    <row r="5866" spans="3:8" x14ac:dyDescent="0.25">
      <c r="C5866" s="1325">
        <v>51</v>
      </c>
      <c r="D5866" s="1325">
        <v>28</v>
      </c>
      <c r="E5866" s="1326">
        <v>31.2</v>
      </c>
      <c r="F5866" s="4">
        <f t="shared" si="99"/>
        <v>1.2987012987012941E-2</v>
      </c>
      <c r="G5866" s="37">
        <v>34.799999999999997</v>
      </c>
      <c r="H5866" s="1327">
        <v>45994</v>
      </c>
    </row>
    <row r="5867" spans="3:8" x14ac:dyDescent="0.25">
      <c r="C5867" s="1325">
        <v>1</v>
      </c>
      <c r="D5867" s="1325">
        <v>76</v>
      </c>
      <c r="E5867" s="1326">
        <v>28.9</v>
      </c>
      <c r="F5867" s="4">
        <f t="shared" si="99"/>
        <v>-3.6666666666666715E-2</v>
      </c>
      <c r="G5867" s="37">
        <v>34.799999999999997</v>
      </c>
      <c r="H5867" s="1327">
        <v>45994</v>
      </c>
    </row>
    <row r="5868" spans="3:8" x14ac:dyDescent="0.25">
      <c r="C5868" s="1325">
        <v>2</v>
      </c>
      <c r="D5868" s="1325">
        <v>39</v>
      </c>
      <c r="E5868" s="1326">
        <v>33.299999999999997</v>
      </c>
      <c r="F5868" s="4">
        <f t="shared" si="99"/>
        <v>1.2158054711246157E-2</v>
      </c>
      <c r="G5868" s="37">
        <v>34.799999999999997</v>
      </c>
      <c r="H5868" s="1327">
        <v>45994</v>
      </c>
    </row>
    <row r="5869" spans="3:8" x14ac:dyDescent="0.25">
      <c r="C5869" s="1325">
        <v>3</v>
      </c>
      <c r="D5869" s="1325">
        <v>119</v>
      </c>
      <c r="E5869" s="1326">
        <v>39.299999999999997</v>
      </c>
      <c r="F5869" s="4">
        <f t="shared" si="99"/>
        <v>7.692307692307619E-3</v>
      </c>
      <c r="G5869" s="37">
        <v>34.799999999999997</v>
      </c>
      <c r="H5869" s="1327">
        <v>45994</v>
      </c>
    </row>
    <row r="5870" spans="3:8" x14ac:dyDescent="0.25">
      <c r="C5870" s="1325">
        <v>4</v>
      </c>
      <c r="D5870" s="1325">
        <v>100</v>
      </c>
      <c r="E5870" s="1326">
        <v>38.4</v>
      </c>
      <c r="F5870" s="4">
        <f t="shared" si="99"/>
        <v>1.0526315789473648E-2</v>
      </c>
      <c r="G5870" s="37">
        <v>34.799999999999997</v>
      </c>
      <c r="H5870" s="1327">
        <v>45994</v>
      </c>
    </row>
    <row r="5871" spans="3:8" x14ac:dyDescent="0.25">
      <c r="C5871" s="1325">
        <v>5</v>
      </c>
      <c r="D5871" s="1325">
        <v>0</v>
      </c>
      <c r="E5871" s="1326"/>
      <c r="F5871" s="4" t="str">
        <f t="shared" si="99"/>
        <v/>
      </c>
      <c r="G5871" s="37">
        <v>34.799999999999997</v>
      </c>
      <c r="H5871" s="1327">
        <v>45994</v>
      </c>
    </row>
    <row r="5872" spans="3:8" x14ac:dyDescent="0.25">
      <c r="C5872" s="1325">
        <v>6</v>
      </c>
      <c r="D5872" s="1325">
        <v>124</v>
      </c>
      <c r="E5872" s="1326">
        <v>27.7</v>
      </c>
      <c r="F5872" s="4">
        <f t="shared" si="99"/>
        <v>1.46520146520146E-2</v>
      </c>
      <c r="G5872" s="37">
        <v>34.799999999999997</v>
      </c>
      <c r="H5872" s="1327">
        <v>45994</v>
      </c>
    </row>
    <row r="5873" spans="3:8" x14ac:dyDescent="0.25">
      <c r="C5873" s="1325">
        <v>7</v>
      </c>
      <c r="D5873" s="1325">
        <v>0</v>
      </c>
      <c r="E5873" s="1326"/>
      <c r="F5873" s="4" t="str">
        <f t="shared" si="99"/>
        <v/>
      </c>
      <c r="G5873" s="37">
        <v>34.799999999999997</v>
      </c>
      <c r="H5873" s="1327">
        <v>45994</v>
      </c>
    </row>
    <row r="5874" spans="3:8" x14ac:dyDescent="0.25">
      <c r="C5874" s="1325">
        <v>8</v>
      </c>
      <c r="D5874" s="1325">
        <v>0</v>
      </c>
      <c r="E5874" s="1326"/>
      <c r="F5874" s="4" t="str">
        <f t="shared" si="99"/>
        <v/>
      </c>
      <c r="G5874" s="37">
        <v>34.799999999999997</v>
      </c>
      <c r="H5874" s="1327">
        <v>45994</v>
      </c>
    </row>
    <row r="5875" spans="3:8" x14ac:dyDescent="0.25">
      <c r="C5875" s="1325">
        <v>9</v>
      </c>
      <c r="D5875" s="1325">
        <v>94</v>
      </c>
      <c r="E5875" s="1326">
        <v>36.700000000000003</v>
      </c>
      <c r="F5875" s="4">
        <f t="shared" si="99"/>
        <v>-1.078167115902961E-2</v>
      </c>
      <c r="G5875" s="37">
        <v>34.799999999999997</v>
      </c>
      <c r="H5875" s="1327">
        <v>45994</v>
      </c>
    </row>
    <row r="5876" spans="3:8" x14ac:dyDescent="0.25">
      <c r="C5876" s="1325">
        <v>10</v>
      </c>
      <c r="D5876" s="1325">
        <v>111</v>
      </c>
      <c r="E5876" s="1326">
        <v>35.1</v>
      </c>
      <c r="F5876" s="4">
        <f t="shared" si="99"/>
        <v>-1.1267605633802778E-2</v>
      </c>
      <c r="G5876" s="37">
        <v>34.799999999999997</v>
      </c>
      <c r="H5876" s="1327">
        <v>45994</v>
      </c>
    </row>
    <row r="5877" spans="3:8" x14ac:dyDescent="0.25">
      <c r="C5877" s="1328" t="s">
        <v>0</v>
      </c>
      <c r="D5877" s="1328" t="s">
        <v>7</v>
      </c>
      <c r="E5877" s="1329" t="s">
        <v>4</v>
      </c>
      <c r="F5877" s="4" t="str">
        <f t="shared" si="99"/>
        <v/>
      </c>
      <c r="G5877" s="37">
        <v>34.299999999999997</v>
      </c>
      <c r="H5877" s="1330">
        <v>45995</v>
      </c>
    </row>
    <row r="5878" spans="3:8" x14ac:dyDescent="0.25">
      <c r="C5878" s="1328">
        <v>51</v>
      </c>
      <c r="D5878" s="1328">
        <v>34</v>
      </c>
      <c r="E5878" s="1329">
        <v>32.1</v>
      </c>
      <c r="F5878" s="4">
        <f t="shared" si="99"/>
        <v>2.8846153846153914E-2</v>
      </c>
      <c r="G5878" s="37">
        <v>34.299999999999997</v>
      </c>
      <c r="H5878" s="1330">
        <v>45995</v>
      </c>
    </row>
    <row r="5879" spans="3:8" x14ac:dyDescent="0.25">
      <c r="C5879" s="1328">
        <v>1</v>
      </c>
      <c r="D5879" s="1328">
        <v>75</v>
      </c>
      <c r="E5879" s="1329">
        <v>29.2</v>
      </c>
      <c r="F5879" s="4">
        <f t="shared" si="99"/>
        <v>1.0380622837370268E-2</v>
      </c>
      <c r="G5879" s="37">
        <v>34.299999999999997</v>
      </c>
      <c r="H5879" s="1330">
        <v>45995</v>
      </c>
    </row>
    <row r="5880" spans="3:8" x14ac:dyDescent="0.25">
      <c r="C5880" s="1328">
        <v>2</v>
      </c>
      <c r="D5880" s="1328">
        <v>39</v>
      </c>
      <c r="E5880" s="1329">
        <v>32</v>
      </c>
      <c r="F5880" s="4">
        <f t="shared" si="99"/>
        <v>-3.9039039039038957E-2</v>
      </c>
      <c r="G5880" s="37">
        <v>34.299999999999997</v>
      </c>
      <c r="H5880" s="1330">
        <v>45995</v>
      </c>
    </row>
    <row r="5881" spans="3:8" x14ac:dyDescent="0.25">
      <c r="C5881" s="1328">
        <v>3</v>
      </c>
      <c r="D5881" s="1328">
        <v>119</v>
      </c>
      <c r="E5881" s="1329">
        <v>38.4</v>
      </c>
      <c r="F5881" s="4">
        <f t="shared" si="99"/>
        <v>-2.2900763358778591E-2</v>
      </c>
      <c r="G5881" s="37">
        <v>34.299999999999997</v>
      </c>
      <c r="H5881" s="1330">
        <v>45995</v>
      </c>
    </row>
    <row r="5882" spans="3:8" x14ac:dyDescent="0.25">
      <c r="C5882" s="1328">
        <v>4</v>
      </c>
      <c r="D5882" s="1328">
        <v>98</v>
      </c>
      <c r="E5882" s="1329">
        <v>37.700000000000003</v>
      </c>
      <c r="F5882" s="4">
        <f t="shared" si="99"/>
        <v>-1.8229166666666557E-2</v>
      </c>
      <c r="G5882" s="37">
        <v>34.299999999999997</v>
      </c>
      <c r="H5882" s="1330">
        <v>45995</v>
      </c>
    </row>
    <row r="5883" spans="3:8" x14ac:dyDescent="0.25">
      <c r="C5883" s="1328">
        <v>5</v>
      </c>
      <c r="D5883" s="1328">
        <v>0</v>
      </c>
      <c r="E5883" s="1329"/>
      <c r="F5883" s="4" t="str">
        <f t="shared" si="99"/>
        <v/>
      </c>
      <c r="G5883" s="37">
        <v>34.299999999999997</v>
      </c>
      <c r="H5883" s="1330">
        <v>45995</v>
      </c>
    </row>
    <row r="5884" spans="3:8" x14ac:dyDescent="0.25">
      <c r="C5884" s="1328">
        <v>6</v>
      </c>
      <c r="D5884" s="1328">
        <v>124</v>
      </c>
      <c r="E5884" s="1329">
        <v>26</v>
      </c>
      <c r="F5884" s="4">
        <f t="shared" si="99"/>
        <v>-6.1371841155234634E-2</v>
      </c>
      <c r="G5884" s="37">
        <v>34.299999999999997</v>
      </c>
      <c r="H5884" s="1330">
        <v>45995</v>
      </c>
    </row>
    <row r="5885" spans="3:8" x14ac:dyDescent="0.25">
      <c r="C5885" s="1328">
        <v>7</v>
      </c>
      <c r="D5885" s="1328">
        <v>0</v>
      </c>
      <c r="E5885" s="1329"/>
      <c r="F5885" s="4" t="str">
        <f t="shared" si="99"/>
        <v/>
      </c>
      <c r="G5885" s="37">
        <v>34.299999999999997</v>
      </c>
      <c r="H5885" s="1330">
        <v>45995</v>
      </c>
    </row>
    <row r="5886" spans="3:8" x14ac:dyDescent="0.25">
      <c r="C5886" s="1328">
        <v>8</v>
      </c>
      <c r="D5886" s="1328">
        <v>0</v>
      </c>
      <c r="E5886" s="1329"/>
      <c r="F5886" s="4" t="str">
        <f t="shared" si="99"/>
        <v/>
      </c>
      <c r="G5886" s="37">
        <v>34.299999999999997</v>
      </c>
      <c r="H5886" s="1330">
        <v>45995</v>
      </c>
    </row>
    <row r="5887" spans="3:8" x14ac:dyDescent="0.25">
      <c r="C5887" s="1328">
        <v>9</v>
      </c>
      <c r="D5887" s="1328">
        <v>95</v>
      </c>
      <c r="E5887" s="1329">
        <v>37.6</v>
      </c>
      <c r="F5887" s="4">
        <f t="shared" si="99"/>
        <v>2.4523160762942739E-2</v>
      </c>
      <c r="G5887" s="37">
        <v>34.299999999999997</v>
      </c>
      <c r="H5887" s="1330">
        <v>45995</v>
      </c>
    </row>
    <row r="5888" spans="3:8" x14ac:dyDescent="0.25">
      <c r="C5888" s="1328">
        <v>10</v>
      </c>
      <c r="D5888" s="1328">
        <v>111</v>
      </c>
      <c r="E5888" s="1329">
        <v>34.9</v>
      </c>
      <c r="F5888" s="4">
        <f t="shared" si="99"/>
        <v>-5.698005698005779E-3</v>
      </c>
      <c r="G5888" s="37">
        <v>34.299999999999997</v>
      </c>
      <c r="H5888" s="1330">
        <v>45995</v>
      </c>
    </row>
    <row r="5889" spans="3:8" x14ac:dyDescent="0.25">
      <c r="C5889" s="1331" t="s">
        <v>0</v>
      </c>
      <c r="D5889" s="1331" t="s">
        <v>7</v>
      </c>
      <c r="E5889" s="1332" t="s">
        <v>4</v>
      </c>
      <c r="F5889" s="4" t="str">
        <f t="shared" si="99"/>
        <v/>
      </c>
      <c r="G5889" s="37">
        <v>34.700000000000003</v>
      </c>
      <c r="H5889" s="1333">
        <v>45996</v>
      </c>
    </row>
    <row r="5890" spans="3:8" x14ac:dyDescent="0.25">
      <c r="C5890" s="1331">
        <v>51</v>
      </c>
      <c r="D5890" s="1331">
        <v>40</v>
      </c>
      <c r="E5890" s="1332">
        <v>31.6</v>
      </c>
      <c r="F5890" s="4">
        <f t="shared" si="99"/>
        <v>-1.5576323987538941E-2</v>
      </c>
      <c r="G5890" s="37">
        <v>34.700000000000003</v>
      </c>
      <c r="H5890" s="1333">
        <v>45996</v>
      </c>
    </row>
    <row r="5891" spans="3:8" x14ac:dyDescent="0.25">
      <c r="C5891" s="1331">
        <v>1</v>
      </c>
      <c r="D5891" s="1331">
        <v>72</v>
      </c>
      <c r="E5891" s="1332">
        <v>29.6</v>
      </c>
      <c r="F5891" s="4">
        <f t="shared" si="99"/>
        <v>1.3698630136986375E-2</v>
      </c>
      <c r="G5891" s="37">
        <v>34.700000000000003</v>
      </c>
      <c r="H5891" s="1333">
        <v>45996</v>
      </c>
    </row>
    <row r="5892" spans="3:8" x14ac:dyDescent="0.25">
      <c r="C5892" s="1331">
        <v>2</v>
      </c>
      <c r="D5892" s="1331">
        <v>40</v>
      </c>
      <c r="E5892" s="1332">
        <v>32.6</v>
      </c>
      <c r="F5892" s="4">
        <f t="shared" si="99"/>
        <v>1.8750000000000044E-2</v>
      </c>
      <c r="G5892" s="37">
        <v>34.700000000000003</v>
      </c>
      <c r="H5892" s="1333">
        <v>45996</v>
      </c>
    </row>
    <row r="5893" spans="3:8" x14ac:dyDescent="0.25">
      <c r="C5893" s="1331">
        <v>3</v>
      </c>
      <c r="D5893" s="1331">
        <v>117</v>
      </c>
      <c r="E5893" s="1332">
        <v>39.5</v>
      </c>
      <c r="F5893" s="4">
        <f t="shared" si="99"/>
        <v>2.864583333333337E-2</v>
      </c>
      <c r="G5893" s="37">
        <v>34.700000000000003</v>
      </c>
      <c r="H5893" s="1333">
        <v>45996</v>
      </c>
    </row>
    <row r="5894" spans="3:8" x14ac:dyDescent="0.25">
      <c r="C5894" s="1331">
        <v>4</v>
      </c>
      <c r="D5894" s="1331">
        <v>98</v>
      </c>
      <c r="E5894" s="1332">
        <v>37.700000000000003</v>
      </c>
      <c r="F5894" s="4">
        <f t="shared" si="99"/>
        <v>0</v>
      </c>
      <c r="G5894" s="37">
        <v>34.700000000000003</v>
      </c>
      <c r="H5894" s="1333">
        <v>45996</v>
      </c>
    </row>
    <row r="5895" spans="3:8" x14ac:dyDescent="0.25">
      <c r="C5895" s="1331">
        <v>5</v>
      </c>
      <c r="D5895" s="1331">
        <v>0</v>
      </c>
      <c r="E5895" s="1332"/>
      <c r="F5895" s="4" t="str">
        <f t="shared" si="99"/>
        <v/>
      </c>
      <c r="G5895" s="37">
        <v>34.700000000000003</v>
      </c>
      <c r="H5895" s="1333">
        <v>45996</v>
      </c>
    </row>
    <row r="5896" spans="3:8" x14ac:dyDescent="0.25">
      <c r="C5896" s="1331">
        <v>6</v>
      </c>
      <c r="D5896" s="1331">
        <v>111</v>
      </c>
      <c r="E5896" s="1332">
        <v>25.2</v>
      </c>
      <c r="F5896" s="4">
        <f t="shared" si="99"/>
        <v>-3.0769230769230795E-2</v>
      </c>
      <c r="G5896" s="37">
        <v>34.700000000000003</v>
      </c>
      <c r="H5896" s="1333">
        <v>45996</v>
      </c>
    </row>
    <row r="5897" spans="3:8" x14ac:dyDescent="0.25">
      <c r="C5897" s="1331">
        <v>7</v>
      </c>
      <c r="D5897" s="1331">
        <v>0</v>
      </c>
      <c r="E5897" s="1332"/>
      <c r="F5897" s="4" t="str">
        <f t="shared" si="99"/>
        <v/>
      </c>
      <c r="G5897" s="37">
        <v>34.700000000000003</v>
      </c>
      <c r="H5897" s="1333">
        <v>45996</v>
      </c>
    </row>
    <row r="5898" spans="3:8" x14ac:dyDescent="0.25">
      <c r="C5898" s="1331">
        <v>8</v>
      </c>
      <c r="D5898" s="1331">
        <v>0</v>
      </c>
      <c r="E5898" s="1332"/>
      <c r="F5898" s="4" t="str">
        <f t="shared" si="99"/>
        <v/>
      </c>
      <c r="G5898" s="37">
        <v>34.700000000000003</v>
      </c>
      <c r="H5898" s="1333">
        <v>45996</v>
      </c>
    </row>
    <row r="5899" spans="3:8" x14ac:dyDescent="0.25">
      <c r="C5899" s="1331">
        <v>9</v>
      </c>
      <c r="D5899" s="1331">
        <v>96</v>
      </c>
      <c r="E5899" s="1332">
        <v>37.5</v>
      </c>
      <c r="F5899" s="4">
        <f t="shared" si="99"/>
        <v>-2.659574468085144E-3</v>
      </c>
      <c r="G5899" s="37">
        <v>34.700000000000003</v>
      </c>
      <c r="H5899" s="1333">
        <v>45996</v>
      </c>
    </row>
    <row r="5900" spans="3:8" x14ac:dyDescent="0.25">
      <c r="C5900" s="1331">
        <v>10</v>
      </c>
      <c r="D5900" s="1331">
        <v>111</v>
      </c>
      <c r="E5900" s="1332">
        <v>34.9</v>
      </c>
      <c r="F5900" s="4">
        <f t="shared" si="99"/>
        <v>0</v>
      </c>
      <c r="G5900" s="37">
        <v>34.700000000000003</v>
      </c>
      <c r="H5900" s="1333">
        <v>45996</v>
      </c>
    </row>
    <row r="5901" spans="3:8" x14ac:dyDescent="0.25">
      <c r="C5901" s="1334" t="s">
        <v>0</v>
      </c>
      <c r="D5901" s="1334" t="s">
        <v>7</v>
      </c>
      <c r="E5901" s="1335" t="s">
        <v>4</v>
      </c>
      <c r="F5901" s="4" t="str">
        <f t="shared" si="99"/>
        <v/>
      </c>
      <c r="G5901" s="37">
        <v>35</v>
      </c>
      <c r="H5901" s="1333">
        <v>45997</v>
      </c>
    </row>
    <row r="5902" spans="3:8" x14ac:dyDescent="0.25">
      <c r="C5902" s="1334">
        <v>51</v>
      </c>
      <c r="D5902" s="1334">
        <v>40</v>
      </c>
      <c r="E5902" s="1335">
        <v>30.7</v>
      </c>
      <c r="F5902" s="4">
        <f t="shared" si="99"/>
        <v>-2.8481012658227913E-2</v>
      </c>
      <c r="G5902" s="37">
        <v>35</v>
      </c>
      <c r="H5902" s="1333">
        <v>45997</v>
      </c>
    </row>
    <row r="5903" spans="3:8" x14ac:dyDescent="0.25">
      <c r="C5903" s="1334">
        <v>1</v>
      </c>
      <c r="D5903" s="1334">
        <v>72</v>
      </c>
      <c r="E5903" s="1335">
        <v>30.6</v>
      </c>
      <c r="F5903" s="4">
        <f t="shared" si="99"/>
        <v>3.3783783783783779E-2</v>
      </c>
      <c r="G5903" s="37">
        <v>35</v>
      </c>
      <c r="H5903" s="1333">
        <v>45997</v>
      </c>
    </row>
    <row r="5904" spans="3:8" x14ac:dyDescent="0.25">
      <c r="C5904" s="1334">
        <v>2</v>
      </c>
      <c r="D5904" s="1334">
        <v>35</v>
      </c>
      <c r="E5904" s="1335">
        <v>32.200000000000003</v>
      </c>
      <c r="F5904" s="4">
        <f t="shared" si="99"/>
        <v>-1.2269938650306704E-2</v>
      </c>
      <c r="G5904" s="37">
        <v>35</v>
      </c>
      <c r="H5904" s="1333">
        <v>45997</v>
      </c>
    </row>
    <row r="5905" spans="3:8" x14ac:dyDescent="0.25">
      <c r="C5905" s="1334">
        <v>3</v>
      </c>
      <c r="D5905" s="1334">
        <v>112</v>
      </c>
      <c r="E5905" s="1335">
        <v>39.9</v>
      </c>
      <c r="F5905" s="4">
        <f t="shared" si="99"/>
        <v>1.0126582278480976E-2</v>
      </c>
      <c r="G5905" s="37">
        <v>35</v>
      </c>
      <c r="H5905" s="1333">
        <v>45997</v>
      </c>
    </row>
    <row r="5906" spans="3:8" x14ac:dyDescent="0.25">
      <c r="C5906" s="1334">
        <v>4</v>
      </c>
      <c r="D5906" s="1334">
        <v>98</v>
      </c>
      <c r="E5906" s="1335">
        <v>38.4</v>
      </c>
      <c r="F5906" s="4">
        <f t="shared" si="99"/>
        <v>1.8567639257294315E-2</v>
      </c>
      <c r="G5906" s="37">
        <v>35</v>
      </c>
      <c r="H5906" s="1333">
        <v>45997</v>
      </c>
    </row>
    <row r="5907" spans="3:8" x14ac:dyDescent="0.25">
      <c r="C5907" s="1334">
        <v>5</v>
      </c>
      <c r="D5907" s="1334">
        <v>0</v>
      </c>
      <c r="E5907" s="1335"/>
      <c r="F5907" s="4" t="str">
        <f t="shared" si="99"/>
        <v/>
      </c>
      <c r="G5907" s="37">
        <v>35</v>
      </c>
      <c r="H5907" s="1333">
        <v>45997</v>
      </c>
    </row>
    <row r="5908" spans="3:8" x14ac:dyDescent="0.25">
      <c r="C5908" s="1334">
        <v>6</v>
      </c>
      <c r="D5908" s="1334">
        <v>121</v>
      </c>
      <c r="E5908" s="1335">
        <v>28.2</v>
      </c>
      <c r="F5908" s="4">
        <f t="shared" si="99"/>
        <v>0.11904761904761905</v>
      </c>
      <c r="G5908" s="37">
        <v>35</v>
      </c>
      <c r="H5908" s="1333">
        <v>45997</v>
      </c>
    </row>
    <row r="5909" spans="3:8" x14ac:dyDescent="0.25">
      <c r="C5909" s="1334">
        <v>7</v>
      </c>
      <c r="D5909" s="1334">
        <v>0</v>
      </c>
      <c r="E5909" s="1335"/>
      <c r="F5909" s="4" t="str">
        <f t="shared" si="99"/>
        <v/>
      </c>
      <c r="G5909" s="37">
        <v>35</v>
      </c>
      <c r="H5909" s="1333">
        <v>45997</v>
      </c>
    </row>
    <row r="5910" spans="3:8" x14ac:dyDescent="0.25">
      <c r="C5910" s="1334">
        <v>8</v>
      </c>
      <c r="D5910" s="1334">
        <v>0</v>
      </c>
      <c r="E5910" s="1335"/>
      <c r="F5910" s="4" t="str">
        <f t="shared" si="99"/>
        <v/>
      </c>
      <c r="G5910" s="37">
        <v>35</v>
      </c>
      <c r="H5910" s="1333">
        <v>45997</v>
      </c>
    </row>
    <row r="5911" spans="3:8" x14ac:dyDescent="0.25">
      <c r="C5911" s="1334">
        <v>9</v>
      </c>
      <c r="D5911" s="1334">
        <v>96</v>
      </c>
      <c r="E5911" s="1335">
        <v>37.5</v>
      </c>
      <c r="F5911" s="4">
        <f t="shared" si="99"/>
        <v>0</v>
      </c>
      <c r="G5911" s="37">
        <v>35</v>
      </c>
      <c r="H5911" s="1333">
        <v>45997</v>
      </c>
    </row>
    <row r="5912" spans="3:8" x14ac:dyDescent="0.25">
      <c r="C5912" s="1334">
        <v>10</v>
      </c>
      <c r="D5912" s="1334">
        <v>111</v>
      </c>
      <c r="E5912" s="1335">
        <v>34.4</v>
      </c>
      <c r="F5912" s="4">
        <f t="shared" si="99"/>
        <v>-1.4326647564469915E-2</v>
      </c>
      <c r="G5912" s="37">
        <v>35</v>
      </c>
      <c r="H5912" s="1333">
        <v>45997</v>
      </c>
    </row>
    <row r="5913" spans="3:8" x14ac:dyDescent="0.25">
      <c r="C5913" s="1336" t="s">
        <v>0</v>
      </c>
      <c r="D5913" s="1336" t="s">
        <v>7</v>
      </c>
      <c r="E5913" s="1337" t="s">
        <v>4</v>
      </c>
      <c r="F5913" s="4" t="str">
        <f t="shared" si="99"/>
        <v/>
      </c>
      <c r="G5913" s="37">
        <v>35.299999999999997</v>
      </c>
      <c r="H5913" s="1333">
        <v>45998</v>
      </c>
    </row>
    <row r="5914" spans="3:8" x14ac:dyDescent="0.25">
      <c r="C5914" s="1336">
        <v>51</v>
      </c>
      <c r="D5914" s="1336">
        <v>29</v>
      </c>
      <c r="E5914" s="1337">
        <v>33.200000000000003</v>
      </c>
      <c r="F5914" s="4">
        <f t="shared" si="99"/>
        <v>8.1433224755700445E-2</v>
      </c>
      <c r="G5914" s="37">
        <v>35.299999999999997</v>
      </c>
      <c r="H5914" s="1333">
        <v>45998</v>
      </c>
    </row>
    <row r="5915" spans="3:8" x14ac:dyDescent="0.25">
      <c r="C5915" s="1336">
        <v>1</v>
      </c>
      <c r="D5915" s="1336">
        <v>72</v>
      </c>
      <c r="E5915" s="1337">
        <v>31.2</v>
      </c>
      <c r="F5915" s="4">
        <f t="shared" si="99"/>
        <v>1.9607843137254832E-2</v>
      </c>
      <c r="G5915" s="37">
        <v>35.299999999999997</v>
      </c>
      <c r="H5915" s="1333">
        <v>45998</v>
      </c>
    </row>
    <row r="5916" spans="3:8" x14ac:dyDescent="0.25">
      <c r="C5916" s="1336">
        <v>2</v>
      </c>
      <c r="D5916" s="1336">
        <v>35</v>
      </c>
      <c r="E5916" s="1337">
        <v>32.1</v>
      </c>
      <c r="F5916" s="4">
        <f t="shared" si="99"/>
        <v>-3.1055900621118453E-3</v>
      </c>
      <c r="G5916" s="37">
        <v>35.299999999999997</v>
      </c>
      <c r="H5916" s="1333">
        <v>45998</v>
      </c>
    </row>
    <row r="5917" spans="3:8" x14ac:dyDescent="0.25">
      <c r="C5917" s="1336">
        <v>3</v>
      </c>
      <c r="D5917" s="1336">
        <v>121</v>
      </c>
      <c r="E5917" s="1337">
        <v>40.700000000000003</v>
      </c>
      <c r="F5917" s="4">
        <f t="shared" si="99"/>
        <v>2.0050125313283314E-2</v>
      </c>
      <c r="G5917" s="37">
        <v>35.299999999999997</v>
      </c>
      <c r="H5917" s="1333">
        <v>45998</v>
      </c>
    </row>
    <row r="5918" spans="3:8" x14ac:dyDescent="0.25">
      <c r="C5918" s="1336">
        <v>4</v>
      </c>
      <c r="D5918" s="1336">
        <v>98</v>
      </c>
      <c r="E5918" s="1337">
        <v>37.6</v>
      </c>
      <c r="F5918" s="4">
        <f t="shared" ref="F5918:F5981" si="100">IFERROR((E5918-E5906)/E5906,"")</f>
        <v>-2.0833333333333259E-2</v>
      </c>
      <c r="G5918" s="37">
        <v>35.299999999999997</v>
      </c>
      <c r="H5918" s="1333">
        <v>45998</v>
      </c>
    </row>
    <row r="5919" spans="3:8" x14ac:dyDescent="0.25">
      <c r="C5919" s="1336">
        <v>5</v>
      </c>
      <c r="D5919" s="1336">
        <v>0</v>
      </c>
      <c r="E5919" s="1337"/>
      <c r="F5919" s="4" t="str">
        <f t="shared" si="100"/>
        <v/>
      </c>
      <c r="G5919" s="37">
        <v>35.299999999999997</v>
      </c>
      <c r="H5919" s="1333">
        <v>45998</v>
      </c>
    </row>
    <row r="5920" spans="3:8" x14ac:dyDescent="0.25">
      <c r="C5920" s="1336">
        <v>6</v>
      </c>
      <c r="D5920" s="1336">
        <v>120</v>
      </c>
      <c r="E5920" s="1337">
        <v>28.3</v>
      </c>
      <c r="F5920" s="4">
        <f t="shared" si="100"/>
        <v>3.5460992907801925E-3</v>
      </c>
      <c r="G5920" s="37">
        <v>35.299999999999997</v>
      </c>
      <c r="H5920" s="1333">
        <v>45998</v>
      </c>
    </row>
    <row r="5921" spans="3:8" x14ac:dyDescent="0.25">
      <c r="C5921" s="1336">
        <v>7</v>
      </c>
      <c r="D5921" s="1336">
        <v>0</v>
      </c>
      <c r="E5921" s="1337"/>
      <c r="F5921" s="4" t="str">
        <f t="shared" si="100"/>
        <v/>
      </c>
      <c r="G5921" s="37">
        <v>35.299999999999997</v>
      </c>
      <c r="H5921" s="1333">
        <v>45998</v>
      </c>
    </row>
    <row r="5922" spans="3:8" x14ac:dyDescent="0.25">
      <c r="C5922" s="1336">
        <v>8</v>
      </c>
      <c r="D5922" s="1336">
        <v>0</v>
      </c>
      <c r="E5922" s="1337"/>
      <c r="F5922" s="4" t="str">
        <f t="shared" si="100"/>
        <v/>
      </c>
      <c r="G5922" s="37">
        <v>35.299999999999997</v>
      </c>
      <c r="H5922" s="1333">
        <v>45998</v>
      </c>
    </row>
    <row r="5923" spans="3:8" x14ac:dyDescent="0.25">
      <c r="C5923" s="1336">
        <v>9</v>
      </c>
      <c r="D5923" s="1336">
        <v>96</v>
      </c>
      <c r="E5923" s="1337">
        <v>37.6</v>
      </c>
      <c r="F5923" s="4">
        <f t="shared" si="100"/>
        <v>2.6666666666667047E-3</v>
      </c>
      <c r="G5923" s="37">
        <v>35.299999999999997</v>
      </c>
      <c r="H5923" s="1333">
        <v>45998</v>
      </c>
    </row>
    <row r="5924" spans="3:8" x14ac:dyDescent="0.25">
      <c r="C5924" s="1336">
        <v>10</v>
      </c>
      <c r="D5924" s="1336">
        <v>110</v>
      </c>
      <c r="E5924" s="1337">
        <v>34.1</v>
      </c>
      <c r="F5924" s="4">
        <f t="shared" si="100"/>
        <v>-8.7209302325580579E-3</v>
      </c>
      <c r="G5924" s="37">
        <v>35.299999999999997</v>
      </c>
      <c r="H5924" s="1333">
        <v>45998</v>
      </c>
    </row>
    <row r="5925" spans="3:8" x14ac:dyDescent="0.25">
      <c r="C5925" s="1338" t="s">
        <v>0</v>
      </c>
      <c r="D5925" s="1338" t="s">
        <v>7</v>
      </c>
      <c r="E5925" s="1339" t="s">
        <v>4</v>
      </c>
      <c r="F5925" s="4" t="str">
        <f t="shared" si="100"/>
        <v/>
      </c>
      <c r="G5925" s="37">
        <v>34.5</v>
      </c>
      <c r="H5925" s="1340">
        <v>45999</v>
      </c>
    </row>
    <row r="5926" spans="3:8" x14ac:dyDescent="0.25">
      <c r="C5926" s="1338">
        <v>51</v>
      </c>
      <c r="D5926" s="1338">
        <v>32</v>
      </c>
      <c r="E5926" s="1339">
        <v>30.3</v>
      </c>
      <c r="F5926" s="4">
        <f t="shared" si="100"/>
        <v>-8.7349397590361505E-2</v>
      </c>
      <c r="G5926" s="37">
        <v>34.5</v>
      </c>
      <c r="H5926" s="1340">
        <v>45999</v>
      </c>
    </row>
    <row r="5927" spans="3:8" x14ac:dyDescent="0.25">
      <c r="C5927" s="1338">
        <v>1</v>
      </c>
      <c r="D5927" s="1338">
        <v>72</v>
      </c>
      <c r="E5927" s="1339">
        <v>30.2</v>
      </c>
      <c r="F5927" s="4">
        <f t="shared" si="100"/>
        <v>-3.2051282051282055E-2</v>
      </c>
      <c r="G5927" s="37">
        <v>34.5</v>
      </c>
      <c r="H5927" s="1340">
        <v>45999</v>
      </c>
    </row>
    <row r="5928" spans="3:8" x14ac:dyDescent="0.25">
      <c r="C5928" s="1338">
        <v>2</v>
      </c>
      <c r="D5928" s="1338">
        <v>35</v>
      </c>
      <c r="E5928" s="1339">
        <v>31.8</v>
      </c>
      <c r="F5928" s="4">
        <f t="shared" si="100"/>
        <v>-9.3457943925233863E-3</v>
      </c>
      <c r="G5928" s="37">
        <v>34.5</v>
      </c>
      <c r="H5928" s="1340">
        <v>45999</v>
      </c>
    </row>
    <row r="5929" spans="3:8" x14ac:dyDescent="0.25">
      <c r="C5929" s="1338">
        <v>3</v>
      </c>
      <c r="D5929" s="1338">
        <v>121</v>
      </c>
      <c r="E5929" s="1339">
        <v>39.9</v>
      </c>
      <c r="F5929" s="4">
        <f t="shared" si="100"/>
        <v>-1.965601965601976E-2</v>
      </c>
      <c r="G5929" s="37">
        <v>34.5</v>
      </c>
      <c r="H5929" s="1340">
        <v>45999</v>
      </c>
    </row>
    <row r="5930" spans="3:8" x14ac:dyDescent="0.25">
      <c r="C5930" s="1338">
        <v>4</v>
      </c>
      <c r="D5930" s="1338">
        <v>98</v>
      </c>
      <c r="E5930" s="1339">
        <v>38.1</v>
      </c>
      <c r="F5930" s="4">
        <f t="shared" si="100"/>
        <v>1.3297872340425532E-2</v>
      </c>
      <c r="G5930" s="37">
        <v>34.5</v>
      </c>
      <c r="H5930" s="1340">
        <v>45999</v>
      </c>
    </row>
    <row r="5931" spans="3:8" x14ac:dyDescent="0.25">
      <c r="C5931" s="1338">
        <v>5</v>
      </c>
      <c r="D5931" s="1338">
        <v>0</v>
      </c>
      <c r="E5931" s="1339"/>
      <c r="F5931" s="4" t="str">
        <f t="shared" si="100"/>
        <v/>
      </c>
      <c r="G5931" s="37">
        <v>34.5</v>
      </c>
      <c r="H5931" s="1340">
        <v>45999</v>
      </c>
    </row>
    <row r="5932" spans="3:8" x14ac:dyDescent="0.25">
      <c r="C5932" s="1338">
        <v>6</v>
      </c>
      <c r="D5932" s="1338">
        <v>120</v>
      </c>
      <c r="E5932" s="1339">
        <v>26.7</v>
      </c>
      <c r="F5932" s="4">
        <f t="shared" si="100"/>
        <v>-5.6537102473498281E-2</v>
      </c>
      <c r="G5932" s="37">
        <v>34.5</v>
      </c>
      <c r="H5932" s="1340">
        <v>45999</v>
      </c>
    </row>
    <row r="5933" spans="3:8" x14ac:dyDescent="0.25">
      <c r="C5933" s="1338">
        <v>7</v>
      </c>
      <c r="D5933" s="1338">
        <v>0</v>
      </c>
      <c r="E5933" s="1339"/>
      <c r="F5933" s="4" t="str">
        <f t="shared" si="100"/>
        <v/>
      </c>
      <c r="G5933" s="37">
        <v>34.5</v>
      </c>
      <c r="H5933" s="1340">
        <v>45999</v>
      </c>
    </row>
    <row r="5934" spans="3:8" x14ac:dyDescent="0.25">
      <c r="C5934" s="1338">
        <v>8</v>
      </c>
      <c r="D5934" s="1338">
        <v>0</v>
      </c>
      <c r="E5934" s="1339"/>
      <c r="F5934" s="4" t="str">
        <f t="shared" si="100"/>
        <v/>
      </c>
      <c r="G5934" s="37">
        <v>34.5</v>
      </c>
      <c r="H5934" s="1340">
        <v>45999</v>
      </c>
    </row>
    <row r="5935" spans="3:8" x14ac:dyDescent="0.25">
      <c r="C5935" s="1338">
        <v>9</v>
      </c>
      <c r="D5935" s="1338">
        <v>96</v>
      </c>
      <c r="E5935" s="1339">
        <v>36.700000000000003</v>
      </c>
      <c r="F5935" s="4">
        <f t="shared" si="100"/>
        <v>-2.3936170212765919E-2</v>
      </c>
      <c r="G5935" s="37">
        <v>34.5</v>
      </c>
      <c r="H5935" s="1340">
        <v>45999</v>
      </c>
    </row>
    <row r="5936" spans="3:8" x14ac:dyDescent="0.25">
      <c r="C5936" s="1338">
        <v>10</v>
      </c>
      <c r="D5936" s="1338">
        <v>110</v>
      </c>
      <c r="E5936" s="1339">
        <v>34.5</v>
      </c>
      <c r="F5936" s="4">
        <f t="shared" si="100"/>
        <v>1.1730205278592334E-2</v>
      </c>
      <c r="G5936" s="37">
        <v>34.5</v>
      </c>
      <c r="H5936" s="1340">
        <v>45999</v>
      </c>
    </row>
    <row r="5937" spans="3:8" x14ac:dyDescent="0.25">
      <c r="C5937" s="1341" t="s">
        <v>0</v>
      </c>
      <c r="D5937" s="1341" t="s">
        <v>7</v>
      </c>
      <c r="E5937" s="1342" t="s">
        <v>4</v>
      </c>
      <c r="F5937" s="4" t="str">
        <f t="shared" si="100"/>
        <v/>
      </c>
      <c r="G5937" s="37">
        <v>34.799999999999997</v>
      </c>
      <c r="H5937" s="1343">
        <v>46000</v>
      </c>
    </row>
    <row r="5938" spans="3:8" x14ac:dyDescent="0.25">
      <c r="C5938" s="1341">
        <v>51</v>
      </c>
      <c r="D5938" s="1341">
        <v>35</v>
      </c>
      <c r="E5938" s="1342">
        <v>30.5</v>
      </c>
      <c r="F5938" s="4">
        <f t="shared" si="100"/>
        <v>6.6006600660065773E-3</v>
      </c>
      <c r="G5938" s="37">
        <v>34.799999999999997</v>
      </c>
      <c r="H5938" s="1343">
        <v>46000</v>
      </c>
    </row>
    <row r="5939" spans="3:8" x14ac:dyDescent="0.25">
      <c r="C5939" s="1341">
        <v>1</v>
      </c>
      <c r="D5939" s="1341">
        <v>72</v>
      </c>
      <c r="E5939" s="1342">
        <v>30.6</v>
      </c>
      <c r="F5939" s="4">
        <f t="shared" si="100"/>
        <v>1.3245033112582853E-2</v>
      </c>
      <c r="G5939" s="37">
        <v>34.799999999999997</v>
      </c>
      <c r="H5939" s="1343">
        <v>46000</v>
      </c>
    </row>
    <row r="5940" spans="3:8" x14ac:dyDescent="0.25">
      <c r="C5940" s="1341">
        <v>2</v>
      </c>
      <c r="D5940" s="1341">
        <v>39</v>
      </c>
      <c r="E5940" s="1342">
        <v>30.9</v>
      </c>
      <c r="F5940" s="4">
        <f t="shared" si="100"/>
        <v>-2.8301886792452897E-2</v>
      </c>
      <c r="G5940" s="37">
        <v>34.799999999999997</v>
      </c>
      <c r="H5940" s="1343">
        <v>46000</v>
      </c>
    </row>
    <row r="5941" spans="3:8" x14ac:dyDescent="0.25">
      <c r="C5941" s="1341">
        <v>3</v>
      </c>
      <c r="D5941" s="1341">
        <v>120</v>
      </c>
      <c r="E5941" s="1342">
        <v>40.299999999999997</v>
      </c>
      <c r="F5941" s="4">
        <f t="shared" si="100"/>
        <v>1.0025062656641569E-2</v>
      </c>
      <c r="G5941" s="37">
        <v>34.799999999999997</v>
      </c>
      <c r="H5941" s="1343">
        <v>46000</v>
      </c>
    </row>
    <row r="5942" spans="3:8" x14ac:dyDescent="0.25">
      <c r="C5942" s="1341">
        <v>4</v>
      </c>
      <c r="D5942" s="1341">
        <v>98</v>
      </c>
      <c r="E5942" s="1342">
        <v>37.6</v>
      </c>
      <c r="F5942" s="4">
        <f t="shared" si="100"/>
        <v>-1.3123359580052493E-2</v>
      </c>
      <c r="G5942" s="37">
        <v>34.799999999999997</v>
      </c>
      <c r="H5942" s="1343">
        <v>46000</v>
      </c>
    </row>
    <row r="5943" spans="3:8" x14ac:dyDescent="0.25">
      <c r="C5943" s="1341">
        <v>5</v>
      </c>
      <c r="D5943" s="1341">
        <v>0</v>
      </c>
      <c r="E5943" s="1342"/>
      <c r="F5943" s="4" t="str">
        <f t="shared" si="100"/>
        <v/>
      </c>
      <c r="G5943" s="37">
        <v>34.799999999999997</v>
      </c>
      <c r="H5943" s="1343">
        <v>46000</v>
      </c>
    </row>
    <row r="5944" spans="3:8" x14ac:dyDescent="0.25">
      <c r="C5944" s="1341">
        <v>6</v>
      </c>
      <c r="D5944" s="1341">
        <v>117</v>
      </c>
      <c r="E5944" s="1342">
        <v>26.6</v>
      </c>
      <c r="F5944" s="4">
        <f t="shared" si="100"/>
        <v>-3.7453183520598453E-3</v>
      </c>
      <c r="G5944" s="37">
        <v>34.799999999999997</v>
      </c>
      <c r="H5944" s="1343">
        <v>46000</v>
      </c>
    </row>
    <row r="5945" spans="3:8" x14ac:dyDescent="0.25">
      <c r="C5945" s="1341">
        <v>7</v>
      </c>
      <c r="D5945" s="1341">
        <v>0</v>
      </c>
      <c r="E5945" s="1342"/>
      <c r="F5945" s="4" t="str">
        <f t="shared" si="100"/>
        <v/>
      </c>
      <c r="G5945" s="37">
        <v>34.799999999999997</v>
      </c>
      <c r="H5945" s="1343">
        <v>46000</v>
      </c>
    </row>
    <row r="5946" spans="3:8" x14ac:dyDescent="0.25">
      <c r="C5946" s="1341">
        <v>8</v>
      </c>
      <c r="D5946" s="1341">
        <v>0</v>
      </c>
      <c r="E5946" s="1342"/>
      <c r="F5946" s="4" t="str">
        <f t="shared" si="100"/>
        <v/>
      </c>
      <c r="G5946" s="37">
        <v>34.799999999999997</v>
      </c>
      <c r="H5946" s="1343">
        <v>46000</v>
      </c>
    </row>
    <row r="5947" spans="3:8" x14ac:dyDescent="0.25">
      <c r="C5947" s="1341">
        <v>9</v>
      </c>
      <c r="D5947" s="1341">
        <v>96</v>
      </c>
      <c r="E5947" s="1342">
        <v>36.6</v>
      </c>
      <c r="F5947" s="4">
        <f t="shared" si="100"/>
        <v>-2.724795640327014E-3</v>
      </c>
      <c r="G5947" s="37">
        <v>34.799999999999997</v>
      </c>
      <c r="H5947" s="1343">
        <v>46000</v>
      </c>
    </row>
    <row r="5948" spans="3:8" x14ac:dyDescent="0.25">
      <c r="C5948" s="1341">
        <v>10</v>
      </c>
      <c r="D5948" s="1341">
        <v>110</v>
      </c>
      <c r="E5948" s="1342">
        <v>34.700000000000003</v>
      </c>
      <c r="F5948" s="4">
        <f t="shared" si="100"/>
        <v>5.7971014492754448E-3</v>
      </c>
      <c r="G5948" s="37">
        <v>34.799999999999997</v>
      </c>
      <c r="H5948" s="1343">
        <v>46000</v>
      </c>
    </row>
    <row r="5949" spans="3:8" x14ac:dyDescent="0.25">
      <c r="C5949" s="1344" t="s">
        <v>0</v>
      </c>
      <c r="D5949" s="1344" t="s">
        <v>7</v>
      </c>
      <c r="E5949" s="1345" t="s">
        <v>4</v>
      </c>
      <c r="F5949" s="4" t="str">
        <f t="shared" si="100"/>
        <v/>
      </c>
      <c r="G5949" s="37">
        <v>35.1</v>
      </c>
      <c r="H5949" s="1343">
        <v>46001</v>
      </c>
    </row>
    <row r="5950" spans="3:8" x14ac:dyDescent="0.25">
      <c r="C5950" s="1344">
        <v>51</v>
      </c>
      <c r="D5950" s="1344">
        <v>37</v>
      </c>
      <c r="E5950" s="1345">
        <v>30.9</v>
      </c>
      <c r="F5950" s="4">
        <f t="shared" si="100"/>
        <v>1.3114754098360609E-2</v>
      </c>
      <c r="G5950" s="37">
        <v>35.1</v>
      </c>
      <c r="H5950" s="1343">
        <v>46001</v>
      </c>
    </row>
    <row r="5951" spans="3:8" x14ac:dyDescent="0.25">
      <c r="C5951" s="1344">
        <v>1</v>
      </c>
      <c r="D5951" s="1344">
        <v>71</v>
      </c>
      <c r="E5951" s="1345">
        <v>31.1</v>
      </c>
      <c r="F5951" s="4">
        <f t="shared" si="100"/>
        <v>1.6339869281045753E-2</v>
      </c>
      <c r="G5951" s="37">
        <v>35.1</v>
      </c>
      <c r="H5951" s="1343">
        <v>46001</v>
      </c>
    </row>
    <row r="5952" spans="3:8" x14ac:dyDescent="0.25">
      <c r="C5952" s="1344">
        <v>2</v>
      </c>
      <c r="D5952" s="1344">
        <v>37</v>
      </c>
      <c r="E5952" s="1345">
        <v>31.7</v>
      </c>
      <c r="F5952" s="4">
        <f t="shared" si="100"/>
        <v>2.5889967637540479E-2</v>
      </c>
      <c r="G5952" s="37">
        <v>35.1</v>
      </c>
      <c r="H5952" s="1343">
        <v>46001</v>
      </c>
    </row>
    <row r="5953" spans="3:8" x14ac:dyDescent="0.25">
      <c r="C5953" s="1344">
        <v>3</v>
      </c>
      <c r="D5953" s="1344">
        <v>122</v>
      </c>
      <c r="E5953" s="1345">
        <v>40.4</v>
      </c>
      <c r="F5953" s="4">
        <f t="shared" si="100"/>
        <v>2.4813895781638073E-3</v>
      </c>
      <c r="G5953" s="37">
        <v>35.1</v>
      </c>
      <c r="H5953" s="1343">
        <v>46001</v>
      </c>
    </row>
    <row r="5954" spans="3:8" x14ac:dyDescent="0.25">
      <c r="C5954" s="1344">
        <v>4</v>
      </c>
      <c r="D5954" s="1344">
        <v>98</v>
      </c>
      <c r="E5954" s="1345">
        <v>37.799999999999997</v>
      </c>
      <c r="F5954" s="4">
        <f t="shared" si="100"/>
        <v>5.319148936170099E-3</v>
      </c>
      <c r="G5954" s="37">
        <v>35.1</v>
      </c>
      <c r="H5954" s="1343">
        <v>46001</v>
      </c>
    </row>
    <row r="5955" spans="3:8" x14ac:dyDescent="0.25">
      <c r="C5955" s="1344">
        <v>5</v>
      </c>
      <c r="D5955" s="1344">
        <v>0</v>
      </c>
      <c r="E5955" s="1345"/>
      <c r="F5955" s="4" t="str">
        <f t="shared" si="100"/>
        <v/>
      </c>
      <c r="G5955" s="37">
        <v>35.1</v>
      </c>
      <c r="H5955" s="1343">
        <v>46001</v>
      </c>
    </row>
    <row r="5956" spans="3:8" x14ac:dyDescent="0.25">
      <c r="C5956" s="1344">
        <v>6</v>
      </c>
      <c r="D5956" s="1344">
        <v>120</v>
      </c>
      <c r="E5956" s="1345">
        <v>27.8</v>
      </c>
      <c r="F5956" s="4">
        <f t="shared" si="100"/>
        <v>4.5112781954887188E-2</v>
      </c>
      <c r="G5956" s="37">
        <v>35.1</v>
      </c>
      <c r="H5956" s="1343">
        <v>46001</v>
      </c>
    </row>
    <row r="5957" spans="3:8" x14ac:dyDescent="0.25">
      <c r="C5957" s="1344">
        <v>7</v>
      </c>
      <c r="D5957" s="1344">
        <v>0</v>
      </c>
      <c r="E5957" s="1345"/>
      <c r="F5957" s="4" t="str">
        <f t="shared" si="100"/>
        <v/>
      </c>
      <c r="G5957" s="37">
        <v>35.1</v>
      </c>
      <c r="H5957" s="1343">
        <v>46001</v>
      </c>
    </row>
    <row r="5958" spans="3:8" x14ac:dyDescent="0.25">
      <c r="C5958" s="1344">
        <v>8</v>
      </c>
      <c r="D5958" s="1344">
        <v>0</v>
      </c>
      <c r="E5958" s="1345"/>
      <c r="F5958" s="4" t="str">
        <f t="shared" si="100"/>
        <v/>
      </c>
      <c r="G5958" s="37">
        <v>35.1</v>
      </c>
      <c r="H5958" s="1343">
        <v>46001</v>
      </c>
    </row>
    <row r="5959" spans="3:8" x14ac:dyDescent="0.25">
      <c r="C5959" s="1344">
        <v>9</v>
      </c>
      <c r="D5959" s="1344">
        <v>96</v>
      </c>
      <c r="E5959" s="1345">
        <v>37.799999999999997</v>
      </c>
      <c r="F5959" s="4">
        <f t="shared" si="100"/>
        <v>3.2786885245901523E-2</v>
      </c>
      <c r="G5959" s="37">
        <v>35.1</v>
      </c>
      <c r="H5959" s="1343">
        <v>46001</v>
      </c>
    </row>
    <row r="5960" spans="3:8" x14ac:dyDescent="0.25">
      <c r="C5960" s="1344">
        <v>10</v>
      </c>
      <c r="D5960" s="1344">
        <v>110</v>
      </c>
      <c r="E5960" s="1345">
        <v>34.9</v>
      </c>
      <c r="F5960" s="4">
        <f t="shared" si="100"/>
        <v>5.7636887608067929E-3</v>
      </c>
      <c r="G5960" s="37">
        <v>35.1</v>
      </c>
      <c r="H5960" s="1343">
        <v>46001</v>
      </c>
    </row>
    <row r="5961" spans="3:8" x14ac:dyDescent="0.25">
      <c r="C5961" s="1346" t="s">
        <v>0</v>
      </c>
      <c r="D5961" s="1346" t="s">
        <v>7</v>
      </c>
      <c r="E5961" s="1347" t="s">
        <v>4</v>
      </c>
      <c r="F5961" s="4" t="str">
        <f t="shared" si="100"/>
        <v/>
      </c>
      <c r="G5961" s="37">
        <v>34.5</v>
      </c>
      <c r="H5961" s="1348">
        <v>46002</v>
      </c>
    </row>
    <row r="5962" spans="3:8" x14ac:dyDescent="0.25">
      <c r="C5962" s="1346">
        <v>51</v>
      </c>
      <c r="D5962" s="1346">
        <v>36</v>
      </c>
      <c r="E5962" s="1347">
        <v>24.5</v>
      </c>
      <c r="F5962" s="4">
        <f t="shared" si="100"/>
        <v>-0.20711974110032358</v>
      </c>
      <c r="G5962" s="37">
        <v>34.5</v>
      </c>
      <c r="H5962" s="1348">
        <v>46002</v>
      </c>
    </row>
    <row r="5963" spans="3:8" x14ac:dyDescent="0.25">
      <c r="C5963" s="1346">
        <v>1</v>
      </c>
      <c r="D5963" s="1346">
        <v>80</v>
      </c>
      <c r="E5963" s="1347">
        <v>30.5</v>
      </c>
      <c r="F5963" s="4">
        <f t="shared" si="100"/>
        <v>-1.929260450160776E-2</v>
      </c>
      <c r="G5963" s="37">
        <v>34.5</v>
      </c>
      <c r="H5963" s="1348">
        <v>46002</v>
      </c>
    </row>
    <row r="5964" spans="3:8" x14ac:dyDescent="0.25">
      <c r="C5964" s="1346">
        <v>2</v>
      </c>
      <c r="D5964" s="1346">
        <v>35</v>
      </c>
      <c r="E5964" s="1347">
        <v>31.2</v>
      </c>
      <c r="F5964" s="4">
        <f t="shared" si="100"/>
        <v>-1.5772870662460567E-2</v>
      </c>
      <c r="G5964" s="37">
        <v>34.5</v>
      </c>
      <c r="H5964" s="1348">
        <v>46002</v>
      </c>
    </row>
    <row r="5965" spans="3:8" x14ac:dyDescent="0.25">
      <c r="C5965" s="1346">
        <v>3</v>
      </c>
      <c r="D5965" s="1346">
        <v>122</v>
      </c>
      <c r="E5965" s="1347">
        <v>40.299999999999997</v>
      </c>
      <c r="F5965" s="4">
        <f t="shared" si="100"/>
        <v>-2.4752475247525104E-3</v>
      </c>
      <c r="G5965" s="37">
        <v>34.5</v>
      </c>
      <c r="H5965" s="1348">
        <v>46002</v>
      </c>
    </row>
    <row r="5966" spans="3:8" x14ac:dyDescent="0.25">
      <c r="C5966" s="1346">
        <v>4</v>
      </c>
      <c r="D5966" s="1346">
        <v>98</v>
      </c>
      <c r="E5966" s="1347">
        <v>38</v>
      </c>
      <c r="F5966" s="4">
        <f t="shared" si="100"/>
        <v>5.2910052910053662E-3</v>
      </c>
      <c r="G5966" s="37">
        <v>34.5</v>
      </c>
      <c r="H5966" s="1348">
        <v>46002</v>
      </c>
    </row>
    <row r="5967" spans="3:8" x14ac:dyDescent="0.25">
      <c r="C5967" s="1346">
        <v>5</v>
      </c>
      <c r="D5967" s="1346">
        <v>0</v>
      </c>
      <c r="E5967" s="1347"/>
      <c r="F5967" s="4" t="str">
        <f t="shared" si="100"/>
        <v/>
      </c>
      <c r="G5967" s="37">
        <v>34.5</v>
      </c>
      <c r="H5967" s="1348">
        <v>46002</v>
      </c>
    </row>
    <row r="5968" spans="3:8" x14ac:dyDescent="0.25">
      <c r="C5968" s="1346">
        <v>6</v>
      </c>
      <c r="D5968" s="1346">
        <v>118</v>
      </c>
      <c r="E5968" s="1347">
        <v>26.8</v>
      </c>
      <c r="F5968" s="4">
        <f t="shared" si="100"/>
        <v>-3.5971223021582732E-2</v>
      </c>
      <c r="G5968" s="37">
        <v>34.5</v>
      </c>
      <c r="H5968" s="1348">
        <v>46002</v>
      </c>
    </row>
    <row r="5969" spans="3:8" x14ac:dyDescent="0.25">
      <c r="C5969" s="1346">
        <v>7</v>
      </c>
      <c r="D5969" s="1346">
        <v>0</v>
      </c>
      <c r="E5969" s="1347"/>
      <c r="F5969" s="4" t="str">
        <f t="shared" si="100"/>
        <v/>
      </c>
      <c r="G5969" s="37">
        <v>34.5</v>
      </c>
      <c r="H5969" s="1348">
        <v>46002</v>
      </c>
    </row>
    <row r="5970" spans="3:8" x14ac:dyDescent="0.25">
      <c r="C5970" s="1346">
        <v>8</v>
      </c>
      <c r="D5970" s="1346">
        <v>0</v>
      </c>
      <c r="E5970" s="1347"/>
      <c r="F5970" s="4" t="str">
        <f t="shared" si="100"/>
        <v/>
      </c>
      <c r="G5970" s="37">
        <v>34.5</v>
      </c>
      <c r="H5970" s="1348">
        <v>46002</v>
      </c>
    </row>
    <row r="5971" spans="3:8" x14ac:dyDescent="0.25">
      <c r="C5971" s="1346">
        <v>9</v>
      </c>
      <c r="D5971" s="1346">
        <v>96</v>
      </c>
      <c r="E5971" s="1347">
        <v>36.6</v>
      </c>
      <c r="F5971" s="4">
        <f t="shared" si="100"/>
        <v>-3.1746031746031633E-2</v>
      </c>
      <c r="G5971" s="37">
        <v>34.5</v>
      </c>
      <c r="H5971" s="1348">
        <v>46002</v>
      </c>
    </row>
    <row r="5972" spans="3:8" x14ac:dyDescent="0.25">
      <c r="C5972" s="1346">
        <v>10</v>
      </c>
      <c r="D5972" s="1346">
        <v>102</v>
      </c>
      <c r="E5972" s="1347">
        <v>33.9</v>
      </c>
      <c r="F5972" s="4">
        <f t="shared" si="100"/>
        <v>-2.865329512893983E-2</v>
      </c>
      <c r="G5972" s="37">
        <v>34.5</v>
      </c>
      <c r="H5972" s="1348">
        <v>46002</v>
      </c>
    </row>
    <row r="5973" spans="3:8" x14ac:dyDescent="0.25">
      <c r="C5973" s="1349" t="s">
        <v>0</v>
      </c>
      <c r="D5973" s="1349" t="s">
        <v>7</v>
      </c>
      <c r="E5973" s="1350" t="s">
        <v>4</v>
      </c>
      <c r="F5973" s="4" t="str">
        <f t="shared" si="100"/>
        <v/>
      </c>
      <c r="G5973" s="37">
        <v>34.700000000000003</v>
      </c>
      <c r="H5973" s="1351">
        <v>46003</v>
      </c>
    </row>
    <row r="5974" spans="3:8" x14ac:dyDescent="0.25">
      <c r="C5974" s="1349">
        <v>51</v>
      </c>
      <c r="D5974" s="1349">
        <v>37</v>
      </c>
      <c r="E5974" s="1350">
        <v>31.4</v>
      </c>
      <c r="F5974" s="4">
        <f t="shared" si="100"/>
        <v>0.28163265306122442</v>
      </c>
      <c r="G5974" s="37">
        <v>34.700000000000003</v>
      </c>
      <c r="H5974" s="1351">
        <v>46003</v>
      </c>
    </row>
    <row r="5975" spans="3:8" x14ac:dyDescent="0.25">
      <c r="C5975" s="1349">
        <v>1</v>
      </c>
      <c r="D5975" s="1349">
        <v>60</v>
      </c>
      <c r="E5975" s="1350">
        <v>26</v>
      </c>
      <c r="F5975" s="4">
        <f t="shared" si="100"/>
        <v>-0.14754098360655737</v>
      </c>
      <c r="G5975" s="37">
        <v>34.700000000000003</v>
      </c>
      <c r="H5975" s="1351">
        <v>46003</v>
      </c>
    </row>
    <row r="5976" spans="3:8" x14ac:dyDescent="0.25">
      <c r="C5976" s="1349">
        <v>2</v>
      </c>
      <c r="D5976" s="1349">
        <v>35</v>
      </c>
      <c r="E5976" s="1350">
        <v>32.1</v>
      </c>
      <c r="F5976" s="4">
        <f t="shared" si="100"/>
        <v>2.8846153846153914E-2</v>
      </c>
      <c r="G5976" s="37">
        <v>34.700000000000003</v>
      </c>
      <c r="H5976" s="1351">
        <v>46003</v>
      </c>
    </row>
    <row r="5977" spans="3:8" x14ac:dyDescent="0.25">
      <c r="C5977" s="1349">
        <v>3</v>
      </c>
      <c r="D5977" s="1349">
        <v>121</v>
      </c>
      <c r="E5977" s="1350">
        <v>39.6</v>
      </c>
      <c r="F5977" s="4">
        <f t="shared" si="100"/>
        <v>-1.7369727047146299E-2</v>
      </c>
      <c r="G5977" s="37">
        <v>34.700000000000003</v>
      </c>
      <c r="H5977" s="1351">
        <v>46003</v>
      </c>
    </row>
    <row r="5978" spans="3:8" x14ac:dyDescent="0.25">
      <c r="C5978" s="1349">
        <v>4</v>
      </c>
      <c r="D5978" s="1349">
        <v>98</v>
      </c>
      <c r="E5978" s="1350">
        <v>37.4</v>
      </c>
      <c r="F5978" s="4">
        <f t="shared" si="100"/>
        <v>-1.5789473684210565E-2</v>
      </c>
      <c r="G5978" s="37">
        <v>34.700000000000003</v>
      </c>
      <c r="H5978" s="1351">
        <v>46003</v>
      </c>
    </row>
    <row r="5979" spans="3:8" x14ac:dyDescent="0.25">
      <c r="C5979" s="1349">
        <v>5</v>
      </c>
      <c r="D5979" s="1349">
        <v>0</v>
      </c>
      <c r="E5979" s="1350"/>
      <c r="F5979" s="4" t="str">
        <f t="shared" si="100"/>
        <v/>
      </c>
      <c r="G5979" s="37">
        <v>34.700000000000003</v>
      </c>
      <c r="H5979" s="1351">
        <v>46003</v>
      </c>
    </row>
    <row r="5980" spans="3:8" x14ac:dyDescent="0.25">
      <c r="C5980" s="1349">
        <v>6</v>
      </c>
      <c r="D5980" s="1349">
        <v>118</v>
      </c>
      <c r="E5980" s="1350">
        <v>26.6</v>
      </c>
      <c r="F5980" s="4">
        <f t="shared" si="100"/>
        <v>-7.4626865671641521E-3</v>
      </c>
      <c r="G5980" s="37">
        <v>34.700000000000003</v>
      </c>
      <c r="H5980" s="1351">
        <v>46003</v>
      </c>
    </row>
    <row r="5981" spans="3:8" x14ac:dyDescent="0.25">
      <c r="C5981" s="1349">
        <v>7</v>
      </c>
      <c r="D5981" s="1349">
        <v>0</v>
      </c>
      <c r="E5981" s="1350"/>
      <c r="F5981" s="4" t="str">
        <f t="shared" si="100"/>
        <v/>
      </c>
      <c r="G5981" s="37">
        <v>34.700000000000003</v>
      </c>
      <c r="H5981" s="1351">
        <v>46003</v>
      </c>
    </row>
    <row r="5982" spans="3:8" x14ac:dyDescent="0.25">
      <c r="C5982" s="1349">
        <v>8</v>
      </c>
      <c r="D5982" s="1349">
        <v>0</v>
      </c>
      <c r="E5982" s="1350"/>
      <c r="F5982" s="4" t="str">
        <f t="shared" ref="F5982:F6030" si="101">IFERROR((E5982-E5970)/E5970,"")</f>
        <v/>
      </c>
      <c r="G5982" s="37">
        <v>34.700000000000003</v>
      </c>
      <c r="H5982" s="1351">
        <v>46003</v>
      </c>
    </row>
    <row r="5983" spans="3:8" x14ac:dyDescent="0.25">
      <c r="C5983" s="1349">
        <v>9</v>
      </c>
      <c r="D5983" s="1349">
        <v>96</v>
      </c>
      <c r="E5983" s="1350">
        <v>36.700000000000003</v>
      </c>
      <c r="F5983" s="4">
        <f t="shared" si="101"/>
        <v>2.7322404371585085E-3</v>
      </c>
      <c r="G5983" s="37">
        <v>34.700000000000003</v>
      </c>
      <c r="H5983" s="1351">
        <v>46003</v>
      </c>
    </row>
    <row r="5984" spans="3:8" x14ac:dyDescent="0.25">
      <c r="C5984" s="1349">
        <v>10</v>
      </c>
      <c r="D5984" s="1349">
        <v>102</v>
      </c>
      <c r="E5984" s="1350">
        <v>34.9</v>
      </c>
      <c r="F5984" s="4">
        <f t="shared" si="101"/>
        <v>2.9498525073746312E-2</v>
      </c>
      <c r="G5984" s="37">
        <v>34.700000000000003</v>
      </c>
      <c r="H5984" s="1351">
        <v>46003</v>
      </c>
    </row>
    <row r="5985" spans="3:8" x14ac:dyDescent="0.25">
      <c r="C5985" s="1352" t="s">
        <v>0</v>
      </c>
      <c r="D5985" s="1352" t="s">
        <v>7</v>
      </c>
      <c r="E5985" s="1353" t="s">
        <v>4</v>
      </c>
      <c r="F5985" s="4" t="str">
        <f t="shared" si="101"/>
        <v/>
      </c>
      <c r="G5985" s="37">
        <v>35.5</v>
      </c>
      <c r="H5985" s="1351">
        <v>46004</v>
      </c>
    </row>
    <row r="5986" spans="3:8" x14ac:dyDescent="0.25">
      <c r="C5986" s="1352">
        <v>51</v>
      </c>
      <c r="D5986" s="1352">
        <v>38</v>
      </c>
      <c r="E5986" s="1353">
        <v>33.299999999999997</v>
      </c>
      <c r="F5986" s="4">
        <f t="shared" si="101"/>
        <v>6.0509554140127347E-2</v>
      </c>
      <c r="G5986" s="37">
        <v>35.5</v>
      </c>
      <c r="H5986" s="1351">
        <v>46004</v>
      </c>
    </row>
    <row r="5987" spans="3:8" x14ac:dyDescent="0.25">
      <c r="C5987" s="1352">
        <v>1</v>
      </c>
      <c r="D5987" s="1352">
        <v>60</v>
      </c>
      <c r="E5987" s="1353">
        <v>31.8</v>
      </c>
      <c r="F5987" s="4">
        <f t="shared" si="101"/>
        <v>0.22307692307692312</v>
      </c>
      <c r="G5987" s="37">
        <v>35.5</v>
      </c>
      <c r="H5987" s="1351">
        <v>46004</v>
      </c>
    </row>
    <row r="5988" spans="3:8" x14ac:dyDescent="0.25">
      <c r="C5988" s="1352">
        <v>2</v>
      </c>
      <c r="D5988" s="1352">
        <v>35</v>
      </c>
      <c r="E5988" s="1353">
        <v>32</v>
      </c>
      <c r="F5988" s="4">
        <f t="shared" si="101"/>
        <v>-3.1152647975078323E-3</v>
      </c>
      <c r="G5988" s="37">
        <v>35.5</v>
      </c>
      <c r="H5988" s="1351">
        <v>46004</v>
      </c>
    </row>
    <row r="5989" spans="3:8" x14ac:dyDescent="0.25">
      <c r="C5989" s="1352">
        <v>3</v>
      </c>
      <c r="D5989" s="1352">
        <v>121</v>
      </c>
      <c r="E5989" s="1353">
        <v>40.299999999999997</v>
      </c>
      <c r="F5989" s="4">
        <f t="shared" si="101"/>
        <v>1.7676767676767569E-2</v>
      </c>
      <c r="G5989" s="37">
        <v>35.5</v>
      </c>
      <c r="H5989" s="1351">
        <v>46004</v>
      </c>
    </row>
    <row r="5990" spans="3:8" x14ac:dyDescent="0.25">
      <c r="C5990" s="1352">
        <v>4</v>
      </c>
      <c r="D5990" s="1352">
        <v>98</v>
      </c>
      <c r="E5990" s="1353">
        <v>37.6</v>
      </c>
      <c r="F5990" s="4">
        <f t="shared" si="101"/>
        <v>5.3475935828877766E-3</v>
      </c>
      <c r="G5990" s="37">
        <v>35.5</v>
      </c>
      <c r="H5990" s="1351">
        <v>46004</v>
      </c>
    </row>
    <row r="5991" spans="3:8" x14ac:dyDescent="0.25">
      <c r="C5991" s="1352">
        <v>5</v>
      </c>
      <c r="D5991" s="1352">
        <v>0</v>
      </c>
      <c r="E5991" s="1353"/>
      <c r="F5991" s="4" t="str">
        <f t="shared" si="101"/>
        <v/>
      </c>
      <c r="G5991" s="37">
        <v>35.5</v>
      </c>
      <c r="H5991" s="1351">
        <v>46004</v>
      </c>
    </row>
    <row r="5992" spans="3:8" x14ac:dyDescent="0.25">
      <c r="C5992" s="1352">
        <v>6</v>
      </c>
      <c r="D5992" s="1352">
        <v>119</v>
      </c>
      <c r="E5992" s="1353">
        <v>26.8</v>
      </c>
      <c r="F5992" s="4">
        <f t="shared" si="101"/>
        <v>7.5187969924811757E-3</v>
      </c>
      <c r="G5992" s="37">
        <v>35.5</v>
      </c>
      <c r="H5992" s="1351">
        <v>46004</v>
      </c>
    </row>
    <row r="5993" spans="3:8" x14ac:dyDescent="0.25">
      <c r="C5993" s="1352">
        <v>7</v>
      </c>
      <c r="D5993" s="1352">
        <v>0</v>
      </c>
      <c r="E5993" s="1353"/>
      <c r="F5993" s="4" t="str">
        <f t="shared" si="101"/>
        <v/>
      </c>
      <c r="G5993" s="37">
        <v>35.5</v>
      </c>
      <c r="H5993" s="1351">
        <v>46004</v>
      </c>
    </row>
    <row r="5994" spans="3:8" x14ac:dyDescent="0.25">
      <c r="C5994" s="1352">
        <v>8</v>
      </c>
      <c r="D5994" s="1352">
        <v>0</v>
      </c>
      <c r="E5994" s="1353"/>
      <c r="F5994" s="4" t="str">
        <f t="shared" si="101"/>
        <v/>
      </c>
      <c r="G5994" s="37">
        <v>35.5</v>
      </c>
      <c r="H5994" s="1351">
        <v>46004</v>
      </c>
    </row>
    <row r="5995" spans="3:8" x14ac:dyDescent="0.25">
      <c r="C5995" s="1352">
        <v>9</v>
      </c>
      <c r="D5995" s="1352">
        <v>96</v>
      </c>
      <c r="E5995" s="1353">
        <v>36.5</v>
      </c>
      <c r="F5995" s="4">
        <f t="shared" si="101"/>
        <v>-5.449591280654028E-3</v>
      </c>
      <c r="G5995" s="37">
        <v>35.5</v>
      </c>
      <c r="H5995" s="1351">
        <v>46004</v>
      </c>
    </row>
    <row r="5996" spans="3:8" x14ac:dyDescent="0.25">
      <c r="C5996" s="1352">
        <v>10</v>
      </c>
      <c r="D5996" s="1352">
        <v>102</v>
      </c>
      <c r="E5996" s="1353">
        <v>34.9</v>
      </c>
      <c r="F5996" s="4">
        <f t="shared" si="101"/>
        <v>0</v>
      </c>
      <c r="G5996" s="37">
        <v>35.5</v>
      </c>
      <c r="H5996" s="1351">
        <v>46004</v>
      </c>
    </row>
    <row r="5997" spans="3:8" x14ac:dyDescent="0.25">
      <c r="C5997" s="1354" t="s">
        <v>0</v>
      </c>
      <c r="D5997" s="1354" t="s">
        <v>7</v>
      </c>
      <c r="E5997" s="1355" t="s">
        <v>4</v>
      </c>
      <c r="F5997" s="4" t="str">
        <f t="shared" si="101"/>
        <v/>
      </c>
      <c r="G5997" s="37">
        <v>34.9</v>
      </c>
      <c r="H5997" s="1356">
        <v>46005</v>
      </c>
    </row>
    <row r="5998" spans="3:8" x14ac:dyDescent="0.25">
      <c r="C5998" s="1354">
        <v>51</v>
      </c>
      <c r="D5998" s="1354">
        <v>35</v>
      </c>
      <c r="E5998" s="1355">
        <v>32.5</v>
      </c>
      <c r="F5998" s="4">
        <f t="shared" si="101"/>
        <v>-2.4024024024023941E-2</v>
      </c>
      <c r="G5998" s="37">
        <v>34.9</v>
      </c>
      <c r="H5998" s="1356">
        <v>46005</v>
      </c>
    </row>
    <row r="5999" spans="3:8" x14ac:dyDescent="0.25">
      <c r="C5999" s="1354">
        <v>1</v>
      </c>
      <c r="D5999" s="1354">
        <v>60</v>
      </c>
      <c r="E5999" s="1355">
        <v>31.1</v>
      </c>
      <c r="F5999" s="4">
        <f t="shared" si="101"/>
        <v>-2.2012578616352179E-2</v>
      </c>
      <c r="G5999" s="37">
        <v>34.9</v>
      </c>
      <c r="H5999" s="1356">
        <v>46005</v>
      </c>
    </row>
    <row r="6000" spans="3:8" x14ac:dyDescent="0.25">
      <c r="C6000" s="1354">
        <v>2</v>
      </c>
      <c r="D6000" s="1354">
        <v>38</v>
      </c>
      <c r="E6000" s="1355">
        <v>32.299999999999997</v>
      </c>
      <c r="F6000" s="4">
        <f t="shared" si="101"/>
        <v>9.3749999999999112E-3</v>
      </c>
      <c r="G6000" s="37">
        <v>34.9</v>
      </c>
      <c r="H6000" s="1356">
        <v>46005</v>
      </c>
    </row>
    <row r="6001" spans="3:8" x14ac:dyDescent="0.25">
      <c r="C6001" s="1354">
        <v>3</v>
      </c>
      <c r="D6001" s="1354">
        <v>121</v>
      </c>
      <c r="E6001" s="1355">
        <v>40.1</v>
      </c>
      <c r="F6001" s="4">
        <f t="shared" si="101"/>
        <v>-4.9627791563274376E-3</v>
      </c>
      <c r="G6001" s="37">
        <v>34.9</v>
      </c>
      <c r="H6001" s="1356">
        <v>46005</v>
      </c>
    </row>
    <row r="6002" spans="3:8" x14ac:dyDescent="0.25">
      <c r="C6002" s="1354">
        <v>4</v>
      </c>
      <c r="D6002" s="1354">
        <v>98</v>
      </c>
      <c r="E6002" s="1355">
        <v>37.299999999999997</v>
      </c>
      <c r="F6002" s="4">
        <f t="shared" si="101"/>
        <v>-7.978723404255433E-3</v>
      </c>
      <c r="G6002" s="37">
        <v>34.9</v>
      </c>
      <c r="H6002" s="1356">
        <v>46005</v>
      </c>
    </row>
    <row r="6003" spans="3:8" x14ac:dyDescent="0.25">
      <c r="C6003" s="1354">
        <v>5</v>
      </c>
      <c r="D6003" s="1354">
        <v>0</v>
      </c>
      <c r="E6003" s="1355"/>
      <c r="F6003" s="4" t="str">
        <f t="shared" si="101"/>
        <v/>
      </c>
      <c r="G6003" s="37">
        <v>34.9</v>
      </c>
      <c r="H6003" s="1356">
        <v>46005</v>
      </c>
    </row>
    <row r="6004" spans="3:8" x14ac:dyDescent="0.25">
      <c r="C6004" s="1354">
        <v>6</v>
      </c>
      <c r="D6004" s="1354">
        <v>118</v>
      </c>
      <c r="E6004" s="1355">
        <v>26.9</v>
      </c>
      <c r="F6004" s="4">
        <f t="shared" si="101"/>
        <v>3.7313432835820101E-3</v>
      </c>
      <c r="G6004" s="37">
        <v>34.9</v>
      </c>
      <c r="H6004" s="1356">
        <v>46005</v>
      </c>
    </row>
    <row r="6005" spans="3:8" x14ac:dyDescent="0.25">
      <c r="C6005" s="1354">
        <v>7</v>
      </c>
      <c r="D6005" s="1354">
        <v>0</v>
      </c>
      <c r="E6005" s="1355"/>
      <c r="F6005" s="4" t="str">
        <f t="shared" si="101"/>
        <v/>
      </c>
      <c r="G6005" s="37">
        <v>34.9</v>
      </c>
      <c r="H6005" s="1356">
        <v>46005</v>
      </c>
    </row>
    <row r="6006" spans="3:8" x14ac:dyDescent="0.25">
      <c r="C6006" s="1354">
        <v>8</v>
      </c>
      <c r="D6006" s="1354">
        <v>0</v>
      </c>
      <c r="E6006" s="1355"/>
      <c r="F6006" s="4" t="str">
        <f t="shared" si="101"/>
        <v/>
      </c>
      <c r="G6006" s="37">
        <v>34.9</v>
      </c>
      <c r="H6006" s="1356">
        <v>46005</v>
      </c>
    </row>
    <row r="6007" spans="3:8" x14ac:dyDescent="0.25">
      <c r="C6007" s="1354">
        <v>9</v>
      </c>
      <c r="D6007" s="1354">
        <v>99</v>
      </c>
      <c r="E6007" s="1355">
        <v>36.5</v>
      </c>
      <c r="F6007" s="4">
        <f t="shared" si="101"/>
        <v>0</v>
      </c>
      <c r="G6007" s="37">
        <v>34.9</v>
      </c>
      <c r="H6007" s="1356">
        <v>46005</v>
      </c>
    </row>
    <row r="6008" spans="3:8" x14ac:dyDescent="0.25">
      <c r="C6008" s="1354">
        <v>10</v>
      </c>
      <c r="D6008" s="1354">
        <v>99</v>
      </c>
      <c r="E6008" s="1355">
        <v>34.6</v>
      </c>
      <c r="F6008" s="4">
        <f t="shared" si="101"/>
        <v>-8.5959885386818671E-3</v>
      </c>
      <c r="G6008" s="37">
        <v>34.9</v>
      </c>
      <c r="H6008" s="1356">
        <v>46005</v>
      </c>
    </row>
    <row r="6009" spans="3:8" x14ac:dyDescent="0.25">
      <c r="C6009" s="1357" t="s">
        <v>0</v>
      </c>
      <c r="D6009" s="1357" t="s">
        <v>7</v>
      </c>
      <c r="E6009" s="1358" t="s">
        <v>4</v>
      </c>
      <c r="F6009" s="4" t="str">
        <f t="shared" si="101"/>
        <v/>
      </c>
      <c r="G6009" s="37">
        <v>34.6</v>
      </c>
      <c r="H6009" s="1359">
        <v>46006</v>
      </c>
    </row>
    <row r="6010" spans="3:8" x14ac:dyDescent="0.25">
      <c r="C6010" s="1357">
        <v>51</v>
      </c>
      <c r="D6010" s="1357">
        <v>36</v>
      </c>
      <c r="E6010" s="1358">
        <v>34.6</v>
      </c>
      <c r="F6010" s="4">
        <f t="shared" si="101"/>
        <v>6.4615384615384658E-2</v>
      </c>
      <c r="G6010" s="37">
        <v>34.6</v>
      </c>
      <c r="H6010" s="1359">
        <v>46006</v>
      </c>
    </row>
    <row r="6011" spans="3:8" x14ac:dyDescent="0.25">
      <c r="C6011" s="1357">
        <v>1</v>
      </c>
      <c r="D6011" s="1357">
        <v>60</v>
      </c>
      <c r="E6011" s="1358">
        <v>30.6</v>
      </c>
      <c r="F6011" s="4">
        <f t="shared" si="101"/>
        <v>-1.607717041800643E-2</v>
      </c>
      <c r="G6011" s="37">
        <v>34.6</v>
      </c>
      <c r="H6011" s="1359">
        <v>46006</v>
      </c>
    </row>
    <row r="6012" spans="3:8" x14ac:dyDescent="0.25">
      <c r="C6012" s="1357">
        <v>2</v>
      </c>
      <c r="D6012" s="1357">
        <v>38</v>
      </c>
      <c r="E6012" s="1358">
        <v>31.5</v>
      </c>
      <c r="F6012" s="4">
        <f t="shared" si="101"/>
        <v>-2.4767801857585054E-2</v>
      </c>
      <c r="G6012" s="37">
        <v>34.6</v>
      </c>
      <c r="H6012" s="1359">
        <v>46006</v>
      </c>
    </row>
    <row r="6013" spans="3:8" x14ac:dyDescent="0.25">
      <c r="C6013" s="1357">
        <v>3</v>
      </c>
      <c r="D6013" s="1357">
        <v>121</v>
      </c>
      <c r="E6013" s="1358">
        <v>39.200000000000003</v>
      </c>
      <c r="F6013" s="4">
        <f t="shared" si="101"/>
        <v>-2.2443890274314177E-2</v>
      </c>
      <c r="G6013" s="37">
        <v>34.6</v>
      </c>
      <c r="H6013" s="1359">
        <v>46006</v>
      </c>
    </row>
    <row r="6014" spans="3:8" x14ac:dyDescent="0.25">
      <c r="C6014" s="1357">
        <v>4</v>
      </c>
      <c r="D6014" s="1357">
        <v>98</v>
      </c>
      <c r="E6014" s="1358">
        <v>36.799999999999997</v>
      </c>
      <c r="F6014" s="4">
        <f t="shared" si="101"/>
        <v>-1.3404825737265416E-2</v>
      </c>
      <c r="G6014" s="37">
        <v>34.6</v>
      </c>
      <c r="H6014" s="1359">
        <v>46006</v>
      </c>
    </row>
    <row r="6015" spans="3:8" x14ac:dyDescent="0.25">
      <c r="C6015" s="1357">
        <v>5</v>
      </c>
      <c r="D6015" s="1357">
        <v>0</v>
      </c>
      <c r="E6015" s="1358"/>
      <c r="F6015" s="4" t="str">
        <f t="shared" si="101"/>
        <v/>
      </c>
      <c r="G6015" s="37">
        <v>34.6</v>
      </c>
      <c r="H6015" s="1359">
        <v>46006</v>
      </c>
    </row>
    <row r="6016" spans="3:8" x14ac:dyDescent="0.25">
      <c r="C6016" s="1357">
        <v>6</v>
      </c>
      <c r="D6016" s="1357">
        <v>118</v>
      </c>
      <c r="E6016" s="1358">
        <v>26.8</v>
      </c>
      <c r="F6016" s="4">
        <f t="shared" si="101"/>
        <v>-3.7174721189590287E-3</v>
      </c>
      <c r="G6016" s="37">
        <v>34.6</v>
      </c>
      <c r="H6016" s="1359">
        <v>46006</v>
      </c>
    </row>
    <row r="6017" spans="3:8" x14ac:dyDescent="0.25">
      <c r="C6017" s="1357">
        <v>7</v>
      </c>
      <c r="D6017" s="1357">
        <v>0</v>
      </c>
      <c r="E6017" s="1358"/>
      <c r="F6017" s="4" t="str">
        <f t="shared" si="101"/>
        <v/>
      </c>
      <c r="G6017" s="37">
        <v>34.6</v>
      </c>
      <c r="H6017" s="1359">
        <v>46006</v>
      </c>
    </row>
    <row r="6018" spans="3:8" x14ac:dyDescent="0.25">
      <c r="C6018" s="1357">
        <v>8</v>
      </c>
      <c r="D6018" s="1357">
        <v>0</v>
      </c>
      <c r="E6018" s="1358"/>
      <c r="F6018" s="4" t="str">
        <f t="shared" si="101"/>
        <v/>
      </c>
      <c r="G6018" s="37">
        <v>34.6</v>
      </c>
      <c r="H6018" s="1359">
        <v>46006</v>
      </c>
    </row>
    <row r="6019" spans="3:8" x14ac:dyDescent="0.25">
      <c r="C6019" s="1357">
        <v>9</v>
      </c>
      <c r="D6019" s="1357">
        <v>99</v>
      </c>
      <c r="E6019" s="1358">
        <v>36.4</v>
      </c>
      <c r="F6019" s="4">
        <f t="shared" si="101"/>
        <v>-2.7397260273972993E-3</v>
      </c>
      <c r="G6019" s="37">
        <v>34.6</v>
      </c>
      <c r="H6019" s="1359">
        <v>46006</v>
      </c>
    </row>
    <row r="6020" spans="3:8" x14ac:dyDescent="0.25">
      <c r="C6020" s="1357">
        <v>10</v>
      </c>
      <c r="D6020" s="1357">
        <v>100</v>
      </c>
      <c r="E6020" s="1358">
        <v>34.4</v>
      </c>
      <c r="F6020" s="4">
        <f t="shared" si="101"/>
        <v>-5.7803468208093307E-3</v>
      </c>
      <c r="G6020" s="37">
        <v>34.6</v>
      </c>
      <c r="H6020" s="1359">
        <v>46006</v>
      </c>
    </row>
    <row r="6021" spans="3:8" x14ac:dyDescent="0.25">
      <c r="C6021" s="1360" t="s">
        <v>0</v>
      </c>
      <c r="D6021" s="1360" t="s">
        <v>7</v>
      </c>
      <c r="E6021" s="1361" t="s">
        <v>4</v>
      </c>
      <c r="F6021" s="4" t="str">
        <f t="shared" si="101"/>
        <v/>
      </c>
      <c r="G6021" s="37">
        <v>34.799999999999997</v>
      </c>
      <c r="H6021" s="1363">
        <v>46007</v>
      </c>
    </row>
    <row r="6022" spans="3:8" x14ac:dyDescent="0.25">
      <c r="C6022" s="1360">
        <v>51</v>
      </c>
      <c r="D6022" s="1360">
        <v>29</v>
      </c>
      <c r="E6022" s="1361">
        <v>34.1</v>
      </c>
      <c r="F6022" s="4">
        <f t="shared" si="101"/>
        <v>-1.4450867052023121E-2</v>
      </c>
      <c r="G6022" s="37">
        <v>34.799999999999997</v>
      </c>
      <c r="H6022" s="1363">
        <v>46007</v>
      </c>
    </row>
    <row r="6023" spans="3:8" x14ac:dyDescent="0.25">
      <c r="C6023" s="1360">
        <v>52</v>
      </c>
      <c r="D6023" s="1360">
        <v>20</v>
      </c>
      <c r="E6023" s="1361"/>
      <c r="F6023" s="1362"/>
      <c r="G6023" s="37">
        <v>34.799999999999997</v>
      </c>
      <c r="H6023" s="1363">
        <v>46007</v>
      </c>
    </row>
    <row r="6024" spans="3:8" x14ac:dyDescent="0.25">
      <c r="C6024" s="1360">
        <v>1</v>
      </c>
      <c r="D6024" s="1360">
        <v>60</v>
      </c>
      <c r="E6024" s="1361">
        <v>29</v>
      </c>
      <c r="F6024" s="4">
        <f t="shared" ref="F6024:F6029" si="102">IFERROR((E6024-E6011)/E6011,"")</f>
        <v>-5.2287581699346448E-2</v>
      </c>
      <c r="G6024" s="37">
        <v>34.799999999999997</v>
      </c>
      <c r="H6024" s="1363">
        <v>46007</v>
      </c>
    </row>
    <row r="6025" spans="3:8" x14ac:dyDescent="0.25">
      <c r="C6025" s="1360">
        <v>2</v>
      </c>
      <c r="D6025" s="1360">
        <v>38</v>
      </c>
      <c r="E6025" s="1361">
        <v>32.4</v>
      </c>
      <c r="F6025" s="4">
        <f t="shared" si="102"/>
        <v>2.8571428571428525E-2</v>
      </c>
      <c r="G6025" s="37">
        <v>34.799999999999997</v>
      </c>
      <c r="H6025" s="1363">
        <v>46007</v>
      </c>
    </row>
    <row r="6026" spans="3:8" x14ac:dyDescent="0.25">
      <c r="C6026" s="1360">
        <v>3</v>
      </c>
      <c r="D6026" s="1360">
        <v>112</v>
      </c>
      <c r="E6026" s="1361">
        <v>40.200000000000003</v>
      </c>
      <c r="F6026" s="4">
        <f t="shared" si="102"/>
        <v>2.551020408163265E-2</v>
      </c>
      <c r="G6026" s="37">
        <v>34.799999999999997</v>
      </c>
      <c r="H6026" s="1363">
        <v>46007</v>
      </c>
    </row>
    <row r="6027" spans="3:8" x14ac:dyDescent="0.25">
      <c r="C6027" s="1360">
        <v>4</v>
      </c>
      <c r="D6027" s="1360">
        <v>99</v>
      </c>
      <c r="E6027" s="1361">
        <v>38.1</v>
      </c>
      <c r="F6027" s="4">
        <f t="shared" si="102"/>
        <v>3.5326086956521854E-2</v>
      </c>
      <c r="G6027" s="37">
        <v>34.799999999999997</v>
      </c>
      <c r="H6027" s="1363">
        <v>46007</v>
      </c>
    </row>
    <row r="6028" spans="3:8" x14ac:dyDescent="0.25">
      <c r="C6028" s="1360">
        <v>5</v>
      </c>
      <c r="D6028" s="1360">
        <v>0</v>
      </c>
      <c r="E6028" s="1361"/>
      <c r="F6028" s="4" t="str">
        <f t="shared" si="102"/>
        <v/>
      </c>
      <c r="G6028" s="37">
        <v>34.799999999999997</v>
      </c>
      <c r="H6028" s="1363">
        <v>46007</v>
      </c>
    </row>
    <row r="6029" spans="3:8" x14ac:dyDescent="0.25">
      <c r="C6029" s="1360">
        <v>6</v>
      </c>
      <c r="D6029" s="1360">
        <v>118</v>
      </c>
      <c r="E6029" s="1361">
        <v>26.6</v>
      </c>
      <c r="F6029" s="4">
        <f t="shared" si="102"/>
        <v>-7.4626865671641521E-3</v>
      </c>
      <c r="G6029" s="37">
        <v>34.799999999999997</v>
      </c>
      <c r="H6029" s="1363">
        <v>46007</v>
      </c>
    </row>
    <row r="6030" spans="3:8" x14ac:dyDescent="0.25">
      <c r="C6030" s="1360">
        <v>7</v>
      </c>
      <c r="D6030" s="1360">
        <v>0</v>
      </c>
      <c r="E6030" s="1361"/>
      <c r="F6030" s="4" t="str">
        <f t="shared" si="101"/>
        <v/>
      </c>
      <c r="G6030" s="37">
        <v>34.799999999999997</v>
      </c>
      <c r="H6030" s="1363">
        <v>46007</v>
      </c>
    </row>
    <row r="6031" spans="3:8" x14ac:dyDescent="0.25">
      <c r="C6031" s="1360">
        <v>8</v>
      </c>
      <c r="D6031" s="1360">
        <v>0</v>
      </c>
      <c r="E6031" s="1361"/>
      <c r="F6031" s="4" t="str">
        <f>IFERROR((E6031-E6018)/E6018,"")</f>
        <v/>
      </c>
      <c r="G6031" s="37">
        <v>34.799999999999997</v>
      </c>
      <c r="H6031" s="1363">
        <v>46007</v>
      </c>
    </row>
    <row r="6032" spans="3:8" x14ac:dyDescent="0.25">
      <c r="C6032" s="1360">
        <v>9</v>
      </c>
      <c r="D6032" s="1360">
        <v>99</v>
      </c>
      <c r="E6032" s="1361">
        <v>36</v>
      </c>
      <c r="F6032" s="4">
        <f>IFERROR((E6032-E6019)/E6019,"")</f>
        <v>-1.098901098901095E-2</v>
      </c>
      <c r="G6032" s="37">
        <v>34.799999999999997</v>
      </c>
      <c r="H6032" s="1363">
        <v>46007</v>
      </c>
    </row>
    <row r="6033" spans="3:8" x14ac:dyDescent="0.25">
      <c r="C6033" s="1360">
        <v>10</v>
      </c>
      <c r="D6033" s="1360">
        <v>100</v>
      </c>
      <c r="E6033" s="1361">
        <v>34.799999999999997</v>
      </c>
      <c r="F6033" s="4">
        <f>IFERROR((E6033-E6020)/E6020,"")</f>
        <v>1.1627906976744146E-2</v>
      </c>
      <c r="G6033" s="37">
        <v>34.799999999999997</v>
      </c>
      <c r="H6033" s="1363">
        <v>46007</v>
      </c>
    </row>
    <row r="6034" spans="3:8" x14ac:dyDescent="0.25">
      <c r="C6034" s="1364" t="s">
        <v>0</v>
      </c>
      <c r="D6034" s="1364" t="s">
        <v>7</v>
      </c>
      <c r="E6034" s="1365" t="s">
        <v>4</v>
      </c>
      <c r="F6034" s="4" t="str">
        <f t="shared" ref="F6034:F6097" si="103">IFERROR((E6034-E6021)/E6021,"")</f>
        <v/>
      </c>
      <c r="G6034" s="37">
        <v>34.299999999999997</v>
      </c>
      <c r="H6034" s="1366">
        <v>46008</v>
      </c>
    </row>
    <row r="6035" spans="3:8" x14ac:dyDescent="0.25">
      <c r="C6035" s="1364">
        <v>51</v>
      </c>
      <c r="D6035" s="1364">
        <v>24</v>
      </c>
      <c r="E6035" s="1365">
        <v>32.9</v>
      </c>
      <c r="F6035" s="4">
        <f t="shared" si="103"/>
        <v>-3.5190615835777206E-2</v>
      </c>
      <c r="G6035" s="37">
        <v>34.299999999999997</v>
      </c>
      <c r="H6035" s="1366">
        <v>46008</v>
      </c>
    </row>
    <row r="6036" spans="3:8" x14ac:dyDescent="0.25">
      <c r="C6036" s="1364">
        <v>52</v>
      </c>
      <c r="D6036" s="1364">
        <v>20</v>
      </c>
      <c r="E6036" s="1365">
        <v>41.3</v>
      </c>
      <c r="F6036" s="4" t="str">
        <f t="shared" si="103"/>
        <v/>
      </c>
      <c r="G6036" s="37">
        <v>34.299999999999997</v>
      </c>
      <c r="H6036" s="1366">
        <v>46008</v>
      </c>
    </row>
    <row r="6037" spans="3:8" x14ac:dyDescent="0.25">
      <c r="C6037" s="1364">
        <v>1</v>
      </c>
      <c r="D6037" s="1364">
        <v>60</v>
      </c>
      <c r="E6037" s="1365">
        <v>28.3</v>
      </c>
      <c r="F6037" s="4">
        <f t="shared" si="103"/>
        <v>-2.4137931034482734E-2</v>
      </c>
      <c r="G6037" s="37">
        <v>34.299999999999997</v>
      </c>
      <c r="H6037" s="1366">
        <v>46008</v>
      </c>
    </row>
    <row r="6038" spans="3:8" x14ac:dyDescent="0.25">
      <c r="C6038" s="1364">
        <v>2</v>
      </c>
      <c r="D6038" s="1364">
        <v>39</v>
      </c>
      <c r="E6038" s="1365">
        <v>30.4</v>
      </c>
      <c r="F6038" s="4">
        <f t="shared" si="103"/>
        <v>-6.1728395061728399E-2</v>
      </c>
      <c r="G6038" s="37">
        <v>34.299999999999997</v>
      </c>
      <c r="H6038" s="1366">
        <v>46008</v>
      </c>
    </row>
    <row r="6039" spans="3:8" x14ac:dyDescent="0.25">
      <c r="C6039" s="1364">
        <v>3</v>
      </c>
      <c r="D6039" s="1364">
        <v>116</v>
      </c>
      <c r="E6039" s="1365">
        <v>40.4</v>
      </c>
      <c r="F6039" s="4">
        <f t="shared" si="103"/>
        <v>4.975124378109346E-3</v>
      </c>
      <c r="G6039" s="37">
        <v>34.299999999999997</v>
      </c>
      <c r="H6039" s="1366">
        <v>46008</v>
      </c>
    </row>
    <row r="6040" spans="3:8" x14ac:dyDescent="0.25">
      <c r="C6040" s="1364">
        <v>4</v>
      </c>
      <c r="D6040" s="1364">
        <v>98</v>
      </c>
      <c r="E6040" s="1365">
        <v>36.9</v>
      </c>
      <c r="F6040" s="4">
        <f t="shared" si="103"/>
        <v>-3.149606299212606E-2</v>
      </c>
      <c r="G6040" s="37">
        <v>34.299999999999997</v>
      </c>
      <c r="H6040" s="1366">
        <v>46008</v>
      </c>
    </row>
    <row r="6041" spans="3:8" x14ac:dyDescent="0.25">
      <c r="C6041" s="1364">
        <v>5</v>
      </c>
      <c r="D6041" s="1364">
        <v>0</v>
      </c>
      <c r="E6041" s="1365"/>
      <c r="F6041" s="4" t="str">
        <f t="shared" si="103"/>
        <v/>
      </c>
      <c r="G6041" s="37">
        <v>34.299999999999997</v>
      </c>
      <c r="H6041" s="1366">
        <v>46008</v>
      </c>
    </row>
    <row r="6042" spans="3:8" x14ac:dyDescent="0.25">
      <c r="C6042" s="1364">
        <v>6</v>
      </c>
      <c r="D6042" s="1364">
        <v>118</v>
      </c>
      <c r="E6042" s="1365">
        <v>25.7</v>
      </c>
      <c r="F6042" s="4">
        <f t="shared" si="103"/>
        <v>-3.3834586466165495E-2</v>
      </c>
      <c r="G6042" s="37">
        <v>34.299999999999997</v>
      </c>
      <c r="H6042" s="1366">
        <v>46008</v>
      </c>
    </row>
    <row r="6043" spans="3:8" x14ac:dyDescent="0.25">
      <c r="C6043" s="1364">
        <v>7</v>
      </c>
      <c r="D6043" s="1364">
        <v>0</v>
      </c>
      <c r="E6043" s="1365"/>
      <c r="F6043" s="4" t="str">
        <f t="shared" si="103"/>
        <v/>
      </c>
      <c r="G6043" s="37">
        <v>34.299999999999997</v>
      </c>
      <c r="H6043" s="1366">
        <v>46008</v>
      </c>
    </row>
    <row r="6044" spans="3:8" x14ac:dyDescent="0.25">
      <c r="C6044" s="1364">
        <v>8</v>
      </c>
      <c r="D6044" s="1364">
        <v>0</v>
      </c>
      <c r="E6044" s="1365"/>
      <c r="F6044" s="4" t="str">
        <f t="shared" si="103"/>
        <v/>
      </c>
      <c r="G6044" s="37">
        <v>34.299999999999997</v>
      </c>
      <c r="H6044" s="1366">
        <v>46008</v>
      </c>
    </row>
    <row r="6045" spans="3:8" x14ac:dyDescent="0.25">
      <c r="C6045" s="1364">
        <v>9</v>
      </c>
      <c r="D6045" s="1364">
        <v>99</v>
      </c>
      <c r="E6045" s="1365">
        <v>35.5</v>
      </c>
      <c r="F6045" s="4">
        <f t="shared" si="103"/>
        <v>-1.3888888888888888E-2</v>
      </c>
      <c r="G6045" s="37">
        <v>34.299999999999997</v>
      </c>
      <c r="H6045" s="1366">
        <v>46008</v>
      </c>
    </row>
    <row r="6046" spans="3:8" x14ac:dyDescent="0.25">
      <c r="C6046" s="1364">
        <v>10</v>
      </c>
      <c r="D6046" s="1364">
        <v>100</v>
      </c>
      <c r="E6046" s="1365">
        <v>33.6</v>
      </c>
      <c r="F6046" s="4">
        <f t="shared" si="103"/>
        <v>-3.4482758620689537E-2</v>
      </c>
      <c r="G6046" s="37">
        <v>34.299999999999997</v>
      </c>
      <c r="H6046" s="1366">
        <v>46008</v>
      </c>
    </row>
    <row r="6047" spans="3:8" x14ac:dyDescent="0.25">
      <c r="C6047" s="1367" t="s">
        <v>0</v>
      </c>
      <c r="D6047" s="1367" t="s">
        <v>7</v>
      </c>
      <c r="E6047" s="1368" t="s">
        <v>4</v>
      </c>
      <c r="F6047" s="4" t="str">
        <f t="shared" si="103"/>
        <v/>
      </c>
      <c r="G6047" s="37">
        <v>34</v>
      </c>
      <c r="H6047" s="1369">
        <v>46009</v>
      </c>
    </row>
    <row r="6048" spans="3:8" x14ac:dyDescent="0.25">
      <c r="C6048" s="1367">
        <v>51</v>
      </c>
      <c r="D6048" s="1367">
        <v>26</v>
      </c>
      <c r="E6048" s="1368">
        <v>31.7</v>
      </c>
      <c r="F6048" s="4">
        <f t="shared" si="103"/>
        <v>-3.6474164133738579E-2</v>
      </c>
      <c r="G6048" s="37">
        <v>34</v>
      </c>
      <c r="H6048" s="1369">
        <v>46009</v>
      </c>
    </row>
    <row r="6049" spans="3:8" x14ac:dyDescent="0.25">
      <c r="C6049" s="1367">
        <v>52</v>
      </c>
      <c r="D6049" s="1367">
        <v>22</v>
      </c>
      <c r="E6049" s="1368">
        <v>45.1</v>
      </c>
      <c r="F6049" s="4">
        <f t="shared" si="103"/>
        <v>9.2009685230024327E-2</v>
      </c>
      <c r="G6049" s="37">
        <v>34</v>
      </c>
      <c r="H6049" s="1369">
        <v>46009</v>
      </c>
    </row>
    <row r="6050" spans="3:8" x14ac:dyDescent="0.25">
      <c r="C6050" s="1367">
        <v>1</v>
      </c>
      <c r="D6050" s="1367">
        <v>72</v>
      </c>
      <c r="E6050" s="1368">
        <v>27</v>
      </c>
      <c r="F6050" s="4">
        <f t="shared" si="103"/>
        <v>-4.5936395759717336E-2</v>
      </c>
      <c r="G6050" s="37">
        <v>34</v>
      </c>
      <c r="H6050" s="1369">
        <v>46009</v>
      </c>
    </row>
    <row r="6051" spans="3:8" x14ac:dyDescent="0.25">
      <c r="C6051" s="1367">
        <v>2</v>
      </c>
      <c r="D6051" s="1367">
        <v>39</v>
      </c>
      <c r="E6051" s="1368">
        <v>32.5</v>
      </c>
      <c r="F6051" s="4">
        <f t="shared" si="103"/>
        <v>6.9078947368421101E-2</v>
      </c>
      <c r="G6051" s="37">
        <v>34</v>
      </c>
      <c r="H6051" s="1369">
        <v>46009</v>
      </c>
    </row>
    <row r="6052" spans="3:8" x14ac:dyDescent="0.25">
      <c r="C6052" s="1367">
        <v>3</v>
      </c>
      <c r="D6052" s="1367">
        <v>116</v>
      </c>
      <c r="E6052" s="1368">
        <v>40.9</v>
      </c>
      <c r="F6052" s="4">
        <f t="shared" si="103"/>
        <v>1.2376237623762377E-2</v>
      </c>
      <c r="G6052" s="37">
        <v>34</v>
      </c>
      <c r="H6052" s="1369">
        <v>46009</v>
      </c>
    </row>
    <row r="6053" spans="3:8" x14ac:dyDescent="0.25">
      <c r="C6053" s="1367">
        <v>4</v>
      </c>
      <c r="D6053" s="1367">
        <v>98</v>
      </c>
      <c r="E6053" s="1368">
        <v>38.299999999999997</v>
      </c>
      <c r="F6053" s="4">
        <f t="shared" si="103"/>
        <v>3.7940379403794001E-2</v>
      </c>
      <c r="G6053" s="37">
        <v>34</v>
      </c>
      <c r="H6053" s="1369">
        <v>46009</v>
      </c>
    </row>
    <row r="6054" spans="3:8" x14ac:dyDescent="0.25">
      <c r="C6054" s="1367">
        <v>5</v>
      </c>
      <c r="D6054" s="1367">
        <v>0</v>
      </c>
      <c r="E6054" s="1368"/>
      <c r="F6054" s="4" t="str">
        <f t="shared" si="103"/>
        <v/>
      </c>
      <c r="G6054" s="37">
        <v>34</v>
      </c>
      <c r="H6054" s="1369">
        <v>46009</v>
      </c>
    </row>
    <row r="6055" spans="3:8" x14ac:dyDescent="0.25">
      <c r="C6055" s="1367">
        <v>6</v>
      </c>
      <c r="D6055" s="1367">
        <v>111</v>
      </c>
      <c r="E6055" s="1368">
        <v>25.6</v>
      </c>
      <c r="F6055" s="4">
        <f t="shared" si="103"/>
        <v>-3.8910505836575048E-3</v>
      </c>
      <c r="G6055" s="37">
        <v>34</v>
      </c>
      <c r="H6055" s="1369">
        <v>46009</v>
      </c>
    </row>
    <row r="6056" spans="3:8" x14ac:dyDescent="0.25">
      <c r="C6056" s="1367">
        <v>7</v>
      </c>
      <c r="D6056" s="1367">
        <v>0</v>
      </c>
      <c r="E6056" s="1368"/>
      <c r="F6056" s="4" t="str">
        <f t="shared" si="103"/>
        <v/>
      </c>
      <c r="G6056" s="37">
        <v>34</v>
      </c>
      <c r="H6056" s="1369">
        <v>46009</v>
      </c>
    </row>
    <row r="6057" spans="3:8" x14ac:dyDescent="0.25">
      <c r="C6057" s="1367">
        <v>8</v>
      </c>
      <c r="D6057" s="1367">
        <v>0</v>
      </c>
      <c r="E6057" s="1368"/>
      <c r="F6057" s="4" t="str">
        <f t="shared" si="103"/>
        <v/>
      </c>
      <c r="G6057" s="37">
        <v>34</v>
      </c>
      <c r="H6057" s="1369">
        <v>46009</v>
      </c>
    </row>
    <row r="6058" spans="3:8" x14ac:dyDescent="0.25">
      <c r="C6058" s="1367">
        <v>9</v>
      </c>
      <c r="D6058" s="1367">
        <v>99</v>
      </c>
      <c r="E6058" s="1368">
        <v>37.299999999999997</v>
      </c>
      <c r="F6058" s="4">
        <f t="shared" si="103"/>
        <v>5.0704225352112595E-2</v>
      </c>
      <c r="G6058" s="37">
        <v>34</v>
      </c>
      <c r="H6058" s="1369">
        <v>46009</v>
      </c>
    </row>
    <row r="6059" spans="3:8" x14ac:dyDescent="0.25">
      <c r="C6059" s="1367">
        <v>10</v>
      </c>
      <c r="D6059" s="1367">
        <v>94</v>
      </c>
      <c r="E6059" s="1368">
        <v>32</v>
      </c>
      <c r="F6059" s="4">
        <f t="shared" si="103"/>
        <v>-4.7619047619047658E-2</v>
      </c>
      <c r="G6059" s="37">
        <v>34</v>
      </c>
      <c r="H6059" s="1369">
        <v>46009</v>
      </c>
    </row>
    <row r="6060" spans="3:8" x14ac:dyDescent="0.25">
      <c r="C6060" s="1370" t="s">
        <v>0</v>
      </c>
      <c r="D6060" s="1370" t="s">
        <v>7</v>
      </c>
      <c r="E6060" s="1371" t="s">
        <v>4</v>
      </c>
      <c r="F6060" s="4" t="str">
        <f t="shared" si="103"/>
        <v/>
      </c>
      <c r="G6060" s="37">
        <v>33.799999999999997</v>
      </c>
      <c r="H6060" s="1372">
        <v>46010</v>
      </c>
    </row>
    <row r="6061" spans="3:8" x14ac:dyDescent="0.25">
      <c r="C6061" s="1370">
        <v>51</v>
      </c>
      <c r="D6061" s="1370">
        <v>34</v>
      </c>
      <c r="E6061" s="1371">
        <v>31.5</v>
      </c>
      <c r="F6061" s="4">
        <f t="shared" si="103"/>
        <v>-6.3091482649842053E-3</v>
      </c>
      <c r="G6061" s="37">
        <v>33.799999999999997</v>
      </c>
      <c r="H6061" s="1372">
        <v>46010</v>
      </c>
    </row>
    <row r="6062" spans="3:8" x14ac:dyDescent="0.25">
      <c r="C6062" s="1370">
        <v>52</v>
      </c>
      <c r="D6062" s="1370">
        <v>22</v>
      </c>
      <c r="E6062" s="1371">
        <v>45.5</v>
      </c>
      <c r="F6062" s="4">
        <f t="shared" si="103"/>
        <v>8.8691796008868867E-3</v>
      </c>
      <c r="G6062" s="37">
        <v>33.799999999999997</v>
      </c>
      <c r="H6062" s="1372">
        <v>46010</v>
      </c>
    </row>
    <row r="6063" spans="3:8" x14ac:dyDescent="0.25">
      <c r="C6063" s="1370">
        <v>1</v>
      </c>
      <c r="D6063" s="1370">
        <v>56</v>
      </c>
      <c r="E6063" s="1371">
        <v>22.1</v>
      </c>
      <c r="F6063" s="4">
        <f t="shared" si="103"/>
        <v>-0.18148148148148144</v>
      </c>
      <c r="G6063" s="37">
        <v>33.799999999999997</v>
      </c>
      <c r="H6063" s="1372">
        <v>46010</v>
      </c>
    </row>
    <row r="6064" spans="3:8" x14ac:dyDescent="0.25">
      <c r="C6064" s="1370">
        <v>2</v>
      </c>
      <c r="D6064" s="1370">
        <v>38</v>
      </c>
      <c r="E6064" s="1371">
        <v>32.9</v>
      </c>
      <c r="F6064" s="4">
        <f t="shared" si="103"/>
        <v>1.2307692307692264E-2</v>
      </c>
      <c r="G6064" s="37">
        <v>33.799999999999997</v>
      </c>
      <c r="H6064" s="1372">
        <v>46010</v>
      </c>
    </row>
    <row r="6065" spans="3:8" x14ac:dyDescent="0.25">
      <c r="C6065" s="1370">
        <v>3</v>
      </c>
      <c r="D6065" s="1370">
        <v>115</v>
      </c>
      <c r="E6065" s="1371">
        <v>41.4</v>
      </c>
      <c r="F6065" s="4">
        <f t="shared" si="103"/>
        <v>1.2224938875305624E-2</v>
      </c>
      <c r="G6065" s="37">
        <v>33.799999999999997</v>
      </c>
      <c r="H6065" s="1372">
        <v>46010</v>
      </c>
    </row>
    <row r="6066" spans="3:8" x14ac:dyDescent="0.25">
      <c r="C6066" s="1370">
        <v>4</v>
      </c>
      <c r="D6066" s="1370">
        <v>98</v>
      </c>
      <c r="E6066" s="1371">
        <v>37.4</v>
      </c>
      <c r="F6066" s="4">
        <f t="shared" si="103"/>
        <v>-2.3498694516971244E-2</v>
      </c>
      <c r="G6066" s="37">
        <v>33.799999999999997</v>
      </c>
      <c r="H6066" s="1372">
        <v>46010</v>
      </c>
    </row>
    <row r="6067" spans="3:8" x14ac:dyDescent="0.25">
      <c r="C6067" s="1370">
        <v>5</v>
      </c>
      <c r="D6067" s="1370">
        <v>0</v>
      </c>
      <c r="E6067" s="1371"/>
      <c r="F6067" s="4" t="str">
        <f t="shared" si="103"/>
        <v/>
      </c>
      <c r="G6067" s="37">
        <v>33.799999999999997</v>
      </c>
      <c r="H6067" s="1372">
        <v>46010</v>
      </c>
    </row>
    <row r="6068" spans="3:8" x14ac:dyDescent="0.25">
      <c r="C6068" s="1370">
        <v>6</v>
      </c>
      <c r="D6068" s="1370">
        <v>111</v>
      </c>
      <c r="E6068" s="1371">
        <v>25.2</v>
      </c>
      <c r="F6068" s="4">
        <f t="shared" si="103"/>
        <v>-1.5625000000000083E-2</v>
      </c>
      <c r="G6068" s="37">
        <v>33.799999999999997</v>
      </c>
      <c r="H6068" s="1372">
        <v>46010</v>
      </c>
    </row>
    <row r="6069" spans="3:8" x14ac:dyDescent="0.25">
      <c r="C6069" s="1370">
        <v>7</v>
      </c>
      <c r="D6069" s="1370">
        <v>0</v>
      </c>
      <c r="E6069" s="1371"/>
      <c r="F6069" s="4" t="str">
        <f t="shared" si="103"/>
        <v/>
      </c>
      <c r="G6069" s="37">
        <v>33.799999999999997</v>
      </c>
      <c r="H6069" s="1372">
        <v>46010</v>
      </c>
    </row>
    <row r="6070" spans="3:8" x14ac:dyDescent="0.25">
      <c r="C6070" s="1370">
        <v>8</v>
      </c>
      <c r="D6070" s="1370">
        <v>0</v>
      </c>
      <c r="E6070" s="1371"/>
      <c r="F6070" s="4" t="str">
        <f t="shared" si="103"/>
        <v/>
      </c>
      <c r="G6070" s="37">
        <v>33.799999999999997</v>
      </c>
      <c r="H6070" s="1372">
        <v>46010</v>
      </c>
    </row>
    <row r="6071" spans="3:8" x14ac:dyDescent="0.25">
      <c r="C6071" s="1370">
        <v>9</v>
      </c>
      <c r="D6071" s="1370">
        <v>99</v>
      </c>
      <c r="E6071" s="1371">
        <v>36.1</v>
      </c>
      <c r="F6071" s="4">
        <f t="shared" si="103"/>
        <v>-3.2171581769436887E-2</v>
      </c>
      <c r="G6071" s="37">
        <v>33.799999999999997</v>
      </c>
      <c r="H6071" s="1372">
        <v>46010</v>
      </c>
    </row>
    <row r="6072" spans="3:8" x14ac:dyDescent="0.25">
      <c r="C6072" s="1370">
        <v>10</v>
      </c>
      <c r="D6072" s="1370">
        <v>94</v>
      </c>
      <c r="E6072" s="1371">
        <v>30.4</v>
      </c>
      <c r="F6072" s="4">
        <f t="shared" si="103"/>
        <v>-5.0000000000000044E-2</v>
      </c>
      <c r="G6072" s="37">
        <v>33.799999999999997</v>
      </c>
      <c r="H6072" s="1372">
        <v>46010</v>
      </c>
    </row>
    <row r="6073" spans="3:8" x14ac:dyDescent="0.25">
      <c r="C6073" s="1373" t="s">
        <v>0</v>
      </c>
      <c r="D6073" s="1373" t="s">
        <v>7</v>
      </c>
      <c r="E6073" s="1374" t="s">
        <v>4</v>
      </c>
      <c r="F6073" s="4" t="str">
        <f t="shared" si="103"/>
        <v/>
      </c>
      <c r="G6073" s="37">
        <v>34.200000000000003</v>
      </c>
      <c r="H6073" s="1372">
        <v>46011</v>
      </c>
    </row>
    <row r="6074" spans="3:8" x14ac:dyDescent="0.25">
      <c r="C6074" s="1373">
        <v>51</v>
      </c>
      <c r="D6074" s="1373">
        <v>30</v>
      </c>
      <c r="E6074" s="1374">
        <v>30.4</v>
      </c>
      <c r="F6074" s="4">
        <f t="shared" si="103"/>
        <v>-3.4920634920634963E-2</v>
      </c>
      <c r="G6074" s="37">
        <v>34.200000000000003</v>
      </c>
      <c r="H6074" s="1372">
        <v>46011</v>
      </c>
    </row>
    <row r="6075" spans="3:8" x14ac:dyDescent="0.25">
      <c r="C6075" s="1373">
        <v>52</v>
      </c>
      <c r="D6075" s="1373">
        <v>24</v>
      </c>
      <c r="E6075" s="1374">
        <v>42.6</v>
      </c>
      <c r="F6075" s="4">
        <f t="shared" si="103"/>
        <v>-6.3736263736263704E-2</v>
      </c>
      <c r="G6075" s="37">
        <v>34.200000000000003</v>
      </c>
      <c r="H6075" s="1372">
        <v>46011</v>
      </c>
    </row>
    <row r="6076" spans="3:8" x14ac:dyDescent="0.25">
      <c r="C6076" s="1373">
        <v>1</v>
      </c>
      <c r="D6076" s="1373">
        <v>56</v>
      </c>
      <c r="E6076" s="1374">
        <v>26.4</v>
      </c>
      <c r="F6076" s="4">
        <f t="shared" si="103"/>
        <v>0.1945701357466062</v>
      </c>
      <c r="G6076" s="37">
        <v>34.200000000000003</v>
      </c>
      <c r="H6076" s="1372">
        <v>46011</v>
      </c>
    </row>
    <row r="6077" spans="3:8" x14ac:dyDescent="0.25">
      <c r="C6077" s="1373">
        <v>2</v>
      </c>
      <c r="D6077" s="1373">
        <v>38</v>
      </c>
      <c r="E6077" s="1374">
        <v>32.5</v>
      </c>
      <c r="F6077" s="4">
        <f t="shared" si="103"/>
        <v>-1.2158054711246157E-2</v>
      </c>
      <c r="G6077" s="37">
        <v>34.200000000000003</v>
      </c>
      <c r="H6077" s="1372">
        <v>46011</v>
      </c>
    </row>
    <row r="6078" spans="3:8" x14ac:dyDescent="0.25">
      <c r="C6078" s="1373">
        <v>3</v>
      </c>
      <c r="D6078" s="1373">
        <v>115</v>
      </c>
      <c r="E6078" s="1374">
        <v>41.2</v>
      </c>
      <c r="F6078" s="4">
        <f t="shared" si="103"/>
        <v>-4.8309178743960327E-3</v>
      </c>
      <c r="G6078" s="37">
        <v>34.200000000000003</v>
      </c>
      <c r="H6078" s="1372">
        <v>46011</v>
      </c>
    </row>
    <row r="6079" spans="3:8" x14ac:dyDescent="0.25">
      <c r="C6079" s="1373">
        <v>4</v>
      </c>
      <c r="D6079" s="1373">
        <v>98</v>
      </c>
      <c r="E6079" s="1374">
        <v>37.6</v>
      </c>
      <c r="F6079" s="4">
        <f t="shared" si="103"/>
        <v>5.3475935828877766E-3</v>
      </c>
      <c r="G6079" s="37">
        <v>34.200000000000003</v>
      </c>
      <c r="H6079" s="1372">
        <v>46011</v>
      </c>
    </row>
    <row r="6080" spans="3:8" x14ac:dyDescent="0.25">
      <c r="C6080" s="1373">
        <v>5</v>
      </c>
      <c r="D6080" s="1373">
        <v>0</v>
      </c>
      <c r="E6080" s="1374"/>
      <c r="F6080" s="4" t="str">
        <f t="shared" si="103"/>
        <v/>
      </c>
      <c r="G6080" s="37">
        <v>34.200000000000003</v>
      </c>
      <c r="H6080" s="1372">
        <v>46011</v>
      </c>
    </row>
    <row r="6081" spans="3:8" x14ac:dyDescent="0.25">
      <c r="C6081" s="1373">
        <v>6</v>
      </c>
      <c r="D6081" s="1373">
        <v>111</v>
      </c>
      <c r="E6081" s="1374">
        <v>25</v>
      </c>
      <c r="F6081" s="4">
        <f t="shared" si="103"/>
        <v>-7.9365079365079083E-3</v>
      </c>
      <c r="G6081" s="37">
        <v>34.200000000000003</v>
      </c>
      <c r="H6081" s="1372">
        <v>46011</v>
      </c>
    </row>
    <row r="6082" spans="3:8" x14ac:dyDescent="0.25">
      <c r="C6082" s="1373">
        <v>7</v>
      </c>
      <c r="D6082" s="1373">
        <v>0</v>
      </c>
      <c r="E6082" s="1374"/>
      <c r="F6082" s="4" t="str">
        <f t="shared" si="103"/>
        <v/>
      </c>
      <c r="G6082" s="37">
        <v>34.200000000000003</v>
      </c>
      <c r="H6082" s="1372">
        <v>46011</v>
      </c>
    </row>
    <row r="6083" spans="3:8" x14ac:dyDescent="0.25">
      <c r="C6083" s="1373">
        <v>8</v>
      </c>
      <c r="D6083" s="1373">
        <v>0</v>
      </c>
      <c r="E6083" s="1374"/>
      <c r="F6083" s="4" t="str">
        <f t="shared" si="103"/>
        <v/>
      </c>
      <c r="G6083" s="37">
        <v>34.200000000000003</v>
      </c>
      <c r="H6083" s="1372">
        <v>46011</v>
      </c>
    </row>
    <row r="6084" spans="3:8" x14ac:dyDescent="0.25">
      <c r="C6084" s="1373">
        <v>9</v>
      </c>
      <c r="D6084" s="1373">
        <v>98</v>
      </c>
      <c r="E6084" s="1374">
        <v>36.6</v>
      </c>
      <c r="F6084" s="4">
        <f t="shared" si="103"/>
        <v>1.3850415512465374E-2</v>
      </c>
      <c r="G6084" s="37">
        <v>34.200000000000003</v>
      </c>
      <c r="H6084" s="1372">
        <v>46011</v>
      </c>
    </row>
    <row r="6085" spans="3:8" x14ac:dyDescent="0.25">
      <c r="C6085" s="1373">
        <v>10</v>
      </c>
      <c r="D6085" s="1373">
        <v>94</v>
      </c>
      <c r="E6085" s="1374">
        <v>31.4</v>
      </c>
      <c r="F6085" s="4">
        <f t="shared" si="103"/>
        <v>3.2894736842105261E-2</v>
      </c>
      <c r="G6085" s="37">
        <v>34.200000000000003</v>
      </c>
      <c r="H6085" s="1372">
        <v>46011</v>
      </c>
    </row>
    <row r="6086" spans="3:8" x14ac:dyDescent="0.25">
      <c r="C6086" s="1375" t="s">
        <v>0</v>
      </c>
      <c r="D6086" s="1375" t="s">
        <v>7</v>
      </c>
      <c r="E6086" s="1376" t="s">
        <v>4</v>
      </c>
      <c r="F6086" s="4" t="str">
        <f t="shared" si="103"/>
        <v/>
      </c>
      <c r="G6086" s="37">
        <v>34.5</v>
      </c>
      <c r="H6086" s="1377">
        <v>46012</v>
      </c>
    </row>
    <row r="6087" spans="3:8" x14ac:dyDescent="0.25">
      <c r="C6087" s="1375">
        <v>51</v>
      </c>
      <c r="D6087" s="1375">
        <v>25</v>
      </c>
      <c r="E6087" s="1376">
        <v>31.7</v>
      </c>
      <c r="F6087" s="4">
        <f t="shared" si="103"/>
        <v>4.2763157894736864E-2</v>
      </c>
      <c r="G6087" s="37">
        <v>34.5</v>
      </c>
      <c r="H6087" s="1377">
        <v>46012</v>
      </c>
    </row>
    <row r="6088" spans="3:8" x14ac:dyDescent="0.25">
      <c r="C6088" s="1375">
        <v>52</v>
      </c>
      <c r="D6088" s="1375">
        <v>26</v>
      </c>
      <c r="E6088" s="1376">
        <v>44.7</v>
      </c>
      <c r="F6088" s="4">
        <f t="shared" si="103"/>
        <v>4.9295774647887355E-2</v>
      </c>
      <c r="G6088" s="37">
        <v>34.5</v>
      </c>
      <c r="H6088" s="1377">
        <v>46012</v>
      </c>
    </row>
    <row r="6089" spans="3:8" x14ac:dyDescent="0.25">
      <c r="C6089" s="1375">
        <v>1</v>
      </c>
      <c r="D6089" s="1375">
        <v>56</v>
      </c>
      <c r="E6089" s="1376">
        <v>27.1</v>
      </c>
      <c r="F6089" s="4">
        <f t="shared" si="103"/>
        <v>2.6515151515151623E-2</v>
      </c>
      <c r="G6089" s="37">
        <v>34.5</v>
      </c>
      <c r="H6089" s="1377">
        <v>46012</v>
      </c>
    </row>
    <row r="6090" spans="3:8" x14ac:dyDescent="0.25">
      <c r="C6090" s="1375">
        <v>2</v>
      </c>
      <c r="D6090" s="1375">
        <v>40</v>
      </c>
      <c r="E6090" s="1376">
        <v>31.4</v>
      </c>
      <c r="F6090" s="4">
        <f t="shared" si="103"/>
        <v>-3.3846153846153887E-2</v>
      </c>
      <c r="G6090" s="37">
        <v>34.5</v>
      </c>
      <c r="H6090" s="1377">
        <v>46012</v>
      </c>
    </row>
    <row r="6091" spans="3:8" x14ac:dyDescent="0.25">
      <c r="C6091" s="1375">
        <v>3</v>
      </c>
      <c r="D6091" s="1375">
        <v>111</v>
      </c>
      <c r="E6091" s="1376">
        <v>40</v>
      </c>
      <c r="F6091" s="4">
        <f t="shared" si="103"/>
        <v>-2.9126213592233077E-2</v>
      </c>
      <c r="G6091" s="37">
        <v>34.5</v>
      </c>
      <c r="H6091" s="1377">
        <v>46012</v>
      </c>
    </row>
    <row r="6092" spans="3:8" x14ac:dyDescent="0.25">
      <c r="C6092" s="1375">
        <v>4</v>
      </c>
      <c r="D6092" s="1375">
        <v>98</v>
      </c>
      <c r="E6092" s="1376">
        <v>37.6</v>
      </c>
      <c r="F6092" s="4">
        <f t="shared" si="103"/>
        <v>0</v>
      </c>
      <c r="G6092" s="37">
        <v>34.5</v>
      </c>
      <c r="H6092" s="1377">
        <v>46012</v>
      </c>
    </row>
    <row r="6093" spans="3:8" x14ac:dyDescent="0.25">
      <c r="C6093" s="1375">
        <v>5</v>
      </c>
      <c r="D6093" s="1375">
        <v>0</v>
      </c>
      <c r="E6093" s="1376"/>
      <c r="F6093" s="4" t="str">
        <f t="shared" si="103"/>
        <v/>
      </c>
      <c r="G6093" s="37">
        <v>34.5</v>
      </c>
      <c r="H6093" s="1377">
        <v>46012</v>
      </c>
    </row>
    <row r="6094" spans="3:8" x14ac:dyDescent="0.25">
      <c r="C6094" s="1375">
        <v>6</v>
      </c>
      <c r="D6094" s="1375">
        <v>114</v>
      </c>
      <c r="E6094" s="1376">
        <v>26.3</v>
      </c>
      <c r="F6094" s="4">
        <f t="shared" si="103"/>
        <v>5.2000000000000025E-2</v>
      </c>
      <c r="G6094" s="37">
        <v>34.5</v>
      </c>
      <c r="H6094" s="1377">
        <v>46012</v>
      </c>
    </row>
    <row r="6095" spans="3:8" x14ac:dyDescent="0.25">
      <c r="C6095" s="1375">
        <v>7</v>
      </c>
      <c r="D6095" s="1375">
        <v>0</v>
      </c>
      <c r="E6095" s="1376"/>
      <c r="F6095" s="4" t="str">
        <f t="shared" si="103"/>
        <v/>
      </c>
      <c r="G6095" s="37">
        <v>34.5</v>
      </c>
      <c r="H6095" s="1377">
        <v>46012</v>
      </c>
    </row>
    <row r="6096" spans="3:8" x14ac:dyDescent="0.25">
      <c r="C6096" s="1375">
        <v>8</v>
      </c>
      <c r="D6096" s="1375">
        <v>0</v>
      </c>
      <c r="E6096" s="1376"/>
      <c r="F6096" s="4" t="str">
        <f t="shared" si="103"/>
        <v/>
      </c>
      <c r="G6096" s="37">
        <v>34.5</v>
      </c>
      <c r="H6096" s="1377">
        <v>46012</v>
      </c>
    </row>
    <row r="6097" spans="3:8" x14ac:dyDescent="0.25">
      <c r="C6097" s="1375">
        <v>9</v>
      </c>
      <c r="D6097" s="1375">
        <v>98</v>
      </c>
      <c r="E6097" s="1376">
        <v>36.9</v>
      </c>
      <c r="F6097" s="4">
        <f t="shared" si="103"/>
        <v>8.1967213114753322E-3</v>
      </c>
      <c r="G6097" s="37">
        <v>34.5</v>
      </c>
      <c r="H6097" s="1377">
        <v>46012</v>
      </c>
    </row>
    <row r="6098" spans="3:8" x14ac:dyDescent="0.25">
      <c r="C6098" s="1375">
        <v>10</v>
      </c>
      <c r="D6098" s="1375">
        <v>93</v>
      </c>
      <c r="E6098" s="1376">
        <v>32.700000000000003</v>
      </c>
      <c r="F6098" s="4">
        <f t="shared" ref="F6098:F6161" si="104">IFERROR((E6098-E6085)/E6085,"")</f>
        <v>4.1401273885350455E-2</v>
      </c>
      <c r="G6098" s="37">
        <v>34.5</v>
      </c>
      <c r="H6098" s="1377">
        <v>46012</v>
      </c>
    </row>
    <row r="6099" spans="3:8" x14ac:dyDescent="0.25">
      <c r="C6099" s="1378" t="s">
        <v>0</v>
      </c>
      <c r="D6099" s="1378" t="s">
        <v>7</v>
      </c>
      <c r="E6099" s="1379" t="s">
        <v>4</v>
      </c>
      <c r="F6099" s="4" t="str">
        <f t="shared" si="104"/>
        <v/>
      </c>
      <c r="G6099" s="37">
        <v>34.700000000000003</v>
      </c>
      <c r="H6099" s="1380">
        <v>46013</v>
      </c>
    </row>
    <row r="6100" spans="3:8" x14ac:dyDescent="0.25">
      <c r="C6100" s="1378">
        <v>51</v>
      </c>
      <c r="D6100" s="1378">
        <v>25</v>
      </c>
      <c r="E6100" s="1379">
        <v>30.9</v>
      </c>
      <c r="F6100" s="4">
        <f t="shared" si="104"/>
        <v>-2.5236593059936932E-2</v>
      </c>
      <c r="G6100" s="37">
        <v>34.700000000000003</v>
      </c>
      <c r="H6100" s="1380">
        <v>46013</v>
      </c>
    </row>
    <row r="6101" spans="3:8" x14ac:dyDescent="0.25">
      <c r="C6101" s="1378">
        <v>52</v>
      </c>
      <c r="D6101" s="1378">
        <v>25</v>
      </c>
      <c r="E6101" s="1379">
        <v>42.6</v>
      </c>
      <c r="F6101" s="4">
        <f t="shared" si="104"/>
        <v>-4.697986577181211E-2</v>
      </c>
      <c r="G6101" s="37">
        <v>34.700000000000003</v>
      </c>
      <c r="H6101" s="1380">
        <v>46013</v>
      </c>
    </row>
    <row r="6102" spans="3:8" x14ac:dyDescent="0.25">
      <c r="C6102" s="1378">
        <v>1</v>
      </c>
      <c r="D6102" s="1378">
        <v>49</v>
      </c>
      <c r="E6102" s="1379">
        <v>26.1</v>
      </c>
      <c r="F6102" s="4">
        <f t="shared" si="104"/>
        <v>-3.6900369003690037E-2</v>
      </c>
      <c r="G6102" s="37">
        <v>34.700000000000003</v>
      </c>
      <c r="H6102" s="1380">
        <v>46013</v>
      </c>
    </row>
    <row r="6103" spans="3:8" x14ac:dyDescent="0.25">
      <c r="C6103" s="1378">
        <v>2</v>
      </c>
      <c r="D6103" s="1378">
        <v>40</v>
      </c>
      <c r="E6103" s="1379">
        <v>31.9</v>
      </c>
      <c r="F6103" s="4">
        <f t="shared" si="104"/>
        <v>1.5923566878980892E-2</v>
      </c>
      <c r="G6103" s="37">
        <v>34.700000000000003</v>
      </c>
      <c r="H6103" s="1380">
        <v>46013</v>
      </c>
    </row>
    <row r="6104" spans="3:8" x14ac:dyDescent="0.25">
      <c r="C6104" s="1378">
        <v>3</v>
      </c>
      <c r="D6104" s="1378">
        <v>109</v>
      </c>
      <c r="E6104" s="1379">
        <v>39.799999999999997</v>
      </c>
      <c r="F6104" s="4">
        <f t="shared" si="104"/>
        <v>-5.0000000000000712E-3</v>
      </c>
      <c r="G6104" s="37">
        <v>34.700000000000003</v>
      </c>
      <c r="H6104" s="1380">
        <v>46013</v>
      </c>
    </row>
    <row r="6105" spans="3:8" x14ac:dyDescent="0.25">
      <c r="C6105" s="1378">
        <v>4</v>
      </c>
      <c r="D6105" s="1378">
        <v>98</v>
      </c>
      <c r="E6105" s="1379">
        <v>37.299999999999997</v>
      </c>
      <c r="F6105" s="4">
        <f t="shared" si="104"/>
        <v>-7.978723404255433E-3</v>
      </c>
      <c r="G6105" s="37">
        <v>34.700000000000003</v>
      </c>
      <c r="H6105" s="1380">
        <v>46013</v>
      </c>
    </row>
    <row r="6106" spans="3:8" x14ac:dyDescent="0.25">
      <c r="C6106" s="1378">
        <v>5</v>
      </c>
      <c r="D6106" s="1378">
        <v>0</v>
      </c>
      <c r="E6106" s="1379"/>
      <c r="F6106" s="4" t="str">
        <f t="shared" si="104"/>
        <v/>
      </c>
      <c r="G6106" s="37">
        <v>34.700000000000003</v>
      </c>
      <c r="H6106" s="1380">
        <v>46013</v>
      </c>
    </row>
    <row r="6107" spans="3:8" x14ac:dyDescent="0.25">
      <c r="C6107" s="1378">
        <v>6</v>
      </c>
      <c r="D6107" s="1378">
        <v>120</v>
      </c>
      <c r="E6107" s="1379">
        <v>26.7</v>
      </c>
      <c r="F6107" s="4">
        <f t="shared" si="104"/>
        <v>1.5209125475285117E-2</v>
      </c>
      <c r="G6107" s="37">
        <v>34.700000000000003</v>
      </c>
      <c r="H6107" s="1380">
        <v>46013</v>
      </c>
    </row>
    <row r="6108" spans="3:8" x14ac:dyDescent="0.25">
      <c r="C6108" s="1378">
        <v>7</v>
      </c>
      <c r="D6108" s="1378">
        <v>0</v>
      </c>
      <c r="E6108" s="1379"/>
      <c r="F6108" s="4" t="str">
        <f t="shared" si="104"/>
        <v/>
      </c>
      <c r="G6108" s="37">
        <v>34.700000000000003</v>
      </c>
      <c r="H6108" s="1380">
        <v>46013</v>
      </c>
    </row>
    <row r="6109" spans="3:8" x14ac:dyDescent="0.25">
      <c r="C6109" s="1378">
        <v>8</v>
      </c>
      <c r="D6109" s="1378">
        <v>0</v>
      </c>
      <c r="E6109" s="1379"/>
      <c r="F6109" s="4" t="str">
        <f t="shared" si="104"/>
        <v/>
      </c>
      <c r="G6109" s="37">
        <v>34.700000000000003</v>
      </c>
      <c r="H6109" s="1380">
        <v>46013</v>
      </c>
    </row>
    <row r="6110" spans="3:8" x14ac:dyDescent="0.25">
      <c r="C6110" s="1378">
        <v>9</v>
      </c>
      <c r="D6110" s="1378">
        <v>98</v>
      </c>
      <c r="E6110" s="1379">
        <v>37.1</v>
      </c>
      <c r="F6110" s="4">
        <f t="shared" si="104"/>
        <v>5.4200542005420826E-3</v>
      </c>
      <c r="G6110" s="37">
        <v>34.700000000000003</v>
      </c>
      <c r="H6110" s="1380">
        <v>46013</v>
      </c>
    </row>
    <row r="6111" spans="3:8" x14ac:dyDescent="0.25">
      <c r="C6111" s="1378">
        <v>10</v>
      </c>
      <c r="D6111" s="1378">
        <v>93</v>
      </c>
      <c r="E6111" s="1379">
        <v>34</v>
      </c>
      <c r="F6111" s="4">
        <f t="shared" si="104"/>
        <v>3.9755351681957096E-2</v>
      </c>
      <c r="G6111" s="37">
        <v>34.700000000000003</v>
      </c>
      <c r="H6111" s="1380">
        <v>46013</v>
      </c>
    </row>
    <row r="6112" spans="3:8" x14ac:dyDescent="0.25">
      <c r="C6112" s="1381" t="s">
        <v>0</v>
      </c>
      <c r="D6112" s="1381" t="s">
        <v>7</v>
      </c>
      <c r="E6112" s="1382" t="s">
        <v>4</v>
      </c>
      <c r="F6112" s="4" t="str">
        <f t="shared" si="104"/>
        <v/>
      </c>
      <c r="G6112" s="37">
        <v>35.4</v>
      </c>
      <c r="H6112" s="1383">
        <v>46014</v>
      </c>
    </row>
    <row r="6113" spans="3:8" x14ac:dyDescent="0.25">
      <c r="C6113" s="1381">
        <v>51</v>
      </c>
      <c r="D6113" s="1381">
        <v>30</v>
      </c>
      <c r="E6113" s="1382">
        <v>33.6</v>
      </c>
      <c r="F6113" s="4">
        <f t="shared" si="104"/>
        <v>8.7378640776699129E-2</v>
      </c>
      <c r="G6113" s="37">
        <v>35.4</v>
      </c>
      <c r="H6113" s="1383">
        <v>46014</v>
      </c>
    </row>
    <row r="6114" spans="3:8" x14ac:dyDescent="0.25">
      <c r="C6114" s="1381">
        <v>52</v>
      </c>
      <c r="D6114" s="1381">
        <v>25</v>
      </c>
      <c r="E6114" s="1382">
        <v>45.3</v>
      </c>
      <c r="F6114" s="4">
        <f t="shared" si="104"/>
        <v>6.3380281690140747E-2</v>
      </c>
      <c r="G6114" s="37">
        <v>35.4</v>
      </c>
      <c r="H6114" s="1383">
        <v>46014</v>
      </c>
    </row>
    <row r="6115" spans="3:8" x14ac:dyDescent="0.25">
      <c r="C6115" s="1381">
        <v>1</v>
      </c>
      <c r="D6115" s="1381">
        <v>50</v>
      </c>
      <c r="E6115" s="1382">
        <v>27.4</v>
      </c>
      <c r="F6115" s="4">
        <f t="shared" si="104"/>
        <v>4.9808429118773832E-2</v>
      </c>
      <c r="G6115" s="37">
        <v>35.4</v>
      </c>
      <c r="H6115" s="1383">
        <v>46014</v>
      </c>
    </row>
    <row r="6116" spans="3:8" x14ac:dyDescent="0.25">
      <c r="C6116" s="1381">
        <v>2</v>
      </c>
      <c r="D6116" s="1381">
        <v>40</v>
      </c>
      <c r="E6116" s="1382">
        <v>32.1</v>
      </c>
      <c r="F6116" s="4">
        <f t="shared" si="104"/>
        <v>6.2695924764891173E-3</v>
      </c>
      <c r="G6116" s="37">
        <v>35.4</v>
      </c>
      <c r="H6116" s="1383">
        <v>46014</v>
      </c>
    </row>
    <row r="6117" spans="3:8" x14ac:dyDescent="0.25">
      <c r="C6117" s="1381">
        <v>3</v>
      </c>
      <c r="D6117" s="1381">
        <v>107</v>
      </c>
      <c r="E6117" s="1382">
        <v>40.799999999999997</v>
      </c>
      <c r="F6117" s="4">
        <f t="shared" si="104"/>
        <v>2.5125628140703519E-2</v>
      </c>
      <c r="G6117" s="37">
        <v>35.4</v>
      </c>
      <c r="H6117" s="1383">
        <v>46014</v>
      </c>
    </row>
    <row r="6118" spans="3:8" x14ac:dyDescent="0.25">
      <c r="C6118" s="1381">
        <v>4</v>
      </c>
      <c r="D6118" s="1381">
        <v>98</v>
      </c>
      <c r="E6118" s="1382">
        <v>37.9</v>
      </c>
      <c r="F6118" s="4">
        <f t="shared" si="104"/>
        <v>1.6085790884718537E-2</v>
      </c>
      <c r="G6118" s="37">
        <v>35.4</v>
      </c>
      <c r="H6118" s="1383">
        <v>46014</v>
      </c>
    </row>
    <row r="6119" spans="3:8" x14ac:dyDescent="0.25">
      <c r="C6119" s="1381">
        <v>5</v>
      </c>
      <c r="D6119" s="1381">
        <v>0</v>
      </c>
      <c r="E6119" s="1382"/>
      <c r="F6119" s="4" t="str">
        <f t="shared" si="104"/>
        <v/>
      </c>
      <c r="G6119" s="37">
        <v>35.4</v>
      </c>
      <c r="H6119" s="1383">
        <v>46014</v>
      </c>
    </row>
    <row r="6120" spans="3:8" x14ac:dyDescent="0.25">
      <c r="C6120" s="1381">
        <v>6</v>
      </c>
      <c r="D6120" s="1381">
        <v>120</v>
      </c>
      <c r="E6120" s="1382">
        <v>27</v>
      </c>
      <c r="F6120" s="4">
        <f t="shared" si="104"/>
        <v>1.1235955056179803E-2</v>
      </c>
      <c r="G6120" s="37">
        <v>35.4</v>
      </c>
      <c r="H6120" s="1383">
        <v>46014</v>
      </c>
    </row>
    <row r="6121" spans="3:8" x14ac:dyDescent="0.25">
      <c r="C6121" s="1381">
        <v>7</v>
      </c>
      <c r="D6121" s="1381">
        <v>0</v>
      </c>
      <c r="E6121" s="1382"/>
      <c r="F6121" s="4" t="str">
        <f t="shared" si="104"/>
        <v/>
      </c>
      <c r="G6121" s="37">
        <v>35.4</v>
      </c>
      <c r="H6121" s="1383">
        <v>46014</v>
      </c>
    </row>
    <row r="6122" spans="3:8" x14ac:dyDescent="0.25">
      <c r="C6122" s="1381">
        <v>8</v>
      </c>
      <c r="D6122" s="1381">
        <v>0</v>
      </c>
      <c r="E6122" s="1382"/>
      <c r="F6122" s="4" t="str">
        <f t="shared" si="104"/>
        <v/>
      </c>
      <c r="G6122" s="37">
        <v>35.4</v>
      </c>
      <c r="H6122" s="1383">
        <v>46014</v>
      </c>
    </row>
    <row r="6123" spans="3:8" x14ac:dyDescent="0.25">
      <c r="C6123" s="1381">
        <v>9</v>
      </c>
      <c r="D6123" s="1381">
        <v>98</v>
      </c>
      <c r="E6123" s="1382">
        <v>38.1</v>
      </c>
      <c r="F6123" s="4">
        <f t="shared" si="104"/>
        <v>2.6954177897574122E-2</v>
      </c>
      <c r="G6123" s="37">
        <v>35.4</v>
      </c>
      <c r="H6123" s="1383">
        <v>46014</v>
      </c>
    </row>
    <row r="6124" spans="3:8" x14ac:dyDescent="0.25">
      <c r="C6124" s="1381">
        <v>10</v>
      </c>
      <c r="D6124" s="1381">
        <v>93</v>
      </c>
      <c r="E6124" s="1382">
        <v>34.9</v>
      </c>
      <c r="F6124" s="4">
        <f t="shared" si="104"/>
        <v>2.6470588235294076E-2</v>
      </c>
      <c r="G6124" s="37">
        <v>35.4</v>
      </c>
      <c r="H6124" s="1383">
        <v>46014</v>
      </c>
    </row>
    <row r="6125" spans="3:8" x14ac:dyDescent="0.25">
      <c r="C6125" s="1384" t="s">
        <v>0</v>
      </c>
      <c r="D6125" s="1384" t="s">
        <v>7</v>
      </c>
      <c r="E6125" s="1385" t="s">
        <v>4</v>
      </c>
      <c r="F6125" s="4" t="str">
        <f t="shared" si="104"/>
        <v/>
      </c>
      <c r="G6125" s="37">
        <v>34.9</v>
      </c>
      <c r="H6125" s="1386">
        <v>46015</v>
      </c>
    </row>
    <row r="6126" spans="3:8" x14ac:dyDescent="0.25">
      <c r="C6126" s="1384">
        <v>51</v>
      </c>
      <c r="D6126" s="1384">
        <v>24</v>
      </c>
      <c r="E6126" s="1385">
        <v>31.7</v>
      </c>
      <c r="F6126" s="4">
        <f t="shared" si="104"/>
        <v>-5.654761904761911E-2</v>
      </c>
      <c r="G6126" s="37">
        <v>34.9</v>
      </c>
      <c r="H6126" s="1386">
        <v>46015</v>
      </c>
    </row>
    <row r="6127" spans="3:8" x14ac:dyDescent="0.25">
      <c r="C6127" s="1384">
        <v>52</v>
      </c>
      <c r="D6127" s="1384">
        <v>31</v>
      </c>
      <c r="E6127" s="1385">
        <v>43.5</v>
      </c>
      <c r="F6127" s="4">
        <f t="shared" si="104"/>
        <v>-3.9735099337748284E-2</v>
      </c>
      <c r="G6127" s="37">
        <v>34.9</v>
      </c>
      <c r="H6127" s="1386">
        <v>46015</v>
      </c>
    </row>
    <row r="6128" spans="3:8" x14ac:dyDescent="0.25">
      <c r="C6128" s="1384">
        <v>1</v>
      </c>
      <c r="D6128" s="1384">
        <v>49</v>
      </c>
      <c r="E6128" s="1385">
        <v>26.6</v>
      </c>
      <c r="F6128" s="4">
        <f t="shared" si="104"/>
        <v>-2.9197080291970701E-2</v>
      </c>
      <c r="G6128" s="37">
        <v>34.9</v>
      </c>
      <c r="H6128" s="1386">
        <v>46015</v>
      </c>
    </row>
    <row r="6129" spans="3:8" x14ac:dyDescent="0.25">
      <c r="C6129" s="1384">
        <v>2</v>
      </c>
      <c r="D6129" s="1384">
        <v>40</v>
      </c>
      <c r="E6129" s="1385">
        <v>31.5</v>
      </c>
      <c r="F6129" s="4">
        <f t="shared" si="104"/>
        <v>-1.8691588785046773E-2</v>
      </c>
      <c r="G6129" s="37">
        <v>34.9</v>
      </c>
      <c r="H6129" s="1386">
        <v>46015</v>
      </c>
    </row>
    <row r="6130" spans="3:8" x14ac:dyDescent="0.25">
      <c r="C6130" s="1384">
        <v>3</v>
      </c>
      <c r="D6130" s="1384">
        <v>107</v>
      </c>
      <c r="E6130" s="1385">
        <v>41.5</v>
      </c>
      <c r="F6130" s="4">
        <f t="shared" si="104"/>
        <v>1.715686274509811E-2</v>
      </c>
      <c r="G6130" s="37">
        <v>34.9</v>
      </c>
      <c r="H6130" s="1386">
        <v>46015</v>
      </c>
    </row>
    <row r="6131" spans="3:8" x14ac:dyDescent="0.25">
      <c r="C6131" s="1384">
        <v>4</v>
      </c>
      <c r="D6131" s="1384">
        <v>98</v>
      </c>
      <c r="E6131" s="1385">
        <v>38</v>
      </c>
      <c r="F6131" s="4">
        <f t="shared" si="104"/>
        <v>2.6385224274406709E-3</v>
      </c>
      <c r="G6131" s="37">
        <v>34.9</v>
      </c>
      <c r="H6131" s="1386">
        <v>46015</v>
      </c>
    </row>
    <row r="6132" spans="3:8" x14ac:dyDescent="0.25">
      <c r="C6132" s="1384">
        <v>5</v>
      </c>
      <c r="D6132" s="1384">
        <v>0</v>
      </c>
      <c r="E6132" s="1385"/>
      <c r="F6132" s="4" t="str">
        <f t="shared" si="104"/>
        <v/>
      </c>
      <c r="G6132" s="37">
        <v>34.9</v>
      </c>
      <c r="H6132" s="1386">
        <v>46015</v>
      </c>
    </row>
    <row r="6133" spans="3:8" x14ac:dyDescent="0.25">
      <c r="C6133" s="1384">
        <v>6</v>
      </c>
      <c r="D6133" s="1384">
        <v>119</v>
      </c>
      <c r="E6133" s="1385">
        <v>25.9</v>
      </c>
      <c r="F6133" s="4">
        <f t="shared" si="104"/>
        <v>-4.0740740740740793E-2</v>
      </c>
      <c r="G6133" s="37">
        <v>34.9</v>
      </c>
      <c r="H6133" s="1386">
        <v>46015</v>
      </c>
    </row>
    <row r="6134" spans="3:8" x14ac:dyDescent="0.25">
      <c r="C6134" s="1384">
        <v>7</v>
      </c>
      <c r="D6134" s="1384">
        <v>0</v>
      </c>
      <c r="E6134" s="1385"/>
      <c r="F6134" s="4" t="str">
        <f t="shared" si="104"/>
        <v/>
      </c>
      <c r="G6134" s="37">
        <v>34.9</v>
      </c>
      <c r="H6134" s="1386">
        <v>46015</v>
      </c>
    </row>
    <row r="6135" spans="3:8" x14ac:dyDescent="0.25">
      <c r="C6135" s="1384">
        <v>8</v>
      </c>
      <c r="D6135" s="1384">
        <v>0</v>
      </c>
      <c r="E6135" s="1385"/>
      <c r="F6135" s="4" t="str">
        <f t="shared" si="104"/>
        <v/>
      </c>
      <c r="G6135" s="37">
        <v>34.9</v>
      </c>
      <c r="H6135" s="1386">
        <v>46015</v>
      </c>
    </row>
    <row r="6136" spans="3:8" x14ac:dyDescent="0.25">
      <c r="C6136" s="1384">
        <v>9</v>
      </c>
      <c r="D6136" s="1384">
        <v>98</v>
      </c>
      <c r="E6136" s="1385">
        <v>37.4</v>
      </c>
      <c r="F6136" s="4">
        <f t="shared" si="104"/>
        <v>-1.8372703412073563E-2</v>
      </c>
      <c r="G6136" s="37">
        <v>34.9</v>
      </c>
      <c r="H6136" s="1386">
        <v>46015</v>
      </c>
    </row>
    <row r="6137" spans="3:8" x14ac:dyDescent="0.25">
      <c r="C6137" s="1384">
        <v>10</v>
      </c>
      <c r="D6137" s="1384">
        <v>93</v>
      </c>
      <c r="E6137" s="1385">
        <v>33.9</v>
      </c>
      <c r="F6137" s="4">
        <f t="shared" si="104"/>
        <v>-2.865329512893983E-2</v>
      </c>
      <c r="G6137" s="37">
        <v>34.9</v>
      </c>
      <c r="H6137" s="1386">
        <v>46015</v>
      </c>
    </row>
    <row r="6138" spans="3:8" x14ac:dyDescent="0.25">
      <c r="C6138" s="1387" t="s">
        <v>0</v>
      </c>
      <c r="D6138" s="1387" t="s">
        <v>7</v>
      </c>
      <c r="E6138" s="1388" t="s">
        <v>4</v>
      </c>
      <c r="F6138" s="4" t="str">
        <f t="shared" si="104"/>
        <v/>
      </c>
      <c r="G6138" s="37">
        <v>33.4</v>
      </c>
      <c r="H6138" s="1389">
        <v>46016</v>
      </c>
    </row>
    <row r="6139" spans="3:8" x14ac:dyDescent="0.25">
      <c r="C6139" s="1387">
        <v>51</v>
      </c>
      <c r="D6139" s="1387">
        <v>26</v>
      </c>
      <c r="E6139" s="1388">
        <v>29.1</v>
      </c>
      <c r="F6139" s="4">
        <f t="shared" si="104"/>
        <v>-8.2018927444794887E-2</v>
      </c>
      <c r="G6139" s="37">
        <v>33.4</v>
      </c>
      <c r="H6139" s="1389">
        <v>46016</v>
      </c>
    </row>
    <row r="6140" spans="3:8" x14ac:dyDescent="0.25">
      <c r="C6140" s="1387">
        <v>52</v>
      </c>
      <c r="D6140" s="1387">
        <v>31</v>
      </c>
      <c r="E6140" s="1388">
        <v>44.9</v>
      </c>
      <c r="F6140" s="4">
        <f t="shared" si="104"/>
        <v>3.2183908045976976E-2</v>
      </c>
      <c r="G6140" s="37">
        <v>33.4</v>
      </c>
      <c r="H6140" s="1389">
        <v>46016</v>
      </c>
    </row>
    <row r="6141" spans="3:8" x14ac:dyDescent="0.25">
      <c r="C6141" s="1387">
        <v>1</v>
      </c>
      <c r="D6141" s="1387">
        <v>49</v>
      </c>
      <c r="E6141" s="1388">
        <v>22.2</v>
      </c>
      <c r="F6141" s="4">
        <f t="shared" si="104"/>
        <v>-0.16541353383458654</v>
      </c>
      <c r="G6141" s="37">
        <v>33.4</v>
      </c>
      <c r="H6141" s="1389">
        <v>46016</v>
      </c>
    </row>
    <row r="6142" spans="3:8" x14ac:dyDescent="0.25">
      <c r="C6142" s="1387">
        <v>2</v>
      </c>
      <c r="D6142" s="1387">
        <v>40</v>
      </c>
      <c r="E6142" s="1388">
        <v>31.6</v>
      </c>
      <c r="F6142" s="4">
        <f t="shared" si="104"/>
        <v>3.1746031746032197E-3</v>
      </c>
      <c r="G6142" s="37">
        <v>33.4</v>
      </c>
      <c r="H6142" s="1389">
        <v>46016</v>
      </c>
    </row>
    <row r="6143" spans="3:8" x14ac:dyDescent="0.25">
      <c r="C6143" s="1387">
        <v>3</v>
      </c>
      <c r="D6143" s="1387">
        <v>107</v>
      </c>
      <c r="E6143" s="1388">
        <v>40.4</v>
      </c>
      <c r="F6143" s="4">
        <f t="shared" si="104"/>
        <v>-2.6506024096385576E-2</v>
      </c>
      <c r="G6143" s="37">
        <v>33.4</v>
      </c>
      <c r="H6143" s="1389">
        <v>46016</v>
      </c>
    </row>
    <row r="6144" spans="3:8" x14ac:dyDescent="0.25">
      <c r="C6144" s="1387">
        <v>4</v>
      </c>
      <c r="D6144" s="1387">
        <v>98</v>
      </c>
      <c r="E6144" s="1388">
        <v>37.299999999999997</v>
      </c>
      <c r="F6144" s="4">
        <f t="shared" si="104"/>
        <v>-1.8421052631579022E-2</v>
      </c>
      <c r="G6144" s="37">
        <v>33.4</v>
      </c>
      <c r="H6144" s="1389">
        <v>46016</v>
      </c>
    </row>
    <row r="6145" spans="3:8" x14ac:dyDescent="0.25">
      <c r="C6145" s="1387">
        <v>5</v>
      </c>
      <c r="D6145" s="1387">
        <v>0</v>
      </c>
      <c r="E6145" s="1388"/>
      <c r="F6145" s="4" t="str">
        <f t="shared" si="104"/>
        <v/>
      </c>
      <c r="G6145" s="37">
        <v>33.4</v>
      </c>
      <c r="H6145" s="1389">
        <v>46016</v>
      </c>
    </row>
    <row r="6146" spans="3:8" x14ac:dyDescent="0.25">
      <c r="C6146" s="1387">
        <v>6</v>
      </c>
      <c r="D6146" s="1387">
        <v>117</v>
      </c>
      <c r="E6146" s="1388">
        <v>24.1</v>
      </c>
      <c r="F6146" s="4">
        <f t="shared" si="104"/>
        <v>-6.9498069498069387E-2</v>
      </c>
      <c r="G6146" s="37">
        <v>33.4</v>
      </c>
      <c r="H6146" s="1389">
        <v>46016</v>
      </c>
    </row>
    <row r="6147" spans="3:8" x14ac:dyDescent="0.25">
      <c r="C6147" s="1387">
        <v>7</v>
      </c>
      <c r="D6147" s="1387">
        <v>0</v>
      </c>
      <c r="E6147" s="1388"/>
      <c r="F6147" s="4" t="str">
        <f t="shared" si="104"/>
        <v/>
      </c>
      <c r="G6147" s="37">
        <v>33.4</v>
      </c>
      <c r="H6147" s="1389">
        <v>46016</v>
      </c>
    </row>
    <row r="6148" spans="3:8" x14ac:dyDescent="0.25">
      <c r="C6148" s="1387">
        <v>8</v>
      </c>
      <c r="D6148" s="1387">
        <v>0</v>
      </c>
      <c r="E6148" s="1388"/>
      <c r="F6148" s="4" t="str">
        <f t="shared" si="104"/>
        <v/>
      </c>
      <c r="G6148" s="37">
        <v>33.4</v>
      </c>
      <c r="H6148" s="1389">
        <v>46016</v>
      </c>
    </row>
    <row r="6149" spans="3:8" x14ac:dyDescent="0.25">
      <c r="C6149" s="1387">
        <v>9</v>
      </c>
      <c r="D6149" s="1387">
        <v>97</v>
      </c>
      <c r="E6149" s="1388">
        <v>36.200000000000003</v>
      </c>
      <c r="F6149" s="4">
        <f t="shared" si="104"/>
        <v>-3.2085561497326089E-2</v>
      </c>
      <c r="G6149" s="37">
        <v>33.4</v>
      </c>
      <c r="H6149" s="1389">
        <v>46016</v>
      </c>
    </row>
    <row r="6150" spans="3:8" x14ac:dyDescent="0.25">
      <c r="C6150" s="1387">
        <v>10</v>
      </c>
      <c r="D6150" s="1387">
        <v>94</v>
      </c>
      <c r="E6150" s="1388">
        <v>30.4</v>
      </c>
      <c r="F6150" s="4">
        <f t="shared" si="104"/>
        <v>-0.10324483775811209</v>
      </c>
      <c r="G6150" s="37">
        <v>33.4</v>
      </c>
      <c r="H6150" s="1389">
        <v>46016</v>
      </c>
    </row>
    <row r="6151" spans="3:8" x14ac:dyDescent="0.25">
      <c r="C6151" s="1390" t="s">
        <v>0</v>
      </c>
      <c r="D6151" s="1390" t="s">
        <v>7</v>
      </c>
      <c r="E6151" s="1391" t="s">
        <v>4</v>
      </c>
      <c r="F6151" s="4" t="str">
        <f t="shared" si="104"/>
        <v/>
      </c>
      <c r="G6151" s="37">
        <v>34.1</v>
      </c>
      <c r="H6151" s="1392">
        <v>46017</v>
      </c>
    </row>
    <row r="6152" spans="3:8" x14ac:dyDescent="0.25">
      <c r="C6152" s="1390">
        <v>51</v>
      </c>
      <c r="D6152" s="1390">
        <v>30</v>
      </c>
      <c r="E6152" s="1391">
        <v>30.7</v>
      </c>
      <c r="F6152" s="4">
        <f t="shared" si="104"/>
        <v>5.498281786941573E-2</v>
      </c>
      <c r="G6152" s="37">
        <v>34.1</v>
      </c>
      <c r="H6152" s="1392">
        <v>46017</v>
      </c>
    </row>
    <row r="6153" spans="3:8" x14ac:dyDescent="0.25">
      <c r="C6153" s="1390">
        <v>52</v>
      </c>
      <c r="D6153" s="1390">
        <v>31</v>
      </c>
      <c r="E6153" s="1391">
        <v>46</v>
      </c>
      <c r="F6153" s="4">
        <f t="shared" si="104"/>
        <v>2.4498886414253931E-2</v>
      </c>
      <c r="G6153" s="37">
        <v>34.1</v>
      </c>
      <c r="H6153" s="1392">
        <v>46017</v>
      </c>
    </row>
    <row r="6154" spans="3:8" x14ac:dyDescent="0.25">
      <c r="C6154" s="1390">
        <v>1</v>
      </c>
      <c r="D6154" s="1390">
        <v>49</v>
      </c>
      <c r="E6154" s="1391">
        <v>21.6</v>
      </c>
      <c r="F6154" s="4">
        <f t="shared" si="104"/>
        <v>-2.7027027027026931E-2</v>
      </c>
      <c r="G6154" s="37">
        <v>34.1</v>
      </c>
      <c r="H6154" s="1392">
        <v>46017</v>
      </c>
    </row>
    <row r="6155" spans="3:8" x14ac:dyDescent="0.25">
      <c r="C6155" s="1390">
        <v>2</v>
      </c>
      <c r="D6155" s="1390">
        <v>40</v>
      </c>
      <c r="E6155" s="1391">
        <v>32.4</v>
      </c>
      <c r="F6155" s="4">
        <f t="shared" si="104"/>
        <v>2.5316455696202441E-2</v>
      </c>
      <c r="G6155" s="37">
        <v>34.1</v>
      </c>
      <c r="H6155" s="1392">
        <v>46017</v>
      </c>
    </row>
    <row r="6156" spans="3:8" x14ac:dyDescent="0.25">
      <c r="C6156" s="1390">
        <v>3</v>
      </c>
      <c r="D6156" s="1390">
        <v>116</v>
      </c>
      <c r="E6156" s="1391">
        <v>39.5</v>
      </c>
      <c r="F6156" s="4">
        <f t="shared" si="104"/>
        <v>-2.2277227722772242E-2</v>
      </c>
      <c r="G6156" s="37">
        <v>34.1</v>
      </c>
      <c r="H6156" s="1392">
        <v>46017</v>
      </c>
    </row>
    <row r="6157" spans="3:8" x14ac:dyDescent="0.25">
      <c r="C6157" s="1390">
        <v>4</v>
      </c>
      <c r="D6157" s="1390">
        <v>97</v>
      </c>
      <c r="E6157" s="1391">
        <v>37.9</v>
      </c>
      <c r="F6157" s="4">
        <f t="shared" si="104"/>
        <v>1.6085790884718537E-2</v>
      </c>
      <c r="G6157" s="37">
        <v>34.1</v>
      </c>
      <c r="H6157" s="1392">
        <v>46017</v>
      </c>
    </row>
    <row r="6158" spans="3:8" x14ac:dyDescent="0.25">
      <c r="C6158" s="1390">
        <v>5</v>
      </c>
      <c r="D6158" s="1390">
        <v>0</v>
      </c>
      <c r="E6158" s="1391"/>
      <c r="F6158" s="4" t="str">
        <f t="shared" si="104"/>
        <v/>
      </c>
      <c r="G6158" s="37">
        <v>34.1</v>
      </c>
      <c r="H6158" s="1392">
        <v>46017</v>
      </c>
    </row>
    <row r="6159" spans="3:8" x14ac:dyDescent="0.25">
      <c r="C6159" s="1390">
        <v>6</v>
      </c>
      <c r="D6159" s="1390">
        <v>118</v>
      </c>
      <c r="E6159" s="1391">
        <v>21.9</v>
      </c>
      <c r="F6159" s="4">
        <f t="shared" si="104"/>
        <v>-9.1286307053942015E-2</v>
      </c>
      <c r="G6159" s="37">
        <v>34.1</v>
      </c>
      <c r="H6159" s="1392">
        <v>46017</v>
      </c>
    </row>
    <row r="6160" spans="3:8" x14ac:dyDescent="0.25">
      <c r="C6160" s="1390">
        <v>7</v>
      </c>
      <c r="D6160" s="1390">
        <v>0</v>
      </c>
      <c r="E6160" s="1391"/>
      <c r="F6160" s="4" t="str">
        <f t="shared" si="104"/>
        <v/>
      </c>
      <c r="G6160" s="37">
        <v>34.1</v>
      </c>
      <c r="H6160" s="1392">
        <v>46017</v>
      </c>
    </row>
    <row r="6161" spans="3:8" x14ac:dyDescent="0.25">
      <c r="C6161" s="1390">
        <v>8</v>
      </c>
      <c r="D6161" s="1390">
        <v>0</v>
      </c>
      <c r="E6161" s="1391"/>
      <c r="F6161" s="4" t="str">
        <f t="shared" si="104"/>
        <v/>
      </c>
      <c r="G6161" s="37">
        <v>34.1</v>
      </c>
      <c r="H6161" s="1392">
        <v>46017</v>
      </c>
    </row>
    <row r="6162" spans="3:8" x14ac:dyDescent="0.25">
      <c r="C6162" s="1390">
        <v>9</v>
      </c>
      <c r="D6162" s="1390">
        <v>96</v>
      </c>
      <c r="E6162" s="1391">
        <v>36.200000000000003</v>
      </c>
      <c r="F6162" s="4">
        <f t="shared" ref="F6162:F6225" si="105">IFERROR((E6162-E6149)/E6149,"")</f>
        <v>0</v>
      </c>
      <c r="G6162" s="37">
        <v>34.1</v>
      </c>
      <c r="H6162" s="1392">
        <v>46017</v>
      </c>
    </row>
    <row r="6163" spans="3:8" x14ac:dyDescent="0.25">
      <c r="C6163" s="1390">
        <v>10</v>
      </c>
      <c r="D6163" s="1390">
        <v>88</v>
      </c>
      <c r="E6163" s="1391">
        <v>27.8</v>
      </c>
      <c r="F6163" s="4">
        <f t="shared" si="105"/>
        <v>-8.5526315789473617E-2</v>
      </c>
      <c r="G6163" s="37">
        <v>34.1</v>
      </c>
      <c r="H6163" s="1392">
        <v>46017</v>
      </c>
    </row>
    <row r="6164" spans="3:8" x14ac:dyDescent="0.25">
      <c r="C6164" s="1393" t="s">
        <v>0</v>
      </c>
      <c r="D6164" s="1393" t="s">
        <v>7</v>
      </c>
      <c r="E6164" s="1394" t="s">
        <v>4</v>
      </c>
      <c r="F6164" s="4" t="str">
        <f t="shared" si="105"/>
        <v/>
      </c>
      <c r="G6164" s="37">
        <v>35.5</v>
      </c>
      <c r="H6164" s="1392">
        <v>46018</v>
      </c>
    </row>
    <row r="6165" spans="3:8" x14ac:dyDescent="0.25">
      <c r="C6165" s="1393">
        <v>51</v>
      </c>
      <c r="D6165" s="1393">
        <v>29</v>
      </c>
      <c r="E6165" s="1394">
        <v>29.4</v>
      </c>
      <c r="F6165" s="4">
        <f t="shared" si="105"/>
        <v>-4.2345276872964195E-2</v>
      </c>
      <c r="G6165" s="37">
        <v>35.5</v>
      </c>
      <c r="H6165" s="1392">
        <v>46018</v>
      </c>
    </row>
    <row r="6166" spans="3:8" x14ac:dyDescent="0.25">
      <c r="C6166" s="1393">
        <v>52</v>
      </c>
      <c r="D6166" s="1393">
        <v>31</v>
      </c>
      <c r="E6166" s="1394">
        <v>43.7</v>
      </c>
      <c r="F6166" s="4">
        <f t="shared" si="105"/>
        <v>-4.999999999999994E-2</v>
      </c>
      <c r="G6166" s="37">
        <v>35.5</v>
      </c>
      <c r="H6166" s="1392">
        <v>46018</v>
      </c>
    </row>
    <row r="6167" spans="3:8" x14ac:dyDescent="0.25">
      <c r="C6167" s="1393">
        <v>1</v>
      </c>
      <c r="D6167" s="1393">
        <v>49</v>
      </c>
      <c r="E6167" s="1394"/>
      <c r="F6167" s="4">
        <f t="shared" si="105"/>
        <v>-1</v>
      </c>
      <c r="G6167" s="37">
        <v>35.5</v>
      </c>
      <c r="H6167" s="1392">
        <v>46018</v>
      </c>
    </row>
    <row r="6168" spans="3:8" x14ac:dyDescent="0.25">
      <c r="C6168" s="1393">
        <v>2</v>
      </c>
      <c r="D6168" s="1393">
        <v>39</v>
      </c>
      <c r="E6168" s="1394">
        <v>32.700000000000003</v>
      </c>
      <c r="F6168" s="4">
        <f t="shared" si="105"/>
        <v>9.2592592592593906E-3</v>
      </c>
      <c r="G6168" s="37">
        <v>35.5</v>
      </c>
      <c r="H6168" s="1392">
        <v>46018</v>
      </c>
    </row>
    <row r="6169" spans="3:8" x14ac:dyDescent="0.25">
      <c r="C6169" s="1393">
        <v>3</v>
      </c>
      <c r="D6169" s="1393">
        <v>116</v>
      </c>
      <c r="E6169" s="1394">
        <v>38.9</v>
      </c>
      <c r="F6169" s="4">
        <f t="shared" si="105"/>
        <v>-1.5189873417721555E-2</v>
      </c>
      <c r="G6169" s="37">
        <v>35.5</v>
      </c>
      <c r="H6169" s="1392">
        <v>46018</v>
      </c>
    </row>
    <row r="6170" spans="3:8" x14ac:dyDescent="0.25">
      <c r="C6170" s="1393">
        <v>4</v>
      </c>
      <c r="D6170" s="1393">
        <v>97</v>
      </c>
      <c r="E6170" s="1394">
        <v>38.299999999999997</v>
      </c>
      <c r="F6170" s="4">
        <f t="shared" si="105"/>
        <v>1.0554089709762496E-2</v>
      </c>
      <c r="G6170" s="37">
        <v>35.5</v>
      </c>
      <c r="H6170" s="1392">
        <v>46018</v>
      </c>
    </row>
    <row r="6171" spans="3:8" x14ac:dyDescent="0.25">
      <c r="C6171" s="1393">
        <v>5</v>
      </c>
      <c r="D6171" s="1393">
        <v>0</v>
      </c>
      <c r="E6171" s="1394"/>
      <c r="F6171" s="4" t="str">
        <f t="shared" si="105"/>
        <v/>
      </c>
      <c r="G6171" s="37">
        <v>35.5</v>
      </c>
      <c r="H6171" s="1392">
        <v>46018</v>
      </c>
    </row>
    <row r="6172" spans="3:8" x14ac:dyDescent="0.25">
      <c r="C6172" s="1393">
        <v>6</v>
      </c>
      <c r="D6172" s="1393">
        <v>118</v>
      </c>
      <c r="E6172" s="1394">
        <v>26.8</v>
      </c>
      <c r="F6172" s="4">
        <f t="shared" si="105"/>
        <v>0.22374429223744302</v>
      </c>
      <c r="G6172" s="37">
        <v>35.5</v>
      </c>
      <c r="H6172" s="1392">
        <v>46018</v>
      </c>
    </row>
    <row r="6173" spans="3:8" x14ac:dyDescent="0.25">
      <c r="C6173" s="1393">
        <v>7</v>
      </c>
      <c r="D6173" s="1393">
        <v>0</v>
      </c>
      <c r="E6173" s="1394"/>
      <c r="F6173" s="4" t="str">
        <f t="shared" si="105"/>
        <v/>
      </c>
      <c r="G6173" s="37">
        <v>35.5</v>
      </c>
      <c r="H6173" s="1392">
        <v>46018</v>
      </c>
    </row>
    <row r="6174" spans="3:8" x14ac:dyDescent="0.25">
      <c r="C6174" s="1393">
        <v>8</v>
      </c>
      <c r="D6174" s="1393">
        <v>0</v>
      </c>
      <c r="E6174" s="1394"/>
      <c r="F6174" s="4" t="str">
        <f t="shared" si="105"/>
        <v/>
      </c>
      <c r="G6174" s="37">
        <v>35.5</v>
      </c>
      <c r="H6174" s="1392">
        <v>46018</v>
      </c>
    </row>
    <row r="6175" spans="3:8" x14ac:dyDescent="0.25">
      <c r="C6175" s="1393">
        <v>9</v>
      </c>
      <c r="D6175" s="1393">
        <v>96</v>
      </c>
      <c r="E6175" s="1394">
        <v>37.4</v>
      </c>
      <c r="F6175" s="4">
        <f t="shared" si="105"/>
        <v>3.3149171270718113E-2</v>
      </c>
      <c r="G6175" s="37">
        <v>35.5</v>
      </c>
      <c r="H6175" s="1392">
        <v>46018</v>
      </c>
    </row>
    <row r="6176" spans="3:8" x14ac:dyDescent="0.25">
      <c r="C6176" s="1393">
        <v>10</v>
      </c>
      <c r="D6176" s="1393">
        <v>88</v>
      </c>
      <c r="E6176" s="1394">
        <v>33.200000000000003</v>
      </c>
      <c r="F6176" s="4">
        <f t="shared" si="105"/>
        <v>0.19424460431654683</v>
      </c>
      <c r="G6176" s="37">
        <v>35.5</v>
      </c>
      <c r="H6176" s="1392">
        <v>46018</v>
      </c>
    </row>
    <row r="6177" spans="3:8" x14ac:dyDescent="0.25">
      <c r="C6177" s="1395" t="s">
        <v>0</v>
      </c>
      <c r="D6177" s="1395" t="s">
        <v>7</v>
      </c>
      <c r="E6177" s="1396" t="s">
        <v>4</v>
      </c>
      <c r="F6177" s="4" t="str">
        <f t="shared" si="105"/>
        <v/>
      </c>
      <c r="G6177" s="37">
        <v>35.6</v>
      </c>
      <c r="H6177" s="1397">
        <v>46019</v>
      </c>
    </row>
    <row r="6178" spans="3:8" x14ac:dyDescent="0.25">
      <c r="C6178" s="1395">
        <v>51</v>
      </c>
      <c r="D6178" s="1395">
        <v>28</v>
      </c>
      <c r="E6178" s="1396">
        <v>30.7</v>
      </c>
      <c r="F6178" s="4">
        <f t="shared" si="105"/>
        <v>4.421768707482996E-2</v>
      </c>
      <c r="G6178" s="37">
        <v>35.6</v>
      </c>
      <c r="H6178" s="1397">
        <v>46019</v>
      </c>
    </row>
    <row r="6179" spans="3:8" x14ac:dyDescent="0.25">
      <c r="C6179" s="1395">
        <v>52</v>
      </c>
      <c r="D6179" s="1395">
        <v>32</v>
      </c>
      <c r="E6179" s="1396">
        <v>45.8</v>
      </c>
      <c r="F6179" s="4">
        <f t="shared" si="105"/>
        <v>4.8054919908466685E-2</v>
      </c>
      <c r="G6179" s="37">
        <v>35.6</v>
      </c>
      <c r="H6179" s="1397">
        <v>46019</v>
      </c>
    </row>
    <row r="6180" spans="3:8" x14ac:dyDescent="0.25">
      <c r="C6180" s="1395">
        <v>1</v>
      </c>
      <c r="D6180" s="1395"/>
      <c r="E6180" s="1396"/>
      <c r="F6180" s="4" t="str">
        <f t="shared" si="105"/>
        <v/>
      </c>
      <c r="G6180" s="37">
        <v>35.6</v>
      </c>
      <c r="H6180" s="1397">
        <v>46019</v>
      </c>
    </row>
    <row r="6181" spans="3:8" x14ac:dyDescent="0.25">
      <c r="C6181" s="1395">
        <v>2</v>
      </c>
      <c r="D6181" s="1395">
        <v>42</v>
      </c>
      <c r="E6181" s="1396">
        <v>32.5</v>
      </c>
      <c r="F6181" s="4">
        <f t="shared" si="105"/>
        <v>-6.1162079510704232E-3</v>
      </c>
      <c r="G6181" s="37">
        <v>35.6</v>
      </c>
      <c r="H6181" s="1397">
        <v>46019</v>
      </c>
    </row>
    <row r="6182" spans="3:8" x14ac:dyDescent="0.25">
      <c r="C6182" s="1395">
        <v>3</v>
      </c>
      <c r="D6182" s="1395">
        <v>119</v>
      </c>
      <c r="E6182" s="1396">
        <v>38.5</v>
      </c>
      <c r="F6182" s="4">
        <f t="shared" si="105"/>
        <v>-1.028277634961436E-2</v>
      </c>
      <c r="G6182" s="37">
        <v>35.6</v>
      </c>
      <c r="H6182" s="1397">
        <v>46019</v>
      </c>
    </row>
    <row r="6183" spans="3:8" x14ac:dyDescent="0.25">
      <c r="C6183" s="1395">
        <v>4</v>
      </c>
      <c r="D6183" s="1395">
        <v>98</v>
      </c>
      <c r="E6183" s="1396">
        <v>38.4</v>
      </c>
      <c r="F6183" s="4">
        <f t="shared" si="105"/>
        <v>2.6109660574412906E-3</v>
      </c>
      <c r="G6183" s="37">
        <v>35.6</v>
      </c>
      <c r="H6183" s="1397">
        <v>46019</v>
      </c>
    </row>
    <row r="6184" spans="3:8" x14ac:dyDescent="0.25">
      <c r="C6184" s="1395">
        <v>5</v>
      </c>
      <c r="D6184" s="1395">
        <v>0</v>
      </c>
      <c r="E6184" s="1396"/>
      <c r="F6184" s="4" t="str">
        <f t="shared" si="105"/>
        <v/>
      </c>
      <c r="G6184" s="37">
        <v>35.6</v>
      </c>
      <c r="H6184" s="1397">
        <v>46019</v>
      </c>
    </row>
    <row r="6185" spans="3:8" x14ac:dyDescent="0.25">
      <c r="C6185" s="1395">
        <v>6</v>
      </c>
      <c r="D6185" s="1395">
        <v>118</v>
      </c>
      <c r="E6185" s="1396">
        <v>27.4</v>
      </c>
      <c r="F6185" s="4">
        <f t="shared" si="105"/>
        <v>2.2388059701492456E-2</v>
      </c>
      <c r="G6185" s="37">
        <v>35.6</v>
      </c>
      <c r="H6185" s="1397">
        <v>46019</v>
      </c>
    </row>
    <row r="6186" spans="3:8" x14ac:dyDescent="0.25">
      <c r="C6186" s="1395">
        <v>7</v>
      </c>
      <c r="D6186" s="1395">
        <v>0</v>
      </c>
      <c r="E6186" s="1396"/>
      <c r="F6186" s="4" t="str">
        <f t="shared" si="105"/>
        <v/>
      </c>
      <c r="G6186" s="37">
        <v>35.6</v>
      </c>
      <c r="H6186" s="1397">
        <v>46019</v>
      </c>
    </row>
    <row r="6187" spans="3:8" x14ac:dyDescent="0.25">
      <c r="C6187" s="1395">
        <v>8</v>
      </c>
      <c r="D6187" s="1395">
        <v>0</v>
      </c>
      <c r="E6187" s="1396"/>
      <c r="F6187" s="4" t="str">
        <f t="shared" si="105"/>
        <v/>
      </c>
      <c r="G6187" s="37">
        <v>35.6</v>
      </c>
      <c r="H6187" s="1397">
        <v>46019</v>
      </c>
    </row>
    <row r="6188" spans="3:8" x14ac:dyDescent="0.25">
      <c r="C6188" s="1395">
        <v>9</v>
      </c>
      <c r="D6188" s="1395">
        <v>96</v>
      </c>
      <c r="E6188" s="1396">
        <v>38.200000000000003</v>
      </c>
      <c r="F6188" s="4">
        <f t="shared" si="105"/>
        <v>2.1390374331550915E-2</v>
      </c>
      <c r="G6188" s="37">
        <v>35.6</v>
      </c>
      <c r="H6188" s="1397">
        <v>46019</v>
      </c>
    </row>
    <row r="6189" spans="3:8" x14ac:dyDescent="0.25">
      <c r="C6189" s="1395">
        <v>10</v>
      </c>
      <c r="D6189" s="1395">
        <v>89</v>
      </c>
      <c r="E6189" s="1396">
        <v>34.299999999999997</v>
      </c>
      <c r="F6189" s="4">
        <f t="shared" si="105"/>
        <v>3.3132530120481757E-2</v>
      </c>
      <c r="G6189" s="37">
        <v>35.6</v>
      </c>
      <c r="H6189" s="1397">
        <v>46019</v>
      </c>
    </row>
    <row r="6190" spans="3:8" x14ac:dyDescent="0.25">
      <c r="C6190" s="1398" t="s">
        <v>0</v>
      </c>
      <c r="D6190" s="1398" t="s">
        <v>7</v>
      </c>
      <c r="E6190" s="1399" t="s">
        <v>4</v>
      </c>
      <c r="F6190" s="4" t="str">
        <f t="shared" si="105"/>
        <v/>
      </c>
      <c r="G6190" s="37">
        <v>36.1</v>
      </c>
      <c r="H6190" s="1400">
        <v>46020</v>
      </c>
    </row>
    <row r="6191" spans="3:8" x14ac:dyDescent="0.25">
      <c r="C6191" s="1398">
        <v>51</v>
      </c>
      <c r="D6191" s="1398">
        <v>21</v>
      </c>
      <c r="E6191" s="1399">
        <v>32.200000000000003</v>
      </c>
      <c r="F6191" s="4">
        <f t="shared" si="105"/>
        <v>4.8859934853420314E-2</v>
      </c>
      <c r="G6191" s="37">
        <v>36.1</v>
      </c>
      <c r="H6191" s="1400">
        <v>46020</v>
      </c>
    </row>
    <row r="6192" spans="3:8" x14ac:dyDescent="0.25">
      <c r="C6192" s="1398">
        <v>52</v>
      </c>
      <c r="D6192" s="1398">
        <v>33</v>
      </c>
      <c r="E6192" s="1399">
        <v>45.1</v>
      </c>
      <c r="F6192" s="4">
        <f t="shared" si="105"/>
        <v>-1.5283842794759733E-2</v>
      </c>
      <c r="G6192" s="37">
        <v>36.1</v>
      </c>
      <c r="H6192" s="1400">
        <v>46020</v>
      </c>
    </row>
    <row r="6193" spans="3:8" x14ac:dyDescent="0.25">
      <c r="C6193" s="1398">
        <v>1</v>
      </c>
      <c r="D6193" s="1398"/>
      <c r="E6193" s="1399"/>
      <c r="F6193" s="4" t="str">
        <f t="shared" si="105"/>
        <v/>
      </c>
      <c r="G6193" s="37">
        <v>36.1</v>
      </c>
      <c r="H6193" s="1400">
        <v>46020</v>
      </c>
    </row>
    <row r="6194" spans="3:8" x14ac:dyDescent="0.25">
      <c r="C6194" s="1398">
        <v>2</v>
      </c>
      <c r="D6194" s="1398">
        <v>44</v>
      </c>
      <c r="E6194" s="1399">
        <v>31.1</v>
      </c>
      <c r="F6194" s="4">
        <f t="shared" si="105"/>
        <v>-4.3076923076923034E-2</v>
      </c>
      <c r="G6194" s="37">
        <v>36.1</v>
      </c>
      <c r="H6194" s="1400">
        <v>46020</v>
      </c>
    </row>
    <row r="6195" spans="3:8" x14ac:dyDescent="0.25">
      <c r="C6195" s="1398">
        <v>3</v>
      </c>
      <c r="D6195" s="1398">
        <v>123</v>
      </c>
      <c r="E6195" s="1399">
        <v>39.4</v>
      </c>
      <c r="F6195" s="4">
        <f t="shared" si="105"/>
        <v>2.3376623376623339E-2</v>
      </c>
      <c r="G6195" s="37">
        <v>36.1</v>
      </c>
      <c r="H6195" s="1400">
        <v>46020</v>
      </c>
    </row>
    <row r="6196" spans="3:8" x14ac:dyDescent="0.25">
      <c r="C6196" s="1398">
        <v>4</v>
      </c>
      <c r="D6196" s="1398">
        <v>98</v>
      </c>
      <c r="E6196" s="1399">
        <v>37.799999999999997</v>
      </c>
      <c r="F6196" s="4">
        <f t="shared" si="105"/>
        <v>-1.5625000000000038E-2</v>
      </c>
      <c r="G6196" s="37">
        <v>36.1</v>
      </c>
      <c r="H6196" s="1400">
        <v>46020</v>
      </c>
    </row>
    <row r="6197" spans="3:8" x14ac:dyDescent="0.25">
      <c r="C6197" s="1398">
        <v>5</v>
      </c>
      <c r="D6197" s="1398">
        <v>0</v>
      </c>
      <c r="E6197" s="1399"/>
      <c r="F6197" s="4" t="str">
        <f t="shared" si="105"/>
        <v/>
      </c>
      <c r="G6197" s="37">
        <v>36.1</v>
      </c>
      <c r="H6197" s="1400">
        <v>46020</v>
      </c>
    </row>
    <row r="6198" spans="3:8" x14ac:dyDescent="0.25">
      <c r="C6198" s="1398">
        <v>6</v>
      </c>
      <c r="D6198" s="1398">
        <v>118</v>
      </c>
      <c r="E6198" s="1399">
        <v>30.4</v>
      </c>
      <c r="F6198" s="4">
        <f t="shared" si="105"/>
        <v>0.10948905109489052</v>
      </c>
      <c r="G6198" s="37">
        <v>36.1</v>
      </c>
      <c r="H6198" s="1400">
        <v>46020</v>
      </c>
    </row>
    <row r="6199" spans="3:8" x14ac:dyDescent="0.25">
      <c r="C6199" s="1398">
        <v>7</v>
      </c>
      <c r="D6199" s="1398">
        <v>0</v>
      </c>
      <c r="E6199" s="1399"/>
      <c r="F6199" s="4" t="str">
        <f t="shared" si="105"/>
        <v/>
      </c>
      <c r="G6199" s="37">
        <v>36.1</v>
      </c>
      <c r="H6199" s="1400">
        <v>46020</v>
      </c>
    </row>
    <row r="6200" spans="3:8" x14ac:dyDescent="0.25">
      <c r="C6200" s="1398">
        <v>8</v>
      </c>
      <c r="D6200" s="1398">
        <v>0</v>
      </c>
      <c r="E6200" s="1399"/>
      <c r="F6200" s="4" t="str">
        <f t="shared" si="105"/>
        <v/>
      </c>
      <c r="G6200" s="37">
        <v>36.1</v>
      </c>
      <c r="H6200" s="1400">
        <v>46020</v>
      </c>
    </row>
    <row r="6201" spans="3:8" x14ac:dyDescent="0.25">
      <c r="C6201" s="1398">
        <v>9</v>
      </c>
      <c r="D6201" s="1398">
        <v>96</v>
      </c>
      <c r="E6201" s="1399">
        <v>37.1</v>
      </c>
      <c r="F6201" s="4">
        <f t="shared" si="105"/>
        <v>-2.8795811518324641E-2</v>
      </c>
      <c r="G6201" s="37">
        <v>36.1</v>
      </c>
      <c r="H6201" s="1400">
        <v>46020</v>
      </c>
    </row>
    <row r="6202" spans="3:8" x14ac:dyDescent="0.25">
      <c r="C6202" s="1398">
        <v>10</v>
      </c>
      <c r="D6202" s="1398">
        <v>89</v>
      </c>
      <c r="E6202" s="1399">
        <v>34.200000000000003</v>
      </c>
      <c r="F6202" s="4">
        <f t="shared" si="105"/>
        <v>-2.9154518950435665E-3</v>
      </c>
      <c r="G6202" s="37">
        <v>36.1</v>
      </c>
      <c r="H6202" s="1400">
        <v>46020</v>
      </c>
    </row>
    <row r="6203" spans="3:8" x14ac:dyDescent="0.25">
      <c r="C6203" s="1401" t="s">
        <v>0</v>
      </c>
      <c r="D6203" s="1401" t="s">
        <v>7</v>
      </c>
      <c r="E6203" s="1402" t="s">
        <v>4</v>
      </c>
      <c r="F6203" s="4" t="str">
        <f t="shared" si="105"/>
        <v/>
      </c>
      <c r="G6203" s="37">
        <v>35.1</v>
      </c>
      <c r="H6203" s="1403">
        <v>46021</v>
      </c>
    </row>
    <row r="6204" spans="3:8" x14ac:dyDescent="0.25">
      <c r="C6204" s="1401">
        <v>51</v>
      </c>
      <c r="D6204" s="1401">
        <v>20</v>
      </c>
      <c r="E6204" s="1402">
        <v>30</v>
      </c>
      <c r="F6204" s="4">
        <f t="shared" si="105"/>
        <v>-6.8322981366459715E-2</v>
      </c>
      <c r="G6204" s="37">
        <v>35.1</v>
      </c>
      <c r="H6204" s="1403">
        <v>46021</v>
      </c>
    </row>
    <row r="6205" spans="3:8" x14ac:dyDescent="0.25">
      <c r="C6205" s="1401">
        <v>52</v>
      </c>
      <c r="D6205" s="1401">
        <v>33</v>
      </c>
      <c r="E6205" s="1402">
        <v>40.200000000000003</v>
      </c>
      <c r="F6205" s="4">
        <f t="shared" si="105"/>
        <v>-0.10864745011086471</v>
      </c>
      <c r="G6205" s="37">
        <v>35.1</v>
      </c>
      <c r="H6205" s="1403">
        <v>46021</v>
      </c>
    </row>
    <row r="6206" spans="3:8" x14ac:dyDescent="0.25">
      <c r="C6206" s="1401">
        <v>1</v>
      </c>
      <c r="D6206" s="1401"/>
      <c r="E6206" s="1402"/>
      <c r="F6206" s="4" t="str">
        <f t="shared" si="105"/>
        <v/>
      </c>
      <c r="G6206" s="37">
        <v>35.1</v>
      </c>
      <c r="H6206" s="1403">
        <v>46021</v>
      </c>
    </row>
    <row r="6207" spans="3:8" x14ac:dyDescent="0.25">
      <c r="C6207" s="1401">
        <v>2</v>
      </c>
      <c r="D6207" s="1401">
        <v>45</v>
      </c>
      <c r="E6207" s="1402">
        <v>30.8</v>
      </c>
      <c r="F6207" s="4">
        <f t="shared" si="105"/>
        <v>-9.6463022508038801E-3</v>
      </c>
      <c r="G6207" s="37">
        <v>35.1</v>
      </c>
      <c r="H6207" s="1403">
        <v>46021</v>
      </c>
    </row>
    <row r="6208" spans="3:8" x14ac:dyDescent="0.25">
      <c r="C6208" s="1401">
        <v>3</v>
      </c>
      <c r="D6208" s="1401">
        <v>124</v>
      </c>
      <c r="E6208" s="1402">
        <v>38.4</v>
      </c>
      <c r="F6208" s="4">
        <f t="shared" si="105"/>
        <v>-2.5380710659898477E-2</v>
      </c>
      <c r="G6208" s="37">
        <v>35.1</v>
      </c>
      <c r="H6208" s="1403">
        <v>46021</v>
      </c>
    </row>
    <row r="6209" spans="3:8" x14ac:dyDescent="0.25">
      <c r="C6209" s="1401">
        <v>4</v>
      </c>
      <c r="D6209" s="1401">
        <v>98</v>
      </c>
      <c r="E6209" s="1402">
        <v>37.1</v>
      </c>
      <c r="F6209" s="4">
        <f t="shared" si="105"/>
        <v>-1.8518518518518406E-2</v>
      </c>
      <c r="G6209" s="37">
        <v>35.1</v>
      </c>
      <c r="H6209" s="1403">
        <v>46021</v>
      </c>
    </row>
    <row r="6210" spans="3:8" x14ac:dyDescent="0.25">
      <c r="C6210" s="1401">
        <v>5</v>
      </c>
      <c r="D6210" s="1401">
        <v>0</v>
      </c>
      <c r="E6210" s="1402"/>
      <c r="F6210" s="4" t="str">
        <f t="shared" si="105"/>
        <v/>
      </c>
      <c r="G6210" s="37">
        <v>35.1</v>
      </c>
      <c r="H6210" s="1403">
        <v>46021</v>
      </c>
    </row>
    <row r="6211" spans="3:8" x14ac:dyDescent="0.25">
      <c r="C6211" s="1401">
        <v>6</v>
      </c>
      <c r="D6211" s="1401">
        <v>118</v>
      </c>
      <c r="E6211" s="1402">
        <v>26.9</v>
      </c>
      <c r="F6211" s="4">
        <f t="shared" si="105"/>
        <v>-0.11513157894736843</v>
      </c>
      <c r="G6211" s="37">
        <v>35.1</v>
      </c>
      <c r="H6211" s="1403">
        <v>46021</v>
      </c>
    </row>
    <row r="6212" spans="3:8" x14ac:dyDescent="0.25">
      <c r="C6212" s="1401">
        <v>7</v>
      </c>
      <c r="D6212" s="1401">
        <v>0</v>
      </c>
      <c r="E6212" s="1402"/>
      <c r="F6212" s="4" t="str">
        <f t="shared" si="105"/>
        <v/>
      </c>
      <c r="G6212" s="37">
        <v>35.1</v>
      </c>
      <c r="H6212" s="1403">
        <v>46021</v>
      </c>
    </row>
    <row r="6213" spans="3:8" x14ac:dyDescent="0.25">
      <c r="C6213" s="1401">
        <v>8</v>
      </c>
      <c r="D6213" s="1401">
        <v>0</v>
      </c>
      <c r="E6213" s="1402"/>
      <c r="F6213" s="4" t="str">
        <f t="shared" si="105"/>
        <v/>
      </c>
      <c r="G6213" s="37">
        <v>35.1</v>
      </c>
      <c r="H6213" s="1403">
        <v>46021</v>
      </c>
    </row>
    <row r="6214" spans="3:8" x14ac:dyDescent="0.25">
      <c r="C6214" s="1401">
        <v>9</v>
      </c>
      <c r="D6214" s="1401">
        <v>95</v>
      </c>
      <c r="E6214" s="1402">
        <v>34.5</v>
      </c>
      <c r="F6214" s="4">
        <f t="shared" si="105"/>
        <v>-7.0080862533692764E-2</v>
      </c>
      <c r="G6214" s="37">
        <v>35.1</v>
      </c>
      <c r="H6214" s="1403">
        <v>46021</v>
      </c>
    </row>
    <row r="6215" spans="3:8" x14ac:dyDescent="0.25">
      <c r="C6215" s="1401">
        <v>10</v>
      </c>
      <c r="D6215" s="1401">
        <v>91</v>
      </c>
      <c r="E6215" s="1402">
        <v>33.6</v>
      </c>
      <c r="F6215" s="4">
        <f t="shared" si="105"/>
        <v>-1.7543859649122848E-2</v>
      </c>
      <c r="G6215" s="37">
        <v>35.1</v>
      </c>
      <c r="H6215" s="1403">
        <v>46021</v>
      </c>
    </row>
    <row r="6216" spans="3:8" x14ac:dyDescent="0.25">
      <c r="C6216" s="1404" t="s">
        <v>0</v>
      </c>
      <c r="D6216" s="1404" t="s">
        <v>7</v>
      </c>
      <c r="E6216" s="1405" t="s">
        <v>4</v>
      </c>
      <c r="F6216" s="4" t="str">
        <f t="shared" si="105"/>
        <v/>
      </c>
      <c r="G6216" s="37">
        <v>34.799999999999997</v>
      </c>
      <c r="H6216" s="1406">
        <v>46022</v>
      </c>
    </row>
    <row r="6217" spans="3:8" x14ac:dyDescent="0.25">
      <c r="C6217" s="1404">
        <v>51</v>
      </c>
      <c r="D6217" s="1404">
        <v>21</v>
      </c>
      <c r="E6217" s="1405">
        <v>30.7</v>
      </c>
      <c r="F6217" s="4">
        <f t="shared" si="105"/>
        <v>2.333333333333331E-2</v>
      </c>
      <c r="G6217" s="37">
        <v>34.799999999999997</v>
      </c>
      <c r="H6217" s="1406">
        <v>46022</v>
      </c>
    </row>
    <row r="6218" spans="3:8" x14ac:dyDescent="0.25">
      <c r="C6218" s="1404">
        <v>52</v>
      </c>
      <c r="D6218" s="1404">
        <v>35</v>
      </c>
      <c r="E6218" s="1405">
        <v>45.1</v>
      </c>
      <c r="F6218" s="4">
        <f t="shared" si="105"/>
        <v>0.12189054726368155</v>
      </c>
      <c r="G6218" s="37">
        <v>34.799999999999997</v>
      </c>
      <c r="H6218" s="1406">
        <v>46022</v>
      </c>
    </row>
    <row r="6219" spans="3:8" x14ac:dyDescent="0.25">
      <c r="C6219" s="1404">
        <v>1</v>
      </c>
      <c r="D6219" s="1404"/>
      <c r="E6219" s="1405"/>
      <c r="F6219" s="4" t="str">
        <f t="shared" si="105"/>
        <v/>
      </c>
      <c r="G6219" s="37">
        <v>34.799999999999997</v>
      </c>
      <c r="H6219" s="1406">
        <v>46022</v>
      </c>
    </row>
    <row r="6220" spans="3:8" x14ac:dyDescent="0.25">
      <c r="C6220" s="1404">
        <v>2</v>
      </c>
      <c r="D6220" s="1404">
        <v>45</v>
      </c>
      <c r="E6220" s="1405">
        <v>31.3</v>
      </c>
      <c r="F6220" s="4">
        <f t="shared" si="105"/>
        <v>1.6233766233766232E-2</v>
      </c>
      <c r="G6220" s="37">
        <v>34.799999999999997</v>
      </c>
      <c r="H6220" s="1406">
        <v>46022</v>
      </c>
    </row>
    <row r="6221" spans="3:8" x14ac:dyDescent="0.25">
      <c r="C6221" s="1404">
        <v>3</v>
      </c>
      <c r="D6221" s="1404">
        <v>124</v>
      </c>
      <c r="E6221" s="1405">
        <v>37.4</v>
      </c>
      <c r="F6221" s="4">
        <f t="shared" si="105"/>
        <v>-2.6041666666666668E-2</v>
      </c>
      <c r="G6221" s="37">
        <v>34.799999999999997</v>
      </c>
      <c r="H6221" s="1406">
        <v>46022</v>
      </c>
    </row>
    <row r="6222" spans="3:8" x14ac:dyDescent="0.25">
      <c r="C6222" s="1404">
        <v>4</v>
      </c>
      <c r="D6222" s="1404">
        <v>98</v>
      </c>
      <c r="E6222" s="1405">
        <v>37</v>
      </c>
      <c r="F6222" s="4">
        <f t="shared" si="105"/>
        <v>-2.6954177897574507E-3</v>
      </c>
      <c r="G6222" s="37">
        <v>34.799999999999997</v>
      </c>
      <c r="H6222" s="1406">
        <v>46022</v>
      </c>
    </row>
    <row r="6223" spans="3:8" x14ac:dyDescent="0.25">
      <c r="C6223" s="1404">
        <v>5</v>
      </c>
      <c r="D6223" s="1404">
        <v>0</v>
      </c>
      <c r="E6223" s="1405"/>
      <c r="F6223" s="4" t="str">
        <f t="shared" si="105"/>
        <v/>
      </c>
      <c r="G6223" s="37">
        <v>34.799999999999997</v>
      </c>
      <c r="H6223" s="1406">
        <v>46022</v>
      </c>
    </row>
    <row r="6224" spans="3:8" x14ac:dyDescent="0.25">
      <c r="C6224" s="1404">
        <v>6</v>
      </c>
      <c r="D6224" s="1404">
        <v>118</v>
      </c>
      <c r="E6224" s="1405">
        <v>27</v>
      </c>
      <c r="F6224" s="4">
        <f t="shared" si="105"/>
        <v>3.717472118959161E-3</v>
      </c>
      <c r="G6224" s="37">
        <v>34.799999999999997</v>
      </c>
      <c r="H6224" s="1406">
        <v>46022</v>
      </c>
    </row>
    <row r="6225" spans="3:8" x14ac:dyDescent="0.25">
      <c r="C6225" s="1404">
        <v>7</v>
      </c>
      <c r="D6225" s="1404">
        <v>0</v>
      </c>
      <c r="E6225" s="1405"/>
      <c r="F6225" s="4" t="str">
        <f t="shared" si="105"/>
        <v/>
      </c>
      <c r="G6225" s="37">
        <v>34.799999999999997</v>
      </c>
      <c r="H6225" s="1406">
        <v>46022</v>
      </c>
    </row>
    <row r="6226" spans="3:8" x14ac:dyDescent="0.25">
      <c r="C6226" s="1404">
        <v>8</v>
      </c>
      <c r="D6226" s="1404">
        <v>0</v>
      </c>
      <c r="E6226" s="1405"/>
      <c r="F6226" s="4" t="str">
        <f t="shared" ref="F6226:F6289" si="106">IFERROR((E6226-E6213)/E6213,"")</f>
        <v/>
      </c>
      <c r="G6226" s="37">
        <v>34.799999999999997</v>
      </c>
      <c r="H6226" s="1406">
        <v>46022</v>
      </c>
    </row>
    <row r="6227" spans="3:8" x14ac:dyDescent="0.25">
      <c r="C6227" s="1404">
        <v>9</v>
      </c>
      <c r="D6227" s="1404">
        <v>95</v>
      </c>
      <c r="E6227" s="1405">
        <v>36</v>
      </c>
      <c r="F6227" s="4">
        <f t="shared" si="106"/>
        <v>4.3478260869565216E-2</v>
      </c>
      <c r="G6227" s="37">
        <v>34.799999999999997</v>
      </c>
      <c r="H6227" s="1406">
        <v>46022</v>
      </c>
    </row>
    <row r="6228" spans="3:8" x14ac:dyDescent="0.25">
      <c r="C6228" s="1404">
        <v>10</v>
      </c>
      <c r="D6228" s="1404">
        <v>91</v>
      </c>
      <c r="E6228" s="1405">
        <v>33.799999999999997</v>
      </c>
      <c r="F6228" s="4">
        <f t="shared" si="106"/>
        <v>5.9523809523808254E-3</v>
      </c>
      <c r="G6228" s="37">
        <v>34.799999999999997</v>
      </c>
      <c r="H6228" s="1406">
        <v>46022</v>
      </c>
    </row>
    <row r="6229" spans="3:8" x14ac:dyDescent="0.25">
      <c r="C6229" s="1407" t="s">
        <v>0</v>
      </c>
      <c r="D6229" s="1407" t="s">
        <v>7</v>
      </c>
      <c r="E6229" s="1408" t="s">
        <v>4</v>
      </c>
      <c r="F6229" s="4" t="str">
        <f t="shared" si="106"/>
        <v/>
      </c>
      <c r="G6229" s="37">
        <v>34.799999999999997</v>
      </c>
      <c r="H6229" s="1406">
        <v>46023</v>
      </c>
    </row>
    <row r="6230" spans="3:8" x14ac:dyDescent="0.25">
      <c r="C6230" s="1407">
        <v>51</v>
      </c>
      <c r="D6230" s="1407">
        <v>21</v>
      </c>
      <c r="E6230" s="1408">
        <v>32</v>
      </c>
      <c r="F6230" s="4">
        <f t="shared" si="106"/>
        <v>4.2345276872964195E-2</v>
      </c>
      <c r="G6230" s="37">
        <v>34.799999999999997</v>
      </c>
      <c r="H6230" s="1406">
        <v>46023</v>
      </c>
    </row>
    <row r="6231" spans="3:8" x14ac:dyDescent="0.25">
      <c r="C6231" s="1407">
        <v>52</v>
      </c>
      <c r="D6231" s="1407">
        <v>36</v>
      </c>
      <c r="E6231" s="1408">
        <v>42.9</v>
      </c>
      <c r="F6231" s="4">
        <f t="shared" si="106"/>
        <v>-4.8780487804878113E-2</v>
      </c>
      <c r="G6231" s="37">
        <v>34.799999999999997</v>
      </c>
      <c r="H6231" s="1406">
        <v>46023</v>
      </c>
    </row>
    <row r="6232" spans="3:8" x14ac:dyDescent="0.25">
      <c r="C6232" s="1407">
        <v>1</v>
      </c>
      <c r="D6232" s="1407">
        <v>50</v>
      </c>
      <c r="E6232" s="1408"/>
      <c r="F6232" s="4" t="str">
        <f t="shared" si="106"/>
        <v/>
      </c>
      <c r="G6232" s="37">
        <v>34.799999999999997</v>
      </c>
      <c r="H6232" s="1406">
        <v>46023</v>
      </c>
    </row>
    <row r="6233" spans="3:8" x14ac:dyDescent="0.25">
      <c r="C6233" s="1407">
        <v>2</v>
      </c>
      <c r="D6233" s="1407">
        <v>45</v>
      </c>
      <c r="E6233" s="1408">
        <v>30.7</v>
      </c>
      <c r="F6233" s="4">
        <f t="shared" si="106"/>
        <v>-1.9169329073482472E-2</v>
      </c>
      <c r="G6233" s="37">
        <v>34.799999999999997</v>
      </c>
      <c r="H6233" s="1406">
        <v>46023</v>
      </c>
    </row>
    <row r="6234" spans="3:8" x14ac:dyDescent="0.25">
      <c r="C6234" s="1407">
        <v>3</v>
      </c>
      <c r="D6234" s="1407">
        <v>119</v>
      </c>
      <c r="E6234" s="1408">
        <v>38.299999999999997</v>
      </c>
      <c r="F6234" s="4">
        <f t="shared" si="106"/>
        <v>2.4064171122994617E-2</v>
      </c>
      <c r="G6234" s="37">
        <v>34.799999999999997</v>
      </c>
      <c r="H6234" s="1406">
        <v>46023</v>
      </c>
    </row>
    <row r="6235" spans="3:8" x14ac:dyDescent="0.25">
      <c r="C6235" s="1407">
        <v>4</v>
      </c>
      <c r="D6235" s="1407">
        <v>97</v>
      </c>
      <c r="E6235" s="1408">
        <v>37</v>
      </c>
      <c r="F6235" s="4">
        <f t="shared" si="106"/>
        <v>0</v>
      </c>
      <c r="G6235" s="37">
        <v>34.799999999999997</v>
      </c>
      <c r="H6235" s="1406">
        <v>46023</v>
      </c>
    </row>
    <row r="6236" spans="3:8" x14ac:dyDescent="0.25">
      <c r="C6236" s="1407">
        <v>5</v>
      </c>
      <c r="D6236" s="1407">
        <v>0</v>
      </c>
      <c r="E6236" s="1408"/>
      <c r="F6236" s="4" t="str">
        <f t="shared" si="106"/>
        <v/>
      </c>
      <c r="G6236" s="37">
        <v>34.799999999999997</v>
      </c>
      <c r="H6236" s="1406">
        <v>46023</v>
      </c>
    </row>
    <row r="6237" spans="3:8" x14ac:dyDescent="0.25">
      <c r="C6237" s="1407">
        <v>6</v>
      </c>
      <c r="D6237" s="1407">
        <v>114</v>
      </c>
      <c r="E6237" s="1408">
        <v>25.1</v>
      </c>
      <c r="F6237" s="4">
        <f t="shared" si="106"/>
        <v>-7.0370370370370319E-2</v>
      </c>
      <c r="G6237" s="37">
        <v>34.799999999999997</v>
      </c>
      <c r="H6237" s="1406">
        <v>46023</v>
      </c>
    </row>
    <row r="6238" spans="3:8" x14ac:dyDescent="0.25">
      <c r="C6238" s="1407">
        <v>7</v>
      </c>
      <c r="D6238" s="1407">
        <v>0</v>
      </c>
      <c r="E6238" s="1408"/>
      <c r="F6238" s="4" t="str">
        <f t="shared" si="106"/>
        <v/>
      </c>
      <c r="G6238" s="37">
        <v>34.799999999999997</v>
      </c>
      <c r="H6238" s="1406">
        <v>46023</v>
      </c>
    </row>
    <row r="6239" spans="3:8" x14ac:dyDescent="0.25">
      <c r="C6239" s="1407">
        <v>8</v>
      </c>
      <c r="D6239" s="1407">
        <v>0</v>
      </c>
      <c r="E6239" s="1408"/>
      <c r="F6239" s="4" t="str">
        <f t="shared" si="106"/>
        <v/>
      </c>
      <c r="G6239" s="37">
        <v>34.799999999999997</v>
      </c>
      <c r="H6239" s="1406">
        <v>46023</v>
      </c>
    </row>
    <row r="6240" spans="3:8" x14ac:dyDescent="0.25">
      <c r="C6240" s="1407">
        <v>9</v>
      </c>
      <c r="D6240" s="1407">
        <v>95</v>
      </c>
      <c r="E6240" s="1408">
        <v>34.9</v>
      </c>
      <c r="F6240" s="4">
        <f t="shared" si="106"/>
        <v>-3.0555555555555596E-2</v>
      </c>
      <c r="G6240" s="37">
        <v>34.799999999999997</v>
      </c>
      <c r="H6240" s="1406">
        <v>46023</v>
      </c>
    </row>
    <row r="6241" spans="3:8" x14ac:dyDescent="0.25">
      <c r="C6241" s="1407">
        <v>10</v>
      </c>
      <c r="D6241" s="1407">
        <v>98</v>
      </c>
      <c r="E6241" s="1408">
        <v>33.5</v>
      </c>
      <c r="F6241" s="4">
        <f t="shared" si="106"/>
        <v>-8.8757396449703312E-3</v>
      </c>
      <c r="G6241" s="37">
        <v>34.799999999999997</v>
      </c>
      <c r="H6241" s="1406">
        <v>46023</v>
      </c>
    </row>
    <row r="6242" spans="3:8" x14ac:dyDescent="0.25">
      <c r="C6242" s="1409" t="s">
        <v>0</v>
      </c>
      <c r="D6242" s="1409" t="s">
        <v>7</v>
      </c>
      <c r="E6242" s="1410" t="s">
        <v>4</v>
      </c>
      <c r="F6242" s="4" t="str">
        <f t="shared" si="106"/>
        <v/>
      </c>
      <c r="G6242" s="37">
        <v>35.799999999999997</v>
      </c>
      <c r="H6242" s="1411">
        <v>46024</v>
      </c>
    </row>
    <row r="6243" spans="3:8" x14ac:dyDescent="0.25">
      <c r="C6243" s="1409">
        <v>51</v>
      </c>
      <c r="D6243" s="1409">
        <v>25</v>
      </c>
      <c r="E6243" s="1410">
        <v>32.9</v>
      </c>
      <c r="F6243" s="4">
        <f t="shared" si="106"/>
        <v>2.8124999999999956E-2</v>
      </c>
      <c r="G6243" s="37">
        <v>35.799999999999997</v>
      </c>
      <c r="H6243" s="1411">
        <v>46024</v>
      </c>
    </row>
    <row r="6244" spans="3:8" x14ac:dyDescent="0.25">
      <c r="C6244" s="1409">
        <v>52</v>
      </c>
      <c r="D6244" s="1409">
        <v>37</v>
      </c>
      <c r="E6244" s="1410">
        <v>42.1</v>
      </c>
      <c r="F6244" s="4">
        <f t="shared" si="106"/>
        <v>-1.8648018648018582E-2</v>
      </c>
      <c r="G6244" s="37">
        <v>35.799999999999997</v>
      </c>
      <c r="H6244" s="1411">
        <v>46024</v>
      </c>
    </row>
    <row r="6245" spans="3:8" x14ac:dyDescent="0.25">
      <c r="C6245" s="1409">
        <v>1</v>
      </c>
      <c r="D6245" s="1409">
        <v>125</v>
      </c>
      <c r="E6245" s="1410"/>
      <c r="F6245" s="4" t="str">
        <f t="shared" si="106"/>
        <v/>
      </c>
      <c r="G6245" s="37">
        <v>35.799999999999997</v>
      </c>
      <c r="H6245" s="1411">
        <v>46024</v>
      </c>
    </row>
    <row r="6246" spans="3:8" x14ac:dyDescent="0.25">
      <c r="C6246" s="1409">
        <v>2</v>
      </c>
      <c r="D6246" s="1409">
        <v>43</v>
      </c>
      <c r="E6246" s="1410">
        <v>30.2</v>
      </c>
      <c r="F6246" s="4">
        <f t="shared" si="106"/>
        <v>-1.6286644951140065E-2</v>
      </c>
      <c r="G6246" s="37">
        <v>35.799999999999997</v>
      </c>
      <c r="H6246" s="1411">
        <v>46024</v>
      </c>
    </row>
    <row r="6247" spans="3:8" x14ac:dyDescent="0.25">
      <c r="C6247" s="1409">
        <v>3</v>
      </c>
      <c r="D6247" s="1409">
        <v>120</v>
      </c>
      <c r="E6247" s="1410">
        <v>39</v>
      </c>
      <c r="F6247" s="4">
        <f t="shared" si="106"/>
        <v>1.8276762402088847E-2</v>
      </c>
      <c r="G6247" s="37">
        <v>35.799999999999997</v>
      </c>
      <c r="H6247" s="1411">
        <v>46024</v>
      </c>
    </row>
    <row r="6248" spans="3:8" x14ac:dyDescent="0.25">
      <c r="C6248" s="1409">
        <v>4</v>
      </c>
      <c r="D6248" s="1409">
        <v>87</v>
      </c>
      <c r="E6248" s="1410">
        <v>38.700000000000003</v>
      </c>
      <c r="F6248" s="4">
        <f t="shared" si="106"/>
        <v>4.5945945945946025E-2</v>
      </c>
      <c r="G6248" s="37">
        <v>35.799999999999997</v>
      </c>
      <c r="H6248" s="1411">
        <v>46024</v>
      </c>
    </row>
    <row r="6249" spans="3:8" x14ac:dyDescent="0.25">
      <c r="C6249" s="1409">
        <v>5</v>
      </c>
      <c r="D6249" s="1409">
        <v>0</v>
      </c>
      <c r="E6249" s="1410"/>
      <c r="F6249" s="4" t="str">
        <f t="shared" si="106"/>
        <v/>
      </c>
      <c r="G6249" s="37">
        <v>35.799999999999997</v>
      </c>
      <c r="H6249" s="1411">
        <v>46024</v>
      </c>
    </row>
    <row r="6250" spans="3:8" x14ac:dyDescent="0.25">
      <c r="C6250" s="1409">
        <v>6</v>
      </c>
      <c r="D6250" s="1409">
        <v>102</v>
      </c>
      <c r="E6250" s="1410">
        <v>25.4</v>
      </c>
      <c r="F6250" s="4">
        <f t="shared" si="106"/>
        <v>1.1952191235059646E-2</v>
      </c>
      <c r="G6250" s="37">
        <v>35.799999999999997</v>
      </c>
      <c r="H6250" s="1411">
        <v>46024</v>
      </c>
    </row>
    <row r="6251" spans="3:8" x14ac:dyDescent="0.25">
      <c r="C6251" s="1409">
        <v>7</v>
      </c>
      <c r="D6251" s="1409">
        <v>0</v>
      </c>
      <c r="E6251" s="1410"/>
      <c r="F6251" s="4" t="str">
        <f t="shared" si="106"/>
        <v/>
      </c>
      <c r="G6251" s="37">
        <v>35.799999999999997</v>
      </c>
      <c r="H6251" s="1411">
        <v>46024</v>
      </c>
    </row>
    <row r="6252" spans="3:8" x14ac:dyDescent="0.25">
      <c r="C6252" s="1409">
        <v>8</v>
      </c>
      <c r="D6252" s="1409">
        <v>0</v>
      </c>
      <c r="E6252" s="1410"/>
      <c r="F6252" s="4" t="str">
        <f t="shared" si="106"/>
        <v/>
      </c>
      <c r="G6252" s="37">
        <v>35.799999999999997</v>
      </c>
      <c r="H6252" s="1411">
        <v>46024</v>
      </c>
    </row>
    <row r="6253" spans="3:8" x14ac:dyDescent="0.25">
      <c r="C6253" s="1409">
        <v>9</v>
      </c>
      <c r="D6253" s="1409">
        <v>94</v>
      </c>
      <c r="E6253" s="1410">
        <v>36.6</v>
      </c>
      <c r="F6253" s="4">
        <f t="shared" si="106"/>
        <v>4.8710601719197791E-2</v>
      </c>
      <c r="G6253" s="37">
        <v>35.799999999999997</v>
      </c>
      <c r="H6253" s="1411">
        <v>46024</v>
      </c>
    </row>
    <row r="6254" spans="3:8" x14ac:dyDescent="0.25">
      <c r="C6254" s="1409">
        <v>10</v>
      </c>
      <c r="D6254" s="1409">
        <v>97</v>
      </c>
      <c r="E6254" s="1410">
        <v>33.299999999999997</v>
      </c>
      <c r="F6254" s="4">
        <f t="shared" si="106"/>
        <v>-5.9701492537314283E-3</v>
      </c>
      <c r="G6254" s="37">
        <v>35.799999999999997</v>
      </c>
      <c r="H6254" s="1411">
        <v>46024</v>
      </c>
    </row>
    <row r="6255" spans="3:8" x14ac:dyDescent="0.25">
      <c r="C6255" s="1412" t="s">
        <v>0</v>
      </c>
      <c r="D6255" s="1412" t="s">
        <v>7</v>
      </c>
      <c r="E6255" s="1413" t="s">
        <v>4</v>
      </c>
      <c r="F6255" s="4" t="str">
        <f t="shared" si="106"/>
        <v/>
      </c>
      <c r="G6255" s="37">
        <v>34.4</v>
      </c>
      <c r="H6255" s="1411">
        <v>46025</v>
      </c>
    </row>
    <row r="6256" spans="3:8" x14ac:dyDescent="0.25">
      <c r="C6256" s="1412">
        <v>51</v>
      </c>
      <c r="D6256" s="1412">
        <v>27</v>
      </c>
      <c r="E6256" s="1413">
        <v>32.4</v>
      </c>
      <c r="F6256" s="4">
        <f t="shared" si="106"/>
        <v>-1.5197568389057751E-2</v>
      </c>
      <c r="G6256" s="37">
        <v>34.4</v>
      </c>
      <c r="H6256" s="1411">
        <v>46025</v>
      </c>
    </row>
    <row r="6257" spans="3:8" x14ac:dyDescent="0.25">
      <c r="C6257" s="1412">
        <v>52</v>
      </c>
      <c r="D6257" s="1412">
        <v>37</v>
      </c>
      <c r="E6257" s="1413">
        <v>43.3</v>
      </c>
      <c r="F6257" s="4">
        <f t="shared" si="106"/>
        <v>2.8503562945368068E-2</v>
      </c>
      <c r="G6257" s="37">
        <v>34.4</v>
      </c>
      <c r="H6257" s="1411">
        <v>46025</v>
      </c>
    </row>
    <row r="6258" spans="3:8" x14ac:dyDescent="0.25">
      <c r="C6258" s="1412">
        <v>1</v>
      </c>
      <c r="D6258" s="1412">
        <v>125</v>
      </c>
      <c r="E6258" s="1413"/>
      <c r="F6258" s="4" t="str">
        <f t="shared" si="106"/>
        <v/>
      </c>
      <c r="G6258" s="37">
        <v>34.4</v>
      </c>
      <c r="H6258" s="1411">
        <v>46025</v>
      </c>
    </row>
    <row r="6259" spans="3:8" x14ac:dyDescent="0.25">
      <c r="C6259" s="1412">
        <v>2</v>
      </c>
      <c r="D6259" s="1412">
        <v>42</v>
      </c>
      <c r="E6259" s="1413">
        <v>29.6</v>
      </c>
      <c r="F6259" s="4">
        <f t="shared" si="106"/>
        <v>-1.9867549668874104E-2</v>
      </c>
      <c r="G6259" s="37">
        <v>34.4</v>
      </c>
      <c r="H6259" s="1411">
        <v>46025</v>
      </c>
    </row>
    <row r="6260" spans="3:8" x14ac:dyDescent="0.25">
      <c r="C6260" s="1412">
        <v>3</v>
      </c>
      <c r="D6260" s="1412">
        <v>120</v>
      </c>
      <c r="E6260" s="1413">
        <v>34.1</v>
      </c>
      <c r="F6260" s="4">
        <f t="shared" si="106"/>
        <v>-0.12564102564102561</v>
      </c>
      <c r="G6260" s="37">
        <v>34.4</v>
      </c>
      <c r="H6260" s="1411">
        <v>46025</v>
      </c>
    </row>
    <row r="6261" spans="3:8" x14ac:dyDescent="0.25">
      <c r="C6261" s="1412">
        <v>4</v>
      </c>
      <c r="D6261" s="1412">
        <v>87</v>
      </c>
      <c r="E6261" s="1413">
        <v>35</v>
      </c>
      <c r="F6261" s="4">
        <f t="shared" si="106"/>
        <v>-9.5607235142118926E-2</v>
      </c>
      <c r="G6261" s="37">
        <v>34.4</v>
      </c>
      <c r="H6261" s="1411">
        <v>46025</v>
      </c>
    </row>
    <row r="6262" spans="3:8" x14ac:dyDescent="0.25">
      <c r="C6262" s="1412">
        <v>5</v>
      </c>
      <c r="D6262" s="1412">
        <v>0</v>
      </c>
      <c r="E6262" s="1413"/>
      <c r="F6262" s="4" t="str">
        <f t="shared" si="106"/>
        <v/>
      </c>
      <c r="G6262" s="37">
        <v>34.4</v>
      </c>
      <c r="H6262" s="1411">
        <v>46025</v>
      </c>
    </row>
    <row r="6263" spans="3:8" x14ac:dyDescent="0.25">
      <c r="C6263" s="1412">
        <v>6</v>
      </c>
      <c r="D6263" s="1412">
        <v>102</v>
      </c>
      <c r="E6263" s="1413">
        <v>31.7</v>
      </c>
      <c r="F6263" s="4">
        <f t="shared" si="106"/>
        <v>0.24803149606299216</v>
      </c>
      <c r="G6263" s="37">
        <v>34.4</v>
      </c>
      <c r="H6263" s="1411">
        <v>46025</v>
      </c>
    </row>
    <row r="6264" spans="3:8" x14ac:dyDescent="0.25">
      <c r="C6264" s="1412">
        <v>7</v>
      </c>
      <c r="D6264" s="1412">
        <v>0</v>
      </c>
      <c r="E6264" s="1413"/>
      <c r="F6264" s="4" t="str">
        <f t="shared" si="106"/>
        <v/>
      </c>
      <c r="G6264" s="37">
        <v>34.4</v>
      </c>
      <c r="H6264" s="1411">
        <v>46025</v>
      </c>
    </row>
    <row r="6265" spans="3:8" x14ac:dyDescent="0.25">
      <c r="C6265" s="1412">
        <v>8</v>
      </c>
      <c r="D6265" s="1412">
        <v>0</v>
      </c>
      <c r="E6265" s="1413"/>
      <c r="F6265" s="4" t="str">
        <f t="shared" si="106"/>
        <v/>
      </c>
      <c r="G6265" s="37">
        <v>34.4</v>
      </c>
      <c r="H6265" s="1411">
        <v>46025</v>
      </c>
    </row>
    <row r="6266" spans="3:8" x14ac:dyDescent="0.25">
      <c r="C6266" s="1412">
        <v>9</v>
      </c>
      <c r="D6266" s="1412">
        <v>94</v>
      </c>
      <c r="E6266" s="1413">
        <v>34.9</v>
      </c>
      <c r="F6266" s="4">
        <f t="shared" si="106"/>
        <v>-4.6448087431694061E-2</v>
      </c>
      <c r="G6266" s="37">
        <v>34.4</v>
      </c>
      <c r="H6266" s="1411">
        <v>46025</v>
      </c>
    </row>
    <row r="6267" spans="3:8" x14ac:dyDescent="0.25">
      <c r="C6267" s="1412">
        <v>10</v>
      </c>
      <c r="D6267" s="1412">
        <v>97</v>
      </c>
      <c r="E6267" s="1413">
        <v>36.9</v>
      </c>
      <c r="F6267" s="4">
        <f t="shared" si="106"/>
        <v>0.10810810810810816</v>
      </c>
      <c r="G6267" s="37">
        <v>34.4</v>
      </c>
      <c r="H6267" s="1411">
        <v>46025</v>
      </c>
    </row>
    <row r="6268" spans="3:8" x14ac:dyDescent="0.25">
      <c r="C6268" s="1414" t="s">
        <v>0</v>
      </c>
      <c r="D6268" s="1414" t="s">
        <v>7</v>
      </c>
      <c r="E6268" s="1415" t="s">
        <v>4</v>
      </c>
      <c r="F6268" s="4" t="str">
        <f t="shared" si="106"/>
        <v/>
      </c>
      <c r="G6268" s="37">
        <v>35</v>
      </c>
      <c r="H6268" s="1416">
        <v>46026</v>
      </c>
    </row>
    <row r="6269" spans="3:8" x14ac:dyDescent="0.25">
      <c r="C6269" s="1414">
        <v>51</v>
      </c>
      <c r="D6269" s="1414">
        <v>27</v>
      </c>
      <c r="E6269" s="1415">
        <v>32.9</v>
      </c>
      <c r="F6269" s="4">
        <f t="shared" si="106"/>
        <v>1.54320987654321E-2</v>
      </c>
      <c r="G6269" s="37">
        <v>35</v>
      </c>
      <c r="H6269" s="1416">
        <v>46026</v>
      </c>
    </row>
    <row r="6270" spans="3:8" x14ac:dyDescent="0.25">
      <c r="C6270" s="1414">
        <v>52</v>
      </c>
      <c r="D6270" s="1414">
        <v>36</v>
      </c>
      <c r="E6270" s="1415">
        <v>44</v>
      </c>
      <c r="F6270" s="4">
        <f t="shared" si="106"/>
        <v>1.6166281755196372E-2</v>
      </c>
      <c r="G6270" s="37">
        <v>35</v>
      </c>
      <c r="H6270" s="1416">
        <v>46026</v>
      </c>
    </row>
    <row r="6271" spans="3:8" x14ac:dyDescent="0.25">
      <c r="C6271" s="1414">
        <v>1</v>
      </c>
      <c r="D6271" s="1414"/>
      <c r="E6271" s="1415"/>
      <c r="F6271" s="4" t="str">
        <f t="shared" si="106"/>
        <v/>
      </c>
      <c r="G6271" s="37">
        <v>35</v>
      </c>
      <c r="H6271" s="1416">
        <v>46026</v>
      </c>
    </row>
    <row r="6272" spans="3:8" x14ac:dyDescent="0.25">
      <c r="C6272" s="1414">
        <v>2</v>
      </c>
      <c r="D6272" s="1414">
        <v>42</v>
      </c>
      <c r="E6272" s="1415">
        <v>30.8</v>
      </c>
      <c r="F6272" s="4">
        <f t="shared" si="106"/>
        <v>4.0540540540540515E-2</v>
      </c>
      <c r="G6272" s="37">
        <v>35</v>
      </c>
      <c r="H6272" s="1416">
        <v>46026</v>
      </c>
    </row>
    <row r="6273" spans="3:8" x14ac:dyDescent="0.25">
      <c r="C6273" s="1414">
        <v>3</v>
      </c>
      <c r="D6273" s="1414">
        <v>118</v>
      </c>
      <c r="E6273" s="1415">
        <v>36.700000000000003</v>
      </c>
      <c r="F6273" s="4">
        <f t="shared" si="106"/>
        <v>7.6246334310850483E-2</v>
      </c>
      <c r="G6273" s="37">
        <v>35</v>
      </c>
      <c r="H6273" s="1416">
        <v>46026</v>
      </c>
    </row>
    <row r="6274" spans="3:8" x14ac:dyDescent="0.25">
      <c r="C6274" s="1414">
        <v>4</v>
      </c>
      <c r="D6274" s="1414">
        <v>87</v>
      </c>
      <c r="E6274" s="1415">
        <v>34.4</v>
      </c>
      <c r="F6274" s="4">
        <f t="shared" si="106"/>
        <v>-1.7142857142857182E-2</v>
      </c>
      <c r="G6274" s="37">
        <v>35</v>
      </c>
      <c r="H6274" s="1416">
        <v>46026</v>
      </c>
    </row>
    <row r="6275" spans="3:8" x14ac:dyDescent="0.25">
      <c r="C6275" s="1414">
        <v>5</v>
      </c>
      <c r="D6275" s="1414">
        <v>0</v>
      </c>
      <c r="E6275" s="1415"/>
      <c r="F6275" s="4" t="str">
        <f t="shared" si="106"/>
        <v/>
      </c>
      <c r="G6275" s="37">
        <v>35</v>
      </c>
      <c r="H6275" s="1416">
        <v>46026</v>
      </c>
    </row>
    <row r="6276" spans="3:8" x14ac:dyDescent="0.25">
      <c r="C6276" s="1414">
        <v>6</v>
      </c>
      <c r="D6276" s="1414">
        <v>102</v>
      </c>
      <c r="E6276" s="1415">
        <v>27.1</v>
      </c>
      <c r="F6276" s="4">
        <f t="shared" si="106"/>
        <v>-0.14511041009463715</v>
      </c>
      <c r="G6276" s="37">
        <v>35</v>
      </c>
      <c r="H6276" s="1416">
        <v>46026</v>
      </c>
    </row>
    <row r="6277" spans="3:8" x14ac:dyDescent="0.25">
      <c r="C6277" s="1414">
        <v>7</v>
      </c>
      <c r="D6277" s="1414">
        <v>0</v>
      </c>
      <c r="E6277" s="1415"/>
      <c r="F6277" s="4" t="str">
        <f t="shared" si="106"/>
        <v/>
      </c>
      <c r="G6277" s="37">
        <v>35</v>
      </c>
      <c r="H6277" s="1416">
        <v>46026</v>
      </c>
    </row>
    <row r="6278" spans="3:8" x14ac:dyDescent="0.25">
      <c r="C6278" s="1414">
        <v>8</v>
      </c>
      <c r="D6278" s="1414">
        <v>0</v>
      </c>
      <c r="E6278" s="1415"/>
      <c r="F6278" s="4" t="str">
        <f t="shared" si="106"/>
        <v/>
      </c>
      <c r="G6278" s="37">
        <v>35</v>
      </c>
      <c r="H6278" s="1416">
        <v>46026</v>
      </c>
    </row>
    <row r="6279" spans="3:8" x14ac:dyDescent="0.25">
      <c r="C6279" s="1414">
        <v>9</v>
      </c>
      <c r="D6279" s="1414">
        <v>94</v>
      </c>
      <c r="E6279" s="1415">
        <v>36.4</v>
      </c>
      <c r="F6279" s="4">
        <f t="shared" si="106"/>
        <v>4.2979942693409746E-2</v>
      </c>
      <c r="G6279" s="37">
        <v>35</v>
      </c>
      <c r="H6279" s="1416">
        <v>46026</v>
      </c>
    </row>
    <row r="6280" spans="3:8" x14ac:dyDescent="0.25">
      <c r="C6280" s="1414">
        <v>10</v>
      </c>
      <c r="D6280" s="1414">
        <v>97</v>
      </c>
      <c r="E6280" s="1415">
        <v>36.1</v>
      </c>
      <c r="F6280" s="4">
        <f t="shared" si="106"/>
        <v>-2.1680216802167945E-2</v>
      </c>
      <c r="G6280" s="37">
        <v>35</v>
      </c>
      <c r="H6280" s="1416">
        <v>46026</v>
      </c>
    </row>
    <row r="6281" spans="3:8" x14ac:dyDescent="0.25">
      <c r="C6281" s="1417" t="s">
        <v>0</v>
      </c>
      <c r="D6281" s="1417" t="s">
        <v>7</v>
      </c>
      <c r="E6281" s="1418" t="s">
        <v>4</v>
      </c>
      <c r="F6281" s="4" t="str">
        <f t="shared" si="106"/>
        <v/>
      </c>
      <c r="G6281" s="37">
        <v>35.5</v>
      </c>
      <c r="H6281" s="1419">
        <v>46027</v>
      </c>
    </row>
    <row r="6282" spans="3:8" x14ac:dyDescent="0.25">
      <c r="C6282" s="1417">
        <v>51</v>
      </c>
      <c r="D6282" s="1417">
        <v>26</v>
      </c>
      <c r="E6282" s="1418">
        <v>33.200000000000003</v>
      </c>
      <c r="F6282" s="4">
        <f t="shared" si="106"/>
        <v>9.1185410334347801E-3</v>
      </c>
      <c r="G6282" s="37">
        <v>35.5</v>
      </c>
      <c r="H6282" s="1419">
        <v>46027</v>
      </c>
    </row>
    <row r="6283" spans="3:8" x14ac:dyDescent="0.25">
      <c r="C6283" s="1417">
        <v>52</v>
      </c>
      <c r="D6283" s="1417">
        <v>36</v>
      </c>
      <c r="E6283" s="1418">
        <v>45.5</v>
      </c>
      <c r="F6283" s="4">
        <f t="shared" si="106"/>
        <v>3.4090909090909088E-2</v>
      </c>
      <c r="G6283" s="37">
        <v>35.5</v>
      </c>
      <c r="H6283" s="1419">
        <v>46027</v>
      </c>
    </row>
    <row r="6284" spans="3:8" x14ac:dyDescent="0.25">
      <c r="C6284" s="1417">
        <v>1</v>
      </c>
      <c r="D6284" s="1417">
        <v>125</v>
      </c>
      <c r="E6284" s="1418"/>
      <c r="F6284" s="4" t="str">
        <f t="shared" si="106"/>
        <v/>
      </c>
      <c r="G6284" s="37">
        <v>35.5</v>
      </c>
      <c r="H6284" s="1419">
        <v>46027</v>
      </c>
    </row>
    <row r="6285" spans="3:8" x14ac:dyDescent="0.25">
      <c r="C6285" s="1417">
        <v>2</v>
      </c>
      <c r="D6285" s="1417">
        <v>38</v>
      </c>
      <c r="E6285" s="1418">
        <v>30.7</v>
      </c>
      <c r="F6285" s="4">
        <f t="shared" si="106"/>
        <v>-3.2467532467532929E-3</v>
      </c>
      <c r="G6285" s="37">
        <v>35.5</v>
      </c>
      <c r="H6285" s="1419">
        <v>46027</v>
      </c>
    </row>
    <row r="6286" spans="3:8" x14ac:dyDescent="0.25">
      <c r="C6286" s="1417">
        <v>3</v>
      </c>
      <c r="D6286" s="1417">
        <v>112</v>
      </c>
      <c r="E6286" s="1418">
        <v>38.200000000000003</v>
      </c>
      <c r="F6286" s="4">
        <f t="shared" si="106"/>
        <v>4.0871934604904632E-2</v>
      </c>
      <c r="G6286" s="37">
        <v>35.5</v>
      </c>
      <c r="H6286" s="1419">
        <v>46027</v>
      </c>
    </row>
    <row r="6287" spans="3:8" x14ac:dyDescent="0.25">
      <c r="C6287" s="1417">
        <v>4</v>
      </c>
      <c r="D6287" s="1417">
        <v>87</v>
      </c>
      <c r="E6287" s="1418">
        <v>34.799999999999997</v>
      </c>
      <c r="F6287" s="4">
        <f t="shared" si="106"/>
        <v>1.1627906976744146E-2</v>
      </c>
      <c r="G6287" s="37">
        <v>35.5</v>
      </c>
      <c r="H6287" s="1419">
        <v>46027</v>
      </c>
    </row>
    <row r="6288" spans="3:8" x14ac:dyDescent="0.25">
      <c r="C6288" s="1417">
        <v>5</v>
      </c>
      <c r="D6288" s="1417">
        <v>0</v>
      </c>
      <c r="E6288" s="1418"/>
      <c r="F6288" s="4" t="str">
        <f t="shared" si="106"/>
        <v/>
      </c>
      <c r="G6288" s="37">
        <v>35.5</v>
      </c>
      <c r="H6288" s="1419">
        <v>46027</v>
      </c>
    </row>
    <row r="6289" spans="3:8" x14ac:dyDescent="0.25">
      <c r="C6289" s="1417">
        <v>6</v>
      </c>
      <c r="D6289" s="1417">
        <v>109</v>
      </c>
      <c r="E6289" s="1418">
        <v>27.7</v>
      </c>
      <c r="F6289" s="4">
        <f t="shared" si="106"/>
        <v>2.2140221402213941E-2</v>
      </c>
      <c r="G6289" s="37">
        <v>35.5</v>
      </c>
      <c r="H6289" s="1419">
        <v>46027</v>
      </c>
    </row>
    <row r="6290" spans="3:8" x14ac:dyDescent="0.25">
      <c r="C6290" s="1417">
        <v>7</v>
      </c>
      <c r="D6290" s="1417">
        <v>0</v>
      </c>
      <c r="E6290" s="1418"/>
      <c r="F6290" s="4" t="str">
        <f t="shared" ref="F6290:F6353" si="107">IFERROR((E6290-E6277)/E6277,"")</f>
        <v/>
      </c>
      <c r="G6290" s="37">
        <v>35.5</v>
      </c>
      <c r="H6290" s="1419">
        <v>46027</v>
      </c>
    </row>
    <row r="6291" spans="3:8" x14ac:dyDescent="0.25">
      <c r="C6291" s="1417">
        <v>8</v>
      </c>
      <c r="D6291" s="1417">
        <v>0</v>
      </c>
      <c r="E6291" s="1418"/>
      <c r="F6291" s="4" t="str">
        <f t="shared" si="107"/>
        <v/>
      </c>
      <c r="G6291" s="37">
        <v>35.5</v>
      </c>
      <c r="H6291" s="1419">
        <v>46027</v>
      </c>
    </row>
    <row r="6292" spans="3:8" x14ac:dyDescent="0.25">
      <c r="C6292" s="1417">
        <v>9</v>
      </c>
      <c r="D6292" s="1417">
        <v>94</v>
      </c>
      <c r="E6292" s="1418">
        <v>35.700000000000003</v>
      </c>
      <c r="F6292" s="4">
        <f t="shared" si="107"/>
        <v>-1.9230769230769114E-2</v>
      </c>
      <c r="G6292" s="37">
        <v>35.5</v>
      </c>
      <c r="H6292" s="1419">
        <v>46027</v>
      </c>
    </row>
    <row r="6293" spans="3:8" x14ac:dyDescent="0.25">
      <c r="C6293" s="1417">
        <v>10</v>
      </c>
      <c r="D6293" s="1417">
        <v>97</v>
      </c>
      <c r="E6293" s="1418">
        <v>36.6</v>
      </c>
      <c r="F6293" s="4">
        <f t="shared" si="107"/>
        <v>1.3850415512465374E-2</v>
      </c>
      <c r="G6293" s="37">
        <v>35.5</v>
      </c>
      <c r="H6293" s="1419">
        <v>46027</v>
      </c>
    </row>
    <row r="6294" spans="3:8" x14ac:dyDescent="0.25">
      <c r="C6294" s="1420" t="s">
        <v>0</v>
      </c>
      <c r="D6294" s="1420" t="s">
        <v>7</v>
      </c>
      <c r="E6294" s="1421" t="s">
        <v>4</v>
      </c>
      <c r="F6294" s="4" t="str">
        <f t="shared" si="107"/>
        <v/>
      </c>
      <c r="G6294" s="37">
        <v>37.9</v>
      </c>
      <c r="H6294" s="1422">
        <v>46028</v>
      </c>
    </row>
    <row r="6295" spans="3:8" x14ac:dyDescent="0.25">
      <c r="C6295" s="1420">
        <v>51</v>
      </c>
      <c r="D6295" s="1420">
        <v>31</v>
      </c>
      <c r="E6295" s="1421">
        <v>31.7</v>
      </c>
      <c r="F6295" s="4">
        <f t="shared" si="107"/>
        <v>-4.5180722891566369E-2</v>
      </c>
      <c r="G6295" s="37">
        <v>37.9</v>
      </c>
      <c r="H6295" s="1422">
        <v>46028</v>
      </c>
    </row>
    <row r="6296" spans="3:8" x14ac:dyDescent="0.25">
      <c r="C6296" s="1420">
        <v>52</v>
      </c>
      <c r="D6296" s="1420">
        <v>36</v>
      </c>
      <c r="E6296" s="1421">
        <v>46.1</v>
      </c>
      <c r="F6296" s="4">
        <f t="shared" si="107"/>
        <v>1.3186813186813218E-2</v>
      </c>
      <c r="G6296" s="37">
        <v>37.9</v>
      </c>
      <c r="H6296" s="1422">
        <v>46028</v>
      </c>
    </row>
    <row r="6297" spans="3:8" x14ac:dyDescent="0.25">
      <c r="C6297" s="1420">
        <v>1</v>
      </c>
      <c r="D6297" s="1420">
        <v>0</v>
      </c>
      <c r="E6297" s="1421"/>
      <c r="F6297" s="4" t="str">
        <f t="shared" si="107"/>
        <v/>
      </c>
      <c r="G6297" s="37">
        <v>37.9</v>
      </c>
      <c r="H6297" s="1422">
        <v>46028</v>
      </c>
    </row>
    <row r="6298" spans="3:8" x14ac:dyDescent="0.25">
      <c r="C6298" s="1420">
        <v>2</v>
      </c>
      <c r="D6298" s="1420">
        <v>39</v>
      </c>
      <c r="E6298" s="1421">
        <v>30.1</v>
      </c>
      <c r="F6298" s="4">
        <f t="shared" si="107"/>
        <v>-1.9543973941368011E-2</v>
      </c>
      <c r="G6298" s="37">
        <v>37.9</v>
      </c>
      <c r="H6298" s="1422">
        <v>46028</v>
      </c>
    </row>
    <row r="6299" spans="3:8" x14ac:dyDescent="0.25">
      <c r="C6299" s="1420">
        <v>3</v>
      </c>
      <c r="D6299" s="1420">
        <v>97</v>
      </c>
      <c r="E6299" s="1421">
        <v>36.4</v>
      </c>
      <c r="F6299" s="4">
        <f t="shared" si="107"/>
        <v>-4.7120418848167644E-2</v>
      </c>
      <c r="G6299" s="37">
        <v>37.9</v>
      </c>
      <c r="H6299" s="1422">
        <v>46028</v>
      </c>
    </row>
    <row r="6300" spans="3:8" x14ac:dyDescent="0.25">
      <c r="C6300" s="1420">
        <v>4</v>
      </c>
      <c r="D6300" s="1420">
        <v>87</v>
      </c>
      <c r="E6300" s="1421">
        <v>34.700000000000003</v>
      </c>
      <c r="F6300" s="4">
        <f t="shared" si="107"/>
        <v>-2.8735632183906415E-3</v>
      </c>
      <c r="G6300" s="37">
        <v>37.9</v>
      </c>
      <c r="H6300" s="1422">
        <v>46028</v>
      </c>
    </row>
    <row r="6301" spans="3:8" x14ac:dyDescent="0.25">
      <c r="C6301" s="1420">
        <v>5</v>
      </c>
      <c r="D6301" s="1420">
        <v>0</v>
      </c>
      <c r="E6301" s="1421"/>
      <c r="F6301" s="4" t="str">
        <f t="shared" si="107"/>
        <v/>
      </c>
      <c r="G6301" s="37">
        <v>37.9</v>
      </c>
      <c r="H6301" s="1422">
        <v>46028</v>
      </c>
    </row>
    <row r="6302" spans="3:8" x14ac:dyDescent="0.25">
      <c r="C6302" s="1420">
        <v>6</v>
      </c>
      <c r="D6302" s="1420">
        <v>112</v>
      </c>
      <c r="E6302" s="1421">
        <v>27.3</v>
      </c>
      <c r="F6302" s="4">
        <f t="shared" si="107"/>
        <v>-1.4440433212996338E-2</v>
      </c>
      <c r="G6302" s="37">
        <v>37.9</v>
      </c>
      <c r="H6302" s="1422">
        <v>46028</v>
      </c>
    </row>
    <row r="6303" spans="3:8" x14ac:dyDescent="0.25">
      <c r="C6303" s="1420">
        <v>7</v>
      </c>
      <c r="D6303" s="1420">
        <v>109</v>
      </c>
      <c r="E6303" s="1421"/>
      <c r="F6303" s="4" t="str">
        <f t="shared" si="107"/>
        <v/>
      </c>
      <c r="G6303" s="37">
        <v>37.9</v>
      </c>
      <c r="H6303" s="1422">
        <v>46028</v>
      </c>
    </row>
    <row r="6304" spans="3:8" x14ac:dyDescent="0.25">
      <c r="C6304" s="1420">
        <v>8</v>
      </c>
      <c r="D6304" s="1420">
        <v>0</v>
      </c>
      <c r="E6304" s="1421"/>
      <c r="F6304" s="4" t="str">
        <f t="shared" si="107"/>
        <v/>
      </c>
      <c r="G6304" s="37">
        <v>37.9</v>
      </c>
      <c r="H6304" s="1422">
        <v>46028</v>
      </c>
    </row>
    <row r="6305" spans="3:8" x14ac:dyDescent="0.25">
      <c r="C6305" s="1420">
        <v>9</v>
      </c>
      <c r="D6305" s="1420">
        <v>94</v>
      </c>
      <c r="E6305" s="1421">
        <v>45.4</v>
      </c>
      <c r="F6305" s="4">
        <f t="shared" si="107"/>
        <v>0.27170868347338922</v>
      </c>
      <c r="G6305" s="37">
        <v>37.9</v>
      </c>
      <c r="H6305" s="1422">
        <v>46028</v>
      </c>
    </row>
    <row r="6306" spans="3:8" x14ac:dyDescent="0.25">
      <c r="C6306" s="1420">
        <v>10</v>
      </c>
      <c r="D6306" s="1420">
        <v>0</v>
      </c>
      <c r="E6306" s="1421">
        <v>36.4</v>
      </c>
      <c r="F6306" s="4">
        <f t="shared" si="107"/>
        <v>-5.4644808743170171E-3</v>
      </c>
      <c r="G6306" s="37">
        <v>37.9</v>
      </c>
      <c r="H6306" s="1422">
        <v>46028</v>
      </c>
    </row>
    <row r="6307" spans="3:8" x14ac:dyDescent="0.25">
      <c r="C6307" s="1423" t="s">
        <v>0</v>
      </c>
      <c r="D6307" s="1423" t="s">
        <v>7</v>
      </c>
      <c r="E6307" s="1424" t="s">
        <v>4</v>
      </c>
      <c r="F6307" s="4" t="str">
        <f t="shared" si="107"/>
        <v/>
      </c>
      <c r="G6307" s="37">
        <v>35.1</v>
      </c>
      <c r="H6307" s="1425">
        <v>46029</v>
      </c>
    </row>
    <row r="6308" spans="3:8" x14ac:dyDescent="0.25">
      <c r="C6308" s="1423">
        <v>51</v>
      </c>
      <c r="D6308" s="1423">
        <v>30</v>
      </c>
      <c r="E6308" s="1424">
        <v>32.1</v>
      </c>
      <c r="F6308" s="4">
        <f t="shared" si="107"/>
        <v>1.2618296529968522E-2</v>
      </c>
      <c r="G6308" s="37">
        <v>35.1</v>
      </c>
      <c r="H6308" s="1425">
        <v>46029</v>
      </c>
    </row>
    <row r="6309" spans="3:8" x14ac:dyDescent="0.25">
      <c r="C6309" s="1423">
        <v>52</v>
      </c>
      <c r="D6309" s="1423">
        <v>36</v>
      </c>
      <c r="E6309" s="1424">
        <v>45.6</v>
      </c>
      <c r="F6309" s="4">
        <f t="shared" si="107"/>
        <v>-1.0845986984815618E-2</v>
      </c>
      <c r="G6309" s="37">
        <v>35.1</v>
      </c>
      <c r="H6309" s="1425">
        <v>46029</v>
      </c>
    </row>
    <row r="6310" spans="3:8" x14ac:dyDescent="0.25">
      <c r="C6310" s="1423">
        <v>1</v>
      </c>
      <c r="D6310" s="1423">
        <v>0</v>
      </c>
      <c r="E6310" s="1424"/>
      <c r="F6310" s="4" t="str">
        <f t="shared" si="107"/>
        <v/>
      </c>
      <c r="G6310" s="37">
        <v>35.1</v>
      </c>
      <c r="H6310" s="1425">
        <v>46029</v>
      </c>
    </row>
    <row r="6311" spans="3:8" x14ac:dyDescent="0.25">
      <c r="C6311" s="1423">
        <v>2</v>
      </c>
      <c r="D6311" s="1423">
        <v>39</v>
      </c>
      <c r="E6311" s="1424">
        <v>31.4</v>
      </c>
      <c r="F6311" s="4">
        <f t="shared" si="107"/>
        <v>4.3189368770764021E-2</v>
      </c>
      <c r="G6311" s="37">
        <v>35.1</v>
      </c>
      <c r="H6311" s="1425">
        <v>46029</v>
      </c>
    </row>
    <row r="6312" spans="3:8" x14ac:dyDescent="0.25">
      <c r="C6312" s="1423">
        <v>3</v>
      </c>
      <c r="D6312" s="1423">
        <v>97</v>
      </c>
      <c r="E6312" s="1424">
        <v>37.200000000000003</v>
      </c>
      <c r="F6312" s="4">
        <f t="shared" si="107"/>
        <v>2.1978021978022098E-2</v>
      </c>
      <c r="G6312" s="37">
        <v>35.1</v>
      </c>
      <c r="H6312" s="1425">
        <v>46029</v>
      </c>
    </row>
    <row r="6313" spans="3:8" x14ac:dyDescent="0.25">
      <c r="C6313" s="1423">
        <v>4</v>
      </c>
      <c r="D6313" s="1423">
        <v>87</v>
      </c>
      <c r="E6313" s="1424">
        <v>34.299999999999997</v>
      </c>
      <c r="F6313" s="4">
        <f t="shared" si="107"/>
        <v>-1.1527377521613995E-2</v>
      </c>
      <c r="G6313" s="37">
        <v>35.1</v>
      </c>
      <c r="H6313" s="1425">
        <v>46029</v>
      </c>
    </row>
    <row r="6314" spans="3:8" x14ac:dyDescent="0.25">
      <c r="C6314" s="1423">
        <v>5</v>
      </c>
      <c r="D6314" s="1423">
        <v>0</v>
      </c>
      <c r="E6314" s="1424"/>
      <c r="F6314" s="4" t="str">
        <f t="shared" si="107"/>
        <v/>
      </c>
      <c r="G6314" s="37">
        <v>35.1</v>
      </c>
      <c r="H6314" s="1425">
        <v>46029</v>
      </c>
    </row>
    <row r="6315" spans="3:8" x14ac:dyDescent="0.25">
      <c r="C6315" s="1423">
        <v>6</v>
      </c>
      <c r="D6315" s="1423">
        <v>112</v>
      </c>
      <c r="E6315" s="1424">
        <v>27.1</v>
      </c>
      <c r="F6315" s="4">
        <f t="shared" si="107"/>
        <v>-7.3260073260073E-3</v>
      </c>
      <c r="G6315" s="37">
        <v>35.1</v>
      </c>
      <c r="H6315" s="1425">
        <v>46029</v>
      </c>
    </row>
    <row r="6316" spans="3:8" x14ac:dyDescent="0.25">
      <c r="C6316" s="1423">
        <v>7</v>
      </c>
      <c r="D6316" s="1423">
        <v>109</v>
      </c>
      <c r="E6316" s="1424">
        <v>38.9</v>
      </c>
      <c r="F6316" s="4" t="str">
        <f t="shared" si="107"/>
        <v/>
      </c>
      <c r="G6316" s="37">
        <v>35.1</v>
      </c>
      <c r="H6316" s="1425">
        <v>46029</v>
      </c>
    </row>
    <row r="6317" spans="3:8" x14ac:dyDescent="0.25">
      <c r="C6317" s="1423">
        <v>8</v>
      </c>
      <c r="D6317" s="1423">
        <v>0</v>
      </c>
      <c r="E6317" s="1424"/>
      <c r="F6317" s="4" t="str">
        <f t="shared" si="107"/>
        <v/>
      </c>
      <c r="G6317" s="37">
        <v>35.1</v>
      </c>
      <c r="H6317" s="1425">
        <v>46029</v>
      </c>
    </row>
    <row r="6318" spans="3:8" x14ac:dyDescent="0.25">
      <c r="C6318" s="1423">
        <v>9</v>
      </c>
      <c r="D6318" s="1423">
        <v>94</v>
      </c>
      <c r="E6318" s="1424">
        <v>35.200000000000003</v>
      </c>
      <c r="F6318" s="4">
        <f t="shared" si="107"/>
        <v>-0.22466960352422899</v>
      </c>
      <c r="G6318" s="37">
        <v>35.1</v>
      </c>
      <c r="H6318" s="1425">
        <v>46029</v>
      </c>
    </row>
    <row r="6319" spans="3:8" x14ac:dyDescent="0.25">
      <c r="C6319" s="1423">
        <v>10</v>
      </c>
      <c r="D6319" s="1423">
        <v>0</v>
      </c>
      <c r="E6319" s="1424"/>
      <c r="F6319" s="4">
        <f t="shared" si="107"/>
        <v>-1</v>
      </c>
      <c r="G6319" s="37">
        <v>35.1</v>
      </c>
      <c r="H6319" s="1425">
        <v>46029</v>
      </c>
    </row>
    <row r="6320" spans="3:8" x14ac:dyDescent="0.25">
      <c r="C6320" s="1426" t="s">
        <v>0</v>
      </c>
      <c r="D6320" s="1426" t="s">
        <v>7</v>
      </c>
      <c r="E6320" s="1427" t="s">
        <v>4</v>
      </c>
      <c r="F6320" s="4" t="str">
        <f t="shared" si="107"/>
        <v/>
      </c>
      <c r="G6320" s="37">
        <v>36.4</v>
      </c>
      <c r="H6320" s="1425">
        <v>46030</v>
      </c>
    </row>
    <row r="6321" spans="3:8" x14ac:dyDescent="0.25">
      <c r="C6321" s="1426">
        <v>51</v>
      </c>
      <c r="D6321" s="1426">
        <v>25</v>
      </c>
      <c r="E6321" s="1427">
        <v>33.799999999999997</v>
      </c>
      <c r="F6321" s="4">
        <f t="shared" si="107"/>
        <v>5.2959501557632266E-2</v>
      </c>
      <c r="G6321" s="37">
        <v>36.4</v>
      </c>
      <c r="H6321" s="1425">
        <v>46030</v>
      </c>
    </row>
    <row r="6322" spans="3:8" x14ac:dyDescent="0.25">
      <c r="C6322" s="1426">
        <v>52</v>
      </c>
      <c r="D6322" s="1426">
        <v>40</v>
      </c>
      <c r="E6322" s="1427">
        <v>42.3</v>
      </c>
      <c r="F6322" s="4">
        <f t="shared" si="107"/>
        <v>-7.2368421052631665E-2</v>
      </c>
      <c r="G6322" s="37">
        <v>36.4</v>
      </c>
      <c r="H6322" s="1425">
        <v>46030</v>
      </c>
    </row>
    <row r="6323" spans="3:8" x14ac:dyDescent="0.25">
      <c r="C6323" s="1426">
        <v>1</v>
      </c>
      <c r="D6323" s="1426">
        <v>0</v>
      </c>
      <c r="E6323" s="1427"/>
      <c r="F6323" s="4" t="str">
        <f t="shared" si="107"/>
        <v/>
      </c>
      <c r="G6323" s="37">
        <v>36.4</v>
      </c>
      <c r="H6323" s="1425">
        <v>46030</v>
      </c>
    </row>
    <row r="6324" spans="3:8" x14ac:dyDescent="0.25">
      <c r="C6324" s="1426">
        <v>2</v>
      </c>
      <c r="D6324" s="1426">
        <v>39</v>
      </c>
      <c r="E6324" s="1427">
        <v>32.700000000000003</v>
      </c>
      <c r="F6324" s="4">
        <f t="shared" si="107"/>
        <v>4.1401273885350455E-2</v>
      </c>
      <c r="G6324" s="37">
        <v>36.4</v>
      </c>
      <c r="H6324" s="1425">
        <v>46030</v>
      </c>
    </row>
    <row r="6325" spans="3:8" x14ac:dyDescent="0.25">
      <c r="C6325" s="1426">
        <v>3</v>
      </c>
      <c r="D6325" s="1426">
        <v>96</v>
      </c>
      <c r="E6325" s="1427">
        <v>38.1</v>
      </c>
      <c r="F6325" s="4">
        <f t="shared" si="107"/>
        <v>2.4193548387096735E-2</v>
      </c>
      <c r="G6325" s="37">
        <v>36.4</v>
      </c>
      <c r="H6325" s="1425">
        <v>46030</v>
      </c>
    </row>
    <row r="6326" spans="3:8" x14ac:dyDescent="0.25">
      <c r="C6326" s="1426">
        <v>4</v>
      </c>
      <c r="D6326" s="1426">
        <v>87</v>
      </c>
      <c r="E6326" s="1427">
        <v>36.1</v>
      </c>
      <c r="F6326" s="4">
        <f t="shared" si="107"/>
        <v>5.2478134110787299E-2</v>
      </c>
      <c r="G6326" s="37">
        <v>36.4</v>
      </c>
      <c r="H6326" s="1425">
        <v>46030</v>
      </c>
    </row>
    <row r="6327" spans="3:8" x14ac:dyDescent="0.25">
      <c r="C6327" s="1426">
        <v>5</v>
      </c>
      <c r="D6327" s="1426">
        <v>0</v>
      </c>
      <c r="E6327" s="1427"/>
      <c r="F6327" s="4" t="str">
        <f t="shared" si="107"/>
        <v/>
      </c>
      <c r="G6327" s="37">
        <v>36.4</v>
      </c>
      <c r="H6327" s="1425">
        <v>46030</v>
      </c>
    </row>
    <row r="6328" spans="3:8" x14ac:dyDescent="0.25">
      <c r="C6328" s="1426">
        <v>6</v>
      </c>
      <c r="D6328" s="1426">
        <v>113</v>
      </c>
      <c r="E6328" s="1427">
        <v>28.2</v>
      </c>
      <c r="F6328" s="4">
        <f t="shared" si="107"/>
        <v>4.0590405904058963E-2</v>
      </c>
      <c r="G6328" s="37">
        <v>36.4</v>
      </c>
      <c r="H6328" s="1425">
        <v>46030</v>
      </c>
    </row>
    <row r="6329" spans="3:8" x14ac:dyDescent="0.25">
      <c r="C6329" s="1426">
        <v>7</v>
      </c>
      <c r="D6329" s="1426">
        <v>116</v>
      </c>
      <c r="E6329" s="1427">
        <v>40</v>
      </c>
      <c r="F6329" s="4">
        <f t="shared" si="107"/>
        <v>2.8277634961439625E-2</v>
      </c>
      <c r="G6329" s="37">
        <v>36.4</v>
      </c>
      <c r="H6329" s="1425">
        <v>46030</v>
      </c>
    </row>
    <row r="6330" spans="3:8" x14ac:dyDescent="0.25">
      <c r="C6330" s="1426">
        <v>8</v>
      </c>
      <c r="D6330" s="1426">
        <v>0</v>
      </c>
      <c r="E6330" s="1427"/>
      <c r="F6330" s="4" t="str">
        <f t="shared" si="107"/>
        <v/>
      </c>
      <c r="G6330" s="37">
        <v>36.4</v>
      </c>
      <c r="H6330" s="1425">
        <v>46030</v>
      </c>
    </row>
    <row r="6331" spans="3:8" x14ac:dyDescent="0.25">
      <c r="C6331" s="1426">
        <v>9</v>
      </c>
      <c r="D6331" s="1426">
        <v>93</v>
      </c>
      <c r="E6331" s="1427">
        <v>37.4</v>
      </c>
      <c r="F6331" s="4">
        <f t="shared" si="107"/>
        <v>6.2499999999999875E-2</v>
      </c>
      <c r="G6331" s="37">
        <v>36.4</v>
      </c>
      <c r="H6331" s="1425">
        <v>46030</v>
      </c>
    </row>
    <row r="6332" spans="3:8" x14ac:dyDescent="0.25">
      <c r="C6332" s="1426">
        <v>10</v>
      </c>
      <c r="D6332" s="1426">
        <v>0</v>
      </c>
      <c r="E6332" s="1427"/>
      <c r="F6332" s="4" t="str">
        <f t="shared" si="107"/>
        <v/>
      </c>
      <c r="G6332" s="37">
        <v>36.4</v>
      </c>
      <c r="H6332" s="1425">
        <v>46030</v>
      </c>
    </row>
    <row r="6333" spans="3:8" x14ac:dyDescent="0.25">
      <c r="C6333" s="1428" t="s">
        <v>0</v>
      </c>
      <c r="D6333" s="1428" t="s">
        <v>7</v>
      </c>
      <c r="E6333" s="1429" t="s">
        <v>4</v>
      </c>
      <c r="F6333" s="4" t="str">
        <f t="shared" si="107"/>
        <v/>
      </c>
      <c r="G6333" s="37">
        <v>35.200000000000003</v>
      </c>
      <c r="H6333" s="1430">
        <v>46031</v>
      </c>
    </row>
    <row r="6334" spans="3:8" x14ac:dyDescent="0.25">
      <c r="C6334" s="1428">
        <v>51</v>
      </c>
      <c r="D6334" s="1428">
        <v>28</v>
      </c>
      <c r="E6334" s="1429">
        <v>32</v>
      </c>
      <c r="F6334" s="4">
        <f t="shared" si="107"/>
        <v>-5.3254437869822403E-2</v>
      </c>
      <c r="G6334" s="37">
        <v>35.200000000000003</v>
      </c>
      <c r="H6334" s="1430">
        <v>46031</v>
      </c>
    </row>
    <row r="6335" spans="3:8" x14ac:dyDescent="0.25">
      <c r="C6335" s="1428">
        <v>52</v>
      </c>
      <c r="D6335" s="1428">
        <v>40</v>
      </c>
      <c r="E6335" s="1429">
        <v>35.1</v>
      </c>
      <c r="F6335" s="4">
        <f t="shared" si="107"/>
        <v>-0.17021276595744672</v>
      </c>
      <c r="G6335" s="37">
        <v>35.200000000000003</v>
      </c>
      <c r="H6335" s="1430">
        <v>46031</v>
      </c>
    </row>
    <row r="6336" spans="3:8" x14ac:dyDescent="0.25">
      <c r="C6336" s="1428">
        <v>1</v>
      </c>
      <c r="D6336" s="1428">
        <v>8</v>
      </c>
      <c r="E6336" s="1429"/>
      <c r="F6336" s="4" t="str">
        <f t="shared" si="107"/>
        <v/>
      </c>
      <c r="G6336" s="37">
        <v>35.200000000000003</v>
      </c>
      <c r="H6336" s="1430">
        <v>46031</v>
      </c>
    </row>
    <row r="6337" spans="3:8" x14ac:dyDescent="0.25">
      <c r="C6337" s="1428">
        <v>2</v>
      </c>
      <c r="D6337" s="1428">
        <v>39</v>
      </c>
      <c r="E6337" s="1429">
        <v>31.5</v>
      </c>
      <c r="F6337" s="4">
        <f t="shared" si="107"/>
        <v>-3.6697247706422104E-2</v>
      </c>
      <c r="G6337" s="37">
        <v>35.200000000000003</v>
      </c>
      <c r="H6337" s="1430">
        <v>46031</v>
      </c>
    </row>
    <row r="6338" spans="3:8" x14ac:dyDescent="0.25">
      <c r="C6338" s="1428">
        <v>3</v>
      </c>
      <c r="D6338" s="1428">
        <v>95</v>
      </c>
      <c r="E6338" s="1429">
        <v>36.799999999999997</v>
      </c>
      <c r="F6338" s="4">
        <f t="shared" si="107"/>
        <v>-3.4120734908136593E-2</v>
      </c>
      <c r="G6338" s="37">
        <v>35.200000000000003</v>
      </c>
      <c r="H6338" s="1430">
        <v>46031</v>
      </c>
    </row>
    <row r="6339" spans="3:8" x14ac:dyDescent="0.25">
      <c r="C6339" s="1428">
        <v>4</v>
      </c>
      <c r="D6339" s="1428">
        <v>81</v>
      </c>
      <c r="E6339" s="1429">
        <v>31.6</v>
      </c>
      <c r="F6339" s="4">
        <f t="shared" si="107"/>
        <v>-0.12465373961218836</v>
      </c>
      <c r="G6339" s="37">
        <v>35.200000000000003</v>
      </c>
      <c r="H6339" s="1430">
        <v>46031</v>
      </c>
    </row>
    <row r="6340" spans="3:8" x14ac:dyDescent="0.25">
      <c r="C6340" s="1428">
        <v>5</v>
      </c>
      <c r="D6340" s="1428">
        <v>0</v>
      </c>
      <c r="E6340" s="1429"/>
      <c r="F6340" s="4" t="str">
        <f t="shared" si="107"/>
        <v/>
      </c>
      <c r="G6340" s="37">
        <v>35.200000000000003</v>
      </c>
      <c r="H6340" s="1430">
        <v>46031</v>
      </c>
    </row>
    <row r="6341" spans="3:8" x14ac:dyDescent="0.25">
      <c r="C6341" s="1428">
        <v>6</v>
      </c>
      <c r="D6341" s="1428">
        <v>111</v>
      </c>
      <c r="E6341" s="1429">
        <v>26.4</v>
      </c>
      <c r="F6341" s="4">
        <f t="shared" si="107"/>
        <v>-6.3829787234042576E-2</v>
      </c>
      <c r="G6341" s="37">
        <v>35.200000000000003</v>
      </c>
      <c r="H6341" s="1430">
        <v>46031</v>
      </c>
    </row>
    <row r="6342" spans="3:8" x14ac:dyDescent="0.25">
      <c r="C6342" s="1428">
        <v>7</v>
      </c>
      <c r="D6342" s="1428">
        <v>116</v>
      </c>
      <c r="E6342" s="1429">
        <v>40.200000000000003</v>
      </c>
      <c r="F6342" s="4">
        <f t="shared" si="107"/>
        <v>5.0000000000000712E-3</v>
      </c>
      <c r="G6342" s="37">
        <v>35.200000000000003</v>
      </c>
      <c r="H6342" s="1430">
        <v>46031</v>
      </c>
    </row>
    <row r="6343" spans="3:8" x14ac:dyDescent="0.25">
      <c r="C6343" s="1428">
        <v>8</v>
      </c>
      <c r="D6343" s="1428">
        <v>0</v>
      </c>
      <c r="E6343" s="1429"/>
      <c r="F6343" s="4" t="str">
        <f t="shared" si="107"/>
        <v/>
      </c>
      <c r="G6343" s="37">
        <v>35.200000000000003</v>
      </c>
      <c r="H6343" s="1430">
        <v>46031</v>
      </c>
    </row>
    <row r="6344" spans="3:8" x14ac:dyDescent="0.25">
      <c r="C6344" s="1428">
        <v>9</v>
      </c>
      <c r="D6344" s="1428">
        <v>93</v>
      </c>
      <c r="E6344" s="1429">
        <v>36.700000000000003</v>
      </c>
      <c r="F6344" s="4">
        <f t="shared" si="107"/>
        <v>-1.8716577540106839E-2</v>
      </c>
      <c r="G6344" s="37">
        <v>35.200000000000003</v>
      </c>
      <c r="H6344" s="1430">
        <v>46031</v>
      </c>
    </row>
    <row r="6345" spans="3:8" x14ac:dyDescent="0.25">
      <c r="C6345" s="1428">
        <v>10</v>
      </c>
      <c r="D6345" s="1428">
        <v>0</v>
      </c>
      <c r="E6345" s="1429"/>
      <c r="F6345" s="4" t="str">
        <f t="shared" si="107"/>
        <v/>
      </c>
      <c r="G6345" s="37">
        <v>35.200000000000003</v>
      </c>
      <c r="H6345" s="1430">
        <v>46031</v>
      </c>
    </row>
    <row r="6346" spans="3:8" x14ac:dyDescent="0.25">
      <c r="C6346" s="1431" t="s">
        <v>0</v>
      </c>
      <c r="D6346" s="1431" t="s">
        <v>7</v>
      </c>
      <c r="E6346" s="1432" t="s">
        <v>4</v>
      </c>
      <c r="F6346" s="4" t="str">
        <f t="shared" si="107"/>
        <v/>
      </c>
      <c r="G6346" s="37">
        <v>35.4</v>
      </c>
      <c r="H6346" s="1430">
        <v>46032</v>
      </c>
    </row>
    <row r="6347" spans="3:8" x14ac:dyDescent="0.25">
      <c r="C6347" s="1431">
        <v>51</v>
      </c>
      <c r="D6347" s="1431">
        <v>23</v>
      </c>
      <c r="E6347" s="1432">
        <v>31.4</v>
      </c>
      <c r="F6347" s="4">
        <f t="shared" si="107"/>
        <v>-1.8750000000000044E-2</v>
      </c>
      <c r="G6347" s="37">
        <v>35.4</v>
      </c>
      <c r="H6347" s="1430">
        <v>46032</v>
      </c>
    </row>
    <row r="6348" spans="3:8" x14ac:dyDescent="0.25">
      <c r="C6348" s="1431">
        <v>52</v>
      </c>
      <c r="D6348" s="1431">
        <v>48</v>
      </c>
      <c r="E6348" s="1432">
        <v>47</v>
      </c>
      <c r="F6348" s="4">
        <f t="shared" si="107"/>
        <v>0.33903133903133897</v>
      </c>
      <c r="G6348" s="37">
        <v>35.4</v>
      </c>
      <c r="H6348" s="1430">
        <v>46032</v>
      </c>
    </row>
    <row r="6349" spans="3:8" x14ac:dyDescent="0.25">
      <c r="C6349" s="1431">
        <v>1</v>
      </c>
      <c r="D6349" s="1431">
        <v>133</v>
      </c>
      <c r="E6349" s="1432"/>
      <c r="F6349" s="4" t="str">
        <f t="shared" si="107"/>
        <v/>
      </c>
      <c r="G6349" s="37">
        <v>35.4</v>
      </c>
      <c r="H6349" s="1430">
        <v>46032</v>
      </c>
    </row>
    <row r="6350" spans="3:8" x14ac:dyDescent="0.25">
      <c r="C6350" s="1431">
        <v>2</v>
      </c>
      <c r="D6350" s="1431">
        <v>39</v>
      </c>
      <c r="E6350" s="1432">
        <v>31.8</v>
      </c>
      <c r="F6350" s="4">
        <f t="shared" si="107"/>
        <v>9.5238095238095472E-3</v>
      </c>
      <c r="G6350" s="37">
        <v>35.4</v>
      </c>
      <c r="H6350" s="1430">
        <v>46032</v>
      </c>
    </row>
    <row r="6351" spans="3:8" x14ac:dyDescent="0.25">
      <c r="C6351" s="1431">
        <v>3</v>
      </c>
      <c r="D6351" s="1431">
        <v>95</v>
      </c>
      <c r="E6351" s="1432">
        <v>36.799999999999997</v>
      </c>
      <c r="F6351" s="4">
        <f t="shared" si="107"/>
        <v>0</v>
      </c>
      <c r="G6351" s="37">
        <v>35.4</v>
      </c>
      <c r="H6351" s="1430">
        <v>46032</v>
      </c>
    </row>
    <row r="6352" spans="3:8" x14ac:dyDescent="0.25">
      <c r="C6352" s="1431">
        <v>4</v>
      </c>
      <c r="D6352" s="1431">
        <v>81</v>
      </c>
      <c r="E6352" s="1432">
        <v>35.1</v>
      </c>
      <c r="F6352" s="4">
        <f t="shared" si="107"/>
        <v>0.11075949367088607</v>
      </c>
      <c r="G6352" s="37">
        <v>35.4</v>
      </c>
      <c r="H6352" s="1430">
        <v>46032</v>
      </c>
    </row>
    <row r="6353" spans="3:8" x14ac:dyDescent="0.25">
      <c r="C6353" s="1431">
        <v>5</v>
      </c>
      <c r="D6353" s="1431">
        <v>0</v>
      </c>
      <c r="E6353" s="1432"/>
      <c r="F6353" s="4" t="str">
        <f t="shared" si="107"/>
        <v/>
      </c>
      <c r="G6353" s="37">
        <v>35.4</v>
      </c>
      <c r="H6353" s="1430">
        <v>46032</v>
      </c>
    </row>
    <row r="6354" spans="3:8" x14ac:dyDescent="0.25">
      <c r="C6354" s="1431">
        <v>6</v>
      </c>
      <c r="D6354" s="1431">
        <v>110</v>
      </c>
      <c r="E6354" s="1432">
        <v>26.1</v>
      </c>
      <c r="F6354" s="4">
        <f t="shared" ref="F6354:F6417" si="108">IFERROR((E6354-E6341)/E6341,"")</f>
        <v>-1.1363636363636256E-2</v>
      </c>
      <c r="G6354" s="37">
        <v>35.4</v>
      </c>
      <c r="H6354" s="1430">
        <v>46032</v>
      </c>
    </row>
    <row r="6355" spans="3:8" x14ac:dyDescent="0.25">
      <c r="C6355" s="1431">
        <v>7</v>
      </c>
      <c r="D6355" s="1431">
        <v>117</v>
      </c>
      <c r="E6355" s="1432">
        <v>38.299999999999997</v>
      </c>
      <c r="F6355" s="4">
        <f t="shared" si="108"/>
        <v>-4.726368159203994E-2</v>
      </c>
      <c r="G6355" s="37">
        <v>35.4</v>
      </c>
      <c r="H6355" s="1430">
        <v>46032</v>
      </c>
    </row>
    <row r="6356" spans="3:8" x14ac:dyDescent="0.25">
      <c r="C6356" s="1431">
        <v>8</v>
      </c>
      <c r="D6356" s="1431">
        <v>0</v>
      </c>
      <c r="E6356" s="1432"/>
      <c r="F6356" s="4" t="str">
        <f t="shared" si="108"/>
        <v/>
      </c>
      <c r="G6356" s="37">
        <v>35.4</v>
      </c>
      <c r="H6356" s="1430">
        <v>46032</v>
      </c>
    </row>
    <row r="6357" spans="3:8" x14ac:dyDescent="0.25">
      <c r="C6357" s="1431">
        <v>9</v>
      </c>
      <c r="D6357" s="1431">
        <v>92</v>
      </c>
      <c r="E6357" s="1432">
        <v>35.4</v>
      </c>
      <c r="F6357" s="4">
        <f t="shared" si="108"/>
        <v>-3.5422343324250795E-2</v>
      </c>
      <c r="G6357" s="37">
        <v>35.4</v>
      </c>
      <c r="H6357" s="1430">
        <v>46032</v>
      </c>
    </row>
    <row r="6358" spans="3:8" x14ac:dyDescent="0.25">
      <c r="C6358" s="1431">
        <v>10</v>
      </c>
      <c r="D6358" s="1431">
        <v>0</v>
      </c>
      <c r="E6358" s="1432"/>
      <c r="F6358" s="4" t="str">
        <f t="shared" si="108"/>
        <v/>
      </c>
      <c r="G6358" s="37">
        <v>35.4</v>
      </c>
      <c r="H6358" s="1430">
        <v>46032</v>
      </c>
    </row>
    <row r="6359" spans="3:8" x14ac:dyDescent="0.25">
      <c r="C6359" s="1433" t="s">
        <v>0</v>
      </c>
      <c r="D6359" s="1433" t="s">
        <v>7</v>
      </c>
      <c r="E6359" s="1434" t="s">
        <v>4</v>
      </c>
      <c r="F6359" s="4" t="str">
        <f t="shared" si="108"/>
        <v/>
      </c>
      <c r="G6359" s="37">
        <v>35.4</v>
      </c>
      <c r="H6359" s="1435">
        <v>46033</v>
      </c>
    </row>
    <row r="6360" spans="3:8" x14ac:dyDescent="0.25">
      <c r="C6360" s="1433">
        <v>51</v>
      </c>
      <c r="D6360" s="1433">
        <v>25</v>
      </c>
      <c r="E6360" s="1434">
        <v>30.6</v>
      </c>
      <c r="F6360" s="4">
        <f t="shared" si="108"/>
        <v>-2.5477707006369338E-2</v>
      </c>
      <c r="G6360" s="37">
        <v>35.4</v>
      </c>
      <c r="H6360" s="1435">
        <v>46033</v>
      </c>
    </row>
    <row r="6361" spans="3:8" x14ac:dyDescent="0.25">
      <c r="C6361" s="1433">
        <v>52</v>
      </c>
      <c r="D6361" s="1433">
        <v>49</v>
      </c>
      <c r="E6361" s="1434">
        <v>46.8</v>
      </c>
      <c r="F6361" s="4">
        <f t="shared" si="108"/>
        <v>-4.255319148936231E-3</v>
      </c>
      <c r="G6361" s="37">
        <v>35.4</v>
      </c>
      <c r="H6361" s="1435">
        <v>46033</v>
      </c>
    </row>
    <row r="6362" spans="3:8" x14ac:dyDescent="0.25">
      <c r="C6362" s="1433">
        <v>1</v>
      </c>
      <c r="D6362" s="1433">
        <v>133</v>
      </c>
      <c r="E6362" s="1434"/>
      <c r="F6362" s="4" t="str">
        <f t="shared" si="108"/>
        <v/>
      </c>
      <c r="G6362" s="37">
        <v>35.4</v>
      </c>
      <c r="H6362" s="1435">
        <v>46033</v>
      </c>
    </row>
    <row r="6363" spans="3:8" x14ac:dyDescent="0.25">
      <c r="C6363" s="1433">
        <v>2</v>
      </c>
      <c r="D6363" s="1433">
        <v>41</v>
      </c>
      <c r="E6363" s="1434">
        <v>32.4</v>
      </c>
      <c r="F6363" s="4">
        <f t="shared" si="108"/>
        <v>1.886792452830182E-2</v>
      </c>
      <c r="G6363" s="37">
        <v>35.4</v>
      </c>
      <c r="H6363" s="1435">
        <v>46033</v>
      </c>
    </row>
    <row r="6364" spans="3:8" x14ac:dyDescent="0.25">
      <c r="C6364" s="1433">
        <v>3</v>
      </c>
      <c r="D6364" s="1433">
        <v>95</v>
      </c>
      <c r="E6364" s="1434">
        <v>37.200000000000003</v>
      </c>
      <c r="F6364" s="4">
        <f t="shared" si="108"/>
        <v>1.086956521739146E-2</v>
      </c>
      <c r="G6364" s="37">
        <v>35.4</v>
      </c>
      <c r="H6364" s="1435">
        <v>46033</v>
      </c>
    </row>
    <row r="6365" spans="3:8" x14ac:dyDescent="0.25">
      <c r="C6365" s="1433">
        <v>4</v>
      </c>
      <c r="D6365" s="1433">
        <v>82</v>
      </c>
      <c r="E6365" s="1434">
        <v>35.9</v>
      </c>
      <c r="F6365" s="4">
        <f t="shared" si="108"/>
        <v>2.279202279202271E-2</v>
      </c>
      <c r="G6365" s="37">
        <v>35.4</v>
      </c>
      <c r="H6365" s="1435">
        <v>46033</v>
      </c>
    </row>
    <row r="6366" spans="3:8" x14ac:dyDescent="0.25">
      <c r="C6366" s="1433">
        <v>5</v>
      </c>
      <c r="D6366" s="1433">
        <v>0</v>
      </c>
      <c r="E6366" s="1434"/>
      <c r="F6366" s="4" t="str">
        <f t="shared" si="108"/>
        <v/>
      </c>
      <c r="G6366" s="37">
        <v>35.4</v>
      </c>
      <c r="H6366" s="1435">
        <v>46033</v>
      </c>
    </row>
    <row r="6367" spans="3:8" x14ac:dyDescent="0.25">
      <c r="C6367" s="1433">
        <v>6</v>
      </c>
      <c r="D6367" s="1433">
        <v>109</v>
      </c>
      <c r="E6367" s="1434">
        <v>25.7</v>
      </c>
      <c r="F6367" s="4">
        <f t="shared" si="108"/>
        <v>-1.5325670498084372E-2</v>
      </c>
      <c r="G6367" s="37">
        <v>35.4</v>
      </c>
      <c r="H6367" s="1435">
        <v>46033</v>
      </c>
    </row>
    <row r="6368" spans="3:8" x14ac:dyDescent="0.25">
      <c r="C6368" s="1433">
        <v>7</v>
      </c>
      <c r="D6368" s="1433">
        <v>117</v>
      </c>
      <c r="E6368" s="1434">
        <v>37.799999999999997</v>
      </c>
      <c r="F6368" s="4">
        <f t="shared" si="108"/>
        <v>-1.3054830287206267E-2</v>
      </c>
      <c r="G6368" s="37">
        <v>35.4</v>
      </c>
      <c r="H6368" s="1435">
        <v>46033</v>
      </c>
    </row>
    <row r="6369" spans="3:8" x14ac:dyDescent="0.25">
      <c r="C6369" s="1433">
        <v>8</v>
      </c>
      <c r="D6369" s="1433">
        <v>0</v>
      </c>
      <c r="E6369" s="1434"/>
      <c r="F6369" s="4" t="str">
        <f t="shared" si="108"/>
        <v/>
      </c>
      <c r="G6369" s="37">
        <v>35.4</v>
      </c>
      <c r="H6369" s="1435">
        <v>46033</v>
      </c>
    </row>
    <row r="6370" spans="3:8" x14ac:dyDescent="0.25">
      <c r="C6370" s="1433">
        <v>9</v>
      </c>
      <c r="D6370" s="1433">
        <v>91</v>
      </c>
      <c r="E6370" s="1434">
        <v>36</v>
      </c>
      <c r="F6370" s="4">
        <f t="shared" si="108"/>
        <v>1.6949152542372923E-2</v>
      </c>
      <c r="G6370" s="37">
        <v>35.4</v>
      </c>
      <c r="H6370" s="1435">
        <v>46033</v>
      </c>
    </row>
    <row r="6371" spans="3:8" x14ac:dyDescent="0.25">
      <c r="C6371" s="1433">
        <v>10</v>
      </c>
      <c r="D6371" s="1433">
        <v>0</v>
      </c>
      <c r="E6371" s="1434"/>
      <c r="F6371" s="4" t="str">
        <f t="shared" si="108"/>
        <v/>
      </c>
      <c r="G6371" s="37">
        <v>35.4</v>
      </c>
      <c r="H6371" s="1435">
        <v>46033</v>
      </c>
    </row>
    <row r="6372" spans="3:8" x14ac:dyDescent="0.25">
      <c r="C6372" s="1436" t="s">
        <v>0</v>
      </c>
      <c r="D6372" s="1436" t="s">
        <v>7</v>
      </c>
      <c r="E6372" s="1437" t="s">
        <v>4</v>
      </c>
      <c r="F6372" s="4" t="str">
        <f t="shared" si="108"/>
        <v/>
      </c>
      <c r="G6372" s="37">
        <v>35.6</v>
      </c>
      <c r="H6372" s="1438">
        <v>46034</v>
      </c>
    </row>
    <row r="6373" spans="3:8" x14ac:dyDescent="0.25">
      <c r="C6373" s="1436">
        <v>51</v>
      </c>
      <c r="D6373" s="1436">
        <v>27</v>
      </c>
      <c r="E6373" s="1437">
        <v>29.6</v>
      </c>
      <c r="F6373" s="4">
        <f t="shared" si="108"/>
        <v>-3.2679738562091505E-2</v>
      </c>
      <c r="G6373" s="37">
        <v>35.6</v>
      </c>
      <c r="H6373" s="1438">
        <v>46034</v>
      </c>
    </row>
    <row r="6374" spans="3:8" x14ac:dyDescent="0.25">
      <c r="C6374" s="1436">
        <v>52</v>
      </c>
      <c r="D6374" s="1436">
        <v>49</v>
      </c>
      <c r="E6374" s="1437">
        <v>46.4</v>
      </c>
      <c r="F6374" s="4">
        <f t="shared" si="108"/>
        <v>-8.5470085470085166E-3</v>
      </c>
      <c r="G6374" s="37">
        <v>35.6</v>
      </c>
      <c r="H6374" s="1438">
        <v>46034</v>
      </c>
    </row>
    <row r="6375" spans="3:8" x14ac:dyDescent="0.25">
      <c r="C6375" s="1436">
        <v>1</v>
      </c>
      <c r="D6375" s="1436">
        <v>0</v>
      </c>
      <c r="E6375" s="1437"/>
      <c r="F6375" s="4" t="str">
        <f t="shared" si="108"/>
        <v/>
      </c>
      <c r="G6375" s="37">
        <v>35.6</v>
      </c>
      <c r="H6375" s="1438">
        <v>46034</v>
      </c>
    </row>
    <row r="6376" spans="3:8" x14ac:dyDescent="0.25">
      <c r="C6376" s="1436">
        <v>2</v>
      </c>
      <c r="D6376" s="1436">
        <v>41</v>
      </c>
      <c r="E6376" s="1437">
        <v>31.7</v>
      </c>
      <c r="F6376" s="4">
        <f t="shared" si="108"/>
        <v>-2.1604938271604916E-2</v>
      </c>
      <c r="G6376" s="37">
        <v>35.6</v>
      </c>
      <c r="H6376" s="1438">
        <v>46034</v>
      </c>
    </row>
    <row r="6377" spans="3:8" x14ac:dyDescent="0.25">
      <c r="C6377" s="1436">
        <v>3</v>
      </c>
      <c r="D6377" s="1436">
        <v>95</v>
      </c>
      <c r="E6377" s="1437">
        <v>37.799999999999997</v>
      </c>
      <c r="F6377" s="4">
        <f t="shared" si="108"/>
        <v>1.6129032258064363E-2</v>
      </c>
      <c r="G6377" s="37">
        <v>35.6</v>
      </c>
      <c r="H6377" s="1438">
        <v>46034</v>
      </c>
    </row>
    <row r="6378" spans="3:8" x14ac:dyDescent="0.25">
      <c r="C6378" s="1436">
        <v>4</v>
      </c>
      <c r="D6378" s="1436">
        <v>82</v>
      </c>
      <c r="E6378" s="1437">
        <v>35.200000000000003</v>
      </c>
      <c r="F6378" s="4">
        <f t="shared" si="108"/>
        <v>-1.9498607242339715E-2</v>
      </c>
      <c r="G6378" s="37">
        <v>35.6</v>
      </c>
      <c r="H6378" s="1438">
        <v>46034</v>
      </c>
    </row>
    <row r="6379" spans="3:8" x14ac:dyDescent="0.25">
      <c r="C6379" s="1436">
        <v>5</v>
      </c>
      <c r="D6379" s="1436">
        <v>0</v>
      </c>
      <c r="E6379" s="1437"/>
      <c r="F6379" s="4" t="str">
        <f t="shared" si="108"/>
        <v/>
      </c>
      <c r="G6379" s="37">
        <v>35.6</v>
      </c>
      <c r="H6379" s="1438">
        <v>46034</v>
      </c>
    </row>
    <row r="6380" spans="3:8" x14ac:dyDescent="0.25">
      <c r="C6380" s="1436">
        <v>6</v>
      </c>
      <c r="D6380" s="1436">
        <v>110</v>
      </c>
      <c r="E6380" s="1437">
        <v>25.9</v>
      </c>
      <c r="F6380" s="4">
        <f t="shared" si="108"/>
        <v>7.7821011673151474E-3</v>
      </c>
      <c r="G6380" s="37">
        <v>35.6</v>
      </c>
      <c r="H6380" s="1438">
        <v>46034</v>
      </c>
    </row>
    <row r="6381" spans="3:8" x14ac:dyDescent="0.25">
      <c r="C6381" s="1436">
        <v>7</v>
      </c>
      <c r="D6381" s="1436">
        <v>115</v>
      </c>
      <c r="E6381" s="1437">
        <v>38</v>
      </c>
      <c r="F6381" s="4">
        <f t="shared" si="108"/>
        <v>5.2910052910053662E-3</v>
      </c>
      <c r="G6381" s="37">
        <v>35.6</v>
      </c>
      <c r="H6381" s="1438">
        <v>46034</v>
      </c>
    </row>
    <row r="6382" spans="3:8" x14ac:dyDescent="0.25">
      <c r="C6382" s="1436">
        <v>8</v>
      </c>
      <c r="D6382" s="1436">
        <v>0</v>
      </c>
      <c r="E6382" s="1437"/>
      <c r="F6382" s="4" t="str">
        <f t="shared" si="108"/>
        <v/>
      </c>
      <c r="G6382" s="37">
        <v>35.6</v>
      </c>
      <c r="H6382" s="1438">
        <v>46034</v>
      </c>
    </row>
    <row r="6383" spans="3:8" x14ac:dyDescent="0.25">
      <c r="C6383" s="1436">
        <v>9</v>
      </c>
      <c r="D6383" s="1436">
        <v>91</v>
      </c>
      <c r="E6383" s="1437">
        <v>36.5</v>
      </c>
      <c r="F6383" s="4">
        <f t="shared" si="108"/>
        <v>1.3888888888888888E-2</v>
      </c>
      <c r="G6383" s="37">
        <v>35.6</v>
      </c>
      <c r="H6383" s="1438">
        <v>46034</v>
      </c>
    </row>
    <row r="6384" spans="3:8" x14ac:dyDescent="0.25">
      <c r="C6384" s="1436">
        <v>10</v>
      </c>
      <c r="D6384" s="1436">
        <v>0</v>
      </c>
      <c r="E6384" s="1437"/>
      <c r="F6384" s="4" t="str">
        <f t="shared" si="108"/>
        <v/>
      </c>
      <c r="G6384" s="37">
        <v>35.6</v>
      </c>
      <c r="H6384" s="1438">
        <v>46034</v>
      </c>
    </row>
    <row r="6385" spans="3:8" x14ac:dyDescent="0.25">
      <c r="C6385" s="1439" t="s">
        <v>0</v>
      </c>
      <c r="D6385" s="1439" t="s">
        <v>7</v>
      </c>
      <c r="E6385" s="1440" t="s">
        <v>4</v>
      </c>
      <c r="F6385" s="4" t="str">
        <f t="shared" si="108"/>
        <v/>
      </c>
      <c r="G6385" s="37">
        <v>35.200000000000003</v>
      </c>
      <c r="H6385" s="1438">
        <v>46035</v>
      </c>
    </row>
    <row r="6386" spans="3:8" x14ac:dyDescent="0.25">
      <c r="C6386" s="1439">
        <v>51</v>
      </c>
      <c r="D6386" s="1439">
        <v>29</v>
      </c>
      <c r="E6386" s="1440">
        <v>30.2</v>
      </c>
      <c r="F6386" s="4">
        <f t="shared" si="108"/>
        <v>2.0270270270270199E-2</v>
      </c>
      <c r="G6386" s="37">
        <v>35.200000000000003</v>
      </c>
      <c r="H6386" s="1438">
        <v>46035</v>
      </c>
    </row>
    <row r="6387" spans="3:8" x14ac:dyDescent="0.25">
      <c r="C6387" s="1439">
        <v>52</v>
      </c>
      <c r="D6387" s="1439">
        <v>50</v>
      </c>
      <c r="E6387" s="1440">
        <v>44.3</v>
      </c>
      <c r="F6387" s="4">
        <f t="shared" si="108"/>
        <v>-4.5258620689655207E-2</v>
      </c>
      <c r="G6387" s="37">
        <v>35.200000000000003</v>
      </c>
      <c r="H6387" s="1438">
        <v>46035</v>
      </c>
    </row>
    <row r="6388" spans="3:8" x14ac:dyDescent="0.25">
      <c r="C6388" s="1439">
        <v>1</v>
      </c>
      <c r="D6388" s="1439">
        <v>116</v>
      </c>
      <c r="E6388" s="1440"/>
      <c r="F6388" s="4" t="str">
        <f t="shared" si="108"/>
        <v/>
      </c>
      <c r="G6388" s="37">
        <v>35.200000000000003</v>
      </c>
      <c r="H6388" s="1438">
        <v>46035</v>
      </c>
    </row>
    <row r="6389" spans="3:8" x14ac:dyDescent="0.25">
      <c r="C6389" s="1439">
        <v>2</v>
      </c>
      <c r="D6389" s="1439">
        <v>40</v>
      </c>
      <c r="E6389" s="1440">
        <v>31.9</v>
      </c>
      <c r="F6389" s="4">
        <f t="shared" si="108"/>
        <v>6.3091482649842053E-3</v>
      </c>
      <c r="G6389" s="37">
        <v>35.200000000000003</v>
      </c>
      <c r="H6389" s="1438">
        <v>46035</v>
      </c>
    </row>
    <row r="6390" spans="3:8" x14ac:dyDescent="0.25">
      <c r="C6390" s="1439">
        <v>3</v>
      </c>
      <c r="D6390" s="1439">
        <v>95</v>
      </c>
      <c r="E6390" s="1440">
        <v>37.4</v>
      </c>
      <c r="F6390" s="4">
        <f t="shared" si="108"/>
        <v>-1.0582010582010545E-2</v>
      </c>
      <c r="G6390" s="37">
        <v>35.200000000000003</v>
      </c>
      <c r="H6390" s="1438">
        <v>46035</v>
      </c>
    </row>
    <row r="6391" spans="3:8" x14ac:dyDescent="0.25">
      <c r="C6391" s="1439">
        <v>4</v>
      </c>
      <c r="D6391" s="1439">
        <v>82</v>
      </c>
      <c r="E6391" s="1440">
        <v>34.799999999999997</v>
      </c>
      <c r="F6391" s="4">
        <f t="shared" si="108"/>
        <v>-1.1363636363636524E-2</v>
      </c>
      <c r="G6391" s="37">
        <v>35.200000000000003</v>
      </c>
      <c r="H6391" s="1438">
        <v>46035</v>
      </c>
    </row>
    <row r="6392" spans="3:8" x14ac:dyDescent="0.25">
      <c r="C6392" s="1439">
        <v>5</v>
      </c>
      <c r="D6392" s="1439">
        <v>0</v>
      </c>
      <c r="E6392" s="1440"/>
      <c r="F6392" s="4" t="str">
        <f t="shared" si="108"/>
        <v/>
      </c>
      <c r="G6392" s="37">
        <v>35.200000000000003</v>
      </c>
      <c r="H6392" s="1438">
        <v>46035</v>
      </c>
    </row>
    <row r="6393" spans="3:8" x14ac:dyDescent="0.25">
      <c r="C6393" s="1439">
        <v>6</v>
      </c>
      <c r="D6393" s="1439">
        <v>113</v>
      </c>
      <c r="E6393" s="1440">
        <v>26.3</v>
      </c>
      <c r="F6393" s="4">
        <f t="shared" si="108"/>
        <v>1.5444015444015528E-2</v>
      </c>
      <c r="G6393" s="37">
        <v>35.200000000000003</v>
      </c>
      <c r="H6393" s="1438">
        <v>46035</v>
      </c>
    </row>
    <row r="6394" spans="3:8" x14ac:dyDescent="0.25">
      <c r="C6394" s="1439">
        <v>7</v>
      </c>
      <c r="D6394" s="1439">
        <v>113</v>
      </c>
      <c r="E6394" s="1440">
        <v>38.5</v>
      </c>
      <c r="F6394" s="4">
        <f t="shared" si="108"/>
        <v>1.3157894736842105E-2</v>
      </c>
      <c r="G6394" s="37">
        <v>35.200000000000003</v>
      </c>
      <c r="H6394" s="1438">
        <v>46035</v>
      </c>
    </row>
    <row r="6395" spans="3:8" x14ac:dyDescent="0.25">
      <c r="C6395" s="1439">
        <v>8</v>
      </c>
      <c r="D6395" s="1439">
        <v>0</v>
      </c>
      <c r="E6395" s="1440"/>
      <c r="F6395" s="4" t="str">
        <f t="shared" si="108"/>
        <v/>
      </c>
      <c r="G6395" s="37">
        <v>35.200000000000003</v>
      </c>
      <c r="H6395" s="1438">
        <v>46035</v>
      </c>
    </row>
    <row r="6396" spans="3:8" x14ac:dyDescent="0.25">
      <c r="C6396" s="1439">
        <v>9</v>
      </c>
      <c r="D6396" s="1439">
        <v>91</v>
      </c>
      <c r="E6396" s="1440">
        <v>36.299999999999997</v>
      </c>
      <c r="F6396" s="4">
        <f t="shared" si="108"/>
        <v>-5.4794520547945987E-3</v>
      </c>
      <c r="G6396" s="37">
        <v>35.200000000000003</v>
      </c>
      <c r="H6396" s="1438">
        <v>46035</v>
      </c>
    </row>
    <row r="6397" spans="3:8" x14ac:dyDescent="0.25">
      <c r="C6397" s="1439">
        <v>10</v>
      </c>
      <c r="D6397" s="1439">
        <v>0</v>
      </c>
      <c r="E6397" s="1440"/>
      <c r="F6397" s="4" t="str">
        <f t="shared" si="108"/>
        <v/>
      </c>
      <c r="G6397" s="37">
        <v>35.200000000000003</v>
      </c>
      <c r="H6397" s="1438">
        <v>46035</v>
      </c>
    </row>
    <row r="6398" spans="3:8" x14ac:dyDescent="0.25">
      <c r="C6398" s="1441" t="s">
        <v>0</v>
      </c>
      <c r="D6398" s="1441" t="s">
        <v>7</v>
      </c>
      <c r="E6398" s="1442" t="s">
        <v>4</v>
      </c>
      <c r="F6398" s="4" t="str">
        <f t="shared" si="108"/>
        <v/>
      </c>
      <c r="G6398" s="37">
        <v>35</v>
      </c>
      <c r="H6398" s="1443">
        <v>46036</v>
      </c>
    </row>
    <row r="6399" spans="3:8" x14ac:dyDescent="0.25">
      <c r="C6399" s="1441">
        <v>51</v>
      </c>
      <c r="D6399" s="1441">
        <v>32</v>
      </c>
      <c r="E6399" s="1442">
        <v>29.7</v>
      </c>
      <c r="F6399" s="4">
        <f t="shared" si="108"/>
        <v>-1.6556291390728478E-2</v>
      </c>
      <c r="G6399" s="37">
        <v>35</v>
      </c>
      <c r="H6399" s="1443">
        <v>46036</v>
      </c>
    </row>
    <row r="6400" spans="3:8" x14ac:dyDescent="0.25">
      <c r="C6400" s="1441">
        <v>52</v>
      </c>
      <c r="D6400" s="1441">
        <v>50</v>
      </c>
      <c r="E6400" s="1442">
        <v>45.1</v>
      </c>
      <c r="F6400" s="4">
        <f t="shared" si="108"/>
        <v>1.8058690744921092E-2</v>
      </c>
      <c r="G6400" s="37">
        <v>35</v>
      </c>
      <c r="H6400" s="1443">
        <v>46036</v>
      </c>
    </row>
    <row r="6401" spans="3:8" x14ac:dyDescent="0.25">
      <c r="C6401" s="1441">
        <v>1</v>
      </c>
      <c r="D6401" s="1441">
        <v>0</v>
      </c>
      <c r="E6401" s="1442"/>
      <c r="F6401" s="4" t="str">
        <f t="shared" si="108"/>
        <v/>
      </c>
      <c r="G6401" s="37">
        <v>35</v>
      </c>
      <c r="H6401" s="1443">
        <v>46036</v>
      </c>
    </row>
    <row r="6402" spans="3:8" x14ac:dyDescent="0.25">
      <c r="C6402" s="1441">
        <v>2</v>
      </c>
      <c r="D6402" s="1441">
        <v>37</v>
      </c>
      <c r="E6402" s="1442">
        <v>30.9</v>
      </c>
      <c r="F6402" s="4">
        <f t="shared" si="108"/>
        <v>-3.1347962382445145E-2</v>
      </c>
      <c r="G6402" s="37">
        <v>35</v>
      </c>
      <c r="H6402" s="1443">
        <v>46036</v>
      </c>
    </row>
    <row r="6403" spans="3:8" x14ac:dyDescent="0.25">
      <c r="C6403" s="1441">
        <v>3</v>
      </c>
      <c r="D6403" s="1441">
        <v>95</v>
      </c>
      <c r="E6403" s="1442">
        <v>36.799999999999997</v>
      </c>
      <c r="F6403" s="4">
        <f t="shared" si="108"/>
        <v>-1.6042780748663141E-2</v>
      </c>
      <c r="G6403" s="37">
        <v>35</v>
      </c>
      <c r="H6403" s="1443">
        <v>46036</v>
      </c>
    </row>
    <row r="6404" spans="3:8" x14ac:dyDescent="0.25">
      <c r="C6404" s="1441">
        <v>4</v>
      </c>
      <c r="D6404" s="1441">
        <v>81</v>
      </c>
      <c r="E6404" s="1442">
        <v>34.299999999999997</v>
      </c>
      <c r="F6404" s="4">
        <f t="shared" si="108"/>
        <v>-1.4367816091954025E-2</v>
      </c>
      <c r="G6404" s="37">
        <v>35</v>
      </c>
      <c r="H6404" s="1443">
        <v>46036</v>
      </c>
    </row>
    <row r="6405" spans="3:8" x14ac:dyDescent="0.25">
      <c r="C6405" s="1441">
        <v>5</v>
      </c>
      <c r="D6405" s="1441">
        <v>0</v>
      </c>
      <c r="E6405" s="1442"/>
      <c r="F6405" s="4" t="str">
        <f t="shared" si="108"/>
        <v/>
      </c>
      <c r="G6405" s="37">
        <v>35</v>
      </c>
      <c r="H6405" s="1443">
        <v>46036</v>
      </c>
    </row>
    <row r="6406" spans="3:8" x14ac:dyDescent="0.25">
      <c r="C6406" s="1441">
        <v>6</v>
      </c>
      <c r="D6406" s="1441">
        <v>115</v>
      </c>
      <c r="E6406" s="1442">
        <v>25.5</v>
      </c>
      <c r="F6406" s="4">
        <f t="shared" si="108"/>
        <v>-3.041825095057037E-2</v>
      </c>
      <c r="G6406" s="37">
        <v>35</v>
      </c>
      <c r="H6406" s="1443">
        <v>46036</v>
      </c>
    </row>
    <row r="6407" spans="3:8" x14ac:dyDescent="0.25">
      <c r="C6407" s="1441">
        <v>7</v>
      </c>
      <c r="D6407" s="1441">
        <v>112</v>
      </c>
      <c r="E6407" s="1442">
        <v>39</v>
      </c>
      <c r="F6407" s="4">
        <f t="shared" si="108"/>
        <v>1.2987012987012988E-2</v>
      </c>
      <c r="G6407" s="37">
        <v>35</v>
      </c>
      <c r="H6407" s="1443">
        <v>46036</v>
      </c>
    </row>
    <row r="6408" spans="3:8" x14ac:dyDescent="0.25">
      <c r="C6408" s="1441">
        <v>8</v>
      </c>
      <c r="D6408" s="1441">
        <v>0</v>
      </c>
      <c r="E6408" s="1442"/>
      <c r="F6408" s="4" t="str">
        <f t="shared" si="108"/>
        <v/>
      </c>
      <c r="G6408" s="37">
        <v>35</v>
      </c>
      <c r="H6408" s="1443">
        <v>46036</v>
      </c>
    </row>
    <row r="6409" spans="3:8" x14ac:dyDescent="0.25">
      <c r="C6409" s="1441">
        <v>9</v>
      </c>
      <c r="D6409" s="1441">
        <v>91</v>
      </c>
      <c r="E6409" s="1442">
        <v>35.9</v>
      </c>
      <c r="F6409" s="4">
        <f t="shared" si="108"/>
        <v>-1.1019283746556436E-2</v>
      </c>
      <c r="G6409" s="37">
        <v>35</v>
      </c>
      <c r="H6409" s="1443">
        <v>46036</v>
      </c>
    </row>
    <row r="6410" spans="3:8" x14ac:dyDescent="0.25">
      <c r="C6410" s="1441">
        <v>10</v>
      </c>
      <c r="D6410" s="1441">
        <v>0</v>
      </c>
      <c r="E6410" s="1442"/>
      <c r="F6410" s="4" t="str">
        <f t="shared" si="108"/>
        <v/>
      </c>
      <c r="G6410" s="37">
        <v>35</v>
      </c>
      <c r="H6410" s="1443">
        <v>46036</v>
      </c>
    </row>
    <row r="6411" spans="3:8" x14ac:dyDescent="0.25">
      <c r="C6411" s="1444" t="s">
        <v>0</v>
      </c>
      <c r="D6411" s="1444" t="s">
        <v>7</v>
      </c>
      <c r="E6411" s="1445" t="s">
        <v>4</v>
      </c>
      <c r="F6411" s="4" t="str">
        <f t="shared" si="108"/>
        <v/>
      </c>
      <c r="G6411" s="37">
        <v>34.6</v>
      </c>
      <c r="H6411" s="1446">
        <v>46037</v>
      </c>
    </row>
    <row r="6412" spans="3:8" x14ac:dyDescent="0.25">
      <c r="C6412" s="1444">
        <v>51</v>
      </c>
      <c r="D6412" s="1444">
        <v>23</v>
      </c>
      <c r="E6412" s="1445">
        <v>31</v>
      </c>
      <c r="F6412" s="4">
        <f t="shared" si="108"/>
        <v>4.3771043771043794E-2</v>
      </c>
      <c r="G6412" s="37">
        <v>34.6</v>
      </c>
      <c r="H6412" s="1446">
        <v>46037</v>
      </c>
    </row>
    <row r="6413" spans="3:8" x14ac:dyDescent="0.25">
      <c r="C6413" s="1444">
        <v>52</v>
      </c>
      <c r="D6413" s="1444">
        <v>58</v>
      </c>
      <c r="E6413" s="1445">
        <v>44.6</v>
      </c>
      <c r="F6413" s="4">
        <f t="shared" si="108"/>
        <v>-1.1086474501108647E-2</v>
      </c>
      <c r="G6413" s="37">
        <v>34.6</v>
      </c>
      <c r="H6413" s="1446">
        <v>46037</v>
      </c>
    </row>
    <row r="6414" spans="3:8" x14ac:dyDescent="0.25">
      <c r="C6414" s="1444">
        <v>1</v>
      </c>
      <c r="D6414" s="1444">
        <v>97</v>
      </c>
      <c r="E6414" s="1445"/>
      <c r="F6414" s="4" t="str">
        <f t="shared" si="108"/>
        <v/>
      </c>
      <c r="G6414" s="37">
        <v>34.6</v>
      </c>
      <c r="H6414" s="1446">
        <v>46037</v>
      </c>
    </row>
    <row r="6415" spans="3:8" x14ac:dyDescent="0.25">
      <c r="C6415" s="1444">
        <v>2</v>
      </c>
      <c r="D6415" s="1444">
        <v>37</v>
      </c>
      <c r="E6415" s="1445">
        <v>31.4</v>
      </c>
      <c r="F6415" s="4">
        <f t="shared" si="108"/>
        <v>1.6181229773462785E-2</v>
      </c>
      <c r="G6415" s="37">
        <v>34.6</v>
      </c>
      <c r="H6415" s="1446">
        <v>46037</v>
      </c>
    </row>
    <row r="6416" spans="3:8" x14ac:dyDescent="0.25">
      <c r="C6416" s="1444">
        <v>3</v>
      </c>
      <c r="D6416" s="1444">
        <v>95</v>
      </c>
      <c r="E6416" s="1445">
        <v>37.200000000000003</v>
      </c>
      <c r="F6416" s="4">
        <f t="shared" si="108"/>
        <v>1.086956521739146E-2</v>
      </c>
      <c r="G6416" s="37">
        <v>34.6</v>
      </c>
      <c r="H6416" s="1446">
        <v>46037</v>
      </c>
    </row>
    <row r="6417" spans="3:8" x14ac:dyDescent="0.25">
      <c r="C6417" s="1444">
        <v>4</v>
      </c>
      <c r="D6417" s="1444">
        <v>82</v>
      </c>
      <c r="E6417" s="1445">
        <v>33.6</v>
      </c>
      <c r="F6417" s="4">
        <f t="shared" si="108"/>
        <v>-2.0408163265305999E-2</v>
      </c>
      <c r="G6417" s="37">
        <v>34.6</v>
      </c>
      <c r="H6417" s="1446">
        <v>46037</v>
      </c>
    </row>
    <row r="6418" spans="3:8" x14ac:dyDescent="0.25">
      <c r="C6418" s="1444">
        <v>5</v>
      </c>
      <c r="D6418" s="1444">
        <v>0</v>
      </c>
      <c r="E6418" s="1445"/>
      <c r="F6418" s="4" t="str">
        <f t="shared" ref="F6418:F6481" si="109">IFERROR((E6418-E6405)/E6405,"")</f>
        <v/>
      </c>
      <c r="G6418" s="37">
        <v>34.6</v>
      </c>
      <c r="H6418" s="1446">
        <v>46037</v>
      </c>
    </row>
    <row r="6419" spans="3:8" x14ac:dyDescent="0.25">
      <c r="C6419" s="1444">
        <v>6</v>
      </c>
      <c r="D6419" s="1444">
        <v>114</v>
      </c>
      <c r="E6419" s="1445">
        <v>25.4</v>
      </c>
      <c r="F6419" s="4">
        <f t="shared" si="109"/>
        <v>-3.9215686274510358E-3</v>
      </c>
      <c r="G6419" s="37">
        <v>34.6</v>
      </c>
      <c r="H6419" s="1446">
        <v>46037</v>
      </c>
    </row>
    <row r="6420" spans="3:8" x14ac:dyDescent="0.25">
      <c r="C6420" s="1444">
        <v>7</v>
      </c>
      <c r="D6420" s="1444">
        <v>115</v>
      </c>
      <c r="E6420" s="1445">
        <v>37.6</v>
      </c>
      <c r="F6420" s="4">
        <f t="shared" si="109"/>
        <v>-3.589743589743586E-2</v>
      </c>
      <c r="G6420" s="37">
        <v>34.6</v>
      </c>
      <c r="H6420" s="1446">
        <v>46037</v>
      </c>
    </row>
    <row r="6421" spans="3:8" x14ac:dyDescent="0.25">
      <c r="C6421" s="1444">
        <v>8</v>
      </c>
      <c r="D6421" s="1444">
        <v>0</v>
      </c>
      <c r="E6421" s="1445"/>
      <c r="F6421" s="4" t="str">
        <f t="shared" si="109"/>
        <v/>
      </c>
      <c r="G6421" s="37">
        <v>34.6</v>
      </c>
      <c r="H6421" s="1446">
        <v>46037</v>
      </c>
    </row>
    <row r="6422" spans="3:8" x14ac:dyDescent="0.25">
      <c r="C6422" s="1444">
        <v>9</v>
      </c>
      <c r="D6422" s="1444">
        <v>90</v>
      </c>
      <c r="E6422" s="1445">
        <v>35.1</v>
      </c>
      <c r="F6422" s="4">
        <f t="shared" si="109"/>
        <v>-2.2284122562674015E-2</v>
      </c>
      <c r="G6422" s="37">
        <v>34.6</v>
      </c>
      <c r="H6422" s="1446">
        <v>46037</v>
      </c>
    </row>
    <row r="6423" spans="3:8" x14ac:dyDescent="0.25">
      <c r="C6423" s="1444">
        <v>10</v>
      </c>
      <c r="D6423" s="1444">
        <v>0</v>
      </c>
      <c r="E6423" s="1445"/>
      <c r="F6423" s="4" t="str">
        <f t="shared" si="109"/>
        <v/>
      </c>
      <c r="G6423" s="37">
        <v>34.6</v>
      </c>
      <c r="H6423" s="1446">
        <v>46037</v>
      </c>
    </row>
    <row r="6424" spans="3:8" x14ac:dyDescent="0.25">
      <c r="C6424" s="1447" t="s">
        <v>0</v>
      </c>
      <c r="D6424" s="1447" t="s">
        <v>7</v>
      </c>
      <c r="E6424" s="1448" t="s">
        <v>4</v>
      </c>
      <c r="F6424" s="4" t="str">
        <f t="shared" si="109"/>
        <v/>
      </c>
      <c r="G6424" s="37">
        <v>34.9</v>
      </c>
      <c r="H6424" s="1449">
        <v>46038</v>
      </c>
    </row>
    <row r="6425" spans="3:8" x14ac:dyDescent="0.25">
      <c r="C6425" s="1447">
        <v>51</v>
      </c>
      <c r="D6425" s="1447">
        <v>24</v>
      </c>
      <c r="E6425" s="1448">
        <v>29.7</v>
      </c>
      <c r="F6425" s="4">
        <f t="shared" si="109"/>
        <v>-4.1935483870967766E-2</v>
      </c>
      <c r="G6425" s="37">
        <v>34.9</v>
      </c>
      <c r="H6425" s="1449">
        <v>46038</v>
      </c>
    </row>
    <row r="6426" spans="3:8" x14ac:dyDescent="0.25">
      <c r="C6426" s="1447">
        <v>52</v>
      </c>
      <c r="D6426" s="1447">
        <v>58</v>
      </c>
      <c r="E6426" s="1448">
        <v>43.1</v>
      </c>
      <c r="F6426" s="4">
        <f t="shared" si="109"/>
        <v>-3.3632286995515695E-2</v>
      </c>
      <c r="G6426" s="37">
        <v>34.9</v>
      </c>
      <c r="H6426" s="1449">
        <v>46038</v>
      </c>
    </row>
    <row r="6427" spans="3:8" x14ac:dyDescent="0.25">
      <c r="C6427" s="1447">
        <v>1</v>
      </c>
      <c r="D6427" s="1447">
        <v>111</v>
      </c>
      <c r="E6427" s="1448"/>
      <c r="F6427" s="4" t="str">
        <f t="shared" si="109"/>
        <v/>
      </c>
      <c r="G6427" s="37">
        <v>34.9</v>
      </c>
      <c r="H6427" s="1449">
        <v>46038</v>
      </c>
    </row>
    <row r="6428" spans="3:8" x14ac:dyDescent="0.25">
      <c r="C6428" s="1447">
        <v>2</v>
      </c>
      <c r="D6428" s="1447">
        <v>37</v>
      </c>
      <c r="E6428" s="1448">
        <v>31.2</v>
      </c>
      <c r="F6428" s="4">
        <f t="shared" si="109"/>
        <v>-6.3694267515923345E-3</v>
      </c>
      <c r="G6428" s="37">
        <v>34.9</v>
      </c>
      <c r="H6428" s="1449">
        <v>46038</v>
      </c>
    </row>
    <row r="6429" spans="3:8" x14ac:dyDescent="0.25">
      <c r="C6429" s="1447">
        <v>3</v>
      </c>
      <c r="D6429" s="1447">
        <v>95</v>
      </c>
      <c r="E6429" s="1448">
        <v>38.1</v>
      </c>
      <c r="F6429" s="4">
        <f t="shared" si="109"/>
        <v>2.4193548387096735E-2</v>
      </c>
      <c r="G6429" s="37">
        <v>34.9</v>
      </c>
      <c r="H6429" s="1449">
        <v>46038</v>
      </c>
    </row>
    <row r="6430" spans="3:8" x14ac:dyDescent="0.25">
      <c r="C6430" s="1447">
        <v>4</v>
      </c>
      <c r="D6430" s="1447">
        <v>74</v>
      </c>
      <c r="E6430" s="1448">
        <v>32.1</v>
      </c>
      <c r="F6430" s="4">
        <f t="shared" si="109"/>
        <v>-4.4642857142857144E-2</v>
      </c>
      <c r="G6430" s="37">
        <v>34.9</v>
      </c>
      <c r="H6430" s="1449">
        <v>46038</v>
      </c>
    </row>
    <row r="6431" spans="3:8" x14ac:dyDescent="0.25">
      <c r="C6431" s="1447">
        <v>5</v>
      </c>
      <c r="D6431" s="1447">
        <v>0</v>
      </c>
      <c r="E6431" s="1448"/>
      <c r="F6431" s="4" t="str">
        <f t="shared" si="109"/>
        <v/>
      </c>
      <c r="G6431" s="37">
        <v>34.9</v>
      </c>
      <c r="H6431" s="1449">
        <v>46038</v>
      </c>
    </row>
    <row r="6432" spans="3:8" x14ac:dyDescent="0.25">
      <c r="C6432" s="1447">
        <v>6</v>
      </c>
      <c r="D6432" s="1447">
        <v>107</v>
      </c>
      <c r="E6432" s="1448">
        <v>24.7</v>
      </c>
      <c r="F6432" s="4">
        <f t="shared" si="109"/>
        <v>-2.7559055118110208E-2</v>
      </c>
      <c r="G6432" s="37">
        <v>34.9</v>
      </c>
      <c r="H6432" s="1449">
        <v>46038</v>
      </c>
    </row>
    <row r="6433" spans="3:8" x14ac:dyDescent="0.25">
      <c r="C6433" s="1447">
        <v>7</v>
      </c>
      <c r="D6433" s="1447">
        <v>115</v>
      </c>
      <c r="E6433" s="1448">
        <v>37.6</v>
      </c>
      <c r="F6433" s="4">
        <f t="shared" si="109"/>
        <v>0</v>
      </c>
      <c r="G6433" s="37">
        <v>34.9</v>
      </c>
      <c r="H6433" s="1449">
        <v>46038</v>
      </c>
    </row>
    <row r="6434" spans="3:8" x14ac:dyDescent="0.25">
      <c r="C6434" s="1447">
        <v>8</v>
      </c>
      <c r="D6434" s="1447">
        <v>0</v>
      </c>
      <c r="E6434" s="1448"/>
      <c r="F6434" s="4" t="str">
        <f t="shared" si="109"/>
        <v/>
      </c>
      <c r="G6434" s="37">
        <v>34.9</v>
      </c>
      <c r="H6434" s="1449">
        <v>46038</v>
      </c>
    </row>
    <row r="6435" spans="3:8" x14ac:dyDescent="0.25">
      <c r="C6435" s="1447">
        <v>9</v>
      </c>
      <c r="D6435" s="1447">
        <v>92</v>
      </c>
      <c r="E6435" s="1448">
        <v>34</v>
      </c>
      <c r="F6435" s="4">
        <f t="shared" si="109"/>
        <v>-3.1339031339031376E-2</v>
      </c>
      <c r="G6435" s="37">
        <v>34.9</v>
      </c>
      <c r="H6435" s="1449">
        <v>46038</v>
      </c>
    </row>
    <row r="6436" spans="3:8" x14ac:dyDescent="0.25">
      <c r="C6436" s="1447">
        <v>10</v>
      </c>
      <c r="D6436" s="1447">
        <v>0</v>
      </c>
      <c r="E6436" s="1448"/>
      <c r="F6436" s="4" t="str">
        <f t="shared" si="109"/>
        <v/>
      </c>
      <c r="G6436" s="37">
        <v>34.9</v>
      </c>
      <c r="H6436" s="1449">
        <v>46038</v>
      </c>
    </row>
    <row r="6437" spans="3:8" x14ac:dyDescent="0.25">
      <c r="C6437" s="1450" t="s">
        <v>0</v>
      </c>
      <c r="D6437" s="1450" t="s">
        <v>7</v>
      </c>
      <c r="E6437" s="1451" t="s">
        <v>4</v>
      </c>
      <c r="F6437" s="4" t="str">
        <f t="shared" si="109"/>
        <v/>
      </c>
      <c r="G6437" s="37">
        <v>35.200000000000003</v>
      </c>
      <c r="H6437" s="1449">
        <v>46039</v>
      </c>
    </row>
    <row r="6438" spans="3:8" x14ac:dyDescent="0.25">
      <c r="C6438" s="1450">
        <v>51</v>
      </c>
      <c r="D6438" s="1450">
        <v>25</v>
      </c>
      <c r="E6438" s="1451">
        <v>19.600000000000001</v>
      </c>
      <c r="F6438" s="4">
        <f t="shared" si="109"/>
        <v>-0.34006734006734002</v>
      </c>
      <c r="G6438" s="37">
        <v>35.200000000000003</v>
      </c>
      <c r="H6438" s="1449">
        <v>46039</v>
      </c>
    </row>
    <row r="6439" spans="3:8" x14ac:dyDescent="0.25">
      <c r="C6439" s="1450">
        <v>52</v>
      </c>
      <c r="D6439" s="1450">
        <v>58</v>
      </c>
      <c r="E6439" s="1451">
        <v>45.1</v>
      </c>
      <c r="F6439" s="4">
        <f t="shared" si="109"/>
        <v>4.6403712296983757E-2</v>
      </c>
      <c r="G6439" s="37">
        <v>35.200000000000003</v>
      </c>
      <c r="H6439" s="1449">
        <v>46039</v>
      </c>
    </row>
    <row r="6440" spans="3:8" x14ac:dyDescent="0.25">
      <c r="C6440" s="1450">
        <v>1</v>
      </c>
      <c r="D6440" s="1450">
        <v>111</v>
      </c>
      <c r="E6440" s="1451">
        <v>10.1</v>
      </c>
      <c r="F6440" s="4" t="str">
        <f t="shared" si="109"/>
        <v/>
      </c>
      <c r="G6440" s="37">
        <v>35.200000000000003</v>
      </c>
      <c r="H6440" s="1449">
        <v>46039</v>
      </c>
    </row>
    <row r="6441" spans="3:8" x14ac:dyDescent="0.25">
      <c r="C6441" s="1450">
        <v>2</v>
      </c>
      <c r="D6441" s="1450">
        <v>36</v>
      </c>
      <c r="E6441" s="1451">
        <v>31.5</v>
      </c>
      <c r="F6441" s="4">
        <f t="shared" si="109"/>
        <v>9.6153846153846385E-3</v>
      </c>
      <c r="G6441" s="37">
        <v>35.200000000000003</v>
      </c>
      <c r="H6441" s="1449">
        <v>46039</v>
      </c>
    </row>
    <row r="6442" spans="3:8" x14ac:dyDescent="0.25">
      <c r="C6442" s="1450">
        <v>3</v>
      </c>
      <c r="D6442" s="1450">
        <v>95</v>
      </c>
      <c r="E6442" s="1451">
        <v>37.6</v>
      </c>
      <c r="F6442" s="4">
        <f t="shared" si="109"/>
        <v>-1.3123359580052493E-2</v>
      </c>
      <c r="G6442" s="37">
        <v>35.200000000000003</v>
      </c>
      <c r="H6442" s="1449">
        <v>46039</v>
      </c>
    </row>
    <row r="6443" spans="3:8" x14ac:dyDescent="0.25">
      <c r="C6443" s="1450">
        <v>4</v>
      </c>
      <c r="D6443" s="1450">
        <v>74</v>
      </c>
      <c r="E6443" s="1451">
        <v>34.6</v>
      </c>
      <c r="F6443" s="4">
        <f t="shared" si="109"/>
        <v>7.7881619937694699E-2</v>
      </c>
      <c r="G6443" s="37">
        <v>35.200000000000003</v>
      </c>
      <c r="H6443" s="1449">
        <v>46039</v>
      </c>
    </row>
    <row r="6444" spans="3:8" x14ac:dyDescent="0.25">
      <c r="C6444" s="1450">
        <v>5</v>
      </c>
      <c r="D6444" s="1450">
        <v>0</v>
      </c>
      <c r="E6444" s="1451"/>
      <c r="F6444" s="4" t="str">
        <f t="shared" si="109"/>
        <v/>
      </c>
      <c r="G6444" s="37">
        <v>35.200000000000003</v>
      </c>
      <c r="H6444" s="1449">
        <v>46039</v>
      </c>
    </row>
    <row r="6445" spans="3:8" x14ac:dyDescent="0.25">
      <c r="C6445" s="1450">
        <v>6</v>
      </c>
      <c r="D6445" s="1450">
        <v>107</v>
      </c>
      <c r="E6445" s="1451">
        <v>25.7</v>
      </c>
      <c r="F6445" s="4">
        <f t="shared" si="109"/>
        <v>4.048582995951417E-2</v>
      </c>
      <c r="G6445" s="37">
        <v>35.200000000000003</v>
      </c>
      <c r="H6445" s="1449">
        <v>46039</v>
      </c>
    </row>
    <row r="6446" spans="3:8" x14ac:dyDescent="0.25">
      <c r="C6446" s="1450">
        <v>7</v>
      </c>
      <c r="D6446" s="1450">
        <v>114</v>
      </c>
      <c r="E6446" s="1451">
        <v>37.9</v>
      </c>
      <c r="F6446" s="4">
        <f t="shared" si="109"/>
        <v>7.9787234042552439E-3</v>
      </c>
      <c r="G6446" s="37">
        <v>35.200000000000003</v>
      </c>
      <c r="H6446" s="1449">
        <v>46039</v>
      </c>
    </row>
    <row r="6447" spans="3:8" x14ac:dyDescent="0.25">
      <c r="C6447" s="1450">
        <v>8</v>
      </c>
      <c r="D6447" s="1450">
        <v>0</v>
      </c>
      <c r="E6447" s="1451"/>
      <c r="F6447" s="4" t="str">
        <f t="shared" si="109"/>
        <v/>
      </c>
      <c r="G6447" s="37">
        <v>35.200000000000003</v>
      </c>
      <c r="H6447" s="1449">
        <v>46039</v>
      </c>
    </row>
    <row r="6448" spans="3:8" x14ac:dyDescent="0.25">
      <c r="C6448" s="1450">
        <v>9</v>
      </c>
      <c r="D6448" s="1450">
        <v>92</v>
      </c>
      <c r="E6448" s="1451">
        <v>35.299999999999997</v>
      </c>
      <c r="F6448" s="4">
        <f t="shared" si="109"/>
        <v>3.8235294117646978E-2</v>
      </c>
      <c r="G6448" s="37">
        <v>35.200000000000003</v>
      </c>
      <c r="H6448" s="1449">
        <v>46039</v>
      </c>
    </row>
    <row r="6449" spans="3:8" x14ac:dyDescent="0.25">
      <c r="C6449" s="1450">
        <v>10</v>
      </c>
      <c r="D6449" s="1450">
        <v>0</v>
      </c>
      <c r="E6449" s="1451"/>
      <c r="F6449" s="4" t="str">
        <f t="shared" si="109"/>
        <v/>
      </c>
      <c r="G6449" s="37">
        <v>35.200000000000003</v>
      </c>
      <c r="H6449" s="1449">
        <v>46039</v>
      </c>
    </row>
    <row r="6450" spans="3:8" x14ac:dyDescent="0.25">
      <c r="C6450" s="1452" t="s">
        <v>0</v>
      </c>
      <c r="D6450" s="1452" t="s">
        <v>7</v>
      </c>
      <c r="E6450" s="1453" t="s">
        <v>4</v>
      </c>
      <c r="F6450" s="4" t="str">
        <f t="shared" si="109"/>
        <v/>
      </c>
      <c r="G6450" s="37">
        <v>35.200000000000003</v>
      </c>
      <c r="H6450" s="1454">
        <v>46040</v>
      </c>
    </row>
    <row r="6451" spans="3:8" x14ac:dyDescent="0.25">
      <c r="C6451" s="1452">
        <v>51</v>
      </c>
      <c r="D6451" s="1452">
        <v>24</v>
      </c>
      <c r="E6451" s="1453">
        <v>32</v>
      </c>
      <c r="F6451" s="4">
        <f t="shared" si="109"/>
        <v>0.63265306122448972</v>
      </c>
      <c r="G6451" s="37">
        <v>35.200000000000003</v>
      </c>
      <c r="H6451" s="1454">
        <v>46040</v>
      </c>
    </row>
    <row r="6452" spans="3:8" x14ac:dyDescent="0.25">
      <c r="C6452" s="1452">
        <v>52</v>
      </c>
      <c r="D6452" s="1452">
        <v>58</v>
      </c>
      <c r="E6452" s="1453">
        <v>44.7</v>
      </c>
      <c r="F6452" s="4">
        <f t="shared" si="109"/>
        <v>-8.8691796008868867E-3</v>
      </c>
      <c r="G6452" s="37">
        <v>35.200000000000003</v>
      </c>
      <c r="H6452" s="1454">
        <v>46040</v>
      </c>
    </row>
    <row r="6453" spans="3:8" x14ac:dyDescent="0.25">
      <c r="C6453" s="1452">
        <v>1</v>
      </c>
      <c r="D6453" s="1452">
        <v>0</v>
      </c>
      <c r="E6453" s="1453"/>
      <c r="F6453" s="4">
        <f t="shared" si="109"/>
        <v>-1</v>
      </c>
      <c r="G6453" s="37">
        <v>35.200000000000003</v>
      </c>
      <c r="H6453" s="1454">
        <v>46040</v>
      </c>
    </row>
    <row r="6454" spans="3:8" x14ac:dyDescent="0.25">
      <c r="C6454" s="1452">
        <v>2</v>
      </c>
      <c r="D6454" s="1452">
        <v>36</v>
      </c>
      <c r="E6454" s="1453">
        <v>32.5</v>
      </c>
      <c r="F6454" s="4">
        <f t="shared" si="109"/>
        <v>3.1746031746031744E-2</v>
      </c>
      <c r="G6454" s="37">
        <v>35.200000000000003</v>
      </c>
      <c r="H6454" s="1454">
        <v>46040</v>
      </c>
    </row>
    <row r="6455" spans="3:8" x14ac:dyDescent="0.25">
      <c r="C6455" s="1452">
        <v>3</v>
      </c>
      <c r="D6455" s="1452">
        <v>95</v>
      </c>
      <c r="E6455" s="1453">
        <v>37.1</v>
      </c>
      <c r="F6455" s="4">
        <f t="shared" si="109"/>
        <v>-1.3297872340425532E-2</v>
      </c>
      <c r="G6455" s="37">
        <v>35.200000000000003</v>
      </c>
      <c r="H6455" s="1454">
        <v>46040</v>
      </c>
    </row>
    <row r="6456" spans="3:8" x14ac:dyDescent="0.25">
      <c r="C6456" s="1452">
        <v>4</v>
      </c>
      <c r="D6456" s="1452">
        <v>74</v>
      </c>
      <c r="E6456" s="1453">
        <v>34.5</v>
      </c>
      <c r="F6456" s="4">
        <f t="shared" si="109"/>
        <v>-2.8901734104046653E-3</v>
      </c>
      <c r="G6456" s="37">
        <v>35.200000000000003</v>
      </c>
      <c r="H6456" s="1454">
        <v>46040</v>
      </c>
    </row>
    <row r="6457" spans="3:8" x14ac:dyDescent="0.25">
      <c r="C6457" s="1452">
        <v>5</v>
      </c>
      <c r="D6457" s="1452">
        <v>0</v>
      </c>
      <c r="E6457" s="1453"/>
      <c r="F6457" s="4" t="str">
        <f t="shared" si="109"/>
        <v/>
      </c>
      <c r="G6457" s="37">
        <v>35.200000000000003</v>
      </c>
      <c r="H6457" s="1454">
        <v>46040</v>
      </c>
    </row>
    <row r="6458" spans="3:8" x14ac:dyDescent="0.25">
      <c r="C6458" s="1452">
        <v>6</v>
      </c>
      <c r="D6458" s="1452">
        <v>107</v>
      </c>
      <c r="E6458" s="1453">
        <v>26.9</v>
      </c>
      <c r="F6458" s="4">
        <f t="shared" si="109"/>
        <v>4.6692607003891023E-2</v>
      </c>
      <c r="G6458" s="37">
        <v>35.200000000000003</v>
      </c>
      <c r="H6458" s="1454">
        <v>46040</v>
      </c>
    </row>
    <row r="6459" spans="3:8" x14ac:dyDescent="0.25">
      <c r="C6459" s="1452">
        <v>7</v>
      </c>
      <c r="D6459" s="1452">
        <v>114</v>
      </c>
      <c r="E6459" s="1453">
        <v>37.1</v>
      </c>
      <c r="F6459" s="4">
        <f t="shared" si="109"/>
        <v>-2.1108179419524992E-2</v>
      </c>
      <c r="G6459" s="37">
        <v>35.200000000000003</v>
      </c>
      <c r="H6459" s="1454">
        <v>46040</v>
      </c>
    </row>
    <row r="6460" spans="3:8" x14ac:dyDescent="0.25">
      <c r="C6460" s="1452">
        <v>8</v>
      </c>
      <c r="D6460" s="1452">
        <v>0</v>
      </c>
      <c r="E6460" s="1453"/>
      <c r="F6460" s="4" t="str">
        <f t="shared" si="109"/>
        <v/>
      </c>
      <c r="G6460" s="37">
        <v>35.200000000000003</v>
      </c>
      <c r="H6460" s="1454">
        <v>46040</v>
      </c>
    </row>
    <row r="6461" spans="3:8" x14ac:dyDescent="0.25">
      <c r="C6461" s="1452">
        <v>9</v>
      </c>
      <c r="D6461" s="1452">
        <v>92</v>
      </c>
      <c r="E6461" s="1453">
        <v>36</v>
      </c>
      <c r="F6461" s="4">
        <f t="shared" si="109"/>
        <v>1.9830028328611981E-2</v>
      </c>
      <c r="G6461" s="37">
        <v>35.200000000000003</v>
      </c>
      <c r="H6461" s="1454">
        <v>46040</v>
      </c>
    </row>
    <row r="6462" spans="3:8" x14ac:dyDescent="0.25">
      <c r="C6462" s="1452">
        <v>10</v>
      </c>
      <c r="D6462" s="1452">
        <v>0</v>
      </c>
      <c r="E6462" s="1453"/>
      <c r="F6462" s="4" t="str">
        <f t="shared" si="109"/>
        <v/>
      </c>
      <c r="G6462" s="37">
        <v>35.200000000000003</v>
      </c>
      <c r="H6462" s="1454">
        <v>46040</v>
      </c>
    </row>
    <row r="6463" spans="3:8" x14ac:dyDescent="0.25">
      <c r="C6463" s="1455" t="s">
        <v>0</v>
      </c>
      <c r="D6463" s="1455" t="s">
        <v>7</v>
      </c>
      <c r="E6463" s="1456" t="s">
        <v>4</v>
      </c>
      <c r="F6463" s="4" t="str">
        <f t="shared" si="109"/>
        <v/>
      </c>
      <c r="G6463" s="37">
        <v>36.1</v>
      </c>
      <c r="H6463" s="1454">
        <v>46041</v>
      </c>
    </row>
    <row r="6464" spans="3:8" x14ac:dyDescent="0.25">
      <c r="C6464" s="1455">
        <v>51</v>
      </c>
      <c r="D6464" s="1455">
        <v>18</v>
      </c>
      <c r="E6464" s="1456">
        <v>33.799999999999997</v>
      </c>
      <c r="F6464" s="4">
        <f t="shared" si="109"/>
        <v>5.6249999999999911E-2</v>
      </c>
      <c r="G6464" s="37">
        <v>36.1</v>
      </c>
      <c r="H6464" s="1454">
        <v>46041</v>
      </c>
    </row>
    <row r="6465" spans="3:8" x14ac:dyDescent="0.25">
      <c r="C6465" s="1455">
        <v>52</v>
      </c>
      <c r="D6465" s="1455">
        <v>63</v>
      </c>
      <c r="E6465" s="1456">
        <v>45.4</v>
      </c>
      <c r="F6465" s="4">
        <f t="shared" si="109"/>
        <v>1.5659955257270597E-2</v>
      </c>
      <c r="G6465" s="37">
        <v>36.1</v>
      </c>
      <c r="H6465" s="1454">
        <v>46041</v>
      </c>
    </row>
    <row r="6466" spans="3:8" x14ac:dyDescent="0.25">
      <c r="C6466" s="1455">
        <v>1</v>
      </c>
      <c r="D6466" s="1455">
        <v>113</v>
      </c>
      <c r="E6466" s="1456"/>
      <c r="F6466" s="4" t="str">
        <f t="shared" si="109"/>
        <v/>
      </c>
      <c r="G6466" s="37">
        <v>36.1</v>
      </c>
      <c r="H6466" s="1454">
        <v>46041</v>
      </c>
    </row>
    <row r="6467" spans="3:8" x14ac:dyDescent="0.25">
      <c r="C6467" s="1455">
        <v>2</v>
      </c>
      <c r="D6467" s="1455">
        <v>37</v>
      </c>
      <c r="E6467" s="1456">
        <v>31.7</v>
      </c>
      <c r="F6467" s="4">
        <f t="shared" si="109"/>
        <v>-2.4615384615384636E-2</v>
      </c>
      <c r="G6467" s="37">
        <v>36.1</v>
      </c>
      <c r="H6467" s="1454">
        <v>46041</v>
      </c>
    </row>
    <row r="6468" spans="3:8" x14ac:dyDescent="0.25">
      <c r="C6468" s="1455">
        <v>3</v>
      </c>
      <c r="D6468" s="1455">
        <v>95</v>
      </c>
      <c r="E6468" s="1456">
        <v>37.299999999999997</v>
      </c>
      <c r="F6468" s="4">
        <f t="shared" si="109"/>
        <v>5.3908355795147097E-3</v>
      </c>
      <c r="G6468" s="37">
        <v>36.1</v>
      </c>
      <c r="H6468" s="1454">
        <v>46041</v>
      </c>
    </row>
    <row r="6469" spans="3:8" x14ac:dyDescent="0.25">
      <c r="C6469" s="1455">
        <v>4</v>
      </c>
      <c r="D6469" s="1455">
        <v>74</v>
      </c>
      <c r="E6469" s="1456">
        <v>35.799999999999997</v>
      </c>
      <c r="F6469" s="4">
        <f t="shared" si="109"/>
        <v>3.7681159420289774E-2</v>
      </c>
      <c r="G6469" s="37">
        <v>36.1</v>
      </c>
      <c r="H6469" s="1454">
        <v>46041</v>
      </c>
    </row>
    <row r="6470" spans="3:8" x14ac:dyDescent="0.25">
      <c r="C6470" s="1455">
        <v>5</v>
      </c>
      <c r="D6470" s="1455">
        <v>0</v>
      </c>
      <c r="E6470" s="1456"/>
      <c r="F6470" s="4" t="str">
        <f t="shared" si="109"/>
        <v/>
      </c>
      <c r="G6470" s="37">
        <v>36.1</v>
      </c>
      <c r="H6470" s="1454">
        <v>46041</v>
      </c>
    </row>
    <row r="6471" spans="3:8" x14ac:dyDescent="0.25">
      <c r="C6471" s="1455">
        <v>6</v>
      </c>
      <c r="D6471" s="1455">
        <v>107</v>
      </c>
      <c r="E6471" s="1456">
        <v>27</v>
      </c>
      <c r="F6471" s="4">
        <f t="shared" si="109"/>
        <v>3.717472118959161E-3</v>
      </c>
      <c r="G6471" s="37">
        <v>36.1</v>
      </c>
      <c r="H6471" s="1454">
        <v>46041</v>
      </c>
    </row>
    <row r="6472" spans="3:8" x14ac:dyDescent="0.25">
      <c r="C6472" s="1455">
        <v>7</v>
      </c>
      <c r="D6472" s="1455">
        <v>115</v>
      </c>
      <c r="E6472" s="1456">
        <v>37.6</v>
      </c>
      <c r="F6472" s="4">
        <f t="shared" si="109"/>
        <v>1.3477088948787061E-2</v>
      </c>
      <c r="G6472" s="37">
        <v>36.1</v>
      </c>
      <c r="H6472" s="1454">
        <v>46041</v>
      </c>
    </row>
    <row r="6473" spans="3:8" x14ac:dyDescent="0.25">
      <c r="C6473" s="1455">
        <v>8</v>
      </c>
      <c r="D6473" s="1455">
        <v>0</v>
      </c>
      <c r="E6473" s="1456"/>
      <c r="F6473" s="4" t="str">
        <f t="shared" si="109"/>
        <v/>
      </c>
      <c r="G6473" s="37">
        <v>36.1</v>
      </c>
      <c r="H6473" s="1454">
        <v>46041</v>
      </c>
    </row>
    <row r="6474" spans="3:8" x14ac:dyDescent="0.25">
      <c r="C6474" s="1455">
        <v>9</v>
      </c>
      <c r="D6474" s="1455">
        <v>92</v>
      </c>
      <c r="E6474" s="1456">
        <v>37.299999999999997</v>
      </c>
      <c r="F6474" s="4">
        <f t="shared" si="109"/>
        <v>3.6111111111111031E-2</v>
      </c>
      <c r="G6474" s="37">
        <v>36.1</v>
      </c>
      <c r="H6474" s="1454">
        <v>46041</v>
      </c>
    </row>
    <row r="6475" spans="3:8" x14ac:dyDescent="0.25">
      <c r="C6475" s="1455">
        <v>10</v>
      </c>
      <c r="D6475" s="1455">
        <v>0</v>
      </c>
      <c r="E6475" s="1456"/>
      <c r="F6475" s="4" t="str">
        <f t="shared" si="109"/>
        <v/>
      </c>
      <c r="G6475" s="37">
        <v>36.1</v>
      </c>
      <c r="H6475" s="1454">
        <v>46041</v>
      </c>
    </row>
    <row r="6476" spans="3:8" x14ac:dyDescent="0.25">
      <c r="C6476" s="1457" t="s">
        <v>0</v>
      </c>
      <c r="D6476" s="1457" t="s">
        <v>7</v>
      </c>
      <c r="E6476" s="1458" t="s">
        <v>4</v>
      </c>
      <c r="F6476" s="4" t="str">
        <f t="shared" si="109"/>
        <v/>
      </c>
      <c r="G6476" s="37">
        <v>35.700000000000003</v>
      </c>
      <c r="H6476" s="1459">
        <v>46042</v>
      </c>
    </row>
    <row r="6477" spans="3:8" x14ac:dyDescent="0.25">
      <c r="C6477" s="1457">
        <v>51</v>
      </c>
      <c r="D6477" s="1457">
        <v>18</v>
      </c>
      <c r="E6477" s="1458">
        <v>33.6</v>
      </c>
      <c r="F6477" s="4">
        <f t="shared" si="109"/>
        <v>-5.9171597633134836E-3</v>
      </c>
      <c r="G6477" s="37">
        <v>35.700000000000003</v>
      </c>
      <c r="H6477" s="1459">
        <v>46042</v>
      </c>
    </row>
    <row r="6478" spans="3:8" x14ac:dyDescent="0.25">
      <c r="C6478" s="1457">
        <v>52</v>
      </c>
      <c r="D6478" s="1457">
        <v>63</v>
      </c>
      <c r="E6478" s="1458">
        <v>44.9</v>
      </c>
      <c r="F6478" s="4">
        <f t="shared" si="109"/>
        <v>-1.1013215859030838E-2</v>
      </c>
      <c r="G6478" s="37">
        <v>35.700000000000003</v>
      </c>
      <c r="H6478" s="1459">
        <v>46042</v>
      </c>
    </row>
    <row r="6479" spans="3:8" x14ac:dyDescent="0.25">
      <c r="C6479" s="1457">
        <v>1</v>
      </c>
      <c r="D6479" s="1457">
        <v>113</v>
      </c>
      <c r="E6479" s="1458"/>
      <c r="F6479" s="4" t="str">
        <f t="shared" si="109"/>
        <v/>
      </c>
      <c r="G6479" s="37">
        <v>35.700000000000003</v>
      </c>
      <c r="H6479" s="1459">
        <v>46042</v>
      </c>
    </row>
    <row r="6480" spans="3:8" x14ac:dyDescent="0.25">
      <c r="C6480" s="1457">
        <v>2</v>
      </c>
      <c r="D6480" s="1457">
        <v>37</v>
      </c>
      <c r="E6480" s="1458">
        <v>31.7</v>
      </c>
      <c r="F6480" s="4">
        <f t="shared" si="109"/>
        <v>0</v>
      </c>
      <c r="G6480" s="37">
        <v>35.700000000000003</v>
      </c>
      <c r="H6480" s="1459">
        <v>46042</v>
      </c>
    </row>
    <row r="6481" spans="3:8" x14ac:dyDescent="0.25">
      <c r="C6481" s="1457">
        <v>3</v>
      </c>
      <c r="D6481" s="1457">
        <v>95</v>
      </c>
      <c r="E6481" s="1458">
        <v>37.1</v>
      </c>
      <c r="F6481" s="4">
        <f t="shared" si="109"/>
        <v>-5.3619302949060527E-3</v>
      </c>
      <c r="G6481" s="37">
        <v>35.700000000000003</v>
      </c>
      <c r="H6481" s="1459">
        <v>46042</v>
      </c>
    </row>
    <row r="6482" spans="3:8" x14ac:dyDescent="0.25">
      <c r="C6482" s="1457">
        <v>4</v>
      </c>
      <c r="D6482" s="1457">
        <v>74</v>
      </c>
      <c r="E6482" s="1458">
        <v>34.700000000000003</v>
      </c>
      <c r="F6482" s="4">
        <f t="shared" ref="F6482:F6527" si="110">IFERROR((E6482-E6469)/E6469,"")</f>
        <v>-3.0726256983240066E-2</v>
      </c>
      <c r="G6482" s="37">
        <v>35.700000000000003</v>
      </c>
      <c r="H6482" s="1459">
        <v>46042</v>
      </c>
    </row>
    <row r="6483" spans="3:8" x14ac:dyDescent="0.25">
      <c r="C6483" s="1457">
        <v>5</v>
      </c>
      <c r="D6483" s="1457">
        <v>0</v>
      </c>
      <c r="E6483" s="1458"/>
      <c r="F6483" s="4" t="str">
        <f t="shared" si="110"/>
        <v/>
      </c>
      <c r="G6483" s="37">
        <v>35.700000000000003</v>
      </c>
      <c r="H6483" s="1459">
        <v>46042</v>
      </c>
    </row>
    <row r="6484" spans="3:8" x14ac:dyDescent="0.25">
      <c r="C6484" s="1457">
        <v>6</v>
      </c>
      <c r="D6484" s="1457">
        <v>99</v>
      </c>
      <c r="E6484" s="1458">
        <v>25.7</v>
      </c>
      <c r="F6484" s="4">
        <f t="shared" si="110"/>
        <v>-4.8148148148148176E-2</v>
      </c>
      <c r="G6484" s="37">
        <v>35.700000000000003</v>
      </c>
      <c r="H6484" s="1459">
        <v>46042</v>
      </c>
    </row>
    <row r="6485" spans="3:8" x14ac:dyDescent="0.25">
      <c r="C6485" s="1457">
        <v>7</v>
      </c>
      <c r="D6485" s="1457">
        <v>113</v>
      </c>
      <c r="E6485" s="1458">
        <v>37</v>
      </c>
      <c r="F6485" s="4">
        <f t="shared" si="110"/>
        <v>-1.5957446808510675E-2</v>
      </c>
      <c r="G6485" s="37">
        <v>35.700000000000003</v>
      </c>
      <c r="H6485" s="1459">
        <v>46042</v>
      </c>
    </row>
    <row r="6486" spans="3:8" x14ac:dyDescent="0.25">
      <c r="C6486" s="1457">
        <v>8</v>
      </c>
      <c r="D6486" s="1457">
        <v>0</v>
      </c>
      <c r="E6486" s="1458"/>
      <c r="F6486" s="4" t="str">
        <f t="shared" si="110"/>
        <v/>
      </c>
      <c r="G6486" s="37">
        <v>35.700000000000003</v>
      </c>
      <c r="H6486" s="1459">
        <v>46042</v>
      </c>
    </row>
    <row r="6487" spans="3:8" x14ac:dyDescent="0.25">
      <c r="C6487" s="1457">
        <v>9</v>
      </c>
      <c r="D6487" s="1457">
        <v>92</v>
      </c>
      <c r="E6487" s="1458">
        <v>35.700000000000003</v>
      </c>
      <c r="F6487" s="4">
        <f t="shared" si="110"/>
        <v>-4.2895442359249178E-2</v>
      </c>
      <c r="G6487" s="37">
        <v>35.700000000000003</v>
      </c>
      <c r="H6487" s="1459">
        <v>46042</v>
      </c>
    </row>
    <row r="6488" spans="3:8" x14ac:dyDescent="0.25">
      <c r="C6488" s="1457">
        <v>10</v>
      </c>
      <c r="D6488" s="1457">
        <v>0</v>
      </c>
      <c r="E6488" s="1458"/>
      <c r="F6488" s="4" t="str">
        <f t="shared" si="110"/>
        <v/>
      </c>
      <c r="G6488" s="37">
        <v>35.700000000000003</v>
      </c>
      <c r="H6488" s="1459">
        <v>46042</v>
      </c>
    </row>
    <row r="6489" spans="3:8" x14ac:dyDescent="0.25">
      <c r="C6489" s="1460" t="s">
        <v>0</v>
      </c>
      <c r="D6489" s="1460" t="s">
        <v>7</v>
      </c>
      <c r="E6489" s="1461" t="s">
        <v>4</v>
      </c>
      <c r="F6489" s="4" t="str">
        <f t="shared" si="110"/>
        <v/>
      </c>
      <c r="G6489" s="37">
        <v>36.1</v>
      </c>
      <c r="H6489" s="1462">
        <v>46043</v>
      </c>
    </row>
    <row r="6490" spans="3:8" x14ac:dyDescent="0.25">
      <c r="C6490" s="1460">
        <v>51</v>
      </c>
      <c r="D6490" s="1460">
        <v>20</v>
      </c>
      <c r="E6490" s="1461">
        <v>35.4</v>
      </c>
      <c r="F6490" s="4">
        <f t="shared" si="110"/>
        <v>5.3571428571428485E-2</v>
      </c>
      <c r="G6490" s="37">
        <v>36.1</v>
      </c>
      <c r="H6490" s="1462">
        <v>46043</v>
      </c>
    </row>
    <row r="6491" spans="3:8" x14ac:dyDescent="0.25">
      <c r="C6491" s="1460">
        <v>52</v>
      </c>
      <c r="D6491" s="1460">
        <v>63</v>
      </c>
      <c r="E6491" s="1461">
        <v>44.9</v>
      </c>
      <c r="F6491" s="4">
        <f t="shared" si="110"/>
        <v>0</v>
      </c>
      <c r="G6491" s="37">
        <v>36.1</v>
      </c>
      <c r="H6491" s="1462">
        <v>46043</v>
      </c>
    </row>
    <row r="6492" spans="3:8" x14ac:dyDescent="0.25">
      <c r="C6492" s="1460">
        <v>1</v>
      </c>
      <c r="D6492" s="1460">
        <v>0</v>
      </c>
      <c r="E6492" s="1461"/>
      <c r="F6492" s="4" t="str">
        <f t="shared" si="110"/>
        <v/>
      </c>
      <c r="G6492" s="37">
        <v>36.1</v>
      </c>
      <c r="H6492" s="1462">
        <v>46043</v>
      </c>
    </row>
    <row r="6493" spans="3:8" x14ac:dyDescent="0.25">
      <c r="C6493" s="1460">
        <v>2</v>
      </c>
      <c r="D6493" s="1460">
        <v>37</v>
      </c>
      <c r="E6493" s="1461">
        <v>31.9</v>
      </c>
      <c r="F6493" s="4">
        <f t="shared" si="110"/>
        <v>6.3091482649842053E-3</v>
      </c>
      <c r="G6493" s="37">
        <v>36.1</v>
      </c>
      <c r="H6493" s="1462">
        <v>46043</v>
      </c>
    </row>
    <row r="6494" spans="3:8" x14ac:dyDescent="0.25">
      <c r="C6494" s="1460">
        <v>3</v>
      </c>
      <c r="D6494" s="1460">
        <v>95</v>
      </c>
      <c r="E6494" s="1461">
        <v>37.700000000000003</v>
      </c>
      <c r="F6494" s="4">
        <f t="shared" si="110"/>
        <v>1.6172506738544513E-2</v>
      </c>
      <c r="G6494" s="37">
        <v>36.1</v>
      </c>
      <c r="H6494" s="1462">
        <v>46043</v>
      </c>
    </row>
    <row r="6495" spans="3:8" x14ac:dyDescent="0.25">
      <c r="C6495" s="1460">
        <v>4</v>
      </c>
      <c r="D6495" s="1460">
        <v>74</v>
      </c>
      <c r="E6495" s="1461">
        <v>35.299999999999997</v>
      </c>
      <c r="F6495" s="4">
        <f t="shared" si="110"/>
        <v>1.7291066282420584E-2</v>
      </c>
      <c r="G6495" s="37">
        <v>36.1</v>
      </c>
      <c r="H6495" s="1462">
        <v>46043</v>
      </c>
    </row>
    <row r="6496" spans="3:8" x14ac:dyDescent="0.25">
      <c r="C6496" s="1460">
        <v>5</v>
      </c>
      <c r="D6496" s="1460">
        <v>0</v>
      </c>
      <c r="E6496" s="1461"/>
      <c r="F6496" s="4" t="str">
        <f t="shared" si="110"/>
        <v/>
      </c>
      <c r="G6496" s="37">
        <v>36.1</v>
      </c>
      <c r="H6496" s="1462">
        <v>46043</v>
      </c>
    </row>
    <row r="6497" spans="3:8" x14ac:dyDescent="0.25">
      <c r="C6497" s="1460">
        <v>6</v>
      </c>
      <c r="D6497" s="1460">
        <v>99</v>
      </c>
      <c r="E6497" s="1461">
        <v>26.6</v>
      </c>
      <c r="F6497" s="4">
        <f t="shared" si="110"/>
        <v>3.5019455252918372E-2</v>
      </c>
      <c r="G6497" s="37">
        <v>36.1</v>
      </c>
      <c r="H6497" s="1462">
        <v>46043</v>
      </c>
    </row>
    <row r="6498" spans="3:8" x14ac:dyDescent="0.25">
      <c r="C6498" s="1460">
        <v>7</v>
      </c>
      <c r="D6498" s="1460">
        <v>113</v>
      </c>
      <c r="E6498" s="1461">
        <v>37.799999999999997</v>
      </c>
      <c r="F6498" s="4">
        <f t="shared" si="110"/>
        <v>2.1621621621621546E-2</v>
      </c>
      <c r="G6498" s="37">
        <v>36.1</v>
      </c>
      <c r="H6498" s="1462">
        <v>46043</v>
      </c>
    </row>
    <row r="6499" spans="3:8" x14ac:dyDescent="0.25">
      <c r="C6499" s="1460">
        <v>8</v>
      </c>
      <c r="D6499" s="1460">
        <v>0</v>
      </c>
      <c r="E6499" s="1461"/>
      <c r="F6499" s="4" t="str">
        <f t="shared" si="110"/>
        <v/>
      </c>
      <c r="G6499" s="37">
        <v>36.1</v>
      </c>
      <c r="H6499" s="1462">
        <v>46043</v>
      </c>
    </row>
    <row r="6500" spans="3:8" x14ac:dyDescent="0.25">
      <c r="C6500" s="1460">
        <v>9</v>
      </c>
      <c r="D6500" s="1460">
        <v>92</v>
      </c>
      <c r="E6500" s="1461">
        <v>36.4</v>
      </c>
      <c r="F6500" s="4">
        <f t="shared" si="110"/>
        <v>1.960784313725478E-2</v>
      </c>
      <c r="G6500" s="37">
        <v>36.1</v>
      </c>
      <c r="H6500" s="1462">
        <v>46043</v>
      </c>
    </row>
    <row r="6501" spans="3:8" x14ac:dyDescent="0.25">
      <c r="C6501" s="1460">
        <v>10</v>
      </c>
      <c r="D6501" s="1460">
        <v>0</v>
      </c>
      <c r="E6501" s="1461"/>
      <c r="F6501" s="4" t="str">
        <f t="shared" si="110"/>
        <v/>
      </c>
      <c r="G6501" s="37">
        <v>36.1</v>
      </c>
      <c r="H6501" s="1462">
        <v>46043</v>
      </c>
    </row>
    <row r="6502" spans="3:8" x14ac:dyDescent="0.25">
      <c r="C6502" s="1463" t="s">
        <v>0</v>
      </c>
      <c r="D6502" s="1463" t="s">
        <v>7</v>
      </c>
      <c r="E6502" s="1464" t="s">
        <v>4</v>
      </c>
      <c r="F6502" s="4" t="str">
        <f t="shared" si="110"/>
        <v/>
      </c>
      <c r="G6502" s="37">
        <v>35.6</v>
      </c>
      <c r="H6502" s="1465">
        <v>46044</v>
      </c>
    </row>
    <row r="6503" spans="3:8" x14ac:dyDescent="0.25">
      <c r="C6503" s="1463">
        <v>51</v>
      </c>
      <c r="D6503" s="1463">
        <v>18</v>
      </c>
      <c r="E6503" s="1464">
        <v>33</v>
      </c>
      <c r="F6503" s="4">
        <f t="shared" si="110"/>
        <v>-6.7796610169491484E-2</v>
      </c>
      <c r="G6503" s="37">
        <v>35.6</v>
      </c>
      <c r="H6503" s="1465">
        <v>46044</v>
      </c>
    </row>
    <row r="6504" spans="3:8" x14ac:dyDescent="0.25">
      <c r="C6504" s="1463">
        <v>52</v>
      </c>
      <c r="D6504" s="1463">
        <v>63</v>
      </c>
      <c r="E6504" s="1464">
        <v>45</v>
      </c>
      <c r="F6504" s="4">
        <f t="shared" si="110"/>
        <v>2.2271714922049313E-3</v>
      </c>
      <c r="G6504" s="37">
        <v>35.6</v>
      </c>
      <c r="H6504" s="1465">
        <v>46044</v>
      </c>
    </row>
    <row r="6505" spans="3:8" x14ac:dyDescent="0.25">
      <c r="C6505" s="1463">
        <v>1</v>
      </c>
      <c r="D6505" s="1463">
        <v>0</v>
      </c>
      <c r="E6505" s="1464"/>
      <c r="F6505" s="4" t="str">
        <f t="shared" si="110"/>
        <v/>
      </c>
      <c r="G6505" s="37">
        <v>35.6</v>
      </c>
      <c r="H6505" s="1465">
        <v>46044</v>
      </c>
    </row>
    <row r="6506" spans="3:8" x14ac:dyDescent="0.25">
      <c r="C6506" s="1463">
        <v>2</v>
      </c>
      <c r="D6506" s="1463">
        <v>37</v>
      </c>
      <c r="E6506" s="1464">
        <v>31.4</v>
      </c>
      <c r="F6506" s="4">
        <f t="shared" si="110"/>
        <v>-1.5673981191222573E-2</v>
      </c>
      <c r="G6506" s="37">
        <v>35.6</v>
      </c>
      <c r="H6506" s="1465">
        <v>46044</v>
      </c>
    </row>
    <row r="6507" spans="3:8" x14ac:dyDescent="0.25">
      <c r="C6507" s="1463">
        <v>3</v>
      </c>
      <c r="D6507" s="1463">
        <v>95</v>
      </c>
      <c r="E6507" s="1464">
        <v>37.200000000000003</v>
      </c>
      <c r="F6507" s="4">
        <f t="shared" si="110"/>
        <v>-1.326259946949602E-2</v>
      </c>
      <c r="G6507" s="37">
        <v>35.6</v>
      </c>
      <c r="H6507" s="1465">
        <v>46044</v>
      </c>
    </row>
    <row r="6508" spans="3:8" x14ac:dyDescent="0.25">
      <c r="C6508" s="1463">
        <v>4</v>
      </c>
      <c r="D6508" s="1463">
        <v>74</v>
      </c>
      <c r="E6508" s="1464">
        <v>34.1</v>
      </c>
      <c r="F6508" s="4">
        <f t="shared" si="110"/>
        <v>-3.3994334277620282E-2</v>
      </c>
      <c r="G6508" s="37">
        <v>35.6</v>
      </c>
      <c r="H6508" s="1465">
        <v>46044</v>
      </c>
    </row>
    <row r="6509" spans="3:8" x14ac:dyDescent="0.25">
      <c r="C6509" s="1463">
        <v>5</v>
      </c>
      <c r="D6509" s="1463">
        <v>0</v>
      </c>
      <c r="E6509" s="1464"/>
      <c r="F6509" s="4" t="str">
        <f t="shared" si="110"/>
        <v/>
      </c>
      <c r="G6509" s="37">
        <v>35.6</v>
      </c>
      <c r="H6509" s="1465">
        <v>46044</v>
      </c>
    </row>
    <row r="6510" spans="3:8" x14ac:dyDescent="0.25">
      <c r="C6510" s="1463">
        <v>6</v>
      </c>
      <c r="D6510" s="1463">
        <v>100</v>
      </c>
      <c r="E6510" s="1464">
        <v>27.1</v>
      </c>
      <c r="F6510" s="4">
        <f t="shared" si="110"/>
        <v>1.8796992481203006E-2</v>
      </c>
      <c r="G6510" s="37">
        <v>35.6</v>
      </c>
      <c r="H6510" s="1465">
        <v>46044</v>
      </c>
    </row>
    <row r="6511" spans="3:8" x14ac:dyDescent="0.25">
      <c r="C6511" s="1463">
        <v>7</v>
      </c>
      <c r="D6511" s="1463">
        <v>117</v>
      </c>
      <c r="E6511" s="1464">
        <v>37.200000000000003</v>
      </c>
      <c r="F6511" s="4">
        <f t="shared" si="110"/>
        <v>-1.5873015873015723E-2</v>
      </c>
      <c r="G6511" s="37">
        <v>35.6</v>
      </c>
      <c r="H6511" s="1465">
        <v>46044</v>
      </c>
    </row>
    <row r="6512" spans="3:8" x14ac:dyDescent="0.25">
      <c r="C6512" s="1463">
        <v>8</v>
      </c>
      <c r="D6512" s="1463">
        <v>0</v>
      </c>
      <c r="E6512" s="1464"/>
      <c r="F6512" s="4" t="str">
        <f t="shared" si="110"/>
        <v/>
      </c>
      <c r="G6512" s="37">
        <v>35.6</v>
      </c>
      <c r="H6512" s="1465">
        <v>46044</v>
      </c>
    </row>
    <row r="6513" spans="3:8" x14ac:dyDescent="0.25">
      <c r="C6513" s="1463">
        <v>9</v>
      </c>
      <c r="D6513" s="1463">
        <v>92</v>
      </c>
      <c r="E6513" s="1464">
        <v>33.200000000000003</v>
      </c>
      <c r="F6513" s="4">
        <f t="shared" si="110"/>
        <v>-8.7912087912087794E-2</v>
      </c>
      <c r="G6513" s="37">
        <v>35.6</v>
      </c>
      <c r="H6513" s="1465">
        <v>46044</v>
      </c>
    </row>
    <row r="6514" spans="3:8" x14ac:dyDescent="0.25">
      <c r="C6514" s="1463">
        <v>10</v>
      </c>
      <c r="D6514" s="1463">
        <v>0</v>
      </c>
      <c r="E6514" s="1464"/>
      <c r="F6514" s="4" t="str">
        <f t="shared" si="110"/>
        <v/>
      </c>
      <c r="G6514" s="37">
        <v>35.6</v>
      </c>
      <c r="H6514" s="1465">
        <v>46044</v>
      </c>
    </row>
    <row r="6515" spans="3:8" x14ac:dyDescent="0.25">
      <c r="C6515" s="1466" t="s">
        <v>0</v>
      </c>
      <c r="D6515" s="1466" t="s">
        <v>7</v>
      </c>
      <c r="E6515" s="1467" t="s">
        <v>4</v>
      </c>
      <c r="F6515" s="4" t="str">
        <f t="shared" si="110"/>
        <v/>
      </c>
      <c r="G6515" s="37">
        <v>35.9</v>
      </c>
      <c r="H6515" s="1468">
        <v>46045</v>
      </c>
    </row>
    <row r="6516" spans="3:8" x14ac:dyDescent="0.25">
      <c r="C6516" s="1466">
        <v>51</v>
      </c>
      <c r="D6516" s="1466">
        <v>18</v>
      </c>
      <c r="E6516" s="1467">
        <v>36.200000000000003</v>
      </c>
      <c r="F6516" s="4">
        <f t="shared" si="110"/>
        <v>9.6969696969697053E-2</v>
      </c>
      <c r="G6516" s="37">
        <v>35.9</v>
      </c>
      <c r="H6516" s="1468">
        <v>46045</v>
      </c>
    </row>
    <row r="6517" spans="3:8" x14ac:dyDescent="0.25">
      <c r="C6517" s="1466">
        <v>52</v>
      </c>
      <c r="D6517" s="1466">
        <v>63</v>
      </c>
      <c r="E6517" s="1467">
        <v>45.3</v>
      </c>
      <c r="F6517" s="4">
        <f t="shared" si="110"/>
        <v>6.6666666666666038E-3</v>
      </c>
      <c r="G6517" s="37">
        <v>35.9</v>
      </c>
      <c r="H6517" s="1468">
        <v>46045</v>
      </c>
    </row>
    <row r="6518" spans="3:8" x14ac:dyDescent="0.25">
      <c r="C6518" s="1466">
        <v>1</v>
      </c>
      <c r="D6518" s="1466">
        <v>0</v>
      </c>
      <c r="E6518" s="1467"/>
      <c r="F6518" s="4" t="str">
        <f t="shared" si="110"/>
        <v/>
      </c>
      <c r="G6518" s="37">
        <v>35.9</v>
      </c>
      <c r="H6518" s="1468">
        <v>46045</v>
      </c>
    </row>
    <row r="6519" spans="3:8" x14ac:dyDescent="0.25">
      <c r="C6519" s="1466">
        <v>2</v>
      </c>
      <c r="D6519" s="1466">
        <v>37</v>
      </c>
      <c r="E6519" s="1467">
        <v>31.9</v>
      </c>
      <c r="F6519" s="4">
        <f t="shared" si="110"/>
        <v>1.5923566878980892E-2</v>
      </c>
      <c r="G6519" s="37">
        <v>35.9</v>
      </c>
      <c r="H6519" s="1468">
        <v>46045</v>
      </c>
    </row>
    <row r="6520" spans="3:8" x14ac:dyDescent="0.25">
      <c r="C6520" s="1466">
        <v>3</v>
      </c>
      <c r="D6520" s="1466">
        <v>95</v>
      </c>
      <c r="E6520" s="1467">
        <v>36.799999999999997</v>
      </c>
      <c r="F6520" s="4">
        <f t="shared" si="110"/>
        <v>-1.0752688172043163E-2</v>
      </c>
      <c r="G6520" s="37">
        <v>35.9</v>
      </c>
      <c r="H6520" s="1468">
        <v>46045</v>
      </c>
    </row>
    <row r="6521" spans="3:8" x14ac:dyDescent="0.25">
      <c r="C6521" s="1466">
        <v>4</v>
      </c>
      <c r="D6521" s="1466">
        <v>62</v>
      </c>
      <c r="E6521" s="1467">
        <v>31.5</v>
      </c>
      <c r="F6521" s="4">
        <f t="shared" si="110"/>
        <v>-7.6246334310850483E-2</v>
      </c>
      <c r="G6521" s="37">
        <v>35.9</v>
      </c>
      <c r="H6521" s="1468">
        <v>46045</v>
      </c>
    </row>
    <row r="6522" spans="3:8" x14ac:dyDescent="0.25">
      <c r="C6522" s="1466">
        <v>5</v>
      </c>
      <c r="D6522" s="1466">
        <v>0</v>
      </c>
      <c r="E6522" s="1467"/>
      <c r="F6522" s="4" t="str">
        <f t="shared" si="110"/>
        <v/>
      </c>
      <c r="G6522" s="37">
        <v>35.9</v>
      </c>
      <c r="H6522" s="1468">
        <v>46045</v>
      </c>
    </row>
    <row r="6523" spans="3:8" x14ac:dyDescent="0.25">
      <c r="C6523" s="1466">
        <v>6</v>
      </c>
      <c r="D6523" s="1466">
        <v>96</v>
      </c>
      <c r="E6523" s="1467">
        <v>26.7</v>
      </c>
      <c r="F6523" s="4">
        <f t="shared" si="110"/>
        <v>-1.4760147601476092E-2</v>
      </c>
      <c r="G6523" s="37">
        <v>35.9</v>
      </c>
      <c r="H6523" s="1468">
        <v>46045</v>
      </c>
    </row>
    <row r="6524" spans="3:8" x14ac:dyDescent="0.25">
      <c r="C6524" s="1466">
        <v>7</v>
      </c>
      <c r="D6524" s="1466">
        <v>117</v>
      </c>
      <c r="E6524" s="1467">
        <v>37.9</v>
      </c>
      <c r="F6524" s="4">
        <f t="shared" si="110"/>
        <v>1.8817204301075151E-2</v>
      </c>
      <c r="G6524" s="37">
        <v>35.9</v>
      </c>
      <c r="H6524" s="1468">
        <v>46045</v>
      </c>
    </row>
    <row r="6525" spans="3:8" x14ac:dyDescent="0.25">
      <c r="C6525" s="1466">
        <v>8</v>
      </c>
      <c r="D6525" s="1466">
        <v>0</v>
      </c>
      <c r="E6525" s="1467"/>
      <c r="F6525" s="4" t="str">
        <f t="shared" si="110"/>
        <v/>
      </c>
      <c r="G6525" s="37">
        <v>35.9</v>
      </c>
      <c r="H6525" s="1468">
        <v>46045</v>
      </c>
    </row>
    <row r="6526" spans="3:8" x14ac:dyDescent="0.25">
      <c r="C6526" s="1466">
        <v>9</v>
      </c>
      <c r="D6526" s="1466">
        <v>90</v>
      </c>
      <c r="E6526" s="1467">
        <v>35.200000000000003</v>
      </c>
      <c r="F6526" s="4">
        <f t="shared" si="110"/>
        <v>6.0240963855421679E-2</v>
      </c>
      <c r="G6526" s="37">
        <v>35.9</v>
      </c>
      <c r="H6526" s="1468">
        <v>46045</v>
      </c>
    </row>
    <row r="6527" spans="3:8" x14ac:dyDescent="0.25">
      <c r="C6527" s="1466">
        <v>10</v>
      </c>
      <c r="D6527" s="1466">
        <v>0</v>
      </c>
      <c r="E6527" s="1467"/>
      <c r="F6527" s="4" t="str">
        <f t="shared" si="110"/>
        <v/>
      </c>
      <c r="G6527" s="37">
        <v>35.9</v>
      </c>
      <c r="H6527" s="1468">
        <v>46045</v>
      </c>
    </row>
  </sheetData>
  <phoneticPr fontId="574" type="noConversion"/>
  <conditionalFormatting sqref="A1:A1048576">
    <cfRule type="containsText" dxfId="1" priority="1" operator="containsText" text="YANLIŞ">
      <formula>NOT(ISERROR(SEARCH("YANLIŞ",A1)))</formula>
    </cfRule>
    <cfRule type="containsText" dxfId="0" priority="2" operator="containsText" text="FALSE">
      <formula>NOT(ISERROR(SEARCH("FALSE",A1)))</formula>
    </cfRule>
  </conditionalFormatting>
  <pageMargins left="0" right="0" top="0" bottom="0" header="0.31496062992125984" footer="0.31496062992125984"/>
  <pageSetup paperSize="9" orientation="portrait" horizontalDpi="300" verticalDpi="300" r:id="rId1"/>
  <ignoredErrors>
    <ignoredError sqref="F16:F21 F13:F1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YieldByGroup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Gaffari Genç</cp:lastModifiedBy>
  <cp:lastPrinted>2021-09-18T05:38:57Z</cp:lastPrinted>
  <dcterms:created xsi:type="dcterms:W3CDTF">2015-06-05T18:17:20Z</dcterms:created>
  <dcterms:modified xsi:type="dcterms:W3CDTF">2026-01-24T08:46:41Z</dcterms:modified>
</cp:coreProperties>
</file>