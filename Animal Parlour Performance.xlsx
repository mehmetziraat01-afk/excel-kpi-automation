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atasancak365-my.sharepoint.com/personal/ggenc_atasancak_com_tr/Documents/Masaüstü/ATASANCAK SÜRÜ YÖNETİM/SABAH SÜT PERFORMANS/"/>
    </mc:Choice>
  </mc:AlternateContent>
  <xr:revisionPtr revIDLastSave="261" documentId="6_{2DAA23BA-B6C1-48F4-A8AC-7EC85FDF6485}" xr6:coauthVersionLast="47" xr6:coauthVersionMax="47" xr10:uidLastSave="{6C0A8E20-E80A-4212-B680-35727EB4DD3B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138" i="2" l="1"/>
  <c r="A2139" i="2"/>
  <c r="A2140" i="2"/>
  <c r="A2141" i="2"/>
  <c r="A2134" i="2"/>
  <c r="A2135" i="2"/>
  <c r="A2136" i="2"/>
  <c r="A2137" i="2"/>
  <c r="A2130" i="2"/>
  <c r="A2131" i="2"/>
  <c r="A2132" i="2"/>
  <c r="A2133" i="2"/>
  <c r="A2126" i="2"/>
  <c r="A2127" i="2"/>
  <c r="A2128" i="2"/>
  <c r="A2129" i="2"/>
  <c r="A2122" i="2"/>
  <c r="A2123" i="2"/>
  <c r="A2124" i="2"/>
  <c r="A2125" i="2"/>
  <c r="A2118" i="2"/>
  <c r="A2119" i="2"/>
  <c r="A2120" i="2"/>
  <c r="A2121" i="2"/>
  <c r="A2114" i="2"/>
  <c r="A2115" i="2"/>
  <c r="A2116" i="2"/>
  <c r="A2117" i="2"/>
  <c r="A2110" i="2"/>
  <c r="A2111" i="2"/>
  <c r="A2112" i="2"/>
  <c r="A2113" i="2"/>
  <c r="A2109" i="2"/>
  <c r="A2106" i="2"/>
  <c r="A2107" i="2"/>
  <c r="A2108" i="2"/>
  <c r="A2105" i="2"/>
  <c r="A2102" i="2"/>
  <c r="A2103" i="2"/>
  <c r="A2104" i="2"/>
  <c r="A2098" i="2"/>
  <c r="A2099" i="2"/>
  <c r="A2100" i="2"/>
  <c r="A2101" i="2"/>
  <c r="A2094" i="2"/>
  <c r="A2095" i="2"/>
  <c r="A2096" i="2"/>
  <c r="A2097" i="2"/>
  <c r="A2090" i="2"/>
  <c r="A2091" i="2"/>
  <c r="A2092" i="2"/>
  <c r="A2093" i="2"/>
  <c r="A2086" i="2"/>
  <c r="A2087" i="2"/>
  <c r="A2088" i="2"/>
  <c r="A2089" i="2"/>
  <c r="A2082" i="2"/>
  <c r="A2083" i="2"/>
  <c r="A2084" i="2"/>
  <c r="A2085" i="2"/>
  <c r="A2078" i="2"/>
  <c r="A2079" i="2"/>
  <c r="A2080" i="2"/>
  <c r="A2081" i="2"/>
  <c r="A2074" i="2"/>
  <c r="A2075" i="2"/>
  <c r="A2076" i="2"/>
  <c r="A2077" i="2"/>
  <c r="A2070" i="2"/>
  <c r="A2071" i="2"/>
  <c r="A2072" i="2"/>
  <c r="A2073" i="2"/>
  <c r="A2066" i="2"/>
  <c r="A2067" i="2"/>
  <c r="A2068" i="2"/>
  <c r="A2069" i="2"/>
  <c r="A2062" i="2"/>
  <c r="A2063" i="2"/>
  <c r="A2064" i="2"/>
  <c r="A2065" i="2"/>
  <c r="A2058" i="2"/>
  <c r="A2059" i="2"/>
  <c r="A2060" i="2"/>
  <c r="A2061" i="2"/>
  <c r="A2054" i="2"/>
  <c r="A2055" i="2"/>
  <c r="A2056" i="2"/>
  <c r="A2057" i="2"/>
  <c r="A2050" i="2"/>
  <c r="A2051" i="2"/>
  <c r="A2052" i="2"/>
  <c r="A2053" i="2"/>
  <c r="A2046" i="2"/>
  <c r="A2047" i="2"/>
  <c r="A2048" i="2"/>
  <c r="A2049" i="2"/>
  <c r="A2042" i="2"/>
  <c r="A2043" i="2"/>
  <c r="A2044" i="2"/>
  <c r="A2045" i="2"/>
  <c r="A2038" i="2"/>
  <c r="A2039" i="2"/>
  <c r="A2040" i="2"/>
  <c r="A2041" i="2"/>
  <c r="A2034" i="2"/>
  <c r="A2035" i="2"/>
  <c r="A2036" i="2"/>
  <c r="A2037" i="2"/>
  <c r="A2030" i="2"/>
  <c r="A2031" i="2"/>
  <c r="A2032" i="2"/>
  <c r="A2033" i="2"/>
  <c r="A2026" i="2"/>
  <c r="A2027" i="2"/>
  <c r="A2028" i="2"/>
  <c r="A2029" i="2"/>
  <c r="A2022" i="2"/>
  <c r="A2023" i="2"/>
  <c r="A2024" i="2"/>
  <c r="A2025" i="2"/>
  <c r="A2018" i="2"/>
  <c r="A2019" i="2"/>
  <c r="A2020" i="2"/>
  <c r="A2021" i="2"/>
  <c r="A2014" i="2"/>
  <c r="A2015" i="2"/>
  <c r="A2016" i="2"/>
  <c r="A2017" i="2"/>
  <c r="A2010" i="2"/>
  <c r="A2011" i="2"/>
  <c r="A2012" i="2"/>
  <c r="A2013" i="2"/>
  <c r="A2006" i="2"/>
  <c r="A2007" i="2"/>
  <c r="A2008" i="2"/>
  <c r="A2009" i="2"/>
  <c r="A2002" i="2"/>
  <c r="A2003" i="2"/>
  <c r="A2004" i="2"/>
  <c r="A2005" i="2"/>
  <c r="A1998" i="2"/>
  <c r="A1999" i="2"/>
  <c r="A2000" i="2"/>
  <c r="A2001" i="2"/>
  <c r="A1994" i="2"/>
  <c r="A1995" i="2"/>
  <c r="A1996" i="2"/>
  <c r="A1997" i="2"/>
  <c r="A1990" i="2"/>
  <c r="A1991" i="2"/>
  <c r="A1992" i="2"/>
  <c r="A1993" i="2"/>
  <c r="A1986" i="2"/>
  <c r="A1987" i="2"/>
  <c r="A1988" i="2"/>
  <c r="A1989" i="2"/>
  <c r="A1982" i="2"/>
  <c r="A1983" i="2"/>
  <c r="A1984" i="2"/>
  <c r="A1985" i="2"/>
  <c r="A1978" i="2"/>
  <c r="A1979" i="2"/>
  <c r="A1980" i="2"/>
  <c r="A1981" i="2"/>
  <c r="A1974" i="2"/>
  <c r="A1975" i="2"/>
  <c r="A1976" i="2"/>
  <c r="A1977" i="2"/>
  <c r="A1970" i="2"/>
  <c r="A1971" i="2"/>
  <c r="A1972" i="2"/>
  <c r="A1973" i="2"/>
  <c r="A1966" i="2"/>
  <c r="A1967" i="2"/>
  <c r="A1968" i="2"/>
  <c r="A1969" i="2"/>
  <c r="A1962" i="2"/>
  <c r="A1963" i="2"/>
  <c r="A1964" i="2"/>
  <c r="A1965" i="2"/>
  <c r="A1958" i="2"/>
  <c r="A1959" i="2"/>
  <c r="A1960" i="2"/>
  <c r="A1961" i="2"/>
  <c r="A1954" i="2"/>
  <c r="A1955" i="2"/>
  <c r="A1956" i="2"/>
  <c r="A1957" i="2"/>
  <c r="A1950" i="2"/>
  <c r="A1951" i="2"/>
  <c r="A1952" i="2"/>
  <c r="A1953" i="2"/>
  <c r="A1946" i="2"/>
  <c r="A1947" i="2"/>
  <c r="A1948" i="2"/>
  <c r="A1949" i="2"/>
  <c r="A1942" i="2"/>
  <c r="A1943" i="2"/>
  <c r="A1944" i="2"/>
  <c r="A1945" i="2"/>
  <c r="A1938" i="2"/>
  <c r="A1939" i="2"/>
  <c r="A1940" i="2"/>
  <c r="A1941" i="2"/>
  <c r="A1934" i="2"/>
  <c r="A1935" i="2"/>
  <c r="A1936" i="2"/>
  <c r="A1937" i="2"/>
  <c r="A1930" i="2"/>
  <c r="A1931" i="2"/>
  <c r="A1932" i="2"/>
  <c r="A1933" i="2"/>
  <c r="A1926" i="2"/>
  <c r="A1927" i="2"/>
  <c r="A1928" i="2"/>
  <c r="A1929" i="2"/>
  <c r="A1922" i="2"/>
  <c r="A1923" i="2"/>
  <c r="A1924" i="2"/>
  <c r="A1925" i="2"/>
  <c r="A1918" i="2"/>
  <c r="A1919" i="2"/>
  <c r="A1920" i="2"/>
  <c r="A1921" i="2"/>
  <c r="A1914" i="2"/>
  <c r="A1915" i="2"/>
  <c r="A1916" i="2"/>
  <c r="A1917" i="2"/>
  <c r="A1910" i="2"/>
  <c r="A1911" i="2"/>
  <c r="A1912" i="2"/>
  <c r="A1913" i="2"/>
  <c r="A1906" i="2"/>
  <c r="A1907" i="2"/>
  <c r="A1908" i="2"/>
  <c r="A1909" i="2"/>
  <c r="A1902" i="2"/>
  <c r="A1903" i="2"/>
  <c r="A1904" i="2"/>
  <c r="A1905" i="2"/>
  <c r="A1898" i="2"/>
  <c r="A1899" i="2"/>
  <c r="A1900" i="2"/>
  <c r="A1901" i="2"/>
  <c r="A1894" i="2"/>
  <c r="A1895" i="2"/>
  <c r="A1896" i="2"/>
  <c r="A1897" i="2"/>
  <c r="A1890" i="2"/>
  <c r="A1891" i="2"/>
  <c r="A1892" i="2"/>
  <c r="A1893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66" i="2"/>
  <c r="A1867" i="2"/>
  <c r="A1868" i="2"/>
  <c r="A1869" i="2"/>
  <c r="A1862" i="2"/>
  <c r="A1863" i="2"/>
  <c r="A1864" i="2"/>
  <c r="A1865" i="2"/>
  <c r="A1858" i="2"/>
  <c r="A1859" i="2"/>
  <c r="A1860" i="2"/>
  <c r="A1861" i="2"/>
  <c r="A1854" i="2"/>
  <c r="A1855" i="2"/>
  <c r="A1856" i="2"/>
  <c r="A1857" i="2"/>
  <c r="A1850" i="2"/>
  <c r="A1851" i="2"/>
  <c r="A1852" i="2"/>
  <c r="A1853" i="2"/>
  <c r="A1846" i="2"/>
  <c r="A1847" i="2"/>
  <c r="A1848" i="2"/>
  <c r="A1849" i="2"/>
  <c r="A1842" i="2"/>
  <c r="A1843" i="2"/>
  <c r="A1844" i="2"/>
  <c r="A1845" i="2"/>
  <c r="A1838" i="2"/>
  <c r="A1839" i="2"/>
  <c r="A1840" i="2"/>
  <c r="A1841" i="2"/>
  <c r="A1834" i="2"/>
  <c r="A1835" i="2"/>
  <c r="A1836" i="2"/>
  <c r="A1837" i="2"/>
  <c r="A1830" i="2"/>
  <c r="A1831" i="2"/>
  <c r="A1832" i="2"/>
  <c r="A1833" i="2"/>
  <c r="A1827" i="2"/>
  <c r="A1826" i="2"/>
  <c r="A1828" i="2"/>
  <c r="A1829" i="2"/>
  <c r="A1822" i="2" l="1"/>
  <c r="A1823" i="2"/>
  <c r="A1824" i="2"/>
  <c r="A1825" i="2"/>
  <c r="A1818" i="2"/>
  <c r="A1819" i="2"/>
  <c r="A1820" i="2"/>
  <c r="A1821" i="2"/>
  <c r="A1814" i="2"/>
  <c r="A1815" i="2"/>
  <c r="A1816" i="2"/>
  <c r="A1817" i="2"/>
  <c r="A1810" i="2"/>
  <c r="A1811" i="2"/>
  <c r="A1812" i="2"/>
  <c r="A1813" i="2"/>
  <c r="A1806" i="2"/>
  <c r="A1807" i="2"/>
  <c r="A1808" i="2"/>
  <c r="A1809" i="2"/>
  <c r="A1802" i="2"/>
  <c r="A1803" i="2"/>
  <c r="A1804" i="2"/>
  <c r="A1805" i="2"/>
  <c r="A1798" i="2"/>
  <c r="A1799" i="2"/>
  <c r="A1800" i="2"/>
  <c r="A1801" i="2"/>
  <c r="A1794" i="2"/>
  <c r="A1795" i="2"/>
  <c r="A1796" i="2"/>
  <c r="A1797" i="2"/>
  <c r="A1790" i="2"/>
  <c r="A1791" i="2"/>
  <c r="A1792" i="2"/>
  <c r="A1793" i="2"/>
  <c r="A1786" i="2"/>
  <c r="A1787" i="2"/>
  <c r="A1788" i="2"/>
  <c r="A1789" i="2"/>
  <c r="A1782" i="2"/>
  <c r="A1783" i="2"/>
  <c r="A1784" i="2"/>
  <c r="A1785" i="2"/>
  <c r="A1778" i="2"/>
  <c r="A1779" i="2"/>
  <c r="A1780" i="2"/>
  <c r="A1781" i="2"/>
  <c r="A1774" i="2"/>
  <c r="A1775" i="2"/>
  <c r="A1776" i="2"/>
  <c r="A1777" i="2"/>
  <c r="A1770" i="2"/>
  <c r="A1771" i="2"/>
  <c r="A1772" i="2"/>
  <c r="A1773" i="2"/>
  <c r="A1766" i="2"/>
  <c r="A1767" i="2"/>
  <c r="A1768" i="2"/>
  <c r="A1769" i="2"/>
  <c r="A1762" i="2"/>
  <c r="A1763" i="2"/>
  <c r="A1764" i="2"/>
  <c r="A1765" i="2"/>
  <c r="A1758" i="2"/>
  <c r="A1759" i="2"/>
  <c r="A1760" i="2"/>
  <c r="A1761" i="2"/>
  <c r="A1754" i="2"/>
  <c r="A1755" i="2"/>
  <c r="A1756" i="2"/>
  <c r="A1757" i="2"/>
  <c r="A1750" i="2"/>
  <c r="A1751" i="2"/>
  <c r="A1752" i="2"/>
  <c r="A1753" i="2"/>
  <c r="A1746" i="2"/>
  <c r="A1747" i="2"/>
  <c r="A1748" i="2"/>
  <c r="A1749" i="2"/>
  <c r="A1742" i="2"/>
  <c r="A1743" i="2"/>
  <c r="A1744" i="2"/>
  <c r="A1745" i="2"/>
  <c r="A1738" i="2"/>
  <c r="A1739" i="2"/>
  <c r="A1740" i="2"/>
  <c r="A1741" i="2"/>
  <c r="A1734" i="2"/>
  <c r="A1735" i="2"/>
  <c r="A1736" i="2"/>
  <c r="A1737" i="2"/>
  <c r="A1730" i="2"/>
  <c r="A1731" i="2"/>
  <c r="A1732" i="2"/>
  <c r="A1733" i="2"/>
  <c r="A1726" i="2"/>
  <c r="A1727" i="2"/>
  <c r="A1728" i="2"/>
  <c r="A1729" i="2"/>
  <c r="A1722" i="2"/>
  <c r="A1723" i="2"/>
  <c r="A1724" i="2"/>
  <c r="A1725" i="2"/>
  <c r="A1718" i="2"/>
  <c r="A1719" i="2"/>
  <c r="A1720" i="2"/>
  <c r="A1721" i="2"/>
  <c r="A1714" i="2"/>
  <c r="A1715" i="2"/>
  <c r="A1716" i="2"/>
  <c r="A1717" i="2"/>
  <c r="A1710" i="2"/>
  <c r="A1711" i="2"/>
  <c r="A1712" i="2"/>
  <c r="A1713" i="2"/>
  <c r="A1706" i="2"/>
  <c r="A1707" i="2"/>
  <c r="A1708" i="2"/>
  <c r="A1709" i="2"/>
  <c r="A1702" i="2"/>
  <c r="A1703" i="2"/>
  <c r="A1704" i="2"/>
  <c r="A1705" i="2"/>
  <c r="A1698" i="2"/>
  <c r="A1699" i="2"/>
  <c r="A1700" i="2"/>
  <c r="A1701" i="2"/>
  <c r="A1694" i="2"/>
  <c r="A1695" i="2"/>
  <c r="A1696" i="2"/>
  <c r="A1697" i="2"/>
  <c r="A1690" i="2"/>
  <c r="A1691" i="2"/>
  <c r="A1692" i="2"/>
  <c r="A1693" i="2"/>
  <c r="A1686" i="2"/>
  <c r="A1687" i="2"/>
  <c r="A1688" i="2"/>
  <c r="A1689" i="2"/>
  <c r="A1682" i="2"/>
  <c r="A1683" i="2"/>
  <c r="A1684" i="2"/>
  <c r="A1685" i="2"/>
  <c r="A1678" i="2"/>
  <c r="A1679" i="2"/>
  <c r="A1680" i="2"/>
  <c r="A1681" i="2"/>
  <c r="A1674" i="2"/>
  <c r="A1675" i="2"/>
  <c r="A1676" i="2"/>
  <c r="A1677" i="2"/>
  <c r="A1670" i="2"/>
  <c r="A1671" i="2"/>
  <c r="A1672" i="2"/>
  <c r="A1673" i="2"/>
  <c r="A1666" i="2"/>
  <c r="A1667" i="2"/>
  <c r="A1668" i="2"/>
  <c r="A1669" i="2"/>
  <c r="A1662" i="2"/>
  <c r="A1663" i="2"/>
  <c r="A1664" i="2"/>
  <c r="A1665" i="2"/>
  <c r="A1658" i="2"/>
  <c r="A1659" i="2"/>
  <c r="A1660" i="2"/>
  <c r="A1661" i="2"/>
  <c r="A1654" i="2"/>
  <c r="A1655" i="2"/>
  <c r="A1656" i="2"/>
  <c r="A1657" i="2"/>
  <c r="A1650" i="2"/>
  <c r="A1651" i="2"/>
  <c r="A1652" i="2"/>
  <c r="A1653" i="2"/>
  <c r="A1646" i="2"/>
  <c r="A1647" i="2"/>
  <c r="A1648" i="2"/>
  <c r="A1649" i="2"/>
  <c r="A1642" i="2"/>
  <c r="A1643" i="2"/>
  <c r="A1644" i="2"/>
  <c r="A1645" i="2"/>
  <c r="A1638" i="2"/>
  <c r="A1639" i="2"/>
  <c r="A1640" i="2"/>
  <c r="A1641" i="2"/>
  <c r="A1634" i="2"/>
  <c r="A1635" i="2"/>
  <c r="A1636" i="2"/>
  <c r="A1637" i="2"/>
  <c r="A1630" i="2"/>
  <c r="A1631" i="2"/>
  <c r="A1632" i="2"/>
  <c r="A1633" i="2"/>
  <c r="A1626" i="2"/>
  <c r="A1627" i="2"/>
  <c r="A1628" i="2"/>
  <c r="A1629" i="2"/>
  <c r="A1622" i="2"/>
  <c r="A1623" i="2"/>
  <c r="A1624" i="2"/>
  <c r="A1625" i="2"/>
  <c r="A1618" i="2"/>
  <c r="A1619" i="2"/>
  <c r="A1620" i="2"/>
  <c r="A1621" i="2"/>
  <c r="A1614" i="2"/>
  <c r="A1615" i="2"/>
  <c r="A1616" i="2"/>
  <c r="A1617" i="2"/>
  <c r="A1610" i="2"/>
  <c r="A1611" i="2"/>
  <c r="A1612" i="2"/>
  <c r="A1613" i="2"/>
  <c r="A1606" i="2"/>
  <c r="A1607" i="2"/>
  <c r="A1608" i="2"/>
  <c r="A1609" i="2"/>
  <c r="A1602" i="2"/>
  <c r="A1603" i="2"/>
  <c r="A1604" i="2"/>
  <c r="A1605" i="2"/>
  <c r="A1598" i="2"/>
  <c r="A1599" i="2"/>
  <c r="A1600" i="2"/>
  <c r="A1601" i="2"/>
  <c r="A1594" i="2"/>
  <c r="A1595" i="2"/>
  <c r="A1596" i="2"/>
  <c r="A1597" i="2"/>
  <c r="A1590" i="2"/>
  <c r="A1591" i="2"/>
  <c r="A1592" i="2"/>
  <c r="A1593" i="2"/>
  <c r="A1586" i="2"/>
  <c r="A1587" i="2"/>
  <c r="A1588" i="2"/>
  <c r="A1589" i="2"/>
  <c r="A1582" i="2"/>
  <c r="A1583" i="2"/>
  <c r="A1584" i="2"/>
  <c r="A1585" i="2"/>
  <c r="A1578" i="2"/>
  <c r="A1579" i="2"/>
  <c r="A1580" i="2"/>
  <c r="A1581" i="2"/>
  <c r="A1574" i="2" l="1"/>
  <c r="A1575" i="2"/>
  <c r="A1576" i="2"/>
  <c r="A1577" i="2"/>
  <c r="A1570" i="2"/>
  <c r="A1571" i="2"/>
  <c r="A1572" i="2"/>
  <c r="A1573" i="2"/>
  <c r="A1566" i="2" l="1"/>
  <c r="A1567" i="2"/>
  <c r="A1568" i="2"/>
  <c r="A1569" i="2"/>
  <c r="A1562" i="2"/>
  <c r="A1563" i="2"/>
  <c r="A1564" i="2"/>
  <c r="A1565" i="2"/>
  <c r="A1558" i="2"/>
  <c r="A1559" i="2"/>
  <c r="A1560" i="2"/>
  <c r="A1561" i="2"/>
  <c r="A1554" i="2"/>
  <c r="A1555" i="2"/>
  <c r="A1556" i="2"/>
  <c r="A1557" i="2"/>
  <c r="A1550" i="2"/>
  <c r="A1551" i="2"/>
  <c r="A1552" i="2"/>
  <c r="A1553" i="2"/>
  <c r="A1546" i="2"/>
  <c r="A1547" i="2"/>
  <c r="A1548" i="2"/>
  <c r="A1549" i="2"/>
  <c r="A1542" i="2"/>
  <c r="A1543" i="2"/>
  <c r="A1544" i="2"/>
  <c r="A1545" i="2"/>
  <c r="A1538" i="2"/>
  <c r="A1539" i="2"/>
  <c r="A1540" i="2"/>
  <c r="A1541" i="2"/>
  <c r="A1534" i="2"/>
  <c r="A1535" i="2"/>
  <c r="A1536" i="2"/>
  <c r="A1537" i="2"/>
  <c r="A1530" i="2"/>
  <c r="A1531" i="2"/>
  <c r="A1532" i="2"/>
  <c r="A1533" i="2"/>
  <c r="A1526" i="2"/>
  <c r="A1527" i="2"/>
  <c r="A1528" i="2"/>
  <c r="A1529" i="2"/>
  <c r="A1522" i="2"/>
  <c r="A1523" i="2"/>
  <c r="A1524" i="2"/>
  <c r="A1525" i="2"/>
  <c r="A1518" i="2"/>
  <c r="A1519" i="2"/>
  <c r="A1520" i="2"/>
  <c r="A1521" i="2"/>
  <c r="A1514" i="2"/>
  <c r="A1515" i="2"/>
  <c r="A1516" i="2"/>
  <c r="A1517" i="2"/>
  <c r="A1510" i="2"/>
  <c r="A1511" i="2"/>
  <c r="A1512" i="2"/>
  <c r="A1513" i="2"/>
  <c r="A1506" i="2"/>
  <c r="A1507" i="2"/>
  <c r="A1508" i="2"/>
  <c r="A1509" i="2"/>
  <c r="A1502" i="2"/>
  <c r="A1503" i="2"/>
  <c r="A1504" i="2"/>
  <c r="A1505" i="2"/>
  <c r="A1498" i="2"/>
  <c r="A1499" i="2"/>
  <c r="A1500" i="2"/>
  <c r="A1501" i="2"/>
  <c r="A1494" i="2"/>
  <c r="A1495" i="2"/>
  <c r="A1496" i="2"/>
  <c r="A1497" i="2"/>
  <c r="A1490" i="2"/>
  <c r="A1491" i="2"/>
  <c r="A1492" i="2"/>
  <c r="A1493" i="2"/>
  <c r="A1486" i="2"/>
  <c r="A1487" i="2"/>
  <c r="A1488" i="2"/>
  <c r="A1489" i="2"/>
  <c r="A1482" i="2"/>
  <c r="A1483" i="2"/>
  <c r="A1484" i="2"/>
  <c r="A1485" i="2"/>
  <c r="A1478" i="2"/>
  <c r="A1479" i="2"/>
  <c r="A1480" i="2"/>
  <c r="A1481" i="2"/>
  <c r="A1474" i="2"/>
  <c r="A1475" i="2"/>
  <c r="A1476" i="2"/>
  <c r="A1477" i="2"/>
  <c r="A1470" i="2"/>
  <c r="A1471" i="2"/>
  <c r="A1472" i="2"/>
  <c r="A1473" i="2"/>
  <c r="A1466" i="2"/>
  <c r="A1467" i="2"/>
  <c r="A1468" i="2"/>
  <c r="A1469" i="2"/>
  <c r="A1462" i="2"/>
  <c r="A1463" i="2"/>
  <c r="A1464" i="2"/>
  <c r="A1465" i="2"/>
  <c r="A1458" i="2"/>
  <c r="A1459" i="2"/>
  <c r="A1460" i="2"/>
  <c r="A1461" i="2"/>
  <c r="A1454" i="2"/>
  <c r="A1455" i="2"/>
  <c r="A1456" i="2"/>
  <c r="A1457" i="2"/>
  <c r="A1450" i="2"/>
  <c r="A1451" i="2"/>
  <c r="A1452" i="2"/>
  <c r="A1453" i="2"/>
  <c r="A1446" i="2"/>
  <c r="A1447" i="2"/>
  <c r="A1448" i="2"/>
  <c r="A1449" i="2"/>
  <c r="A1442" i="2"/>
  <c r="A1443" i="2"/>
  <c r="A1444" i="2"/>
  <c r="A1445" i="2"/>
  <c r="A1438" i="2"/>
  <c r="A1439" i="2"/>
  <c r="A1440" i="2"/>
  <c r="A1441" i="2"/>
  <c r="A1434" i="2"/>
  <c r="A1435" i="2"/>
  <c r="A1436" i="2"/>
  <c r="A1437" i="2"/>
  <c r="A1430" i="2"/>
  <c r="A1431" i="2"/>
  <c r="A1432" i="2"/>
  <c r="A1433" i="2"/>
  <c r="A1426" i="2"/>
  <c r="A1427" i="2"/>
  <c r="A1428" i="2"/>
  <c r="A1429" i="2"/>
  <c r="A1422" i="2"/>
  <c r="A1423" i="2"/>
  <c r="A1424" i="2"/>
  <c r="A1425" i="2"/>
  <c r="A1418" i="2"/>
  <c r="A1419" i="2"/>
  <c r="A1420" i="2"/>
  <c r="A1421" i="2"/>
  <c r="A1414" i="2"/>
  <c r="A1415" i="2"/>
  <c r="A1416" i="2"/>
  <c r="A1417" i="2"/>
  <c r="A1410" i="2"/>
  <c r="A1411" i="2"/>
  <c r="A1412" i="2"/>
  <c r="A1413" i="2"/>
  <c r="A1406" i="2"/>
  <c r="A1407" i="2"/>
  <c r="A1408" i="2"/>
  <c r="A1409" i="2"/>
  <c r="A1402" i="2"/>
  <c r="A1403" i="2"/>
  <c r="A1404" i="2"/>
  <c r="A1405" i="2"/>
  <c r="A1398" i="2"/>
  <c r="A1399" i="2"/>
  <c r="A1400" i="2"/>
  <c r="A1401" i="2"/>
  <c r="A1394" i="2"/>
  <c r="A1395" i="2"/>
  <c r="A1396" i="2"/>
  <c r="A1397" i="2"/>
  <c r="A1390" i="2"/>
  <c r="A1391" i="2"/>
  <c r="A1392" i="2"/>
  <c r="A1393" i="2"/>
  <c r="A1386" i="2"/>
  <c r="A1387" i="2"/>
  <c r="A1388" i="2"/>
  <c r="A1389" i="2"/>
  <c r="A1382" i="2"/>
  <c r="A1383" i="2"/>
  <c r="A1384" i="2"/>
  <c r="A1385" i="2"/>
  <c r="A1378" i="2"/>
  <c r="A1379" i="2"/>
  <c r="A1380" i="2"/>
  <c r="A1381" i="2"/>
  <c r="A1374" i="2"/>
  <c r="A1375" i="2"/>
  <c r="A1376" i="2"/>
  <c r="A1377" i="2"/>
  <c r="A1370" i="2"/>
  <c r="A1371" i="2"/>
  <c r="A1372" i="2"/>
  <c r="A1373" i="2"/>
  <c r="A1366" i="2"/>
  <c r="A1367" i="2"/>
  <c r="A1368" i="2"/>
  <c r="A1369" i="2"/>
  <c r="A1362" i="2"/>
  <c r="A1363" i="2"/>
  <c r="A1364" i="2"/>
  <c r="A1365" i="2"/>
  <c r="A1358" i="2"/>
  <c r="A1359" i="2"/>
  <c r="A1360" i="2"/>
  <c r="A1361" i="2"/>
  <c r="A1354" i="2"/>
  <c r="A1355" i="2"/>
  <c r="A1356" i="2"/>
  <c r="A1357" i="2"/>
  <c r="A1350" i="2"/>
  <c r="A1351" i="2"/>
  <c r="A1352" i="2"/>
  <c r="A1353" i="2"/>
  <c r="A1346" i="2"/>
  <c r="A1347" i="2"/>
  <c r="A1348" i="2"/>
  <c r="A1349" i="2"/>
  <c r="A1342" i="2"/>
  <c r="A1343" i="2"/>
  <c r="A1344" i="2"/>
  <c r="A1345" i="2"/>
  <c r="A1338" i="2"/>
  <c r="A1339" i="2"/>
  <c r="A1340" i="2"/>
  <c r="A1341" i="2"/>
  <c r="A1334" i="2"/>
  <c r="A1335" i="2"/>
  <c r="A1336" i="2"/>
  <c r="A1337" i="2"/>
  <c r="A1330" i="2"/>
  <c r="A1331" i="2"/>
  <c r="A1332" i="2"/>
  <c r="A1333" i="2"/>
  <c r="A1326" i="2"/>
  <c r="A1327" i="2"/>
  <c r="A1328" i="2"/>
  <c r="A1329" i="2"/>
  <c r="A1322" i="2"/>
  <c r="A1323" i="2"/>
  <c r="A1324" i="2"/>
  <c r="A1325" i="2"/>
  <c r="A1318" i="2"/>
  <c r="A1319" i="2"/>
  <c r="A1320" i="2"/>
  <c r="A1321" i="2"/>
  <c r="A1314" i="2"/>
  <c r="A1315" i="2"/>
  <c r="A1316" i="2"/>
  <c r="A1317" i="2"/>
  <c r="A1310" i="2"/>
  <c r="A1311" i="2"/>
  <c r="A1312" i="2"/>
  <c r="A1313" i="2"/>
  <c r="A1306" i="2"/>
  <c r="A1307" i="2"/>
  <c r="A1308" i="2"/>
  <c r="A1309" i="2"/>
  <c r="A1302" i="2"/>
  <c r="A1303" i="2"/>
  <c r="A1304" i="2"/>
  <c r="A1305" i="2"/>
  <c r="A1298" i="2"/>
  <c r="A1299" i="2"/>
  <c r="A1300" i="2"/>
  <c r="A1301" i="2"/>
  <c r="A1294" i="2"/>
  <c r="A1295" i="2"/>
  <c r="A1296" i="2"/>
  <c r="A1297" i="2"/>
  <c r="A1290" i="2"/>
  <c r="A1291" i="2"/>
  <c r="A1292" i="2"/>
  <c r="A1293" i="2"/>
  <c r="A1286" i="2"/>
  <c r="A1287" i="2"/>
  <c r="A1288" i="2"/>
  <c r="A1289" i="2"/>
  <c r="A1282" i="2"/>
  <c r="A1283" i="2"/>
  <c r="A1284" i="2"/>
  <c r="A1285" i="2"/>
  <c r="A1278" i="2"/>
  <c r="A1279" i="2"/>
  <c r="A1280" i="2"/>
  <c r="A1281" i="2"/>
  <c r="A1274" i="2"/>
  <c r="A1275" i="2"/>
  <c r="A1276" i="2"/>
  <c r="A1277" i="2"/>
  <c r="A1270" i="2"/>
  <c r="A1271" i="2"/>
  <c r="A1272" i="2"/>
  <c r="A1273" i="2"/>
  <c r="A1266" i="2"/>
  <c r="A1267" i="2"/>
  <c r="A1268" i="2"/>
  <c r="A1269" i="2"/>
  <c r="A1262" i="2"/>
  <c r="A1263" i="2"/>
  <c r="A1264" i="2"/>
  <c r="A1265" i="2"/>
  <c r="A1258" i="2"/>
  <c r="A1259" i="2"/>
  <c r="A1260" i="2"/>
  <c r="A1261" i="2"/>
  <c r="A1254" i="2"/>
  <c r="A1255" i="2"/>
  <c r="A1256" i="2"/>
  <c r="A1257" i="2"/>
  <c r="A1250" i="2"/>
  <c r="A1251" i="2"/>
  <c r="A1252" i="2"/>
  <c r="A1253" i="2"/>
  <c r="A1246" i="2"/>
  <c r="A1247" i="2"/>
  <c r="A1248" i="2"/>
  <c r="A1249" i="2"/>
  <c r="A1242" i="2"/>
  <c r="A1243" i="2"/>
  <c r="A1244" i="2"/>
  <c r="A1245" i="2"/>
  <c r="A1238" i="2"/>
  <c r="A1239" i="2"/>
  <c r="A1240" i="2"/>
  <c r="A1241" i="2"/>
  <c r="A1234" i="2"/>
  <c r="A1235" i="2"/>
  <c r="A1236" i="2"/>
  <c r="A1237" i="2"/>
  <c r="A1230" i="2"/>
  <c r="A1231" i="2"/>
  <c r="A1232" i="2"/>
  <c r="A1233" i="2"/>
  <c r="A1226" i="2"/>
  <c r="A1227" i="2"/>
  <c r="A1228" i="2"/>
  <c r="A1229" i="2"/>
  <c r="A1222" i="2"/>
  <c r="A1223" i="2"/>
  <c r="A1224" i="2"/>
  <c r="A1225" i="2"/>
  <c r="A1218" i="2"/>
  <c r="A1219" i="2"/>
  <c r="A1220" i="2"/>
  <c r="A1221" i="2"/>
  <c r="A1214" i="2"/>
  <c r="A1215" i="2"/>
  <c r="A1216" i="2"/>
  <c r="A1217" i="2"/>
  <c r="A1210" i="2"/>
  <c r="A1211" i="2"/>
  <c r="A1212" i="2"/>
  <c r="A1213" i="2"/>
  <c r="A1206" i="2"/>
  <c r="A1207" i="2"/>
  <c r="A1208" i="2"/>
  <c r="A1209" i="2"/>
  <c r="A1202" i="2"/>
  <c r="A1203" i="2"/>
  <c r="A1204" i="2"/>
  <c r="A1205" i="2"/>
  <c r="A1198" i="2"/>
  <c r="A1199" i="2"/>
  <c r="A1200" i="2"/>
  <c r="A1201" i="2"/>
  <c r="A1194" i="2"/>
  <c r="A1195" i="2"/>
  <c r="A1196" i="2"/>
  <c r="A1197" i="2"/>
  <c r="A1190" i="2"/>
  <c r="A1191" i="2"/>
  <c r="A1192" i="2"/>
  <c r="A1193" i="2"/>
  <c r="A1186" i="2"/>
  <c r="A1187" i="2"/>
  <c r="A1188" i="2"/>
  <c r="A1189" i="2"/>
  <c r="A1182" i="2"/>
  <c r="A1183" i="2"/>
  <c r="A1184" i="2"/>
  <c r="A1185" i="2"/>
  <c r="A1178" i="2"/>
  <c r="A1179" i="2"/>
  <c r="A1180" i="2"/>
  <c r="A1181" i="2"/>
  <c r="A1174" i="2"/>
  <c r="A1175" i="2"/>
  <c r="A1176" i="2"/>
  <c r="A1177" i="2"/>
  <c r="A1170" i="2"/>
  <c r="A1171" i="2"/>
  <c r="A1172" i="2"/>
  <c r="A1173" i="2"/>
  <c r="A1166" i="2"/>
  <c r="A1167" i="2"/>
  <c r="A1168" i="2"/>
  <c r="A1169" i="2"/>
  <c r="A1162" i="2"/>
  <c r="A1163" i="2"/>
  <c r="A1164" i="2"/>
  <c r="A1165" i="2"/>
  <c r="A1158" i="2"/>
  <c r="A1159" i="2"/>
  <c r="A1160" i="2"/>
  <c r="A1161" i="2"/>
  <c r="A1154" i="2"/>
  <c r="A1155" i="2"/>
  <c r="A1156" i="2"/>
  <c r="A1157" i="2"/>
  <c r="H1155" i="2"/>
  <c r="A1150" i="2"/>
  <c r="A1151" i="2"/>
  <c r="A1152" i="2"/>
  <c r="A1153" i="2"/>
  <c r="A1146" i="2"/>
  <c r="A1147" i="2"/>
  <c r="A1148" i="2"/>
  <c r="A1149" i="2"/>
  <c r="A1142" i="2"/>
  <c r="A1143" i="2"/>
  <c r="A1144" i="2"/>
  <c r="A1145" i="2"/>
  <c r="A1138" i="2"/>
  <c r="A1139" i="2"/>
  <c r="A1140" i="2"/>
  <c r="A1141" i="2"/>
  <c r="A1134" i="2"/>
  <c r="A1135" i="2"/>
  <c r="A1136" i="2"/>
  <c r="A1137" i="2"/>
  <c r="A1130" i="2"/>
  <c r="A1131" i="2"/>
  <c r="A1132" i="2"/>
  <c r="A1133" i="2"/>
  <c r="A1126" i="2"/>
  <c r="A1127" i="2"/>
  <c r="A1128" i="2"/>
  <c r="A1129" i="2"/>
  <c r="A1122" i="2"/>
  <c r="A1123" i="2"/>
  <c r="A1124" i="2"/>
  <c r="A1125" i="2"/>
  <c r="A1118" i="2"/>
  <c r="A1119" i="2"/>
  <c r="A1120" i="2"/>
  <c r="A1121" i="2"/>
  <c r="A1114" i="2"/>
  <c r="A1115" i="2"/>
  <c r="A1116" i="2"/>
  <c r="A1117" i="2"/>
  <c r="A1110" i="2"/>
  <c r="A1111" i="2"/>
  <c r="A1112" i="2"/>
  <c r="A1113" i="2"/>
  <c r="A1106" i="2"/>
  <c r="A1107" i="2"/>
  <c r="A1108" i="2"/>
  <c r="A1109" i="2"/>
  <c r="A1102" i="2"/>
  <c r="A1103" i="2"/>
  <c r="A1104" i="2"/>
  <c r="A1105" i="2"/>
  <c r="A1098" i="2"/>
  <c r="A1099" i="2"/>
  <c r="A1100" i="2"/>
  <c r="A1101" i="2"/>
  <c r="A1094" i="2"/>
  <c r="A1095" i="2"/>
  <c r="A1096" i="2"/>
  <c r="A1097" i="2"/>
  <c r="A1090" i="2"/>
  <c r="A1091" i="2"/>
  <c r="A1092" i="2"/>
  <c r="A1093" i="2"/>
  <c r="A1086" i="2"/>
  <c r="A1087" i="2"/>
  <c r="A1088" i="2"/>
  <c r="A1089" i="2"/>
  <c r="A1082" i="2"/>
  <c r="A1083" i="2"/>
  <c r="A1084" i="2"/>
  <c r="A1085" i="2"/>
  <c r="A1078" i="2"/>
  <c r="A1079" i="2"/>
  <c r="A1080" i="2"/>
  <c r="A1081" i="2"/>
  <c r="A1074" i="2"/>
  <c r="A1075" i="2"/>
  <c r="A1076" i="2"/>
  <c r="A1077" i="2"/>
  <c r="A1070" i="2"/>
  <c r="A1071" i="2"/>
  <c r="A1072" i="2"/>
  <c r="A1073" i="2"/>
  <c r="A1066" i="2"/>
  <c r="A1067" i="2"/>
  <c r="A1068" i="2"/>
  <c r="A1069" i="2"/>
  <c r="A1062" i="2"/>
  <c r="A1063" i="2"/>
  <c r="A1064" i="2"/>
  <c r="A1065" i="2"/>
  <c r="A1058" i="2"/>
  <c r="A1059" i="2"/>
  <c r="A1060" i="2"/>
  <c r="A1061" i="2"/>
  <c r="A1054" i="2"/>
  <c r="A1055" i="2"/>
  <c r="A1056" i="2"/>
  <c r="A1057" i="2"/>
  <c r="A1050" i="2"/>
  <c r="A1051" i="2"/>
  <c r="A1052" i="2"/>
  <c r="A1053" i="2"/>
  <c r="A1046" i="2" l="1"/>
  <c r="A1047" i="2"/>
  <c r="A1048" i="2"/>
  <c r="A1049" i="2"/>
  <c r="A1042" i="2"/>
  <c r="A1043" i="2"/>
  <c r="A1044" i="2"/>
  <c r="A1045" i="2"/>
  <c r="A1038" i="2"/>
  <c r="A1039" i="2"/>
  <c r="A1040" i="2"/>
  <c r="A1041" i="2"/>
  <c r="A1034" i="2"/>
  <c r="A1035" i="2"/>
  <c r="A1036" i="2"/>
  <c r="A1037" i="2"/>
  <c r="A1030" i="2"/>
  <c r="A1031" i="2"/>
  <c r="A1032" i="2"/>
  <c r="A1033" i="2"/>
  <c r="A1026" i="2"/>
  <c r="A1027" i="2"/>
  <c r="A1028" i="2"/>
  <c r="A1029" i="2"/>
  <c r="A1022" i="2"/>
  <c r="A1023" i="2"/>
  <c r="A1024" i="2"/>
  <c r="A1025" i="2"/>
  <c r="A1018" i="2"/>
  <c r="A1019" i="2"/>
  <c r="A1020" i="2"/>
  <c r="A1021" i="2"/>
  <c r="A1014" i="2"/>
  <c r="A1015" i="2"/>
  <c r="A1016" i="2"/>
  <c r="A1017" i="2"/>
  <c r="A1010" i="2"/>
  <c r="A1011" i="2"/>
  <c r="A1012" i="2"/>
  <c r="A1013" i="2"/>
  <c r="A1006" i="2"/>
  <c r="A1007" i="2"/>
  <c r="A1008" i="2"/>
  <c r="A1009" i="2"/>
  <c r="A1002" i="2"/>
  <c r="A1003" i="2"/>
  <c r="A1004" i="2"/>
  <c r="A1005" i="2"/>
  <c r="A998" i="2"/>
  <c r="A999" i="2"/>
  <c r="A1000" i="2"/>
  <c r="A1001" i="2"/>
  <c r="A994" i="2"/>
  <c r="A995" i="2"/>
  <c r="A996" i="2"/>
  <c r="A997" i="2"/>
  <c r="A990" i="2"/>
  <c r="A991" i="2"/>
  <c r="A992" i="2"/>
  <c r="A993" i="2"/>
  <c r="A986" i="2"/>
  <c r="A987" i="2"/>
  <c r="A988" i="2"/>
  <c r="A989" i="2"/>
  <c r="A982" i="2"/>
  <c r="A983" i="2"/>
  <c r="A984" i="2"/>
  <c r="A985" i="2"/>
  <c r="A978" i="2"/>
  <c r="A979" i="2"/>
  <c r="A980" i="2"/>
  <c r="A981" i="2"/>
  <c r="A974" i="2"/>
  <c r="A975" i="2"/>
  <c r="A976" i="2"/>
  <c r="A977" i="2"/>
  <c r="A970" i="2"/>
  <c r="A971" i="2"/>
  <c r="A972" i="2"/>
  <c r="A973" i="2"/>
  <c r="A966" i="2"/>
  <c r="A967" i="2"/>
  <c r="A968" i="2"/>
  <c r="A969" i="2"/>
  <c r="A962" i="2"/>
  <c r="A963" i="2"/>
  <c r="A964" i="2"/>
  <c r="A965" i="2"/>
  <c r="A958" i="2"/>
  <c r="A959" i="2"/>
  <c r="A960" i="2"/>
  <c r="A961" i="2"/>
  <c r="A954" i="2"/>
  <c r="A955" i="2"/>
  <c r="A956" i="2"/>
  <c r="A957" i="2"/>
  <c r="A950" i="2"/>
  <c r="A951" i="2"/>
  <c r="A952" i="2"/>
  <c r="A953" i="2"/>
  <c r="A946" i="2"/>
  <c r="A947" i="2"/>
  <c r="A948" i="2"/>
  <c r="A949" i="2"/>
  <c r="A942" i="2"/>
  <c r="A943" i="2"/>
  <c r="A944" i="2"/>
  <c r="A945" i="2"/>
  <c r="A938" i="2"/>
  <c r="A939" i="2"/>
  <c r="A940" i="2"/>
  <c r="A941" i="2"/>
  <c r="A934" i="2"/>
  <c r="A935" i="2"/>
  <c r="A936" i="2"/>
  <c r="A937" i="2"/>
  <c r="A930" i="2"/>
  <c r="A931" i="2"/>
  <c r="A932" i="2"/>
  <c r="A933" i="2"/>
  <c r="A926" i="2"/>
  <c r="A927" i="2"/>
  <c r="A928" i="2"/>
  <c r="A929" i="2"/>
  <c r="A922" i="2"/>
  <c r="A923" i="2"/>
  <c r="A924" i="2"/>
  <c r="A925" i="2"/>
  <c r="A918" i="2"/>
  <c r="A919" i="2"/>
  <c r="A920" i="2"/>
  <c r="A921" i="2"/>
  <c r="A914" i="2"/>
  <c r="A915" i="2"/>
  <c r="A916" i="2"/>
  <c r="A917" i="2"/>
  <c r="A910" i="2"/>
  <c r="A911" i="2"/>
  <c r="A912" i="2"/>
  <c r="A913" i="2"/>
  <c r="A906" i="2"/>
  <c r="A907" i="2"/>
  <c r="A908" i="2"/>
  <c r="A909" i="2"/>
  <c r="A902" i="2"/>
  <c r="A903" i="2"/>
  <c r="A904" i="2"/>
  <c r="A905" i="2"/>
  <c r="A898" i="2"/>
  <c r="A899" i="2"/>
  <c r="A900" i="2"/>
  <c r="A901" i="2"/>
  <c r="A894" i="2"/>
  <c r="A895" i="2"/>
  <c r="A896" i="2"/>
  <c r="A897" i="2"/>
  <c r="A890" i="2"/>
  <c r="A891" i="2"/>
  <c r="A892" i="2"/>
  <c r="A893" i="2"/>
  <c r="A886" i="2" l="1"/>
  <c r="A887" i="2"/>
  <c r="A888" i="2"/>
  <c r="A889" i="2"/>
  <c r="A882" i="2"/>
  <c r="A883" i="2"/>
  <c r="A884" i="2"/>
  <c r="A885" i="2"/>
  <c r="A878" i="2"/>
  <c r="A879" i="2"/>
  <c r="A880" i="2"/>
  <c r="A881" i="2"/>
  <c r="A874" i="2"/>
  <c r="A875" i="2"/>
  <c r="A876" i="2"/>
  <c r="A877" i="2"/>
  <c r="A870" i="2"/>
  <c r="A871" i="2"/>
  <c r="A872" i="2"/>
  <c r="A873" i="2"/>
  <c r="A866" i="2"/>
  <c r="A867" i="2"/>
  <c r="A868" i="2"/>
  <c r="A869" i="2"/>
  <c r="A862" i="2"/>
  <c r="A863" i="2"/>
  <c r="A864" i="2"/>
  <c r="A865" i="2"/>
  <c r="A858" i="2"/>
  <c r="A859" i="2"/>
  <c r="A860" i="2"/>
  <c r="A861" i="2"/>
  <c r="A854" i="2"/>
  <c r="A855" i="2"/>
  <c r="A856" i="2"/>
  <c r="A857" i="2"/>
  <c r="A850" i="2"/>
  <c r="A851" i="2"/>
  <c r="A852" i="2"/>
  <c r="A853" i="2"/>
  <c r="A846" i="2"/>
  <c r="A847" i="2"/>
  <c r="A848" i="2"/>
  <c r="A849" i="2"/>
  <c r="A842" i="2"/>
  <c r="A843" i="2"/>
  <c r="A844" i="2"/>
  <c r="A845" i="2"/>
  <c r="A838" i="2"/>
  <c r="A839" i="2"/>
  <c r="A840" i="2"/>
  <c r="A841" i="2"/>
  <c r="A834" i="2"/>
  <c r="A835" i="2"/>
  <c r="A836" i="2"/>
  <c r="A837" i="2"/>
  <c r="A830" i="2"/>
  <c r="A831" i="2"/>
  <c r="A832" i="2"/>
  <c r="A833" i="2"/>
  <c r="A826" i="2"/>
  <c r="A827" i="2"/>
  <c r="A828" i="2"/>
  <c r="A829" i="2"/>
  <c r="A822" i="2"/>
  <c r="A823" i="2"/>
  <c r="A824" i="2"/>
  <c r="A825" i="2"/>
  <c r="A818" i="2"/>
  <c r="A819" i="2"/>
  <c r="A820" i="2"/>
  <c r="A821" i="2"/>
  <c r="A814" i="2"/>
  <c r="A815" i="2"/>
  <c r="A816" i="2"/>
  <c r="A817" i="2"/>
  <c r="A810" i="2"/>
  <c r="A811" i="2"/>
  <c r="A812" i="2"/>
  <c r="A813" i="2"/>
  <c r="A806" i="2"/>
  <c r="A807" i="2"/>
  <c r="A808" i="2"/>
  <c r="A809" i="2"/>
  <c r="A802" i="2"/>
  <c r="A803" i="2"/>
  <c r="A804" i="2"/>
  <c r="A805" i="2"/>
  <c r="A798" i="2"/>
  <c r="A799" i="2"/>
  <c r="A800" i="2"/>
  <c r="A801" i="2"/>
  <c r="A794" i="2"/>
  <c r="A795" i="2"/>
  <c r="A796" i="2"/>
  <c r="A797" i="2"/>
  <c r="A790" i="2"/>
  <c r="A791" i="2"/>
  <c r="A792" i="2"/>
  <c r="A793" i="2"/>
  <c r="A786" i="2"/>
  <c r="A787" i="2"/>
  <c r="A788" i="2"/>
  <c r="A789" i="2"/>
  <c r="A782" i="2"/>
  <c r="A783" i="2"/>
  <c r="A784" i="2"/>
  <c r="A785" i="2"/>
  <c r="A778" i="2"/>
  <c r="A779" i="2"/>
  <c r="A780" i="2"/>
  <c r="A781" i="2"/>
  <c r="A774" i="2"/>
  <c r="A775" i="2"/>
  <c r="A776" i="2"/>
  <c r="A777" i="2"/>
  <c r="A770" i="2"/>
  <c r="A771" i="2"/>
  <c r="A772" i="2"/>
  <c r="A773" i="2"/>
  <c r="A766" i="2"/>
  <c r="A767" i="2"/>
  <c r="A768" i="2"/>
  <c r="A769" i="2"/>
  <c r="A762" i="2"/>
  <c r="A763" i="2"/>
  <c r="A764" i="2"/>
  <c r="A765" i="2"/>
  <c r="A758" i="2"/>
  <c r="A759" i="2"/>
  <c r="A760" i="2"/>
  <c r="A761" i="2"/>
  <c r="A754" i="2"/>
  <c r="A755" i="2"/>
  <c r="A756" i="2"/>
  <c r="A757" i="2"/>
  <c r="A750" i="2"/>
  <c r="A751" i="2"/>
  <c r="A752" i="2"/>
  <c r="A753" i="2"/>
  <c r="A746" i="2"/>
  <c r="A747" i="2"/>
  <c r="A748" i="2"/>
  <c r="A749" i="2"/>
  <c r="A742" i="2"/>
  <c r="A743" i="2"/>
  <c r="A744" i="2"/>
  <c r="A745" i="2"/>
  <c r="A738" i="2"/>
  <c r="A739" i="2"/>
  <c r="A740" i="2"/>
  <c r="A741" i="2"/>
  <c r="A734" i="2"/>
  <c r="A735" i="2"/>
  <c r="A736" i="2"/>
  <c r="A737" i="2"/>
  <c r="A730" i="2"/>
  <c r="A731" i="2"/>
  <c r="A732" i="2"/>
  <c r="A733" i="2"/>
  <c r="A726" i="2"/>
  <c r="A727" i="2"/>
  <c r="A728" i="2"/>
  <c r="A729" i="2"/>
  <c r="A724" i="2"/>
  <c r="A725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" i="2"/>
  <c r="R427" i="2"/>
  <c r="A2" i="2" l="1"/>
  <c r="A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w10</author>
  </authors>
  <commentList>
    <comment ref="J1823" authorId="0" shapeId="0" xr:uid="{4EF24296-022B-4519-BEE9-98409FA37FC3}">
      <text>
        <r>
          <rPr>
            <b/>
            <sz val="9"/>
            <color indexed="81"/>
            <rFont val="Tahoma"/>
            <family val="2"/>
            <charset val="162"/>
          </rPr>
          <t>w10:</t>
        </r>
        <r>
          <rPr>
            <sz val="9"/>
            <color indexed="81"/>
            <rFont val="Tahoma"/>
            <family val="2"/>
            <charset val="162"/>
          </rPr>
          <t xml:space="preserve">
05 11 2025 verisi eklenmistir</t>
        </r>
      </text>
    </comment>
  </commentList>
</comments>
</file>

<file path=xl/sharedStrings.xml><?xml version="1.0" encoding="utf-8"?>
<sst xmlns="http://schemas.openxmlformats.org/spreadsheetml/2006/main" count="12879" uniqueCount="61">
  <si>
    <t>Parlour Name</t>
  </si>
  <si>
    <t>Session Number</t>
  </si>
  <si>
    <t>Date</t>
  </si>
  <si>
    <t>Number of Batches</t>
  </si>
  <si>
    <t>Milk Start Time</t>
  </si>
  <si>
    <t>Milk End Time</t>
  </si>
  <si>
    <t>Milk Session Duration</t>
  </si>
  <si>
    <t>Avg. Milk Duration</t>
  </si>
  <si>
    <t>Total Cows</t>
  </si>
  <si>
    <t>Milk Yield</t>
  </si>
  <si>
    <t>Cows per Hour</t>
  </si>
  <si>
    <t>Total yield from unknown animals only</t>
  </si>
  <si>
    <t>Number of Milk Weights</t>
  </si>
  <si>
    <t>Unknown Milk Weights</t>
  </si>
  <si>
    <t>Cows Not Identified</t>
  </si>
  <si>
    <t>Milk Yield per Hour</t>
  </si>
  <si>
    <t>Milk Weights per Hour</t>
  </si>
  <si>
    <t>Transponders Identified</t>
  </si>
  <si>
    <t>Milk Yield per Cow</t>
  </si>
  <si>
    <t>Unknown Transponders</t>
  </si>
  <si>
    <t>Cows Identified</t>
  </si>
  <si>
    <t>Milk Yield In Between Days</t>
  </si>
  <si>
    <t>Column3</t>
  </si>
  <si>
    <t>Column32</t>
  </si>
  <si>
    <t>Parlor1</t>
  </si>
  <si>
    <t>Parlour Number</t>
  </si>
  <si>
    <t>Sağımhane Adı</t>
  </si>
  <si>
    <t>Seans Sayısı</t>
  </si>
  <si>
    <t>Tarih</t>
  </si>
  <si>
    <t>Yığın Numaraları</t>
  </si>
  <si>
    <t>Sağım Başlangıç Zamanı</t>
  </si>
  <si>
    <t>Sağım Sonlandırma Zamanı</t>
  </si>
  <si>
    <t>Sağma Seansı Süresi</t>
  </si>
  <si>
    <t>Toplam İnekler</t>
  </si>
  <si>
    <t>Süt Verimi</t>
  </si>
  <si>
    <t>Saat başına İnekler</t>
  </si>
  <si>
    <t>Sadece bilinmeyen hayvanlardan sağlanan toplam verim</t>
  </si>
  <si>
    <t>Süt Ağırlığı Numarası</t>
  </si>
  <si>
    <t>Bilinmeyen Süt Ağırlıkları</t>
  </si>
  <si>
    <t>Tanımlanan İnekler</t>
  </si>
  <si>
    <t>Ort. Sağım Süresi</t>
  </si>
  <si>
    <t>Saat Başına Süt Verimi</t>
  </si>
  <si>
    <t>İnek Başına Süt Verimi</t>
  </si>
  <si>
    <t>Saat Başına Süt Ağırlıkları</t>
  </si>
  <si>
    <t>Tanımlanmayan İnekler</t>
  </si>
  <si>
    <t>Tanımlanan Transponderler</t>
  </si>
  <si>
    <t>Bilinmeyen Transponderler</t>
  </si>
  <si>
    <t>Column322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</si>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</sst>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F400]h:mm:ss\ AM/PM"/>
    <numFmt numFmtId="165" formatCode="dd/mm/yy"/>
    <numFmt numFmtId="166" formatCode="#,##0.0"/>
    <numFmt numFmtId="167" formatCode="h:mm"/>
    <numFmt numFmtId="168" formatCode="h:mm:ss\ AM/PM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9"/>
      <color indexed="81"/>
      <name val="Tahoma"/>
      <family val="2"/>
      <charset val="162"/>
    </font>
    <font>
      <b/>
      <sz val="9"/>
      <color indexed="81"/>
      <name val="Tahoma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20" fontId="0" fillId="0" borderId="0" xfId="0" applyNumberFormat="1"/>
    <xf numFmtId="1" fontId="0" fillId="0" borderId="0" xfId="0" applyNumberFormat="1"/>
    <xf numFmtId="164" fontId="0" fillId="0" borderId="0" xfId="0" applyNumberFormat="1"/>
    <xf numFmtId="14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1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20" fontId="0" fillId="0" borderId="0" xfId="0" applyNumberFormat="1" applyAlignment="1">
      <alignment wrapText="1"/>
    </xf>
    <xf numFmtId="0" fontId="2" fillId="0" borderId="0" xfId="0" applyFont="1"/>
    <xf numFmtId="165" fontId="0" fillId="0" borderId="0" xfId="0" applyNumberFormat="1"/>
    <xf numFmtId="19" fontId="0" fillId="0" borderId="0" xfId="0" applyNumberFormat="1"/>
    <xf numFmtId="166" fontId="0" fillId="0" borderId="0" xfId="0" applyNumberFormat="1"/>
    <xf numFmtId="166" fontId="0" fillId="0" borderId="0" xfId="0" applyNumberFormat="1" applyAlignment="1">
      <alignment wrapText="1"/>
    </xf>
    <xf numFmtId="21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32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66" formatCode="#,##0.0"/>
    </dxf>
    <dxf>
      <numFmt numFmtId="3" formatCode="#,##0"/>
    </dxf>
    <dxf>
      <numFmt numFmtId="25" formatCode="hh:mm"/>
    </dxf>
    <dxf>
      <numFmt numFmtId="3" formatCode="#,##0"/>
    </dxf>
    <dxf>
      <numFmt numFmtId="3" formatCode="#,##0"/>
    </dxf>
    <dxf>
      <numFmt numFmtId="3" formatCode="#,##0"/>
    </dxf>
    <dxf>
      <numFmt numFmtId="167" formatCode="h:mm"/>
    </dxf>
    <dxf>
      <numFmt numFmtId="164" formatCode="[$-F400]h:mm:ss\ AM/PM"/>
    </dxf>
    <dxf>
      <numFmt numFmtId="168" formatCode="h:mm:ss\ AM/PM"/>
    </dxf>
    <dxf>
      <numFmt numFmtId="1" formatCode="0"/>
    </dxf>
    <dxf>
      <numFmt numFmtId="165" formatCode="dd/mm/yy"/>
    </dxf>
    <dxf>
      <numFmt numFmtId="1" formatCode="0"/>
    </dxf>
    <dxf>
      <font>
        <strike val="0"/>
        <outline val="0"/>
        <shadow val="0"/>
        <u val="none"/>
        <vertAlign val="baseline"/>
        <sz val="11"/>
        <color theme="5" tint="-0.249977111117893"/>
        <name val="Calibri"/>
        <family val="2"/>
        <scheme val="minor"/>
      </font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05E10E-2069-4710-8B24-51DE8C079CBE}" name="Table1" displayName="Table1" ref="A1:AK2141" totalsRowShown="0" headerRowDxfId="31">
  <autoFilter ref="A1:AK2141" xr:uid="{3A05E10E-2069-4710-8B24-51DE8C079CBE}"/>
  <tableColumns count="37">
    <tableColumn id="22" xr3:uid="{E3F642AC-1085-4CF7-89EA-F2193919B6B6}" name="Milk Yield In Between Days" dataDxfId="30"/>
    <tableColumn id="1" xr3:uid="{1B152140-2234-4D5F-A673-E60BF4713375}" name="Parlour Name"/>
    <tableColumn id="2" xr3:uid="{284B2D6D-72E1-4E27-B56E-33B38CE19FC3}" name="Session Number" dataDxfId="29"/>
    <tableColumn id="3" xr3:uid="{A05E6FBA-2B4A-4D47-8A1E-FEC9829158BE}" name="Date" dataDxfId="28"/>
    <tableColumn id="4" xr3:uid="{290AA92A-B96C-4ECB-A74A-6ADB25B1EF96}" name="Number of Batches" dataDxfId="27"/>
    <tableColumn id="5" xr3:uid="{D2CAE539-5A8F-4CEA-9F33-231C16148B2B}" name="Milk Start Time" dataDxfId="26"/>
    <tableColumn id="6" xr3:uid="{962EE436-9AF8-48E6-A564-60E273978F59}" name="Milk End Time" dataDxfId="25"/>
    <tableColumn id="7" xr3:uid="{4D723D76-39D0-4E23-80FB-D434398D31CA}" name="Avg. Milk Duration" dataDxfId="24"/>
    <tableColumn id="8" xr3:uid="{374996D6-A309-47A4-B045-95E0AB5DBEC9}" name="Total Cows" dataDxfId="23"/>
    <tableColumn id="9" xr3:uid="{C3C65B5F-004D-4E61-9BCE-C84BB1A0F3C8}" name="Milk Yield"/>
    <tableColumn id="10" xr3:uid="{0CE6223D-52C0-4F2D-9EDA-FDC61D733391}" name="Cows per Hour"/>
    <tableColumn id="11" xr3:uid="{3A02A55E-E79C-4FE6-BA7C-C531AE107A54}" name="Total yield from unknown animals only" dataDxfId="22"/>
    <tableColumn id="12" xr3:uid="{F567DF07-0AD0-4BB0-8870-519F41E619D5}" name="Number of Milk Weights" dataDxfId="21"/>
    <tableColumn id="13" xr3:uid="{F40F2F0A-9DE5-422D-A5CF-AE1E1D5C0974}" name="Unknown Milk Weights"/>
    <tableColumn id="14" xr3:uid="{2FDDD10E-3D1A-47E6-A3AA-7673E1358CA2}" name="Cows Not Identified"/>
    <tableColumn id="15" xr3:uid="{44832140-5677-4C7C-BB33-6509B4CB663A}" name="Milk Yield per Hour" dataDxfId="20"/>
    <tableColumn id="16" xr3:uid="{CDB2419E-0826-4EA1-8347-CACAB40BE0A5}" name="Milk Weights per Hour" dataDxfId="19"/>
    <tableColumn id="17" xr3:uid="{28FD7D16-DF4F-4554-86DE-14E7486EB00F}" name="Transponders Identified" dataDxfId="18"/>
    <tableColumn id="18" xr3:uid="{402D8F8C-0C97-485E-B9EA-5229471411A9}" name="Milk Yield per Cow"/>
    <tableColumn id="19" xr3:uid="{8FAAAECA-6197-4487-A0F3-04150B265008}" name="Unknown Transponders" dataDxfId="17"/>
    <tableColumn id="20" xr3:uid="{8916A800-4026-4959-BAB1-CA0C049025D6}" name="Cows Identified" dataDxfId="16"/>
    <tableColumn id="21" xr3:uid="{9BC9B5DE-FE37-4442-A447-AFBBD3221C98}" name="Column3" dataDxfId="15"/>
    <tableColumn id="25" xr3:uid="{AC734997-73C5-48A7-8A9A-3BD33726FD4F}" name="Column4" dataDxfId="14"/>
    <tableColumn id="26" xr3:uid="{1A53D068-4B38-428D-89BD-5AB40149B965}" name="Column5" dataDxfId="13"/>
    <tableColumn id="28" xr3:uid="{AA1B6C62-012B-44B0-B1A9-785AD72A0BB6}" name="Column6" dataDxfId="12"/>
    <tableColumn id="29" xr3:uid="{DA08A9FE-1028-4101-B5AE-EACC256EC260}" name="Column7" dataDxfId="11"/>
    <tableColumn id="30" xr3:uid="{AC71E084-3926-402D-B21F-13326F996599}" name="Column8" dataDxfId="10"/>
    <tableColumn id="34" xr3:uid="{3432D852-9D06-4397-9A86-7060A2E31FC5}" name="Column9" dataDxfId="9"/>
    <tableColumn id="35" xr3:uid="{16A2BEA4-8D29-40ED-B74A-00818426C8EF}" name="Column10" dataDxfId="8"/>
    <tableColumn id="36" xr3:uid="{5521BCB4-68CE-4557-A706-D15E76A6AE39}" name="Column11" dataDxfId="7"/>
    <tableColumn id="37" xr3:uid="{A307588B-BF76-4F5C-8B80-5C37E3CF56BA}" name="Column12" dataDxfId="6"/>
    <tableColumn id="38" xr3:uid="{04DEDF11-3150-49D5-8DDE-D2BAA41494B8}" name="Column13" dataDxfId="5"/>
    <tableColumn id="39" xr3:uid="{85D427DC-D444-42E3-8EA4-95DD014F0BF5}" name="Column14" dataDxfId="4"/>
    <tableColumn id="40" xr3:uid="{A7099D9A-963D-4702-8BDF-E79A186DFF6A}" name="Column15" dataDxfId="3"/>
    <tableColumn id="41" xr3:uid="{9FA0BCC1-A89D-48AB-B6AF-01DE55174BCB}" name="Column16" dataDxfId="2"/>
    <tableColumn id="23" xr3:uid="{5EB04B53-77D7-4C08-BB2F-85BEC7D47023}" name="Column32" dataDxfId="1"/>
    <tableColumn id="24" xr3:uid="{8C9E4D4A-A5C2-4BEA-BAA4-AC25A56BCDB2}" name="Column322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5B426-04E4-48E6-B6AF-3B94E6ACB8EF}">
  <dimension ref="A1:AK2141"/>
  <sheetViews>
    <sheetView showGridLines="0" tabSelected="1" topLeftCell="A2117" zoomScale="85" zoomScaleNormal="85" workbookViewId="0">
      <selection activeCell="D2138" sqref="D2138"/>
    </sheetView>
  </sheetViews>
  <sheetFormatPr defaultRowHeight="15" x14ac:dyDescent="0.25"/>
  <cols>
    <col min="2" max="2" width="12.85546875" customWidth="1"/>
    <col min="3" max="3" width="10.7109375" style="2" customWidth="1"/>
    <col min="4" max="4" width="18.85546875" style="4" customWidth="1"/>
    <col min="5" max="5" width="10.7109375" style="2" customWidth="1"/>
    <col min="6" max="6" width="18.42578125" customWidth="1"/>
    <col min="7" max="7" width="18.42578125" style="3" customWidth="1"/>
    <col min="8" max="8" width="18.42578125" style="1" customWidth="1"/>
    <col min="9" max="9" width="12.28515625" style="1" customWidth="1"/>
    <col min="10" max="10" width="11.42578125" customWidth="1"/>
    <col min="11" max="13" width="18.42578125" customWidth="1"/>
    <col min="14" max="14" width="11.42578125" customWidth="1"/>
    <col min="15" max="15" width="11.85546875" customWidth="1"/>
    <col min="16" max="16" width="12.140625" customWidth="1"/>
    <col min="17" max="17" width="18.42578125" customWidth="1"/>
    <col min="18" max="18" width="18.42578125" style="14" customWidth="1"/>
    <col min="19" max="20" width="18.42578125" customWidth="1"/>
    <col min="21" max="21" width="14.28515625" customWidth="1"/>
    <col min="22" max="37" width="18.42578125" customWidth="1"/>
  </cols>
  <sheetData>
    <row r="1" spans="1:37" s="6" customFormat="1" ht="60" x14ac:dyDescent="0.25">
      <c r="A1" s="6" t="s">
        <v>21</v>
      </c>
      <c r="B1" s="6" t="s">
        <v>0</v>
      </c>
      <c r="C1" s="7" t="s">
        <v>1</v>
      </c>
      <c r="D1" s="8" t="s">
        <v>2</v>
      </c>
      <c r="E1" s="7" t="s">
        <v>3</v>
      </c>
      <c r="F1" s="6" t="s">
        <v>4</v>
      </c>
      <c r="G1" s="9" t="s">
        <v>5</v>
      </c>
      <c r="H1" s="10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5" t="s">
        <v>17</v>
      </c>
      <c r="S1" s="6" t="s">
        <v>18</v>
      </c>
      <c r="T1" s="6" t="s">
        <v>19</v>
      </c>
      <c r="U1" s="6" t="s">
        <v>20</v>
      </c>
      <c r="V1" s="6" t="s">
        <v>22</v>
      </c>
      <c r="W1" s="6" t="s">
        <v>48</v>
      </c>
      <c r="X1" s="6" t="s">
        <v>49</v>
      </c>
      <c r="Y1" s="6" t="s">
        <v>50</v>
      </c>
      <c r="Z1" s="6" t="s">
        <v>51</v>
      </c>
      <c r="AA1" s="6" t="s">
        <v>52</v>
      </c>
      <c r="AB1" s="6" t="s">
        <v>53</v>
      </c>
      <c r="AC1" s="6" t="s">
        <v>54</v>
      </c>
      <c r="AD1" s="6" t="s">
        <v>55</v>
      </c>
      <c r="AE1" s="6" t="s">
        <v>56</v>
      </c>
      <c r="AF1" s="6" t="s">
        <v>57</v>
      </c>
      <c r="AG1" s="6" t="s">
        <v>58</v>
      </c>
      <c r="AH1" s="6" t="s">
        <v>59</v>
      </c>
      <c r="AI1" s="6" t="s">
        <v>60</v>
      </c>
      <c r="AJ1" s="6" t="s">
        <v>23</v>
      </c>
      <c r="AK1" s="6" t="s">
        <v>47</v>
      </c>
    </row>
    <row r="2" spans="1:37" x14ac:dyDescent="0.25">
      <c r="A2" s="11" t="e">
        <f>#REF!-#REF!</f>
        <v>#REF!</v>
      </c>
      <c r="B2" t="s">
        <v>0</v>
      </c>
      <c r="C2" s="2" t="s">
        <v>1</v>
      </c>
      <c r="D2" s="12" t="s">
        <v>2</v>
      </c>
      <c r="E2" s="2" t="s">
        <v>3</v>
      </c>
      <c r="F2" s="13" t="s">
        <v>4</v>
      </c>
      <c r="G2" s="3" t="s">
        <v>5</v>
      </c>
      <c r="H2" s="1" t="s">
        <v>7</v>
      </c>
      <c r="I2" s="5" t="s">
        <v>8</v>
      </c>
      <c r="J2" t="s">
        <v>9</v>
      </c>
      <c r="K2" t="s">
        <v>10</v>
      </c>
      <c r="L2" s="5" t="s">
        <v>11</v>
      </c>
      <c r="M2" s="5" t="s">
        <v>12</v>
      </c>
      <c r="N2" t="s">
        <v>13</v>
      </c>
      <c r="O2" t="s">
        <v>14</v>
      </c>
      <c r="P2" t="s">
        <v>15</v>
      </c>
      <c r="Q2" s="5" t="s">
        <v>16</v>
      </c>
      <c r="R2" s="14" t="s">
        <v>17</v>
      </c>
      <c r="S2" t="s">
        <v>18</v>
      </c>
      <c r="T2" s="5" t="s">
        <v>19</v>
      </c>
      <c r="U2" s="5" t="s">
        <v>20</v>
      </c>
      <c r="V2" s="5" t="s">
        <v>6</v>
      </c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 t="s">
        <v>25</v>
      </c>
      <c r="AK2" s="5"/>
    </row>
    <row r="3" spans="1:37" x14ac:dyDescent="0.25">
      <c r="A3" s="11"/>
      <c r="B3" t="s">
        <v>24</v>
      </c>
      <c r="C3" s="2">
        <v>1</v>
      </c>
      <c r="D3" s="12">
        <v>45468</v>
      </c>
      <c r="E3" s="2">
        <v>33</v>
      </c>
      <c r="F3" s="13">
        <v>0.34133101851851849</v>
      </c>
      <c r="G3" s="3">
        <v>0.55300925925925926</v>
      </c>
      <c r="H3" s="1">
        <v>0.24652777777777779</v>
      </c>
      <c r="I3" s="5">
        <v>732</v>
      </c>
      <c r="J3">
        <v>6785</v>
      </c>
      <c r="K3">
        <v>144</v>
      </c>
      <c r="L3" s="5">
        <v>605</v>
      </c>
      <c r="M3" s="5">
        <v>732</v>
      </c>
      <c r="N3">
        <v>70</v>
      </c>
      <c r="O3">
        <v>70</v>
      </c>
      <c r="P3">
        <v>1335</v>
      </c>
      <c r="Q3" s="5">
        <v>144</v>
      </c>
      <c r="R3" s="14">
        <v>663</v>
      </c>
      <c r="S3">
        <v>9.3000000000000007</v>
      </c>
      <c r="T3" s="5">
        <v>1</v>
      </c>
      <c r="U3" s="5">
        <v>662</v>
      </c>
      <c r="V3" s="5">
        <v>0.21111111111111111</v>
      </c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>
        <v>1</v>
      </c>
      <c r="AK3" s="5"/>
    </row>
    <row r="4" spans="1:37" x14ac:dyDescent="0.25">
      <c r="A4" s="11"/>
      <c r="B4" t="s">
        <v>24</v>
      </c>
      <c r="C4" s="2">
        <v>2</v>
      </c>
      <c r="D4" s="12">
        <v>45468</v>
      </c>
      <c r="E4" s="2">
        <v>33</v>
      </c>
      <c r="F4" s="13">
        <v>0.68358796296296298</v>
      </c>
      <c r="G4" s="3">
        <v>0.89247685185185188</v>
      </c>
      <c r="H4" s="1">
        <v>0.2388888888888889</v>
      </c>
      <c r="I4" s="5">
        <v>704</v>
      </c>
      <c r="J4">
        <v>6409</v>
      </c>
      <c r="K4">
        <v>140</v>
      </c>
      <c r="L4" s="5">
        <v>543</v>
      </c>
      <c r="M4" s="5">
        <v>704</v>
      </c>
      <c r="N4">
        <v>61</v>
      </c>
      <c r="O4">
        <v>61</v>
      </c>
      <c r="P4">
        <v>1278</v>
      </c>
      <c r="Q4" s="5">
        <v>140</v>
      </c>
      <c r="R4" s="14">
        <v>643</v>
      </c>
      <c r="S4">
        <v>9.1999999999999993</v>
      </c>
      <c r="T4" s="5">
        <v>0</v>
      </c>
      <c r="U4" s="5">
        <v>643</v>
      </c>
      <c r="V4" s="5">
        <v>0.20833333333333334</v>
      </c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>
        <v>1</v>
      </c>
      <c r="AK4" s="5"/>
    </row>
    <row r="5" spans="1:37" x14ac:dyDescent="0.25">
      <c r="A5" s="11"/>
      <c r="B5" t="s">
        <v>24</v>
      </c>
      <c r="C5" s="2">
        <v>3</v>
      </c>
      <c r="D5" s="12">
        <v>45468</v>
      </c>
      <c r="E5" s="2">
        <v>32</v>
      </c>
      <c r="F5" s="13">
        <v>8.4027777777777781E-3</v>
      </c>
      <c r="G5" s="3">
        <v>0.20922453703703703</v>
      </c>
      <c r="H5" s="1">
        <v>0.21944444444444444</v>
      </c>
      <c r="I5" s="5">
        <v>709</v>
      </c>
      <c r="J5">
        <v>6009</v>
      </c>
      <c r="K5">
        <v>147</v>
      </c>
      <c r="L5" s="5">
        <v>458</v>
      </c>
      <c r="M5" s="5">
        <v>709</v>
      </c>
      <c r="N5">
        <v>71</v>
      </c>
      <c r="O5">
        <v>71</v>
      </c>
      <c r="P5">
        <v>1247</v>
      </c>
      <c r="Q5" s="5">
        <v>147</v>
      </c>
      <c r="R5" s="14">
        <v>638</v>
      </c>
      <c r="S5">
        <v>8.5</v>
      </c>
      <c r="T5" s="5">
        <v>0</v>
      </c>
      <c r="U5" s="5">
        <v>638</v>
      </c>
      <c r="V5" s="5">
        <v>0.20069444444444445</v>
      </c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>
        <v>1</v>
      </c>
      <c r="AK5" s="5"/>
    </row>
    <row r="6" spans="1:37" x14ac:dyDescent="0.25">
      <c r="A6" s="11" t="e">
        <f>#REF!-J2</f>
        <v>#REF!</v>
      </c>
      <c r="B6" t="s">
        <v>0</v>
      </c>
      <c r="C6" s="2" t="s">
        <v>1</v>
      </c>
      <c r="D6" s="12" t="s">
        <v>2</v>
      </c>
      <c r="E6" s="2" t="s">
        <v>3</v>
      </c>
      <c r="F6" s="13" t="s">
        <v>4</v>
      </c>
      <c r="G6" s="3" t="s">
        <v>5</v>
      </c>
      <c r="H6" s="1" t="s">
        <v>7</v>
      </c>
      <c r="I6" s="5" t="s">
        <v>8</v>
      </c>
      <c r="J6" t="s">
        <v>9</v>
      </c>
      <c r="K6" t="s">
        <v>10</v>
      </c>
      <c r="L6" s="5" t="s">
        <v>11</v>
      </c>
      <c r="M6" s="5" t="s">
        <v>12</v>
      </c>
      <c r="N6" t="s">
        <v>13</v>
      </c>
      <c r="O6" t="s">
        <v>14</v>
      </c>
      <c r="P6" t="s">
        <v>15</v>
      </c>
      <c r="Q6" s="5" t="s">
        <v>16</v>
      </c>
      <c r="R6" s="14" t="s">
        <v>17</v>
      </c>
      <c r="S6" t="s">
        <v>18</v>
      </c>
      <c r="T6" s="5" t="s">
        <v>19</v>
      </c>
      <c r="U6" s="5" t="s">
        <v>20</v>
      </c>
      <c r="V6" s="5" t="s">
        <v>6</v>
      </c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 t="s">
        <v>25</v>
      </c>
      <c r="AK6" s="5"/>
    </row>
    <row r="7" spans="1:37" x14ac:dyDescent="0.25">
      <c r="A7" s="11">
        <f>Table1[[#This Row],[Milk Yield]]-J3</f>
        <v>-76</v>
      </c>
      <c r="B7" t="s">
        <v>24</v>
      </c>
      <c r="C7" s="2">
        <v>1</v>
      </c>
      <c r="D7" s="12">
        <v>45469</v>
      </c>
      <c r="E7" s="2">
        <v>32</v>
      </c>
      <c r="F7" s="13">
        <v>0.34001157407407406</v>
      </c>
      <c r="G7" s="3">
        <v>0.56215277777777772</v>
      </c>
      <c r="H7" s="1">
        <v>0.23680555555555555</v>
      </c>
      <c r="I7" s="5">
        <v>688</v>
      </c>
      <c r="J7">
        <v>6709</v>
      </c>
      <c r="K7">
        <v>129</v>
      </c>
      <c r="L7" s="5">
        <v>519</v>
      </c>
      <c r="M7" s="5">
        <v>688</v>
      </c>
      <c r="N7">
        <v>53</v>
      </c>
      <c r="O7">
        <v>53</v>
      </c>
      <c r="P7">
        <v>1258</v>
      </c>
      <c r="Q7" s="5">
        <v>129</v>
      </c>
      <c r="R7" s="14">
        <v>635</v>
      </c>
      <c r="S7">
        <v>9.8000000000000007</v>
      </c>
      <c r="T7" s="5">
        <v>0</v>
      </c>
      <c r="U7" s="5">
        <v>635</v>
      </c>
      <c r="V7" s="5">
        <v>0.22152777777777777</v>
      </c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>
        <v>1</v>
      </c>
      <c r="AK7" s="5"/>
    </row>
    <row r="8" spans="1:37" x14ac:dyDescent="0.25">
      <c r="A8" s="11">
        <f>Table1[[#This Row],[Milk Yield]]-J4</f>
        <v>-561</v>
      </c>
      <c r="B8" t="s">
        <v>24</v>
      </c>
      <c r="C8" s="2">
        <v>2</v>
      </c>
      <c r="D8" s="12">
        <v>45469</v>
      </c>
      <c r="E8" s="2">
        <v>32</v>
      </c>
      <c r="F8" s="13">
        <v>0.67415509259259254</v>
      </c>
      <c r="G8" s="3">
        <v>0.87894675925925925</v>
      </c>
      <c r="H8" s="1">
        <v>0.23055555555555557</v>
      </c>
      <c r="I8" s="5">
        <v>710</v>
      </c>
      <c r="J8">
        <v>5848</v>
      </c>
      <c r="K8">
        <v>144</v>
      </c>
      <c r="L8" s="5">
        <v>486</v>
      </c>
      <c r="M8" s="5">
        <v>709</v>
      </c>
      <c r="N8">
        <v>58</v>
      </c>
      <c r="O8">
        <v>58</v>
      </c>
      <c r="P8">
        <v>1190</v>
      </c>
      <c r="Q8" s="5">
        <v>144</v>
      </c>
      <c r="R8" s="14">
        <v>651</v>
      </c>
      <c r="S8">
        <v>8.3000000000000007</v>
      </c>
      <c r="T8" s="5">
        <v>0</v>
      </c>
      <c r="U8" s="5">
        <v>651</v>
      </c>
      <c r="V8" s="5">
        <v>0.20416666666666666</v>
      </c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>
        <v>1</v>
      </c>
      <c r="AK8" s="5"/>
    </row>
    <row r="9" spans="1:37" x14ac:dyDescent="0.25">
      <c r="A9" s="11">
        <f>Table1[[#This Row],[Milk Yield]]-J5</f>
        <v>-153</v>
      </c>
      <c r="B9" t="s">
        <v>24</v>
      </c>
      <c r="C9" s="2">
        <v>3</v>
      </c>
      <c r="D9" s="12">
        <v>45469</v>
      </c>
      <c r="E9" s="2">
        <v>32</v>
      </c>
      <c r="F9" s="13">
        <v>7.4999999999999997E-3</v>
      </c>
      <c r="G9" s="3">
        <v>0.2074537037037037</v>
      </c>
      <c r="H9" s="1">
        <v>0.22500000000000001</v>
      </c>
      <c r="I9" s="5">
        <v>716</v>
      </c>
      <c r="J9">
        <v>5856</v>
      </c>
      <c r="K9">
        <v>149</v>
      </c>
      <c r="L9" s="5">
        <v>398</v>
      </c>
      <c r="M9" s="5">
        <v>716</v>
      </c>
      <c r="N9">
        <v>46</v>
      </c>
      <c r="O9">
        <v>46</v>
      </c>
      <c r="P9">
        <v>1220</v>
      </c>
      <c r="Q9" s="5">
        <v>149</v>
      </c>
      <c r="R9" s="14">
        <v>670</v>
      </c>
      <c r="S9">
        <v>8.1999999999999993</v>
      </c>
      <c r="T9" s="5">
        <v>0</v>
      </c>
      <c r="U9" s="5">
        <v>670</v>
      </c>
      <c r="V9" s="5">
        <v>0.19930555555555557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1</v>
      </c>
      <c r="AK9" s="5"/>
    </row>
    <row r="10" spans="1:37" x14ac:dyDescent="0.25">
      <c r="A10" s="11" t="e">
        <f>Table1[[#This Row],[Milk Yield]]-J6</f>
        <v>#VALUE!</v>
      </c>
      <c r="B10" t="s">
        <v>0</v>
      </c>
      <c r="C10" s="2" t="s">
        <v>1</v>
      </c>
      <c r="D10" s="12" t="s">
        <v>2</v>
      </c>
      <c r="E10" s="2" t="s">
        <v>3</v>
      </c>
      <c r="F10" s="13" t="s">
        <v>4</v>
      </c>
      <c r="G10" s="3" t="s">
        <v>5</v>
      </c>
      <c r="H10" s="1" t="s">
        <v>6</v>
      </c>
      <c r="I10" s="5" t="s">
        <v>8</v>
      </c>
      <c r="J10" t="s">
        <v>9</v>
      </c>
      <c r="K10" t="s">
        <v>10</v>
      </c>
      <c r="L10" s="5" t="s">
        <v>11</v>
      </c>
      <c r="M10" s="5" t="s">
        <v>12</v>
      </c>
      <c r="N10" t="s">
        <v>13</v>
      </c>
      <c r="O10" t="s">
        <v>20</v>
      </c>
      <c r="P10" t="s">
        <v>7</v>
      </c>
      <c r="Q10" s="5" t="s">
        <v>15</v>
      </c>
      <c r="R10" s="14" t="s">
        <v>18</v>
      </c>
      <c r="S10" t="s">
        <v>16</v>
      </c>
      <c r="T10" s="5" t="s">
        <v>14</v>
      </c>
      <c r="U10" s="5" t="s">
        <v>17</v>
      </c>
      <c r="V10" s="5" t="s">
        <v>19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</row>
    <row r="11" spans="1:37" x14ac:dyDescent="0.25">
      <c r="A11" s="11">
        <f>Table1[[#This Row],[Milk Yield]]-J7</f>
        <v>-177</v>
      </c>
      <c r="B11" t="s">
        <v>24</v>
      </c>
      <c r="C11" s="2">
        <v>1</v>
      </c>
      <c r="D11" s="12">
        <v>45470</v>
      </c>
      <c r="E11" s="2">
        <v>34</v>
      </c>
      <c r="F11" s="13">
        <v>0.34024305555555556</v>
      </c>
      <c r="G11" s="3">
        <v>0.55181712962962959</v>
      </c>
      <c r="H11" s="1">
        <v>0.21111111111111111</v>
      </c>
      <c r="I11" s="5">
        <v>713</v>
      </c>
      <c r="J11">
        <v>6532</v>
      </c>
      <c r="K11">
        <v>140</v>
      </c>
      <c r="L11" s="5">
        <v>651</v>
      </c>
      <c r="M11" s="5">
        <v>713</v>
      </c>
      <c r="N11">
        <v>70</v>
      </c>
      <c r="O11">
        <v>643</v>
      </c>
      <c r="P11" s="1">
        <v>0.23472222222222222</v>
      </c>
      <c r="Q11" s="5">
        <v>1286</v>
      </c>
      <c r="R11" s="14">
        <v>9.1999999999999993</v>
      </c>
      <c r="S11">
        <v>140</v>
      </c>
      <c r="T11" s="5">
        <v>70</v>
      </c>
      <c r="U11" s="5">
        <v>644</v>
      </c>
      <c r="V11" s="5">
        <v>1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</row>
    <row r="12" spans="1:37" x14ac:dyDescent="0.25">
      <c r="A12" s="11">
        <f>Table1[[#This Row],[Milk Yield]]-J8</f>
        <v>-214</v>
      </c>
      <c r="B12" t="s">
        <v>24</v>
      </c>
      <c r="C12" s="2">
        <v>2</v>
      </c>
      <c r="D12" s="12">
        <v>45470</v>
      </c>
      <c r="E12" s="2">
        <v>30</v>
      </c>
      <c r="F12" s="13">
        <v>0.67178240740740736</v>
      </c>
      <c r="G12" s="3">
        <v>0.85648148148148151</v>
      </c>
      <c r="H12" s="1">
        <v>0.18402777777777779</v>
      </c>
      <c r="I12" s="5">
        <v>693</v>
      </c>
      <c r="J12">
        <v>5634</v>
      </c>
      <c r="K12">
        <v>156</v>
      </c>
      <c r="L12" s="5">
        <v>462</v>
      </c>
      <c r="M12" s="5">
        <v>693</v>
      </c>
      <c r="N12">
        <v>58</v>
      </c>
      <c r="O12">
        <v>635</v>
      </c>
      <c r="P12" s="1">
        <v>0.22638888888888889</v>
      </c>
      <c r="Q12" s="5">
        <v>1271</v>
      </c>
      <c r="R12" s="14">
        <v>8.1999999999999993</v>
      </c>
      <c r="S12">
        <v>156</v>
      </c>
      <c r="T12" s="5">
        <v>58</v>
      </c>
      <c r="U12" s="5">
        <v>635</v>
      </c>
      <c r="V12" s="5">
        <v>0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</row>
    <row r="13" spans="1:37" x14ac:dyDescent="0.25">
      <c r="A13" s="11">
        <f>Table1[[#This Row],[Milk Yield]]-J9</f>
        <v>667</v>
      </c>
      <c r="B13" t="s">
        <v>24</v>
      </c>
      <c r="C13" s="2">
        <v>3</v>
      </c>
      <c r="D13" s="12">
        <v>45470</v>
      </c>
      <c r="E13" s="2">
        <v>31</v>
      </c>
      <c r="F13" s="13">
        <v>8.8310185185185193E-3</v>
      </c>
      <c r="G13" s="3">
        <v>0.20940972222222223</v>
      </c>
      <c r="H13" s="1">
        <v>0.2</v>
      </c>
      <c r="I13" s="5">
        <v>709</v>
      </c>
      <c r="J13">
        <v>6523</v>
      </c>
      <c r="K13">
        <v>147</v>
      </c>
      <c r="L13" s="5">
        <v>842</v>
      </c>
      <c r="M13" s="5">
        <v>709</v>
      </c>
      <c r="N13">
        <v>92</v>
      </c>
      <c r="O13">
        <v>617</v>
      </c>
      <c r="P13" s="1">
        <v>0.2361111111111111</v>
      </c>
      <c r="Q13" s="5">
        <v>1355</v>
      </c>
      <c r="R13" s="14">
        <v>9.1999999999999993</v>
      </c>
      <c r="S13">
        <v>147</v>
      </c>
      <c r="T13" s="5">
        <v>92</v>
      </c>
      <c r="U13" s="5">
        <v>617</v>
      </c>
      <c r="V13" s="5">
        <v>0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</row>
    <row r="14" spans="1:37" x14ac:dyDescent="0.25">
      <c r="A14" s="11" t="e">
        <f>Table1[[#This Row],[Milk Yield]]-J10</f>
        <v>#VALUE!</v>
      </c>
      <c r="B14" t="s">
        <v>0</v>
      </c>
      <c r="C14" s="2" t="s">
        <v>1</v>
      </c>
      <c r="D14" s="12" t="s">
        <v>2</v>
      </c>
      <c r="E14" s="2" t="s">
        <v>3</v>
      </c>
      <c r="F14" s="13" t="s">
        <v>4</v>
      </c>
      <c r="G14" s="3" t="s">
        <v>5</v>
      </c>
      <c r="H14" s="1" t="s">
        <v>6</v>
      </c>
      <c r="I14" s="5" t="s">
        <v>8</v>
      </c>
      <c r="J14" t="s">
        <v>9</v>
      </c>
      <c r="K14" t="s">
        <v>10</v>
      </c>
      <c r="L14" s="5" t="s">
        <v>11</v>
      </c>
      <c r="M14" s="5" t="s">
        <v>12</v>
      </c>
      <c r="N14" t="s">
        <v>13</v>
      </c>
      <c r="O14" t="s">
        <v>20</v>
      </c>
      <c r="P14" t="s">
        <v>7</v>
      </c>
      <c r="Q14" s="5" t="s">
        <v>15</v>
      </c>
      <c r="R14" s="14" t="s">
        <v>18</v>
      </c>
      <c r="S14" t="s">
        <v>16</v>
      </c>
      <c r="T14" s="5" t="s">
        <v>14</v>
      </c>
      <c r="U14" s="5" t="s">
        <v>17</v>
      </c>
      <c r="V14" s="5" t="s">
        <v>19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</row>
    <row r="15" spans="1:37" x14ac:dyDescent="0.25">
      <c r="A15" s="11">
        <f>Table1[[#This Row],[Milk Yield]]-J11</f>
        <v>-379</v>
      </c>
      <c r="B15" t="s">
        <v>24</v>
      </c>
      <c r="C15" s="2">
        <v>1</v>
      </c>
      <c r="D15" s="12">
        <v>45471</v>
      </c>
      <c r="E15" s="2">
        <v>33</v>
      </c>
      <c r="F15" s="13">
        <v>0.34083333333333332</v>
      </c>
      <c r="G15" s="3">
        <v>0.55112268518518515</v>
      </c>
      <c r="H15" s="1">
        <v>0.20972222222222223</v>
      </c>
      <c r="I15" s="5">
        <v>711</v>
      </c>
      <c r="J15">
        <v>6153</v>
      </c>
      <c r="K15">
        <v>141</v>
      </c>
      <c r="L15" s="5">
        <v>656</v>
      </c>
      <c r="M15" s="5">
        <v>711</v>
      </c>
      <c r="N15">
        <v>77</v>
      </c>
      <c r="O15">
        <v>634</v>
      </c>
      <c r="P15" s="1">
        <v>0.22916666666666666</v>
      </c>
      <c r="Q15" s="5">
        <v>1219</v>
      </c>
      <c r="R15" s="14">
        <v>8.6999999999999993</v>
      </c>
      <c r="S15">
        <v>141</v>
      </c>
      <c r="T15" s="5">
        <v>77</v>
      </c>
      <c r="U15" s="5">
        <v>634</v>
      </c>
      <c r="V15" s="5">
        <v>0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</row>
    <row r="16" spans="1:37" x14ac:dyDescent="0.25">
      <c r="A16" s="11">
        <f>Table1[[#This Row],[Milk Yield]]-J12</f>
        <v>711</v>
      </c>
      <c r="B16" t="s">
        <v>24</v>
      </c>
      <c r="C16" s="2">
        <v>2</v>
      </c>
      <c r="D16" s="12">
        <v>45471</v>
      </c>
      <c r="E16" s="2">
        <v>32</v>
      </c>
      <c r="F16" s="13">
        <v>0.68274305555555559</v>
      </c>
      <c r="G16" s="3">
        <v>0.88368055555555558</v>
      </c>
      <c r="H16" s="1">
        <v>0.20069444444444445</v>
      </c>
      <c r="I16" s="5">
        <v>696</v>
      </c>
      <c r="J16">
        <v>6345</v>
      </c>
      <c r="K16">
        <v>144</v>
      </c>
      <c r="L16" s="5">
        <v>306</v>
      </c>
      <c r="M16" s="5">
        <v>696</v>
      </c>
      <c r="N16">
        <v>40</v>
      </c>
      <c r="O16">
        <v>656</v>
      </c>
      <c r="P16" s="1">
        <v>0.22361111111111112</v>
      </c>
      <c r="Q16" s="5">
        <v>1316</v>
      </c>
      <c r="R16" s="14">
        <v>9.1999999999999993</v>
      </c>
      <c r="S16">
        <v>144</v>
      </c>
      <c r="T16" s="5">
        <v>40</v>
      </c>
      <c r="U16" s="5">
        <v>657</v>
      </c>
      <c r="V16" s="5">
        <v>1</v>
      </c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</row>
    <row r="17" spans="1:37" x14ac:dyDescent="0.25">
      <c r="A17" s="11">
        <f>Table1[[#This Row],[Milk Yield]]-J13</f>
        <v>-437</v>
      </c>
      <c r="B17" t="s">
        <v>24</v>
      </c>
      <c r="C17" s="2">
        <v>3</v>
      </c>
      <c r="D17" s="12">
        <v>45471</v>
      </c>
      <c r="E17" s="2">
        <v>27</v>
      </c>
      <c r="F17" s="13">
        <v>1.0034722222222223E-2</v>
      </c>
      <c r="G17" s="3">
        <v>0.21221064814814813</v>
      </c>
      <c r="H17" s="1">
        <v>0.20208333333333334</v>
      </c>
      <c r="I17" s="5">
        <v>665</v>
      </c>
      <c r="J17">
        <v>6086</v>
      </c>
      <c r="K17">
        <v>137</v>
      </c>
      <c r="L17" s="5">
        <v>484</v>
      </c>
      <c r="M17" s="5">
        <v>665</v>
      </c>
      <c r="N17">
        <v>53</v>
      </c>
      <c r="O17">
        <v>612</v>
      </c>
      <c r="P17" s="1">
        <v>0.23749999999999999</v>
      </c>
      <c r="Q17" s="5">
        <v>1254</v>
      </c>
      <c r="R17" s="14">
        <v>9.1999999999999993</v>
      </c>
      <c r="S17">
        <v>137</v>
      </c>
      <c r="T17" s="5">
        <v>53</v>
      </c>
      <c r="U17" s="5">
        <v>613</v>
      </c>
      <c r="V17" s="5">
        <v>1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</row>
    <row r="18" spans="1:37" x14ac:dyDescent="0.25">
      <c r="A18" s="11" t="e">
        <f>Table1[[#This Row],[Milk Yield]]-J14</f>
        <v>#VALUE!</v>
      </c>
      <c r="B18" t="s">
        <v>0</v>
      </c>
      <c r="C18" s="2" t="s">
        <v>1</v>
      </c>
      <c r="D18" s="12" t="s">
        <v>2</v>
      </c>
      <c r="E18" s="2" t="s">
        <v>3</v>
      </c>
      <c r="F18" s="13" t="s">
        <v>4</v>
      </c>
      <c r="G18" s="3" t="s">
        <v>5</v>
      </c>
      <c r="H18" s="1" t="s">
        <v>6</v>
      </c>
      <c r="I18" s="5" t="s">
        <v>8</v>
      </c>
      <c r="J18" t="s">
        <v>9</v>
      </c>
      <c r="K18" t="s">
        <v>10</v>
      </c>
      <c r="L18" s="5" t="s">
        <v>11</v>
      </c>
      <c r="M18" s="5" t="s">
        <v>12</v>
      </c>
      <c r="N18" t="s">
        <v>13</v>
      </c>
      <c r="O18" t="s">
        <v>20</v>
      </c>
      <c r="P18" t="s">
        <v>7</v>
      </c>
      <c r="Q18" s="5" t="s">
        <v>15</v>
      </c>
      <c r="R18" s="14" t="s">
        <v>18</v>
      </c>
      <c r="S18" t="s">
        <v>16</v>
      </c>
      <c r="T18" s="5" t="s">
        <v>14</v>
      </c>
      <c r="U18" s="5" t="s">
        <v>17</v>
      </c>
      <c r="V18" s="5" t="s">
        <v>19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</row>
    <row r="19" spans="1:37" x14ac:dyDescent="0.25">
      <c r="A19" s="11">
        <f>Table1[[#This Row],[Milk Yield]]-J15</f>
        <v>118</v>
      </c>
      <c r="B19" t="s">
        <v>24</v>
      </c>
      <c r="C19" s="2">
        <v>1</v>
      </c>
      <c r="D19" s="12">
        <v>45472</v>
      </c>
      <c r="E19" s="2">
        <v>31</v>
      </c>
      <c r="F19" s="13">
        <v>0.34021990740740743</v>
      </c>
      <c r="G19" s="3">
        <v>0.55812499999999998</v>
      </c>
      <c r="H19" s="1">
        <v>0.21736111111111112</v>
      </c>
      <c r="I19" s="5">
        <v>697</v>
      </c>
      <c r="J19">
        <v>6271</v>
      </c>
      <c r="K19">
        <v>133</v>
      </c>
      <c r="L19" s="5">
        <v>274</v>
      </c>
      <c r="M19" s="5">
        <v>697</v>
      </c>
      <c r="N19">
        <v>33</v>
      </c>
      <c r="O19">
        <v>664</v>
      </c>
      <c r="P19" s="1">
        <v>0.22569444444444445</v>
      </c>
      <c r="Q19" s="5">
        <v>1199</v>
      </c>
      <c r="R19" s="14">
        <v>9</v>
      </c>
      <c r="S19">
        <v>133</v>
      </c>
      <c r="T19" s="5">
        <v>33</v>
      </c>
      <c r="U19" s="5">
        <v>664</v>
      </c>
      <c r="V19" s="5">
        <v>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</row>
    <row r="20" spans="1:37" x14ac:dyDescent="0.25">
      <c r="A20" s="11">
        <f>Table1[[#This Row],[Milk Yield]]-J16</f>
        <v>-298</v>
      </c>
      <c r="B20" t="s">
        <v>24</v>
      </c>
      <c r="C20" s="2">
        <v>2</v>
      </c>
      <c r="D20" s="12">
        <v>45472</v>
      </c>
      <c r="E20" s="2">
        <v>29</v>
      </c>
      <c r="F20" s="13">
        <v>0.67982638888888891</v>
      </c>
      <c r="G20" s="3">
        <v>0.87123842592592593</v>
      </c>
      <c r="H20" s="1">
        <v>0.19097222222222221</v>
      </c>
      <c r="I20" s="5">
        <v>701</v>
      </c>
      <c r="J20">
        <v>6047</v>
      </c>
      <c r="K20">
        <v>153</v>
      </c>
      <c r="L20" s="5">
        <v>586</v>
      </c>
      <c r="M20" s="5">
        <v>701</v>
      </c>
      <c r="N20">
        <v>59</v>
      </c>
      <c r="O20">
        <v>642</v>
      </c>
      <c r="P20" s="1">
        <v>0.23402777777777778</v>
      </c>
      <c r="Q20" s="5">
        <v>1316</v>
      </c>
      <c r="R20" s="14">
        <v>8.6999999999999993</v>
      </c>
      <c r="S20">
        <v>153</v>
      </c>
      <c r="T20" s="5">
        <v>59</v>
      </c>
      <c r="U20" s="5">
        <v>642</v>
      </c>
      <c r="V20" s="5">
        <v>0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</row>
    <row r="21" spans="1:37" x14ac:dyDescent="0.25">
      <c r="A21" s="11">
        <f>Table1[[#This Row],[Milk Yield]]-J17</f>
        <v>403</v>
      </c>
      <c r="B21" t="s">
        <v>24</v>
      </c>
      <c r="C21" s="2">
        <v>3</v>
      </c>
      <c r="D21" s="12">
        <v>45472</v>
      </c>
      <c r="E21" s="2">
        <v>31</v>
      </c>
      <c r="F21" s="13">
        <v>1.1574074074074073E-2</v>
      </c>
      <c r="G21" s="3">
        <v>0.20291666666666666</v>
      </c>
      <c r="H21" s="1">
        <v>0.19097222222222221</v>
      </c>
      <c r="I21" s="5">
        <v>692</v>
      </c>
      <c r="J21">
        <v>6489</v>
      </c>
      <c r="K21">
        <v>151</v>
      </c>
      <c r="L21" s="5">
        <v>2071</v>
      </c>
      <c r="M21" s="5">
        <v>692</v>
      </c>
      <c r="N21">
        <v>216</v>
      </c>
      <c r="O21">
        <v>476</v>
      </c>
      <c r="P21" s="1">
        <v>0.26666666666666666</v>
      </c>
      <c r="Q21" s="5">
        <v>1413</v>
      </c>
      <c r="R21" s="14">
        <v>9.4</v>
      </c>
      <c r="S21">
        <v>151</v>
      </c>
      <c r="T21" s="5">
        <v>216</v>
      </c>
      <c r="U21" s="5">
        <v>476</v>
      </c>
      <c r="V21" s="5">
        <v>0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</row>
    <row r="22" spans="1:37" x14ac:dyDescent="0.25">
      <c r="A22" s="11" t="e">
        <f>Table1[[#This Row],[Milk Yield]]-J18</f>
        <v>#VALUE!</v>
      </c>
      <c r="B22" t="s">
        <v>0</v>
      </c>
      <c r="C22" s="2" t="s">
        <v>1</v>
      </c>
      <c r="D22" s="12" t="s">
        <v>2</v>
      </c>
      <c r="E22" s="2" t="s">
        <v>3</v>
      </c>
      <c r="F22" s="13" t="s">
        <v>4</v>
      </c>
      <c r="G22" s="3" t="s">
        <v>5</v>
      </c>
      <c r="H22" s="1" t="s">
        <v>6</v>
      </c>
      <c r="I22" s="5" t="s">
        <v>8</v>
      </c>
      <c r="J22" t="s">
        <v>9</v>
      </c>
      <c r="K22" t="s">
        <v>10</v>
      </c>
      <c r="L22" s="5" t="s">
        <v>11</v>
      </c>
      <c r="M22" s="5" t="s">
        <v>12</v>
      </c>
      <c r="N22" t="s">
        <v>13</v>
      </c>
      <c r="O22" t="s">
        <v>20</v>
      </c>
      <c r="P22" t="s">
        <v>7</v>
      </c>
      <c r="Q22" s="5" t="s">
        <v>15</v>
      </c>
      <c r="R22" s="14" t="s">
        <v>18</v>
      </c>
      <c r="S22" t="s">
        <v>16</v>
      </c>
      <c r="T22" s="5" t="s">
        <v>14</v>
      </c>
      <c r="U22" s="5" t="s">
        <v>17</v>
      </c>
      <c r="V22" s="5" t="s">
        <v>19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</row>
    <row r="23" spans="1:37" x14ac:dyDescent="0.25">
      <c r="A23" s="11">
        <f>Table1[[#This Row],[Milk Yield]]-J19</f>
        <v>742</v>
      </c>
      <c r="B23" t="s">
        <v>24</v>
      </c>
      <c r="C23" s="2">
        <v>1</v>
      </c>
      <c r="D23" s="12">
        <v>45473</v>
      </c>
      <c r="E23" s="2">
        <v>33</v>
      </c>
      <c r="F23" s="13">
        <v>0.35276620370370371</v>
      </c>
      <c r="G23" s="3">
        <v>0.57737268518518514</v>
      </c>
      <c r="H23" s="1">
        <v>0.22430555555555556</v>
      </c>
      <c r="I23" s="5">
        <v>684</v>
      </c>
      <c r="J23">
        <v>7013</v>
      </c>
      <c r="K23">
        <v>127</v>
      </c>
      <c r="L23" s="5">
        <v>608</v>
      </c>
      <c r="M23" s="5">
        <v>684</v>
      </c>
      <c r="N23">
        <v>57</v>
      </c>
      <c r="O23">
        <v>627</v>
      </c>
      <c r="P23" s="1">
        <v>0.24513888888888888</v>
      </c>
      <c r="Q23" s="5">
        <v>1301</v>
      </c>
      <c r="R23" s="14">
        <v>10.3</v>
      </c>
      <c r="S23">
        <v>127</v>
      </c>
      <c r="T23" s="5">
        <v>57</v>
      </c>
      <c r="U23" s="5">
        <v>629</v>
      </c>
      <c r="V23" s="5">
        <v>2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</row>
    <row r="24" spans="1:37" x14ac:dyDescent="0.25">
      <c r="A24" s="11">
        <f>Table1[[#This Row],[Milk Yield]]-J20</f>
        <v>-723</v>
      </c>
      <c r="B24" t="s">
        <v>24</v>
      </c>
      <c r="C24" s="2">
        <v>2</v>
      </c>
      <c r="D24" s="12">
        <v>45473</v>
      </c>
      <c r="E24" s="2">
        <v>32</v>
      </c>
      <c r="F24" s="13">
        <v>0.67131944444444447</v>
      </c>
      <c r="G24" s="3">
        <v>0.85609953703703701</v>
      </c>
      <c r="H24" s="1">
        <v>0.18472222222222223</v>
      </c>
      <c r="I24" s="5">
        <v>705</v>
      </c>
      <c r="J24">
        <v>5324</v>
      </c>
      <c r="K24">
        <v>159</v>
      </c>
      <c r="L24" s="5">
        <v>171</v>
      </c>
      <c r="M24" s="5">
        <v>705</v>
      </c>
      <c r="N24">
        <v>27</v>
      </c>
      <c r="O24">
        <v>678</v>
      </c>
      <c r="P24" s="1">
        <v>0.2048611111111111</v>
      </c>
      <c r="Q24" s="5">
        <v>1200</v>
      </c>
      <c r="R24" s="14">
        <v>7.6</v>
      </c>
      <c r="S24">
        <v>159</v>
      </c>
      <c r="T24" s="5">
        <v>27</v>
      </c>
      <c r="U24" s="5">
        <v>679</v>
      </c>
      <c r="V24" s="5">
        <v>1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</row>
    <row r="25" spans="1:37" x14ac:dyDescent="0.25">
      <c r="A25" s="11">
        <f>Table1[[#This Row],[Milk Yield]]-J21</f>
        <v>417</v>
      </c>
      <c r="B25" t="s">
        <v>24</v>
      </c>
      <c r="C25" s="2">
        <v>3</v>
      </c>
      <c r="D25" s="12">
        <v>45473</v>
      </c>
      <c r="E25" s="2">
        <v>34</v>
      </c>
      <c r="F25" s="13">
        <v>3.449074074074074E-3</v>
      </c>
      <c r="G25" s="3">
        <v>0.22442129629629629</v>
      </c>
      <c r="H25" s="1">
        <v>0.22083333333333333</v>
      </c>
      <c r="I25" s="5">
        <v>735</v>
      </c>
      <c r="J25">
        <v>6906</v>
      </c>
      <c r="K25">
        <v>139</v>
      </c>
      <c r="L25" s="5">
        <v>1812</v>
      </c>
      <c r="M25" s="5">
        <v>735</v>
      </c>
      <c r="N25">
        <v>201</v>
      </c>
      <c r="O25">
        <v>534</v>
      </c>
      <c r="P25" s="1">
        <v>0.25277777777777777</v>
      </c>
      <c r="Q25" s="5">
        <v>1302</v>
      </c>
      <c r="R25" s="14">
        <v>9.4</v>
      </c>
      <c r="S25">
        <v>139</v>
      </c>
      <c r="T25" s="5">
        <v>201</v>
      </c>
      <c r="U25" s="5">
        <v>534</v>
      </c>
      <c r="V25" s="5">
        <v>0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</row>
    <row r="26" spans="1:37" x14ac:dyDescent="0.25">
      <c r="A26" s="11" t="e">
        <f>Table1[[#This Row],[Milk Yield]]-J22</f>
        <v>#VALUE!</v>
      </c>
      <c r="B26" t="s">
        <v>0</v>
      </c>
      <c r="C26" s="2" t="s">
        <v>1</v>
      </c>
      <c r="D26" s="12" t="s">
        <v>2</v>
      </c>
      <c r="E26" s="2" t="s">
        <v>3</v>
      </c>
      <c r="F26" s="13" t="s">
        <v>4</v>
      </c>
      <c r="G26" s="3" t="s">
        <v>5</v>
      </c>
      <c r="H26" s="1" t="s">
        <v>6</v>
      </c>
      <c r="I26" s="5" t="s">
        <v>8</v>
      </c>
      <c r="J26" t="s">
        <v>9</v>
      </c>
      <c r="K26" t="s">
        <v>10</v>
      </c>
      <c r="L26" s="5" t="s">
        <v>11</v>
      </c>
      <c r="M26" s="5" t="s">
        <v>12</v>
      </c>
      <c r="N26" t="s">
        <v>13</v>
      </c>
      <c r="O26" t="s">
        <v>20</v>
      </c>
      <c r="P26" t="s">
        <v>7</v>
      </c>
      <c r="Q26" s="5" t="s">
        <v>15</v>
      </c>
      <c r="R26" s="14" t="s">
        <v>18</v>
      </c>
      <c r="S26" t="s">
        <v>16</v>
      </c>
      <c r="T26" s="5" t="s">
        <v>14</v>
      </c>
      <c r="U26" s="5" t="s">
        <v>17</v>
      </c>
      <c r="V26" s="5" t="s">
        <v>19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</row>
    <row r="27" spans="1:37" x14ac:dyDescent="0.25">
      <c r="A27" s="11">
        <f>Table1[[#This Row],[Milk Yield]]-J23</f>
        <v>122</v>
      </c>
      <c r="B27" t="s">
        <v>24</v>
      </c>
      <c r="C27" s="2">
        <v>1</v>
      </c>
      <c r="D27" s="12">
        <v>45474</v>
      </c>
      <c r="E27" s="2">
        <v>32</v>
      </c>
      <c r="F27" s="13">
        <v>0.34538194444444442</v>
      </c>
      <c r="G27" s="3">
        <v>0.58436342592592594</v>
      </c>
      <c r="H27" s="1">
        <v>0.2388888888888889</v>
      </c>
      <c r="I27" s="5">
        <v>703</v>
      </c>
      <c r="J27">
        <v>7135</v>
      </c>
      <c r="K27">
        <v>123</v>
      </c>
      <c r="L27" s="5">
        <v>304</v>
      </c>
      <c r="M27" s="5">
        <v>703</v>
      </c>
      <c r="N27">
        <v>42</v>
      </c>
      <c r="O27">
        <v>661</v>
      </c>
      <c r="P27" s="1">
        <v>0.2361111111111111</v>
      </c>
      <c r="Q27" s="5">
        <v>1244</v>
      </c>
      <c r="R27" s="14">
        <v>10.199999999999999</v>
      </c>
      <c r="S27">
        <v>123</v>
      </c>
      <c r="T27" s="5">
        <v>42</v>
      </c>
      <c r="U27" s="5">
        <v>663</v>
      </c>
      <c r="V27" s="5">
        <v>2</v>
      </c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</row>
    <row r="28" spans="1:37" x14ac:dyDescent="0.25">
      <c r="A28" s="11">
        <f>Table1[[#This Row],[Milk Yield]]-J24</f>
        <v>1065</v>
      </c>
      <c r="B28" t="s">
        <v>24</v>
      </c>
      <c r="C28" s="2">
        <v>2</v>
      </c>
      <c r="D28" s="12">
        <v>45474</v>
      </c>
      <c r="E28" s="2">
        <v>32</v>
      </c>
      <c r="F28" s="13">
        <v>0.66616898148148151</v>
      </c>
      <c r="G28" s="3">
        <v>0.89449074074074075</v>
      </c>
      <c r="H28" s="1">
        <v>0.22777777777777777</v>
      </c>
      <c r="I28" s="5">
        <v>704</v>
      </c>
      <c r="J28">
        <v>6389</v>
      </c>
      <c r="K28">
        <v>128</v>
      </c>
      <c r="L28" s="5">
        <v>518</v>
      </c>
      <c r="M28" s="5">
        <v>704</v>
      </c>
      <c r="N28">
        <v>62</v>
      </c>
      <c r="O28">
        <v>642</v>
      </c>
      <c r="P28" s="1">
        <v>0.22569444444444445</v>
      </c>
      <c r="Q28" s="5">
        <v>1166</v>
      </c>
      <c r="R28" s="14">
        <v>9.1</v>
      </c>
      <c r="S28">
        <v>128</v>
      </c>
      <c r="T28" s="5">
        <v>62</v>
      </c>
      <c r="U28" s="5">
        <v>645</v>
      </c>
      <c r="V28" s="5">
        <v>3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</row>
    <row r="29" spans="1:37" x14ac:dyDescent="0.25">
      <c r="A29" s="11">
        <f>Table1[[#This Row],[Milk Yield]]-J25</f>
        <v>-582</v>
      </c>
      <c r="B29" t="s">
        <v>24</v>
      </c>
      <c r="C29" s="2">
        <v>3</v>
      </c>
      <c r="D29" s="12">
        <v>45474</v>
      </c>
      <c r="E29" s="2">
        <v>33</v>
      </c>
      <c r="F29" s="13">
        <v>8.8078703703703704E-3</v>
      </c>
      <c r="G29" s="3">
        <v>0.2202662037037037</v>
      </c>
      <c r="H29" s="1">
        <v>0.21111111111111111</v>
      </c>
      <c r="I29" s="5">
        <v>704</v>
      </c>
      <c r="J29">
        <v>6324</v>
      </c>
      <c r="K29">
        <v>139</v>
      </c>
      <c r="L29" s="5">
        <v>533</v>
      </c>
      <c r="M29" s="5">
        <v>704</v>
      </c>
      <c r="N29">
        <v>71</v>
      </c>
      <c r="O29">
        <v>633</v>
      </c>
      <c r="P29" s="1">
        <v>0.23541666666666666</v>
      </c>
      <c r="Q29" s="5">
        <v>1246</v>
      </c>
      <c r="R29" s="14">
        <v>9</v>
      </c>
      <c r="S29">
        <v>139</v>
      </c>
      <c r="T29" s="5">
        <v>71</v>
      </c>
      <c r="U29" s="5">
        <v>635</v>
      </c>
      <c r="V29" s="5">
        <v>2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</row>
    <row r="30" spans="1:37" x14ac:dyDescent="0.25">
      <c r="A30" s="11" t="e">
        <f>Table1[[#This Row],[Milk Yield]]-J26</f>
        <v>#VALUE!</v>
      </c>
      <c r="B30" t="s">
        <v>0</v>
      </c>
      <c r="C30" s="2" t="s">
        <v>1</v>
      </c>
      <c r="D30" s="12" t="s">
        <v>2</v>
      </c>
      <c r="E30" s="2" t="s">
        <v>3</v>
      </c>
      <c r="F30" s="13" t="s">
        <v>4</v>
      </c>
      <c r="G30" s="3" t="s">
        <v>5</v>
      </c>
      <c r="H30" s="1" t="s">
        <v>6</v>
      </c>
      <c r="I30" s="5" t="s">
        <v>8</v>
      </c>
      <c r="J30" t="s">
        <v>9</v>
      </c>
      <c r="K30" t="s">
        <v>10</v>
      </c>
      <c r="L30" s="5" t="s">
        <v>11</v>
      </c>
      <c r="M30" s="5" t="s">
        <v>12</v>
      </c>
      <c r="N30" t="s">
        <v>13</v>
      </c>
      <c r="O30" t="s">
        <v>20</v>
      </c>
      <c r="P30" t="s">
        <v>7</v>
      </c>
      <c r="Q30" s="5" t="s">
        <v>15</v>
      </c>
      <c r="R30" s="14" t="s">
        <v>18</v>
      </c>
      <c r="S30" t="s">
        <v>16</v>
      </c>
      <c r="T30" s="5" t="s">
        <v>14</v>
      </c>
      <c r="U30" s="5" t="s">
        <v>17</v>
      </c>
      <c r="V30" s="5" t="s">
        <v>19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</row>
    <row r="31" spans="1:37" x14ac:dyDescent="0.25">
      <c r="A31" s="11">
        <f>Table1[[#This Row],[Milk Yield]]-J27</f>
        <v>-462</v>
      </c>
      <c r="B31" t="s">
        <v>24</v>
      </c>
      <c r="C31" s="2">
        <v>1</v>
      </c>
      <c r="D31" s="12">
        <v>45475</v>
      </c>
      <c r="E31" s="2">
        <v>32</v>
      </c>
      <c r="F31" s="13">
        <v>0.34141203703703704</v>
      </c>
      <c r="G31" s="3">
        <v>0.59583333333333333</v>
      </c>
      <c r="H31" s="1">
        <v>0.25416666666666665</v>
      </c>
      <c r="I31" s="5">
        <v>693</v>
      </c>
      <c r="J31">
        <v>6673</v>
      </c>
      <c r="K31">
        <v>113</v>
      </c>
      <c r="L31" s="5">
        <v>230</v>
      </c>
      <c r="M31" s="5">
        <v>693</v>
      </c>
      <c r="N31">
        <v>26</v>
      </c>
      <c r="O31">
        <v>667</v>
      </c>
      <c r="P31" s="1">
        <v>0.22777777777777777</v>
      </c>
      <c r="Q31" s="5">
        <v>1093</v>
      </c>
      <c r="R31" s="14">
        <v>9.6999999999999993</v>
      </c>
      <c r="S31">
        <v>113</v>
      </c>
      <c r="T31" s="5">
        <v>26</v>
      </c>
      <c r="U31" s="5">
        <v>667</v>
      </c>
      <c r="V31" s="5">
        <v>2</v>
      </c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</row>
    <row r="32" spans="1:37" x14ac:dyDescent="0.25">
      <c r="A32" s="11">
        <f>Table1[[#This Row],[Milk Yield]]-J28</f>
        <v>759</v>
      </c>
      <c r="B32" t="s">
        <v>24</v>
      </c>
      <c r="C32" s="2">
        <v>2</v>
      </c>
      <c r="D32" s="12">
        <v>45475</v>
      </c>
      <c r="E32" s="2">
        <v>33</v>
      </c>
      <c r="F32" s="13">
        <v>0.7292939814814815</v>
      </c>
      <c r="G32" s="3">
        <v>0.93937499999999996</v>
      </c>
      <c r="H32" s="1">
        <v>0.20972222222222223</v>
      </c>
      <c r="I32" s="5">
        <v>713</v>
      </c>
      <c r="J32">
        <v>7148</v>
      </c>
      <c r="K32">
        <v>141</v>
      </c>
      <c r="L32" s="5">
        <v>781</v>
      </c>
      <c r="M32" s="5">
        <v>713</v>
      </c>
      <c r="N32">
        <v>93</v>
      </c>
      <c r="O32">
        <v>620</v>
      </c>
      <c r="P32" s="1">
        <v>0.24444444444444444</v>
      </c>
      <c r="Q32" s="5">
        <v>1418</v>
      </c>
      <c r="R32" s="14">
        <v>10.1</v>
      </c>
      <c r="S32">
        <v>141</v>
      </c>
      <c r="T32" s="5">
        <v>93</v>
      </c>
      <c r="U32" s="5">
        <v>623</v>
      </c>
      <c r="V32" s="5">
        <v>3</v>
      </c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</row>
    <row r="33" spans="1:37" x14ac:dyDescent="0.25">
      <c r="A33" s="11">
        <f>Table1[[#This Row],[Milk Yield]]-J29</f>
        <v>-467</v>
      </c>
      <c r="B33" t="s">
        <v>24</v>
      </c>
      <c r="C33" s="2">
        <v>3</v>
      </c>
      <c r="D33" s="12">
        <v>45475</v>
      </c>
      <c r="E33" s="2">
        <v>36</v>
      </c>
      <c r="F33" s="13">
        <v>1.7951388888888888E-2</v>
      </c>
      <c r="G33" s="3">
        <v>0.23252314814814815</v>
      </c>
      <c r="H33" s="1">
        <v>0.21388888888888888</v>
      </c>
      <c r="I33" s="5">
        <v>697</v>
      </c>
      <c r="J33">
        <v>5857</v>
      </c>
      <c r="K33">
        <v>135</v>
      </c>
      <c r="L33" s="5">
        <v>341</v>
      </c>
      <c r="M33" s="5">
        <v>697</v>
      </c>
      <c r="N33">
        <v>47</v>
      </c>
      <c r="O33">
        <v>650</v>
      </c>
      <c r="P33" s="1">
        <v>0.22291666666666668</v>
      </c>
      <c r="Q33" s="5">
        <v>1137</v>
      </c>
      <c r="R33" s="14">
        <v>8.5</v>
      </c>
      <c r="S33">
        <v>135</v>
      </c>
      <c r="T33" s="5">
        <v>47</v>
      </c>
      <c r="U33" s="5">
        <v>653</v>
      </c>
      <c r="V33" s="5">
        <v>3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</row>
    <row r="34" spans="1:37" x14ac:dyDescent="0.25">
      <c r="A34" s="11" t="e">
        <f>Table1[[#This Row],[Milk Yield]]-J30</f>
        <v>#VALUE!</v>
      </c>
      <c r="B34" t="s">
        <v>0</v>
      </c>
      <c r="C34" s="2" t="s">
        <v>1</v>
      </c>
      <c r="D34" s="12" t="s">
        <v>2</v>
      </c>
      <c r="E34" s="2" t="s">
        <v>3</v>
      </c>
      <c r="F34" s="13" t="s">
        <v>4</v>
      </c>
      <c r="G34" s="3" t="s">
        <v>5</v>
      </c>
      <c r="H34" s="1" t="s">
        <v>6</v>
      </c>
      <c r="I34" s="5" t="s">
        <v>8</v>
      </c>
      <c r="J34" t="s">
        <v>9</v>
      </c>
      <c r="K34" t="s">
        <v>10</v>
      </c>
      <c r="L34" s="5" t="s">
        <v>11</v>
      </c>
      <c r="M34" s="5" t="s">
        <v>12</v>
      </c>
      <c r="N34" t="s">
        <v>13</v>
      </c>
      <c r="O34" t="s">
        <v>20</v>
      </c>
      <c r="P34" t="s">
        <v>7</v>
      </c>
      <c r="Q34" s="5" t="s">
        <v>15</v>
      </c>
      <c r="R34" s="14" t="s">
        <v>18</v>
      </c>
      <c r="S34" t="s">
        <v>16</v>
      </c>
      <c r="T34" s="5" t="s">
        <v>14</v>
      </c>
      <c r="U34" s="5" t="s">
        <v>17</v>
      </c>
      <c r="V34" s="5" t="s">
        <v>19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</row>
    <row r="35" spans="1:37" x14ac:dyDescent="0.25">
      <c r="A35" s="11">
        <f>Table1[[#This Row],[Milk Yield]]-J31</f>
        <v>-393</v>
      </c>
      <c r="B35" t="s">
        <v>24</v>
      </c>
      <c r="C35" s="2">
        <v>1</v>
      </c>
      <c r="D35" s="12">
        <v>45476</v>
      </c>
      <c r="E35" s="2">
        <v>30</v>
      </c>
      <c r="F35" s="13">
        <v>0.34931712962962963</v>
      </c>
      <c r="G35" s="3">
        <v>0.57187500000000002</v>
      </c>
      <c r="H35" s="1">
        <v>0.22222222222222221</v>
      </c>
      <c r="I35" s="5">
        <v>692</v>
      </c>
      <c r="J35">
        <v>6280</v>
      </c>
      <c r="K35">
        <v>130</v>
      </c>
      <c r="L35" s="5">
        <v>350</v>
      </c>
      <c r="M35" s="5">
        <v>692</v>
      </c>
      <c r="N35">
        <v>43</v>
      </c>
      <c r="O35">
        <v>649</v>
      </c>
      <c r="P35" s="1">
        <v>0.22291666666666668</v>
      </c>
      <c r="Q35" s="5">
        <v>1176</v>
      </c>
      <c r="R35" s="14">
        <v>9.1</v>
      </c>
      <c r="S35">
        <v>130</v>
      </c>
      <c r="T35" s="5">
        <v>43</v>
      </c>
      <c r="U35" s="5">
        <v>651</v>
      </c>
      <c r="V35" s="5">
        <v>2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</row>
    <row r="36" spans="1:37" x14ac:dyDescent="0.25">
      <c r="A36" s="11">
        <f>Table1[[#This Row],[Milk Yield]]-J32</f>
        <v>-549</v>
      </c>
      <c r="B36" t="s">
        <v>24</v>
      </c>
      <c r="C36" s="2">
        <v>2</v>
      </c>
      <c r="D36" s="12">
        <v>45476</v>
      </c>
      <c r="E36" s="2">
        <v>34</v>
      </c>
      <c r="F36" s="13">
        <v>0.5774421296296296</v>
      </c>
      <c r="G36" s="3">
        <v>0.98862268518518515</v>
      </c>
      <c r="H36" s="1">
        <v>0.41111111111111109</v>
      </c>
      <c r="I36" s="5">
        <v>712</v>
      </c>
      <c r="J36">
        <v>6599</v>
      </c>
      <c r="K36">
        <v>72</v>
      </c>
      <c r="L36" s="5">
        <v>301</v>
      </c>
      <c r="M36" s="5">
        <v>712</v>
      </c>
      <c r="N36">
        <v>55</v>
      </c>
      <c r="O36">
        <v>657</v>
      </c>
      <c r="P36" s="1">
        <v>0.22430555555555556</v>
      </c>
      <c r="Q36" s="5">
        <v>669</v>
      </c>
      <c r="R36" s="14">
        <v>9.3000000000000007</v>
      </c>
      <c r="S36">
        <v>72</v>
      </c>
      <c r="T36" s="5">
        <v>55</v>
      </c>
      <c r="U36" s="5">
        <v>660</v>
      </c>
      <c r="V36" s="5">
        <v>3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</row>
    <row r="37" spans="1:37" x14ac:dyDescent="0.25">
      <c r="A37" s="11">
        <f>Table1[[#This Row],[Milk Yield]]-J33</f>
        <v>-446</v>
      </c>
      <c r="B37" t="s">
        <v>24</v>
      </c>
      <c r="C37" s="2">
        <v>3</v>
      </c>
      <c r="D37" s="12">
        <v>45476</v>
      </c>
      <c r="E37" s="2">
        <v>33</v>
      </c>
      <c r="F37" s="13">
        <v>1.5717592592592592E-2</v>
      </c>
      <c r="G37" s="3">
        <v>0.23709490740740741</v>
      </c>
      <c r="H37" s="1">
        <v>0.22083333333333333</v>
      </c>
      <c r="I37" s="5">
        <v>716</v>
      </c>
      <c r="J37">
        <v>5411</v>
      </c>
      <c r="K37">
        <v>135</v>
      </c>
      <c r="L37" s="5">
        <v>393</v>
      </c>
      <c r="M37" s="5">
        <v>716</v>
      </c>
      <c r="N37">
        <v>41</v>
      </c>
      <c r="O37">
        <v>675</v>
      </c>
      <c r="P37" s="1">
        <v>0.22569444444444445</v>
      </c>
      <c r="Q37" s="5">
        <v>1018</v>
      </c>
      <c r="R37" s="14">
        <v>7.6</v>
      </c>
      <c r="S37">
        <v>135</v>
      </c>
      <c r="T37" s="5">
        <v>41</v>
      </c>
      <c r="U37" s="5">
        <v>675</v>
      </c>
      <c r="V37" s="5">
        <v>3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</row>
    <row r="38" spans="1:37" x14ac:dyDescent="0.25">
      <c r="A38" s="11" t="e">
        <f>Table1[[#This Row],[Milk Yield]]-J34</f>
        <v>#VALUE!</v>
      </c>
      <c r="B38" t="s">
        <v>0</v>
      </c>
      <c r="C38" s="2" t="s">
        <v>1</v>
      </c>
      <c r="D38" s="12" t="s">
        <v>2</v>
      </c>
      <c r="E38" s="2" t="s">
        <v>3</v>
      </c>
      <c r="F38" s="13" t="s">
        <v>4</v>
      </c>
      <c r="G38" s="3" t="s">
        <v>5</v>
      </c>
      <c r="H38" s="1" t="s">
        <v>6</v>
      </c>
      <c r="I38" s="5" t="s">
        <v>8</v>
      </c>
      <c r="J38" t="s">
        <v>9</v>
      </c>
      <c r="K38" t="s">
        <v>10</v>
      </c>
      <c r="L38" s="5" t="s">
        <v>11</v>
      </c>
      <c r="M38" s="5" t="s">
        <v>12</v>
      </c>
      <c r="N38" t="s">
        <v>13</v>
      </c>
      <c r="O38" t="s">
        <v>20</v>
      </c>
      <c r="P38" t="s">
        <v>7</v>
      </c>
      <c r="Q38" s="5" t="s">
        <v>15</v>
      </c>
      <c r="R38" s="14" t="s">
        <v>18</v>
      </c>
      <c r="S38" t="s">
        <v>16</v>
      </c>
      <c r="T38" s="5" t="s">
        <v>14</v>
      </c>
      <c r="U38" s="5" t="s">
        <v>17</v>
      </c>
      <c r="V38" s="5" t="s">
        <v>19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</row>
    <row r="39" spans="1:37" x14ac:dyDescent="0.25">
      <c r="A39" s="11">
        <f>Table1[[#This Row],[Milk Yield]]-J35</f>
        <v>327</v>
      </c>
      <c r="B39" t="s">
        <v>24</v>
      </c>
      <c r="C39" s="2">
        <v>1</v>
      </c>
      <c r="D39" s="12">
        <v>45477</v>
      </c>
      <c r="E39" s="2">
        <v>28</v>
      </c>
      <c r="F39" s="13">
        <v>0.34359953703703705</v>
      </c>
      <c r="G39" s="3">
        <v>0.60961805555555559</v>
      </c>
      <c r="H39" s="1">
        <v>0.26597222222222222</v>
      </c>
      <c r="I39" s="5">
        <v>657</v>
      </c>
      <c r="J39">
        <v>6607</v>
      </c>
      <c r="K39">
        <v>103</v>
      </c>
      <c r="L39" s="5">
        <v>150</v>
      </c>
      <c r="M39" s="5">
        <v>657</v>
      </c>
      <c r="N39">
        <v>16</v>
      </c>
      <c r="O39">
        <v>641</v>
      </c>
      <c r="P39" s="1">
        <v>0.23402777777777778</v>
      </c>
      <c r="Q39" s="5">
        <v>1035</v>
      </c>
      <c r="R39" s="14">
        <v>10.1</v>
      </c>
      <c r="S39">
        <v>103</v>
      </c>
      <c r="T39" s="5">
        <v>16</v>
      </c>
      <c r="U39" s="5">
        <v>644</v>
      </c>
      <c r="V39" s="5">
        <v>3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</row>
    <row r="40" spans="1:37" x14ac:dyDescent="0.25">
      <c r="A40" s="11">
        <f>Table1[[#This Row],[Milk Yield]]-J36</f>
        <v>384</v>
      </c>
      <c r="B40" t="s">
        <v>24</v>
      </c>
      <c r="C40" s="2">
        <v>2</v>
      </c>
      <c r="D40" s="12">
        <v>45477</v>
      </c>
      <c r="E40" s="2">
        <v>30</v>
      </c>
      <c r="F40" s="13">
        <v>0.72674768518518518</v>
      </c>
      <c r="G40" s="3">
        <v>0.94687500000000002</v>
      </c>
      <c r="H40" s="1">
        <v>0.21944444444444444</v>
      </c>
      <c r="I40" s="5">
        <v>698</v>
      </c>
      <c r="J40">
        <v>6983</v>
      </c>
      <c r="K40">
        <v>132</v>
      </c>
      <c r="L40" s="5">
        <v>291</v>
      </c>
      <c r="M40" s="5">
        <v>697</v>
      </c>
      <c r="N40">
        <v>31</v>
      </c>
      <c r="O40">
        <v>666</v>
      </c>
      <c r="P40" s="1">
        <v>0.22500000000000001</v>
      </c>
      <c r="Q40" s="5">
        <v>1322</v>
      </c>
      <c r="R40" s="14">
        <v>10.1</v>
      </c>
      <c r="S40">
        <v>132</v>
      </c>
      <c r="T40" s="5">
        <v>31</v>
      </c>
      <c r="U40" s="5">
        <v>668</v>
      </c>
      <c r="V40" s="5">
        <v>3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</row>
    <row r="41" spans="1:37" x14ac:dyDescent="0.25">
      <c r="A41" s="11">
        <f>Table1[[#This Row],[Milk Yield]]-J37</f>
        <v>138</v>
      </c>
      <c r="B41" t="s">
        <v>24</v>
      </c>
      <c r="C41" s="2">
        <v>3</v>
      </c>
      <c r="D41" s="12">
        <v>45477</v>
      </c>
      <c r="E41" s="2">
        <v>30</v>
      </c>
      <c r="F41" s="13">
        <v>1.5891203703703703E-2</v>
      </c>
      <c r="G41" s="3">
        <v>0.22628472222222223</v>
      </c>
      <c r="H41" s="1">
        <v>0.20972222222222223</v>
      </c>
      <c r="I41" s="5">
        <v>696</v>
      </c>
      <c r="J41">
        <v>5549</v>
      </c>
      <c r="K41">
        <v>138</v>
      </c>
      <c r="L41" s="5">
        <v>154</v>
      </c>
      <c r="M41" s="5">
        <v>696</v>
      </c>
      <c r="N41">
        <v>23</v>
      </c>
      <c r="O41">
        <v>673</v>
      </c>
      <c r="P41" s="1">
        <v>0.2013888888888889</v>
      </c>
      <c r="Q41" s="5">
        <v>1099</v>
      </c>
      <c r="R41" s="14">
        <v>8</v>
      </c>
      <c r="S41">
        <v>138</v>
      </c>
      <c r="T41" s="5">
        <v>23</v>
      </c>
      <c r="U41" s="5">
        <v>675</v>
      </c>
      <c r="V41" s="5">
        <v>2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</row>
    <row r="42" spans="1:37" x14ac:dyDescent="0.25">
      <c r="A42" s="11" t="e">
        <f>Table1[[#This Row],[Milk Yield]]-J38</f>
        <v>#VALUE!</v>
      </c>
      <c r="B42" t="s">
        <v>0</v>
      </c>
      <c r="C42" s="2" t="s">
        <v>1</v>
      </c>
      <c r="D42" s="12" t="s">
        <v>2</v>
      </c>
      <c r="E42" s="2" t="s">
        <v>3</v>
      </c>
      <c r="F42" s="13" t="s">
        <v>4</v>
      </c>
      <c r="G42" s="3" t="s">
        <v>5</v>
      </c>
      <c r="H42" s="1" t="s">
        <v>6</v>
      </c>
      <c r="I42" s="5" t="s">
        <v>8</v>
      </c>
      <c r="J42" t="s">
        <v>9</v>
      </c>
      <c r="K42" t="s">
        <v>10</v>
      </c>
      <c r="L42" s="5" t="s">
        <v>11</v>
      </c>
      <c r="M42" s="5" t="s">
        <v>12</v>
      </c>
      <c r="N42" t="s">
        <v>13</v>
      </c>
      <c r="O42" t="s">
        <v>20</v>
      </c>
      <c r="P42" t="s">
        <v>7</v>
      </c>
      <c r="Q42" s="5" t="s">
        <v>15</v>
      </c>
      <c r="R42" s="14" t="s">
        <v>18</v>
      </c>
      <c r="S42" t="s">
        <v>16</v>
      </c>
      <c r="T42" s="5" t="s">
        <v>14</v>
      </c>
      <c r="U42" s="5" t="s">
        <v>17</v>
      </c>
      <c r="V42" s="5" t="s">
        <v>19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</row>
    <row r="43" spans="1:37" x14ac:dyDescent="0.25">
      <c r="A43" s="11">
        <f>Table1[[#This Row],[Milk Yield]]-J39</f>
        <v>-19</v>
      </c>
      <c r="B43" t="s">
        <v>24</v>
      </c>
      <c r="C43" s="2">
        <v>1</v>
      </c>
      <c r="D43" s="12">
        <v>45478</v>
      </c>
      <c r="E43" s="2">
        <v>32</v>
      </c>
      <c r="F43" s="13">
        <v>0.34136574074074072</v>
      </c>
      <c r="G43" s="3">
        <v>0.60693287037037036</v>
      </c>
      <c r="H43" s="1">
        <v>0.26527777777777778</v>
      </c>
      <c r="I43" s="5">
        <v>701</v>
      </c>
      <c r="J43">
        <v>6588</v>
      </c>
      <c r="K43">
        <v>110</v>
      </c>
      <c r="L43" s="5">
        <v>254</v>
      </c>
      <c r="M43" s="5">
        <v>696</v>
      </c>
      <c r="N43">
        <v>30</v>
      </c>
      <c r="O43">
        <v>666</v>
      </c>
      <c r="P43" s="1">
        <v>0.20833333333333334</v>
      </c>
      <c r="Q43" s="5">
        <v>1034</v>
      </c>
      <c r="R43" s="14">
        <v>9.5</v>
      </c>
      <c r="S43">
        <v>109</v>
      </c>
      <c r="T43" s="5">
        <v>30</v>
      </c>
      <c r="U43" s="5">
        <v>670</v>
      </c>
      <c r="V43" s="5">
        <v>4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</row>
    <row r="44" spans="1:37" x14ac:dyDescent="0.25">
      <c r="A44" s="11">
        <f>Table1[[#This Row],[Milk Yield]]-J40</f>
        <v>-588</v>
      </c>
      <c r="B44" t="s">
        <v>24</v>
      </c>
      <c r="C44" s="2">
        <v>2</v>
      </c>
      <c r="D44" s="12">
        <v>45478</v>
      </c>
      <c r="E44" s="2">
        <v>29</v>
      </c>
      <c r="F44" s="13">
        <v>0.68949074074074079</v>
      </c>
      <c r="G44" s="3">
        <v>0.88598379629629631</v>
      </c>
      <c r="H44" s="1">
        <v>0.19583333333333333</v>
      </c>
      <c r="I44" s="5">
        <v>703</v>
      </c>
      <c r="J44">
        <v>6395</v>
      </c>
      <c r="K44">
        <v>149</v>
      </c>
      <c r="L44" s="5">
        <v>392</v>
      </c>
      <c r="M44" s="5">
        <v>680</v>
      </c>
      <c r="N44">
        <v>46</v>
      </c>
      <c r="O44">
        <v>634</v>
      </c>
      <c r="P44" s="1">
        <v>0.21805555555555556</v>
      </c>
      <c r="Q44" s="5">
        <v>1356</v>
      </c>
      <c r="R44" s="14">
        <v>9.5</v>
      </c>
      <c r="S44">
        <v>144</v>
      </c>
      <c r="T44" s="5">
        <v>46</v>
      </c>
      <c r="U44" s="5">
        <v>635</v>
      </c>
      <c r="V44" s="5">
        <v>1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</row>
    <row r="45" spans="1:37" x14ac:dyDescent="0.25">
      <c r="A45" s="11">
        <f>Table1[[#This Row],[Milk Yield]]-J41</f>
        <v>846</v>
      </c>
      <c r="B45" t="s">
        <v>24</v>
      </c>
      <c r="C45" s="2">
        <v>3</v>
      </c>
      <c r="D45" s="12">
        <v>45478</v>
      </c>
      <c r="E45" s="2">
        <v>31</v>
      </c>
      <c r="F45" s="13">
        <v>1.0902777777777779E-2</v>
      </c>
      <c r="G45" s="3">
        <v>0.22211805555555555</v>
      </c>
      <c r="H45" s="1">
        <v>0.21111111111111111</v>
      </c>
      <c r="I45" s="5">
        <v>680</v>
      </c>
      <c r="J45">
        <v>6395</v>
      </c>
      <c r="K45">
        <v>134</v>
      </c>
      <c r="L45" s="5">
        <v>277</v>
      </c>
      <c r="M45" s="5">
        <v>680</v>
      </c>
      <c r="N45">
        <v>35</v>
      </c>
      <c r="O45">
        <v>645</v>
      </c>
      <c r="P45" s="1">
        <v>0.21180555555555555</v>
      </c>
      <c r="Q45" s="5">
        <v>1262</v>
      </c>
      <c r="R45" s="14">
        <v>9.5</v>
      </c>
      <c r="S45">
        <v>134</v>
      </c>
      <c r="T45" s="5">
        <v>35</v>
      </c>
      <c r="U45" s="5">
        <v>649</v>
      </c>
      <c r="V45" s="5">
        <v>4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</row>
    <row r="46" spans="1:37" x14ac:dyDescent="0.25">
      <c r="A46" s="11" t="e">
        <f>Table1[[#This Row],[Milk Yield]]-J42</f>
        <v>#VALUE!</v>
      </c>
      <c r="B46" t="s">
        <v>0</v>
      </c>
      <c r="C46" s="2" t="s">
        <v>1</v>
      </c>
      <c r="D46" s="12" t="s">
        <v>2</v>
      </c>
      <c r="E46" s="2" t="s">
        <v>3</v>
      </c>
      <c r="F46" s="13" t="s">
        <v>4</v>
      </c>
      <c r="G46" s="3" t="s">
        <v>5</v>
      </c>
      <c r="H46" s="1" t="s">
        <v>6</v>
      </c>
      <c r="I46" s="5" t="s">
        <v>8</v>
      </c>
      <c r="J46" t="s">
        <v>9</v>
      </c>
      <c r="K46" t="s">
        <v>10</v>
      </c>
      <c r="L46" s="5" t="s">
        <v>11</v>
      </c>
      <c r="M46" s="5" t="s">
        <v>12</v>
      </c>
      <c r="N46" t="s">
        <v>13</v>
      </c>
      <c r="O46" t="s">
        <v>20</v>
      </c>
      <c r="P46" t="s">
        <v>7</v>
      </c>
      <c r="Q46" s="5" t="s">
        <v>15</v>
      </c>
      <c r="R46" s="14" t="s">
        <v>18</v>
      </c>
      <c r="S46" t="s">
        <v>16</v>
      </c>
      <c r="T46" s="5" t="s">
        <v>14</v>
      </c>
      <c r="U46" s="5" t="s">
        <v>17</v>
      </c>
      <c r="V46" s="5" t="s">
        <v>19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</row>
    <row r="47" spans="1:37" x14ac:dyDescent="0.25">
      <c r="A47" s="11">
        <f>Table1[[#This Row],[Milk Yield]]-J43</f>
        <v>-162</v>
      </c>
      <c r="B47" t="s">
        <v>24</v>
      </c>
      <c r="C47" s="2">
        <v>1</v>
      </c>
      <c r="D47" s="12">
        <v>45479</v>
      </c>
      <c r="E47" s="2">
        <v>31</v>
      </c>
      <c r="F47" s="13">
        <v>0.34061342592592592</v>
      </c>
      <c r="G47" s="3">
        <v>0.56787037037037036</v>
      </c>
      <c r="H47" s="1">
        <v>0.22708333333333333</v>
      </c>
      <c r="I47" s="5">
        <v>684</v>
      </c>
      <c r="J47">
        <v>6426</v>
      </c>
      <c r="K47">
        <v>125</v>
      </c>
      <c r="L47" s="5">
        <v>333</v>
      </c>
      <c r="M47" s="5">
        <v>684</v>
      </c>
      <c r="N47">
        <v>42</v>
      </c>
      <c r="O47">
        <v>642</v>
      </c>
      <c r="P47" s="1">
        <v>0.21180555555555555</v>
      </c>
      <c r="Q47" s="5">
        <v>1178</v>
      </c>
      <c r="R47" s="14">
        <v>9.4</v>
      </c>
      <c r="S47">
        <v>125</v>
      </c>
      <c r="T47" s="5">
        <v>42</v>
      </c>
      <c r="U47" s="5">
        <v>645</v>
      </c>
      <c r="V47" s="5">
        <v>3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</row>
    <row r="48" spans="1:37" x14ac:dyDescent="0.25">
      <c r="A48" s="11">
        <f>Table1[[#This Row],[Milk Yield]]-J44</f>
        <v>-88</v>
      </c>
      <c r="B48" t="s">
        <v>24</v>
      </c>
      <c r="C48" s="2">
        <v>2</v>
      </c>
      <c r="D48" s="12">
        <v>45479</v>
      </c>
      <c r="E48" s="2">
        <v>31</v>
      </c>
      <c r="F48" s="13">
        <v>0.67583333333333329</v>
      </c>
      <c r="G48" s="3">
        <v>0.8558217592592593</v>
      </c>
      <c r="H48" s="1">
        <v>0.17986111111111111</v>
      </c>
      <c r="I48" s="5">
        <v>684</v>
      </c>
      <c r="J48">
        <v>6307</v>
      </c>
      <c r="K48">
        <v>158</v>
      </c>
      <c r="L48" s="5">
        <v>335</v>
      </c>
      <c r="M48" s="5">
        <v>684</v>
      </c>
      <c r="N48">
        <v>40</v>
      </c>
      <c r="O48">
        <v>644</v>
      </c>
      <c r="P48" s="1">
        <v>0.21041666666666667</v>
      </c>
      <c r="Q48" s="5">
        <v>1460</v>
      </c>
      <c r="R48" s="14">
        <v>9.3000000000000007</v>
      </c>
      <c r="S48">
        <v>158</v>
      </c>
      <c r="T48" s="5">
        <v>40</v>
      </c>
      <c r="U48" s="5">
        <v>647</v>
      </c>
      <c r="V48" s="5">
        <v>3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</row>
    <row r="49" spans="1:37" x14ac:dyDescent="0.25">
      <c r="A49" s="11">
        <f>Table1[[#This Row],[Milk Yield]]-J45</f>
        <v>536</v>
      </c>
      <c r="B49" t="s">
        <v>24</v>
      </c>
      <c r="C49" s="2">
        <v>3</v>
      </c>
      <c r="D49" s="12">
        <v>45479</v>
      </c>
      <c r="E49" s="2">
        <v>31</v>
      </c>
      <c r="F49" s="13">
        <v>8.9004629629629625E-3</v>
      </c>
      <c r="G49" s="3">
        <v>0.20520833333333333</v>
      </c>
      <c r="H49" s="1">
        <v>0.19583333333333333</v>
      </c>
      <c r="I49" s="5">
        <v>697</v>
      </c>
      <c r="J49">
        <v>6931</v>
      </c>
      <c r="K49">
        <v>148</v>
      </c>
      <c r="L49" s="5">
        <v>400</v>
      </c>
      <c r="M49" s="5">
        <v>697</v>
      </c>
      <c r="N49">
        <v>46</v>
      </c>
      <c r="O49">
        <v>651</v>
      </c>
      <c r="P49" s="1">
        <v>0.21805555555555556</v>
      </c>
      <c r="Q49" s="5">
        <v>1471</v>
      </c>
      <c r="R49" s="14">
        <v>10</v>
      </c>
      <c r="S49">
        <v>148</v>
      </c>
      <c r="T49" s="5">
        <v>46</v>
      </c>
      <c r="U49" s="5">
        <v>655</v>
      </c>
      <c r="V49" s="5">
        <v>4</v>
      </c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</row>
    <row r="50" spans="1:37" x14ac:dyDescent="0.25">
      <c r="A50" s="11" t="e">
        <f>Table1[[#This Row],[Milk Yield]]-J46</f>
        <v>#VALUE!</v>
      </c>
      <c r="B50" t="s">
        <v>0</v>
      </c>
      <c r="C50" s="2" t="s">
        <v>1</v>
      </c>
      <c r="D50" s="12" t="s">
        <v>2</v>
      </c>
      <c r="E50" s="2" t="s">
        <v>3</v>
      </c>
      <c r="F50" s="13" t="s">
        <v>4</v>
      </c>
      <c r="G50" s="3" t="s">
        <v>5</v>
      </c>
      <c r="H50" s="1" t="s">
        <v>6</v>
      </c>
      <c r="I50" s="5" t="s">
        <v>8</v>
      </c>
      <c r="J50" t="s">
        <v>9</v>
      </c>
      <c r="K50" t="s">
        <v>10</v>
      </c>
      <c r="L50" s="5" t="s">
        <v>11</v>
      </c>
      <c r="M50" s="5" t="s">
        <v>12</v>
      </c>
      <c r="N50" t="s">
        <v>13</v>
      </c>
      <c r="O50" t="s">
        <v>20</v>
      </c>
      <c r="P50" t="s">
        <v>7</v>
      </c>
      <c r="Q50" s="5" t="s">
        <v>15</v>
      </c>
      <c r="R50" s="14" t="s">
        <v>18</v>
      </c>
      <c r="S50" t="s">
        <v>16</v>
      </c>
      <c r="T50" s="5" t="s">
        <v>14</v>
      </c>
      <c r="U50" s="5" t="s">
        <v>17</v>
      </c>
      <c r="V50" s="5" t="s">
        <v>19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</row>
    <row r="51" spans="1:37" x14ac:dyDescent="0.25">
      <c r="A51" s="11">
        <f>Table1[[#This Row],[Milk Yield]]-J47</f>
        <v>46</v>
      </c>
      <c r="B51" t="s">
        <v>24</v>
      </c>
      <c r="C51" s="2">
        <v>1</v>
      </c>
      <c r="D51" s="12">
        <v>45480</v>
      </c>
      <c r="E51" s="2">
        <v>32</v>
      </c>
      <c r="F51" s="13">
        <v>0.33805555555555555</v>
      </c>
      <c r="G51" s="3">
        <v>0.5500694444444445</v>
      </c>
      <c r="H51" s="1">
        <v>0.21180555555555555</v>
      </c>
      <c r="I51" s="5">
        <v>685</v>
      </c>
      <c r="J51">
        <v>6472</v>
      </c>
      <c r="K51">
        <v>135</v>
      </c>
      <c r="L51" s="5">
        <v>352</v>
      </c>
      <c r="M51" s="5">
        <v>685</v>
      </c>
      <c r="N51">
        <v>35</v>
      </c>
      <c r="O51">
        <v>650</v>
      </c>
      <c r="P51" s="1">
        <v>0.21041666666666667</v>
      </c>
      <c r="Q51" s="5">
        <v>1272</v>
      </c>
      <c r="R51" s="14">
        <v>9.5</v>
      </c>
      <c r="S51">
        <v>135</v>
      </c>
      <c r="T51" s="5">
        <v>35</v>
      </c>
      <c r="U51" s="5">
        <v>652</v>
      </c>
      <c r="V51" s="5">
        <v>2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</row>
    <row r="52" spans="1:37" x14ac:dyDescent="0.25">
      <c r="A52" s="11">
        <f>Table1[[#This Row],[Milk Yield]]-J48</f>
        <v>282</v>
      </c>
      <c r="B52" t="s">
        <v>24</v>
      </c>
      <c r="C52" s="2">
        <v>2</v>
      </c>
      <c r="D52" s="12">
        <v>45480</v>
      </c>
      <c r="E52" s="2">
        <v>34</v>
      </c>
      <c r="F52" s="13">
        <v>0.6723958333333333</v>
      </c>
      <c r="G52" s="3">
        <v>0.86390046296296297</v>
      </c>
      <c r="H52" s="1">
        <v>0.19097222222222221</v>
      </c>
      <c r="I52" s="5">
        <v>702</v>
      </c>
      <c r="J52">
        <v>6589</v>
      </c>
      <c r="K52">
        <v>153</v>
      </c>
      <c r="L52" s="5">
        <v>352</v>
      </c>
      <c r="M52" s="5">
        <v>702</v>
      </c>
      <c r="N52">
        <v>37</v>
      </c>
      <c r="O52">
        <v>665</v>
      </c>
      <c r="P52" s="1">
        <v>0.20694444444444443</v>
      </c>
      <c r="Q52" s="5">
        <v>1434</v>
      </c>
      <c r="R52" s="14">
        <v>9.4</v>
      </c>
      <c r="S52">
        <v>153</v>
      </c>
      <c r="T52" s="5">
        <v>37</v>
      </c>
      <c r="U52" s="5">
        <v>670</v>
      </c>
      <c r="V52" s="5">
        <v>5</v>
      </c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</row>
    <row r="53" spans="1:37" x14ac:dyDescent="0.25">
      <c r="A53" s="11">
        <f>Table1[[#This Row],[Milk Yield]]-J49</f>
        <v>-77</v>
      </c>
      <c r="B53" t="s">
        <v>24</v>
      </c>
      <c r="C53" s="2">
        <v>3</v>
      </c>
      <c r="D53" s="12">
        <v>45480</v>
      </c>
      <c r="E53" s="2">
        <v>32</v>
      </c>
      <c r="F53" s="13">
        <v>5.4398148148148149E-3</v>
      </c>
      <c r="G53" s="3">
        <v>0.20211805555555556</v>
      </c>
      <c r="H53" s="1">
        <v>0.19652777777777777</v>
      </c>
      <c r="I53" s="5">
        <v>700</v>
      </c>
      <c r="J53">
        <v>6854</v>
      </c>
      <c r="K53">
        <v>148</v>
      </c>
      <c r="L53" s="5">
        <v>425</v>
      </c>
      <c r="M53" s="5">
        <v>700</v>
      </c>
      <c r="N53">
        <v>47</v>
      </c>
      <c r="O53">
        <v>653</v>
      </c>
      <c r="P53" s="1">
        <v>0.21736111111111112</v>
      </c>
      <c r="Q53" s="5">
        <v>1452</v>
      </c>
      <c r="R53" s="14">
        <v>9.8000000000000007</v>
      </c>
      <c r="S53">
        <v>148</v>
      </c>
      <c r="T53" s="5">
        <v>47</v>
      </c>
      <c r="U53" s="5">
        <v>658</v>
      </c>
      <c r="V53" s="5">
        <v>5</v>
      </c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</row>
    <row r="54" spans="1:37" x14ac:dyDescent="0.25">
      <c r="A54" s="11" t="e">
        <f>Table1[[#This Row],[Milk Yield]]-J50</f>
        <v>#VALUE!</v>
      </c>
      <c r="B54" t="s">
        <v>0</v>
      </c>
      <c r="C54" s="2" t="s">
        <v>1</v>
      </c>
      <c r="D54" s="12" t="s">
        <v>2</v>
      </c>
      <c r="E54" s="2" t="s">
        <v>3</v>
      </c>
      <c r="F54" s="13" t="s">
        <v>4</v>
      </c>
      <c r="G54" s="3" t="s">
        <v>5</v>
      </c>
      <c r="H54" s="1" t="s">
        <v>6</v>
      </c>
      <c r="I54" s="5" t="s">
        <v>8</v>
      </c>
      <c r="J54" t="s">
        <v>9</v>
      </c>
      <c r="K54" t="s">
        <v>10</v>
      </c>
      <c r="L54" s="5" t="s">
        <v>11</v>
      </c>
      <c r="M54" s="5" t="s">
        <v>12</v>
      </c>
      <c r="N54" t="s">
        <v>13</v>
      </c>
      <c r="O54" t="s">
        <v>20</v>
      </c>
      <c r="P54" t="s">
        <v>7</v>
      </c>
      <c r="Q54" s="5" t="s">
        <v>15</v>
      </c>
      <c r="R54" s="14" t="s">
        <v>18</v>
      </c>
      <c r="S54" t="s">
        <v>16</v>
      </c>
      <c r="T54" s="5" t="s">
        <v>14</v>
      </c>
      <c r="U54" s="5" t="s">
        <v>17</v>
      </c>
      <c r="V54" s="5" t="s">
        <v>19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</row>
    <row r="55" spans="1:37" x14ac:dyDescent="0.25">
      <c r="A55" s="11">
        <f>Table1[[#This Row],[Milk Yield]]-J51</f>
        <v>825</v>
      </c>
      <c r="B55" t="s">
        <v>24</v>
      </c>
      <c r="C55" s="2">
        <v>1</v>
      </c>
      <c r="D55" s="12">
        <v>45481</v>
      </c>
      <c r="E55" s="2">
        <v>32</v>
      </c>
      <c r="F55" s="13">
        <v>0.34004629629629629</v>
      </c>
      <c r="G55" s="3">
        <v>0.59348379629629633</v>
      </c>
      <c r="H55" s="1">
        <v>0.25277777777777777</v>
      </c>
      <c r="I55" s="5">
        <v>699</v>
      </c>
      <c r="J55">
        <v>7297</v>
      </c>
      <c r="K55">
        <v>115</v>
      </c>
      <c r="L55" s="5">
        <v>511</v>
      </c>
      <c r="M55" s="5">
        <v>699</v>
      </c>
      <c r="N55">
        <v>51</v>
      </c>
      <c r="O55">
        <v>648</v>
      </c>
      <c r="P55" s="1">
        <v>0.23680555555555555</v>
      </c>
      <c r="Q55" s="5">
        <v>1200</v>
      </c>
      <c r="R55" s="14">
        <v>10.5</v>
      </c>
      <c r="S55">
        <v>115</v>
      </c>
      <c r="T55" s="5">
        <v>51</v>
      </c>
      <c r="U55" s="5">
        <v>650</v>
      </c>
      <c r="V55" s="5">
        <v>4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</row>
    <row r="56" spans="1:37" x14ac:dyDescent="0.25">
      <c r="A56" s="11">
        <f>Table1[[#This Row],[Milk Yield]]-J52</f>
        <v>-567</v>
      </c>
      <c r="B56" t="s">
        <v>24</v>
      </c>
      <c r="C56" s="2">
        <v>2</v>
      </c>
      <c r="D56" s="12">
        <v>45481</v>
      </c>
      <c r="E56" s="2">
        <v>33</v>
      </c>
      <c r="F56" s="13">
        <v>0.67001157407407408</v>
      </c>
      <c r="G56" s="3">
        <v>0.87600694444444449</v>
      </c>
      <c r="H56" s="1">
        <v>0.20555555555555555</v>
      </c>
      <c r="I56" s="5">
        <v>686</v>
      </c>
      <c r="J56">
        <v>6022</v>
      </c>
      <c r="K56">
        <v>139</v>
      </c>
      <c r="L56" s="5">
        <v>474</v>
      </c>
      <c r="M56" s="5">
        <v>686</v>
      </c>
      <c r="N56">
        <v>53</v>
      </c>
      <c r="O56">
        <v>633</v>
      </c>
      <c r="P56" s="1">
        <v>0.20277777777777778</v>
      </c>
      <c r="Q56" s="5">
        <v>1218</v>
      </c>
      <c r="R56" s="14">
        <v>8.8000000000000007</v>
      </c>
      <c r="S56">
        <v>139</v>
      </c>
      <c r="T56" s="5">
        <v>53</v>
      </c>
      <c r="U56" s="5">
        <v>636</v>
      </c>
      <c r="V56" s="5">
        <v>3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</row>
    <row r="57" spans="1:37" x14ac:dyDescent="0.25">
      <c r="A57" s="11">
        <f>Table1[[#This Row],[Milk Yield]]-J53</f>
        <v>-75</v>
      </c>
      <c r="B57" t="s">
        <v>24</v>
      </c>
      <c r="C57" s="2">
        <v>3</v>
      </c>
      <c r="D57" s="12">
        <v>45481</v>
      </c>
      <c r="E57" s="2">
        <v>31</v>
      </c>
      <c r="F57" s="13">
        <v>3.9583333333333337E-3</v>
      </c>
      <c r="G57" s="3">
        <v>0.21875</v>
      </c>
      <c r="H57" s="1">
        <v>0.21458333333333332</v>
      </c>
      <c r="I57" s="5">
        <v>687</v>
      </c>
      <c r="J57">
        <v>6779</v>
      </c>
      <c r="K57">
        <v>133</v>
      </c>
      <c r="L57" s="5">
        <v>261</v>
      </c>
      <c r="M57" s="5">
        <v>687</v>
      </c>
      <c r="N57">
        <v>30</v>
      </c>
      <c r="O57">
        <v>657</v>
      </c>
      <c r="P57" s="1">
        <v>0.21527777777777779</v>
      </c>
      <c r="Q57" s="5">
        <v>1315</v>
      </c>
      <c r="R57" s="14">
        <v>9.9</v>
      </c>
      <c r="S57">
        <v>133</v>
      </c>
      <c r="T57" s="5">
        <v>30</v>
      </c>
      <c r="U57" s="5">
        <v>660</v>
      </c>
      <c r="V57" s="5">
        <v>3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</row>
    <row r="58" spans="1:37" x14ac:dyDescent="0.25">
      <c r="A58" s="11" t="e">
        <f>Table1[[#This Row],[Milk Yield]]-J54</f>
        <v>#VALUE!</v>
      </c>
      <c r="B58" t="s">
        <v>0</v>
      </c>
      <c r="C58" s="2" t="s">
        <v>1</v>
      </c>
      <c r="D58" s="12" t="s">
        <v>2</v>
      </c>
      <c r="E58" s="2" t="s">
        <v>3</v>
      </c>
      <c r="F58" s="13" t="s">
        <v>4</v>
      </c>
      <c r="G58" s="3" t="s">
        <v>5</v>
      </c>
      <c r="H58" s="1" t="s">
        <v>6</v>
      </c>
      <c r="I58" s="5" t="s">
        <v>8</v>
      </c>
      <c r="J58" t="s">
        <v>9</v>
      </c>
      <c r="K58" t="s">
        <v>10</v>
      </c>
      <c r="L58" s="5" t="s">
        <v>11</v>
      </c>
      <c r="M58" s="5" t="s">
        <v>12</v>
      </c>
      <c r="N58" t="s">
        <v>13</v>
      </c>
      <c r="O58" t="s">
        <v>20</v>
      </c>
      <c r="P58" t="s">
        <v>7</v>
      </c>
      <c r="Q58" s="5" t="s">
        <v>15</v>
      </c>
      <c r="R58" s="14" t="s">
        <v>18</v>
      </c>
      <c r="S58" t="s">
        <v>16</v>
      </c>
      <c r="T58" s="5" t="s">
        <v>14</v>
      </c>
      <c r="U58" s="5" t="s">
        <v>17</v>
      </c>
      <c r="V58" s="5" t="s">
        <v>19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</row>
    <row r="59" spans="1:37" x14ac:dyDescent="0.25">
      <c r="A59" s="11">
        <f>Table1[[#This Row],[Milk Yield]]-J55</f>
        <v>-387</v>
      </c>
      <c r="B59" t="s">
        <v>24</v>
      </c>
      <c r="C59" s="2">
        <v>1</v>
      </c>
      <c r="D59" s="12">
        <v>45482</v>
      </c>
      <c r="E59" s="2">
        <v>30</v>
      </c>
      <c r="F59" s="13">
        <v>0.34162037037037035</v>
      </c>
      <c r="G59" s="3">
        <v>0.56945601851851857</v>
      </c>
      <c r="H59" s="1">
        <v>0.22777777777777777</v>
      </c>
      <c r="I59" s="5">
        <v>688</v>
      </c>
      <c r="J59">
        <v>6910</v>
      </c>
      <c r="K59">
        <v>126</v>
      </c>
      <c r="L59" s="5">
        <v>329</v>
      </c>
      <c r="M59" s="5">
        <v>688</v>
      </c>
      <c r="N59">
        <v>37</v>
      </c>
      <c r="O59">
        <v>651</v>
      </c>
      <c r="P59" s="1">
        <v>0.23472222222222222</v>
      </c>
      <c r="Q59" s="5">
        <v>1264</v>
      </c>
      <c r="R59" s="14">
        <v>10.1</v>
      </c>
      <c r="S59">
        <v>126</v>
      </c>
      <c r="T59" s="5">
        <v>37</v>
      </c>
      <c r="U59" s="5">
        <v>652</v>
      </c>
      <c r="V59" s="5">
        <v>3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</row>
    <row r="60" spans="1:37" x14ac:dyDescent="0.25">
      <c r="A60" s="11">
        <f>Table1[[#This Row],[Milk Yield]]-J56</f>
        <v>588</v>
      </c>
      <c r="B60" t="s">
        <v>24</v>
      </c>
      <c r="C60" s="2">
        <v>2</v>
      </c>
      <c r="D60" s="12">
        <v>45482</v>
      </c>
      <c r="E60" s="2">
        <v>33</v>
      </c>
      <c r="F60" s="13">
        <v>0.67943287037037037</v>
      </c>
      <c r="G60" s="3">
        <v>0.85848379629629634</v>
      </c>
      <c r="H60" s="1">
        <v>0.17847222222222223</v>
      </c>
      <c r="I60" s="5">
        <v>688</v>
      </c>
      <c r="J60">
        <v>6610</v>
      </c>
      <c r="K60">
        <v>160</v>
      </c>
      <c r="L60" s="5">
        <v>228</v>
      </c>
      <c r="M60" s="5">
        <v>688</v>
      </c>
      <c r="N60">
        <v>25</v>
      </c>
      <c r="O60">
        <v>663</v>
      </c>
      <c r="P60" s="1">
        <v>0.2048611111111111</v>
      </c>
      <c r="Q60" s="5">
        <v>1538</v>
      </c>
      <c r="R60" s="14">
        <v>9.6999999999999993</v>
      </c>
      <c r="S60">
        <v>160</v>
      </c>
      <c r="T60" s="5">
        <v>25</v>
      </c>
      <c r="U60" s="5">
        <v>667</v>
      </c>
      <c r="V60" s="5">
        <v>4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</row>
    <row r="61" spans="1:37" x14ac:dyDescent="0.25">
      <c r="A61" s="11">
        <f>Table1[[#This Row],[Milk Yield]]-J57</f>
        <v>109</v>
      </c>
      <c r="B61" t="s">
        <v>24</v>
      </c>
      <c r="C61" s="2">
        <v>3</v>
      </c>
      <c r="D61" s="12">
        <v>45482</v>
      </c>
      <c r="E61" s="2">
        <v>33</v>
      </c>
      <c r="F61" s="13">
        <v>8.5532407407407415E-3</v>
      </c>
      <c r="G61" s="3">
        <v>0.21388888888888888</v>
      </c>
      <c r="H61" s="1">
        <v>0.2048611111111111</v>
      </c>
      <c r="I61" s="5">
        <v>694</v>
      </c>
      <c r="J61">
        <v>6888</v>
      </c>
      <c r="K61">
        <v>141</v>
      </c>
      <c r="L61" s="5">
        <v>481</v>
      </c>
      <c r="M61" s="5">
        <v>694</v>
      </c>
      <c r="N61">
        <v>53</v>
      </c>
      <c r="O61">
        <v>641</v>
      </c>
      <c r="P61" s="1">
        <v>0.23194444444444445</v>
      </c>
      <c r="Q61" s="5">
        <v>1398</v>
      </c>
      <c r="R61" s="14">
        <v>10</v>
      </c>
      <c r="S61">
        <v>141</v>
      </c>
      <c r="T61" s="5">
        <v>53</v>
      </c>
      <c r="U61" s="5">
        <v>645</v>
      </c>
      <c r="V61" s="5">
        <v>4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</row>
    <row r="62" spans="1:37" x14ac:dyDescent="0.25">
      <c r="A62" s="11" t="e">
        <f>Table1[[#This Row],[Milk Yield]]-J58</f>
        <v>#VALUE!</v>
      </c>
      <c r="B62" t="s">
        <v>26</v>
      </c>
      <c r="C62" s="2" t="s">
        <v>27</v>
      </c>
      <c r="D62" s="12" t="s">
        <v>28</v>
      </c>
      <c r="E62" s="2" t="s">
        <v>29</v>
      </c>
      <c r="F62" s="13" t="s">
        <v>30</v>
      </c>
      <c r="G62" s="3" t="s">
        <v>31</v>
      </c>
      <c r="H62" s="1" t="s">
        <v>32</v>
      </c>
      <c r="I62" s="5" t="s">
        <v>33</v>
      </c>
      <c r="J62" t="s">
        <v>34</v>
      </c>
      <c r="K62" t="s">
        <v>35</v>
      </c>
      <c r="L62" s="5" t="s">
        <v>36</v>
      </c>
      <c r="M62" s="5" t="s">
        <v>37</v>
      </c>
      <c r="N62" t="s">
        <v>38</v>
      </c>
      <c r="O62" t="s">
        <v>39</v>
      </c>
      <c r="P62" t="s">
        <v>40</v>
      </c>
      <c r="Q62" s="5" t="s">
        <v>41</v>
      </c>
      <c r="R62" s="14" t="s">
        <v>42</v>
      </c>
      <c r="S62" t="s">
        <v>43</v>
      </c>
      <c r="T62" s="5" t="s">
        <v>44</v>
      </c>
      <c r="U62" s="5" t="s">
        <v>45</v>
      </c>
      <c r="V62" s="5" t="s">
        <v>46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</row>
    <row r="63" spans="1:37" x14ac:dyDescent="0.25">
      <c r="A63" s="11">
        <f>Table1[[#This Row],[Milk Yield]]-J59</f>
        <v>-394</v>
      </c>
      <c r="B63" t="s">
        <v>24</v>
      </c>
      <c r="C63" s="2">
        <v>1</v>
      </c>
      <c r="D63" s="12">
        <v>45483</v>
      </c>
      <c r="E63" s="2">
        <v>30</v>
      </c>
      <c r="F63" s="13">
        <v>0.3334259259259259</v>
      </c>
      <c r="G63" s="3">
        <v>0.55062500000000003</v>
      </c>
      <c r="H63" s="1">
        <v>0.21666666666666667</v>
      </c>
      <c r="I63" s="5">
        <v>692</v>
      </c>
      <c r="J63">
        <v>6516</v>
      </c>
      <c r="K63">
        <v>133</v>
      </c>
      <c r="L63" s="5">
        <v>247</v>
      </c>
      <c r="M63" s="5">
        <v>692</v>
      </c>
      <c r="N63">
        <v>31</v>
      </c>
      <c r="O63">
        <v>661</v>
      </c>
      <c r="P63" s="1">
        <v>0.21180555555555555</v>
      </c>
      <c r="Q63" s="5">
        <v>1250</v>
      </c>
      <c r="R63" s="14">
        <v>9.5</v>
      </c>
      <c r="S63">
        <v>133</v>
      </c>
      <c r="T63" s="5">
        <v>31</v>
      </c>
      <c r="U63" s="5">
        <v>664</v>
      </c>
      <c r="V63" s="5">
        <v>3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</row>
    <row r="64" spans="1:37" x14ac:dyDescent="0.25">
      <c r="A64" s="11">
        <f>Table1[[#This Row],[Milk Yield]]-J60</f>
        <v>49</v>
      </c>
      <c r="B64" t="s">
        <v>24</v>
      </c>
      <c r="C64" s="2">
        <v>2</v>
      </c>
      <c r="D64" s="12">
        <v>45483</v>
      </c>
      <c r="E64" s="2">
        <v>31</v>
      </c>
      <c r="F64" s="13">
        <v>0.66302083333333328</v>
      </c>
      <c r="G64" s="3">
        <v>0.86606481481481479</v>
      </c>
      <c r="H64" s="1">
        <v>0.20277777777777778</v>
      </c>
      <c r="I64" s="5">
        <v>689</v>
      </c>
      <c r="J64">
        <v>6659</v>
      </c>
      <c r="K64">
        <v>141</v>
      </c>
      <c r="L64" s="5">
        <v>513</v>
      </c>
      <c r="M64" s="5">
        <v>689</v>
      </c>
      <c r="N64">
        <v>57</v>
      </c>
      <c r="O64">
        <v>632</v>
      </c>
      <c r="P64" s="1">
        <v>0.21319444444444444</v>
      </c>
      <c r="Q64" s="5">
        <v>1367</v>
      </c>
      <c r="R64" s="14">
        <v>9.6999999999999993</v>
      </c>
      <c r="S64">
        <v>141</v>
      </c>
      <c r="T64" s="5">
        <v>57</v>
      </c>
      <c r="U64" s="5">
        <v>635</v>
      </c>
      <c r="V64" s="5">
        <v>3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</row>
    <row r="65" spans="1:37" x14ac:dyDescent="0.25">
      <c r="A65" s="11">
        <f>Table1[[#This Row],[Milk Yield]]-J61</f>
        <v>405</v>
      </c>
      <c r="B65" t="s">
        <v>24</v>
      </c>
      <c r="C65" s="2">
        <v>3</v>
      </c>
      <c r="D65" s="12">
        <v>45483</v>
      </c>
      <c r="E65" s="2">
        <v>33</v>
      </c>
      <c r="F65" s="13">
        <v>1.4085648148148147E-2</v>
      </c>
      <c r="G65" s="3">
        <v>0.21770833333333334</v>
      </c>
      <c r="H65" s="1">
        <v>0.20347222222222222</v>
      </c>
      <c r="I65" s="5">
        <v>711</v>
      </c>
      <c r="J65">
        <v>7293</v>
      </c>
      <c r="K65">
        <v>145</v>
      </c>
      <c r="L65" s="5">
        <v>930</v>
      </c>
      <c r="M65" s="5">
        <v>711</v>
      </c>
      <c r="N65">
        <v>85</v>
      </c>
      <c r="O65">
        <v>626</v>
      </c>
      <c r="P65" s="1">
        <v>0.22847222222222222</v>
      </c>
      <c r="Q65" s="5">
        <v>1492</v>
      </c>
      <c r="R65" s="14">
        <v>10.3</v>
      </c>
      <c r="S65">
        <v>145</v>
      </c>
      <c r="T65" s="5">
        <v>85</v>
      </c>
      <c r="U65" s="5">
        <v>630</v>
      </c>
      <c r="V65" s="5">
        <v>4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</row>
    <row r="66" spans="1:37" x14ac:dyDescent="0.25">
      <c r="A66" s="11" t="e">
        <f>Table1[[#This Row],[Milk Yield]]-J62</f>
        <v>#VALUE!</v>
      </c>
      <c r="B66" t="s">
        <v>26</v>
      </c>
      <c r="C66" s="2" t="s">
        <v>27</v>
      </c>
      <c r="D66" s="12" t="s">
        <v>28</v>
      </c>
      <c r="E66" s="2" t="s">
        <v>29</v>
      </c>
      <c r="F66" s="13" t="s">
        <v>30</v>
      </c>
      <c r="G66" s="3" t="s">
        <v>31</v>
      </c>
      <c r="H66" s="1" t="s">
        <v>32</v>
      </c>
      <c r="I66" s="5" t="s">
        <v>33</v>
      </c>
      <c r="J66" t="s">
        <v>34</v>
      </c>
      <c r="K66" t="s">
        <v>35</v>
      </c>
      <c r="L66" s="5" t="s">
        <v>36</v>
      </c>
      <c r="M66" s="5" t="s">
        <v>37</v>
      </c>
      <c r="N66" t="s">
        <v>38</v>
      </c>
      <c r="O66" t="s">
        <v>39</v>
      </c>
      <c r="P66" t="s">
        <v>40</v>
      </c>
      <c r="Q66" s="5" t="s">
        <v>41</v>
      </c>
      <c r="R66" s="14" t="s">
        <v>42</v>
      </c>
      <c r="S66" t="s">
        <v>43</v>
      </c>
      <c r="T66" s="5" t="s">
        <v>44</v>
      </c>
      <c r="U66" s="5" t="s">
        <v>45</v>
      </c>
      <c r="V66" s="5" t="s">
        <v>46</v>
      </c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</row>
    <row r="67" spans="1:37" x14ac:dyDescent="0.25">
      <c r="A67" s="11">
        <f>Table1[[#This Row],[Milk Yield]]-J63</f>
        <v>321</v>
      </c>
      <c r="B67" t="s">
        <v>24</v>
      </c>
      <c r="C67" s="2">
        <v>1</v>
      </c>
      <c r="D67" s="12">
        <v>45484</v>
      </c>
      <c r="E67" s="2">
        <v>31</v>
      </c>
      <c r="F67" s="13">
        <v>0.34023148148148147</v>
      </c>
      <c r="G67" s="3">
        <v>0.58113425925925921</v>
      </c>
      <c r="H67" s="1">
        <v>0.24027777777777778</v>
      </c>
      <c r="I67" s="5">
        <v>718</v>
      </c>
      <c r="J67">
        <v>6837</v>
      </c>
      <c r="K67">
        <v>124</v>
      </c>
      <c r="L67" s="5">
        <v>223</v>
      </c>
      <c r="M67" s="5">
        <v>699</v>
      </c>
      <c r="N67">
        <v>26</v>
      </c>
      <c r="O67">
        <v>673</v>
      </c>
      <c r="P67" s="1">
        <v>0.22916666666666666</v>
      </c>
      <c r="Q67" s="5">
        <v>1182</v>
      </c>
      <c r="R67" s="14">
        <v>9.8000000000000007</v>
      </c>
      <c r="S67">
        <v>121</v>
      </c>
      <c r="T67" s="5">
        <v>26</v>
      </c>
      <c r="U67" s="5">
        <v>676</v>
      </c>
      <c r="V67" s="5">
        <v>3</v>
      </c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</row>
    <row r="68" spans="1:37" x14ac:dyDescent="0.25">
      <c r="A68" s="11">
        <f>Table1[[#This Row],[Milk Yield]]-J64</f>
        <v>-363</v>
      </c>
      <c r="B68" t="s">
        <v>24</v>
      </c>
      <c r="C68" s="2">
        <v>2</v>
      </c>
      <c r="D68" s="12">
        <v>45484</v>
      </c>
      <c r="E68" s="2">
        <v>32</v>
      </c>
      <c r="F68" s="13">
        <v>0.67405092592592597</v>
      </c>
      <c r="G68" s="3">
        <v>0.87251157407407409</v>
      </c>
      <c r="H68" s="1">
        <v>0.19791666666666666</v>
      </c>
      <c r="I68" s="5">
        <v>686</v>
      </c>
      <c r="J68">
        <v>6296</v>
      </c>
      <c r="K68">
        <v>144</v>
      </c>
      <c r="L68" s="5">
        <v>389</v>
      </c>
      <c r="M68" s="5">
        <v>686</v>
      </c>
      <c r="N68">
        <v>46</v>
      </c>
      <c r="O68">
        <v>640</v>
      </c>
      <c r="P68" s="1">
        <v>0.20833333333333334</v>
      </c>
      <c r="Q68" s="5">
        <v>1322</v>
      </c>
      <c r="R68" s="14">
        <v>9.1999999999999993</v>
      </c>
      <c r="S68">
        <v>144</v>
      </c>
      <c r="T68" s="5">
        <v>46</v>
      </c>
      <c r="U68" s="5">
        <v>640</v>
      </c>
      <c r="V68" s="5">
        <v>0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</row>
    <row r="69" spans="1:37" x14ac:dyDescent="0.25">
      <c r="A69" s="11">
        <f>Table1[[#This Row],[Milk Yield]]-J65</f>
        <v>-352</v>
      </c>
      <c r="B69" t="s">
        <v>24</v>
      </c>
      <c r="C69" s="2">
        <v>3</v>
      </c>
      <c r="D69" s="12">
        <v>45484</v>
      </c>
      <c r="E69" s="2">
        <v>32</v>
      </c>
      <c r="F69" s="13">
        <v>6.2731481481481484E-3</v>
      </c>
      <c r="G69" s="3">
        <v>0.20641203703703703</v>
      </c>
      <c r="H69" s="1">
        <v>0.2</v>
      </c>
      <c r="I69" s="5">
        <v>696</v>
      </c>
      <c r="J69">
        <v>6941</v>
      </c>
      <c r="K69">
        <v>145</v>
      </c>
      <c r="L69" s="5">
        <v>199</v>
      </c>
      <c r="M69" s="5">
        <v>696</v>
      </c>
      <c r="N69">
        <v>20</v>
      </c>
      <c r="O69">
        <v>676</v>
      </c>
      <c r="P69" s="1">
        <v>0.21527777777777779</v>
      </c>
      <c r="Q69" s="5">
        <v>1445</v>
      </c>
      <c r="R69" s="14">
        <v>10</v>
      </c>
      <c r="S69">
        <v>145</v>
      </c>
      <c r="T69" s="5">
        <v>20</v>
      </c>
      <c r="U69" s="5">
        <v>676</v>
      </c>
      <c r="V69" s="5">
        <v>0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</row>
    <row r="70" spans="1:37" x14ac:dyDescent="0.25">
      <c r="A70" s="11" t="e">
        <f>Table1[[#This Row],[Milk Yield]]-J66</f>
        <v>#VALUE!</v>
      </c>
      <c r="B70" t="s">
        <v>0</v>
      </c>
      <c r="C70" s="2" t="s">
        <v>1</v>
      </c>
      <c r="D70" s="12" t="s">
        <v>2</v>
      </c>
      <c r="E70" s="2" t="s">
        <v>3</v>
      </c>
      <c r="F70" s="13" t="s">
        <v>4</v>
      </c>
      <c r="G70" s="3" t="s">
        <v>5</v>
      </c>
      <c r="H70" s="1" t="s">
        <v>6</v>
      </c>
      <c r="I70" s="5" t="s">
        <v>8</v>
      </c>
      <c r="J70" t="s">
        <v>9</v>
      </c>
      <c r="K70" t="s">
        <v>10</v>
      </c>
      <c r="L70" s="5" t="s">
        <v>11</v>
      </c>
      <c r="M70" s="5" t="s">
        <v>12</v>
      </c>
      <c r="N70" t="s">
        <v>13</v>
      </c>
      <c r="O70" t="s">
        <v>20</v>
      </c>
      <c r="P70" t="s">
        <v>7</v>
      </c>
      <c r="Q70" s="5" t="s">
        <v>15</v>
      </c>
      <c r="R70" s="14" t="s">
        <v>18</v>
      </c>
      <c r="S70" t="s">
        <v>16</v>
      </c>
      <c r="T70" s="5" t="s">
        <v>14</v>
      </c>
      <c r="U70" s="5" t="s">
        <v>17</v>
      </c>
      <c r="V70" s="5" t="s">
        <v>19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</row>
    <row r="71" spans="1:37" x14ac:dyDescent="0.25">
      <c r="A71" s="11">
        <f>Table1[[#This Row],[Milk Yield]]-J67</f>
        <v>145</v>
      </c>
      <c r="B71" t="s">
        <v>24</v>
      </c>
      <c r="C71" s="2">
        <v>1</v>
      </c>
      <c r="D71" s="12">
        <v>45485</v>
      </c>
      <c r="E71" s="2">
        <v>30</v>
      </c>
      <c r="F71" s="13">
        <v>0.33815972222222224</v>
      </c>
      <c r="G71" s="3">
        <v>0.54987268518518517</v>
      </c>
      <c r="H71" s="1">
        <v>0.21111111111111111</v>
      </c>
      <c r="I71" s="5">
        <v>703</v>
      </c>
      <c r="J71">
        <v>6982</v>
      </c>
      <c r="K71">
        <v>138</v>
      </c>
      <c r="L71" s="5">
        <v>170</v>
      </c>
      <c r="M71" s="5">
        <v>703</v>
      </c>
      <c r="N71">
        <v>24</v>
      </c>
      <c r="O71">
        <v>679</v>
      </c>
      <c r="P71" s="1">
        <v>0.22083333333333333</v>
      </c>
      <c r="Q71" s="5">
        <v>1374</v>
      </c>
      <c r="R71" s="14">
        <v>10</v>
      </c>
      <c r="S71">
        <v>138</v>
      </c>
      <c r="T71" s="5">
        <v>24</v>
      </c>
      <c r="U71" s="5">
        <v>680</v>
      </c>
      <c r="V71" s="5">
        <v>1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</row>
    <row r="72" spans="1:37" x14ac:dyDescent="0.25">
      <c r="A72" s="11">
        <f>Table1[[#This Row],[Milk Yield]]-J68</f>
        <v>-14</v>
      </c>
      <c r="B72" t="s">
        <v>24</v>
      </c>
      <c r="C72" s="2">
        <v>2</v>
      </c>
      <c r="D72" s="12">
        <v>45485</v>
      </c>
      <c r="E72" s="2">
        <v>30</v>
      </c>
      <c r="F72" s="13">
        <v>0.67668981481481483</v>
      </c>
      <c r="G72" s="3">
        <v>0.85667824074074073</v>
      </c>
      <c r="H72" s="1">
        <v>0.17986111111111111</v>
      </c>
      <c r="I72" s="5">
        <v>689</v>
      </c>
      <c r="J72">
        <v>6282</v>
      </c>
      <c r="K72">
        <v>160</v>
      </c>
      <c r="L72" s="5">
        <v>180</v>
      </c>
      <c r="M72" s="5">
        <v>689</v>
      </c>
      <c r="N72">
        <v>21</v>
      </c>
      <c r="O72">
        <v>668</v>
      </c>
      <c r="P72" s="1">
        <v>0.19930555555555557</v>
      </c>
      <c r="Q72" s="5">
        <v>1454</v>
      </c>
      <c r="R72" s="14">
        <v>9.1999999999999993</v>
      </c>
      <c r="S72">
        <v>160</v>
      </c>
      <c r="T72" s="5">
        <v>21</v>
      </c>
      <c r="U72" s="5">
        <v>669</v>
      </c>
      <c r="V72" s="5">
        <v>1</v>
      </c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</row>
    <row r="73" spans="1:37" x14ac:dyDescent="0.25">
      <c r="A73" s="11">
        <f>Table1[[#This Row],[Milk Yield]]-J69</f>
        <v>-168</v>
      </c>
      <c r="B73" t="s">
        <v>24</v>
      </c>
      <c r="C73" s="2">
        <v>3</v>
      </c>
      <c r="D73" s="12">
        <v>45485</v>
      </c>
      <c r="E73" s="2">
        <v>31</v>
      </c>
      <c r="F73" s="13">
        <v>8.9699074074074073E-3</v>
      </c>
      <c r="G73" s="3">
        <v>0.20445601851851852</v>
      </c>
      <c r="H73" s="1">
        <v>0.19513888888888889</v>
      </c>
      <c r="I73" s="5">
        <v>694</v>
      </c>
      <c r="J73">
        <v>6773</v>
      </c>
      <c r="K73">
        <v>148</v>
      </c>
      <c r="L73" s="5">
        <v>277</v>
      </c>
      <c r="M73" s="5">
        <v>694</v>
      </c>
      <c r="N73">
        <v>30</v>
      </c>
      <c r="O73">
        <v>664</v>
      </c>
      <c r="P73" s="1">
        <v>0.21805555555555556</v>
      </c>
      <c r="Q73" s="5">
        <v>1444</v>
      </c>
      <c r="R73" s="14">
        <v>9.8000000000000007</v>
      </c>
      <c r="S73">
        <v>148</v>
      </c>
      <c r="T73" s="5">
        <v>30</v>
      </c>
      <c r="U73" s="5">
        <v>665</v>
      </c>
      <c r="V73" s="5">
        <v>1</v>
      </c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</row>
    <row r="74" spans="1:37" x14ac:dyDescent="0.25">
      <c r="A74" s="11" t="e">
        <f>Table1[[#This Row],[Milk Yield]]-J70</f>
        <v>#VALUE!</v>
      </c>
      <c r="B74" t="s">
        <v>0</v>
      </c>
      <c r="C74" s="2" t="s">
        <v>1</v>
      </c>
      <c r="D74" s="12" t="s">
        <v>2</v>
      </c>
      <c r="E74" s="2" t="s">
        <v>3</v>
      </c>
      <c r="F74" s="13" t="s">
        <v>4</v>
      </c>
      <c r="G74" s="3" t="s">
        <v>5</v>
      </c>
      <c r="H74" s="1" t="s">
        <v>6</v>
      </c>
      <c r="I74" s="5" t="s">
        <v>8</v>
      </c>
      <c r="J74" t="s">
        <v>9</v>
      </c>
      <c r="K74" t="s">
        <v>10</v>
      </c>
      <c r="L74" s="5" t="s">
        <v>11</v>
      </c>
      <c r="M74" s="5" t="s">
        <v>12</v>
      </c>
      <c r="N74" t="s">
        <v>13</v>
      </c>
      <c r="O74" t="s">
        <v>20</v>
      </c>
      <c r="P74" t="s">
        <v>7</v>
      </c>
      <c r="Q74" s="5" t="s">
        <v>15</v>
      </c>
      <c r="R74" s="14" t="s">
        <v>18</v>
      </c>
      <c r="S74" t="s">
        <v>16</v>
      </c>
      <c r="T74" s="5" t="s">
        <v>14</v>
      </c>
      <c r="U74" s="5" t="s">
        <v>17</v>
      </c>
      <c r="V74" s="5" t="s">
        <v>19</v>
      </c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</row>
    <row r="75" spans="1:37" x14ac:dyDescent="0.25">
      <c r="A75" s="11">
        <f>Table1[[#This Row],[Milk Yield]]-J71</f>
        <v>-124</v>
      </c>
      <c r="B75" t="s">
        <v>24</v>
      </c>
      <c r="C75" s="2">
        <v>1</v>
      </c>
      <c r="D75" s="12">
        <v>45486</v>
      </c>
      <c r="E75" s="2">
        <v>30</v>
      </c>
      <c r="F75" s="13">
        <v>0.3410185185185185</v>
      </c>
      <c r="G75" s="3">
        <v>0.54532407407407413</v>
      </c>
      <c r="H75" s="1">
        <v>0.20416666666666666</v>
      </c>
      <c r="I75" s="5">
        <v>690</v>
      </c>
      <c r="J75">
        <v>6858</v>
      </c>
      <c r="K75">
        <v>141</v>
      </c>
      <c r="L75" s="5">
        <v>105</v>
      </c>
      <c r="M75" s="5">
        <v>690</v>
      </c>
      <c r="N75">
        <v>11</v>
      </c>
      <c r="O75">
        <v>679</v>
      </c>
      <c r="P75" s="1">
        <v>0.21458333333333332</v>
      </c>
      <c r="Q75" s="5">
        <v>1399</v>
      </c>
      <c r="R75" s="14">
        <v>10</v>
      </c>
      <c r="S75">
        <v>141</v>
      </c>
      <c r="T75" s="5">
        <v>11</v>
      </c>
      <c r="U75" s="5">
        <v>679</v>
      </c>
      <c r="V75" s="5">
        <v>0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</row>
    <row r="76" spans="1:37" x14ac:dyDescent="0.25">
      <c r="A76" s="11">
        <f>Table1[[#This Row],[Milk Yield]]-J72</f>
        <v>-290</v>
      </c>
      <c r="B76" t="s">
        <v>24</v>
      </c>
      <c r="C76" s="2">
        <v>2</v>
      </c>
      <c r="D76" s="12">
        <v>45486</v>
      </c>
      <c r="E76" s="2">
        <v>29</v>
      </c>
      <c r="F76" s="13">
        <v>0.67311342592592593</v>
      </c>
      <c r="G76" s="3">
        <v>0.84163194444444445</v>
      </c>
      <c r="H76" s="1">
        <v>0.16805555555555557</v>
      </c>
      <c r="I76" s="5">
        <v>670</v>
      </c>
      <c r="J76">
        <v>5992</v>
      </c>
      <c r="K76">
        <v>166</v>
      </c>
      <c r="L76" s="5">
        <v>187</v>
      </c>
      <c r="M76" s="5">
        <v>670</v>
      </c>
      <c r="N76">
        <v>26</v>
      </c>
      <c r="O76">
        <v>644</v>
      </c>
      <c r="P76" s="1">
        <v>0.2048611111111111</v>
      </c>
      <c r="Q76" s="5">
        <v>1481</v>
      </c>
      <c r="R76" s="14">
        <v>9</v>
      </c>
      <c r="S76">
        <v>166</v>
      </c>
      <c r="T76" s="5">
        <v>26</v>
      </c>
      <c r="U76" s="5">
        <v>644</v>
      </c>
      <c r="V76" s="5">
        <v>0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</row>
    <row r="77" spans="1:37" x14ac:dyDescent="0.25">
      <c r="A77" s="11">
        <f>Table1[[#This Row],[Milk Yield]]-J73</f>
        <v>116</v>
      </c>
      <c r="B77" t="s">
        <v>24</v>
      </c>
      <c r="C77" s="2">
        <v>3</v>
      </c>
      <c r="D77" s="12">
        <v>45486</v>
      </c>
      <c r="E77" s="2">
        <v>33</v>
      </c>
      <c r="F77" s="13">
        <v>9.9189814814814817E-3</v>
      </c>
      <c r="G77" s="3">
        <v>0.20267361111111112</v>
      </c>
      <c r="H77" s="1">
        <v>0.19236111111111112</v>
      </c>
      <c r="I77" s="5">
        <v>704</v>
      </c>
      <c r="J77">
        <v>6889</v>
      </c>
      <c r="K77">
        <v>152</v>
      </c>
      <c r="L77" s="5">
        <v>649</v>
      </c>
      <c r="M77" s="5">
        <v>704</v>
      </c>
      <c r="N77">
        <v>72</v>
      </c>
      <c r="O77">
        <v>632</v>
      </c>
      <c r="P77" s="1">
        <v>0.23541666666666666</v>
      </c>
      <c r="Q77" s="5">
        <v>1489</v>
      </c>
      <c r="R77" s="14">
        <v>9.8000000000000007</v>
      </c>
      <c r="S77">
        <v>152</v>
      </c>
      <c r="T77" s="5">
        <v>72</v>
      </c>
      <c r="U77" s="5">
        <v>632</v>
      </c>
      <c r="V77" s="5">
        <v>0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</row>
    <row r="78" spans="1:37" x14ac:dyDescent="0.25">
      <c r="A78" s="11" t="e">
        <f>Table1[[#This Row],[Milk Yield]]-J74</f>
        <v>#VALUE!</v>
      </c>
      <c r="B78" t="s">
        <v>0</v>
      </c>
      <c r="C78" s="2" t="s">
        <v>1</v>
      </c>
      <c r="D78" s="12" t="s">
        <v>2</v>
      </c>
      <c r="E78" s="2" t="s">
        <v>3</v>
      </c>
      <c r="F78" s="13" t="s">
        <v>4</v>
      </c>
      <c r="G78" s="3" t="s">
        <v>5</v>
      </c>
      <c r="H78" s="1" t="s">
        <v>6</v>
      </c>
      <c r="I78" s="5" t="s">
        <v>8</v>
      </c>
      <c r="J78" t="s">
        <v>9</v>
      </c>
      <c r="K78" t="s">
        <v>10</v>
      </c>
      <c r="L78" s="5" t="s">
        <v>11</v>
      </c>
      <c r="M78" s="5" t="s">
        <v>12</v>
      </c>
      <c r="N78" t="s">
        <v>13</v>
      </c>
      <c r="O78" t="s">
        <v>20</v>
      </c>
      <c r="P78" t="s">
        <v>7</v>
      </c>
      <c r="Q78" s="5" t="s">
        <v>15</v>
      </c>
      <c r="R78" s="14" t="s">
        <v>18</v>
      </c>
      <c r="S78" t="s">
        <v>16</v>
      </c>
      <c r="T78" s="5" t="s">
        <v>14</v>
      </c>
      <c r="U78" s="5" t="s">
        <v>17</v>
      </c>
      <c r="V78" s="5" t="s">
        <v>19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</row>
    <row r="79" spans="1:37" x14ac:dyDescent="0.25">
      <c r="A79" s="11">
        <f>Table1[[#This Row],[Milk Yield]]-J75</f>
        <v>-61</v>
      </c>
      <c r="B79" t="s">
        <v>24</v>
      </c>
      <c r="C79" s="2">
        <v>1</v>
      </c>
      <c r="D79" s="12">
        <v>45487</v>
      </c>
      <c r="E79" s="2">
        <v>29</v>
      </c>
      <c r="F79" s="13">
        <v>0.34564814814814815</v>
      </c>
      <c r="G79" s="3">
        <v>0.55467592592592596</v>
      </c>
      <c r="H79" s="1">
        <v>0.20902777777777778</v>
      </c>
      <c r="I79" s="5">
        <v>687</v>
      </c>
      <c r="J79">
        <v>6797</v>
      </c>
      <c r="K79">
        <v>137</v>
      </c>
      <c r="L79" s="5">
        <v>159</v>
      </c>
      <c r="M79" s="5">
        <v>687</v>
      </c>
      <c r="N79">
        <v>20</v>
      </c>
      <c r="O79">
        <v>667</v>
      </c>
      <c r="P79" s="1">
        <v>0.21875</v>
      </c>
      <c r="Q79" s="5">
        <v>1355</v>
      </c>
      <c r="R79" s="14">
        <v>9.9</v>
      </c>
      <c r="S79">
        <v>137</v>
      </c>
      <c r="T79" s="5">
        <v>20</v>
      </c>
      <c r="U79" s="5">
        <v>668</v>
      </c>
      <c r="V79" s="5">
        <v>1</v>
      </c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</row>
    <row r="80" spans="1:37" x14ac:dyDescent="0.25">
      <c r="A80" s="11">
        <f>Table1[[#This Row],[Milk Yield]]-J76</f>
        <v>93</v>
      </c>
      <c r="B80" t="s">
        <v>24</v>
      </c>
      <c r="C80" s="2">
        <v>2</v>
      </c>
      <c r="D80" s="12">
        <v>45487</v>
      </c>
      <c r="E80" s="2">
        <v>32</v>
      </c>
      <c r="F80" s="13">
        <v>0.66826388888888888</v>
      </c>
      <c r="G80" s="3">
        <v>0.85938657407407404</v>
      </c>
      <c r="H80" s="1">
        <v>0.19097222222222221</v>
      </c>
      <c r="I80" s="5">
        <v>698</v>
      </c>
      <c r="J80">
        <v>6085</v>
      </c>
      <c r="K80">
        <v>152</v>
      </c>
      <c r="L80" s="5">
        <v>101</v>
      </c>
      <c r="M80" s="5">
        <v>698</v>
      </c>
      <c r="N80">
        <v>14</v>
      </c>
      <c r="O80">
        <v>684</v>
      </c>
      <c r="P80" s="1">
        <v>0.19305555555555556</v>
      </c>
      <c r="Q80" s="5">
        <v>1327</v>
      </c>
      <c r="R80" s="14">
        <v>8.8000000000000007</v>
      </c>
      <c r="S80">
        <v>152</v>
      </c>
      <c r="T80" s="5">
        <v>14</v>
      </c>
      <c r="U80" s="5">
        <v>685</v>
      </c>
      <c r="V80" s="5">
        <v>1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</row>
    <row r="81" spans="1:37" x14ac:dyDescent="0.25">
      <c r="A81" s="11">
        <f>Table1[[#This Row],[Milk Yield]]-J77</f>
        <v>-322</v>
      </c>
      <c r="B81" t="s">
        <v>24</v>
      </c>
      <c r="C81" s="2">
        <v>3</v>
      </c>
      <c r="D81" s="12">
        <v>45487</v>
      </c>
      <c r="E81" s="2">
        <v>33</v>
      </c>
      <c r="F81" s="13">
        <v>6.6319444444444446E-3</v>
      </c>
      <c r="G81" s="3">
        <v>0.20094907407407409</v>
      </c>
      <c r="H81" s="1">
        <v>0.19375000000000001</v>
      </c>
      <c r="I81" s="5">
        <v>692</v>
      </c>
      <c r="J81">
        <v>6567</v>
      </c>
      <c r="K81">
        <v>148</v>
      </c>
      <c r="L81" s="5">
        <v>235</v>
      </c>
      <c r="M81" s="5">
        <v>692</v>
      </c>
      <c r="N81">
        <v>27</v>
      </c>
      <c r="O81">
        <v>665</v>
      </c>
      <c r="P81" s="1">
        <v>0.21527777777777779</v>
      </c>
      <c r="Q81" s="5">
        <v>1408</v>
      </c>
      <c r="R81" s="14">
        <v>9.5</v>
      </c>
      <c r="S81">
        <v>148</v>
      </c>
      <c r="T81" s="5">
        <v>27</v>
      </c>
      <c r="U81" s="5">
        <v>666</v>
      </c>
      <c r="V81" s="5">
        <v>1</v>
      </c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</row>
    <row r="82" spans="1:37" x14ac:dyDescent="0.25">
      <c r="A82" s="11" t="e">
        <f>Table1[[#This Row],[Milk Yield]]-J78</f>
        <v>#VALUE!</v>
      </c>
      <c r="B82" t="s">
        <v>0</v>
      </c>
      <c r="C82" s="2" t="s">
        <v>1</v>
      </c>
      <c r="D82" s="12" t="s">
        <v>2</v>
      </c>
      <c r="E82" s="2" t="s">
        <v>3</v>
      </c>
      <c r="F82" s="13" t="s">
        <v>4</v>
      </c>
      <c r="G82" s="3" t="s">
        <v>5</v>
      </c>
      <c r="H82" s="1" t="s">
        <v>6</v>
      </c>
      <c r="I82" s="5" t="s">
        <v>8</v>
      </c>
      <c r="J82" t="s">
        <v>9</v>
      </c>
      <c r="K82" t="s">
        <v>10</v>
      </c>
      <c r="L82" s="5" t="s">
        <v>11</v>
      </c>
      <c r="M82" s="5" t="s">
        <v>12</v>
      </c>
      <c r="N82" t="s">
        <v>13</v>
      </c>
      <c r="O82" t="s">
        <v>20</v>
      </c>
      <c r="P82" t="s">
        <v>7</v>
      </c>
      <c r="Q82" s="5" t="s">
        <v>15</v>
      </c>
      <c r="R82" s="14" t="s">
        <v>18</v>
      </c>
      <c r="S82" t="s">
        <v>16</v>
      </c>
      <c r="T82" s="5" t="s">
        <v>14</v>
      </c>
      <c r="U82" s="5" t="s">
        <v>17</v>
      </c>
      <c r="V82" s="5" t="s">
        <v>19</v>
      </c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</row>
    <row r="83" spans="1:37" x14ac:dyDescent="0.25">
      <c r="A83" s="11">
        <f>Table1[[#This Row],[Milk Yield]]-J79</f>
        <v>21</v>
      </c>
      <c r="B83" t="s">
        <v>24</v>
      </c>
      <c r="C83" s="2">
        <v>1</v>
      </c>
      <c r="D83" s="12">
        <v>45488</v>
      </c>
      <c r="E83" s="2">
        <v>30</v>
      </c>
      <c r="F83" s="13">
        <v>0.34251157407407407</v>
      </c>
      <c r="G83" s="3">
        <v>0.57718749999999996</v>
      </c>
      <c r="H83" s="1">
        <v>0.23402777777777778</v>
      </c>
      <c r="I83" s="5">
        <v>695</v>
      </c>
      <c r="J83">
        <v>6818</v>
      </c>
      <c r="K83">
        <v>123</v>
      </c>
      <c r="L83" s="5">
        <v>166</v>
      </c>
      <c r="M83" s="5">
        <v>695</v>
      </c>
      <c r="N83">
        <v>13</v>
      </c>
      <c r="O83">
        <v>682</v>
      </c>
      <c r="P83" s="1">
        <v>0.21111111111111111</v>
      </c>
      <c r="Q83" s="5">
        <v>1211</v>
      </c>
      <c r="R83" s="14">
        <v>9.9</v>
      </c>
      <c r="S83">
        <v>123</v>
      </c>
      <c r="T83" s="5">
        <v>13</v>
      </c>
      <c r="U83" s="5">
        <v>682</v>
      </c>
      <c r="V83" s="5">
        <v>0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</row>
    <row r="84" spans="1:37" x14ac:dyDescent="0.25">
      <c r="A84" s="11">
        <f>Table1[[#This Row],[Milk Yield]]-J80</f>
        <v>-4</v>
      </c>
      <c r="B84" t="s">
        <v>24</v>
      </c>
      <c r="C84" s="2">
        <v>2</v>
      </c>
      <c r="D84" s="12">
        <v>45488</v>
      </c>
      <c r="E84" s="2">
        <v>32</v>
      </c>
      <c r="F84" s="13">
        <v>0.67216435185185186</v>
      </c>
      <c r="G84" s="3">
        <v>0.86052083333333329</v>
      </c>
      <c r="H84" s="1">
        <v>0.18819444444444444</v>
      </c>
      <c r="I84" s="5">
        <v>701</v>
      </c>
      <c r="J84">
        <v>6081</v>
      </c>
      <c r="K84">
        <v>155</v>
      </c>
      <c r="L84" s="5">
        <v>329</v>
      </c>
      <c r="M84" s="5">
        <v>701</v>
      </c>
      <c r="N84">
        <v>40</v>
      </c>
      <c r="O84">
        <v>661</v>
      </c>
      <c r="P84" s="1">
        <v>0.21111111111111111</v>
      </c>
      <c r="Q84" s="5">
        <v>1345</v>
      </c>
      <c r="R84" s="14">
        <v>8.6999999999999993</v>
      </c>
      <c r="S84">
        <v>155</v>
      </c>
      <c r="T84" s="5">
        <v>40</v>
      </c>
      <c r="U84" s="5">
        <v>661</v>
      </c>
      <c r="V84" s="5">
        <v>0</v>
      </c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</row>
    <row r="85" spans="1:37" x14ac:dyDescent="0.25">
      <c r="A85" s="11">
        <f>Table1[[#This Row],[Milk Yield]]-J81</f>
        <v>-400</v>
      </c>
      <c r="B85" t="s">
        <v>24</v>
      </c>
      <c r="C85" s="2">
        <v>3</v>
      </c>
      <c r="D85" s="12">
        <v>45488</v>
      </c>
      <c r="E85" s="2">
        <v>31</v>
      </c>
      <c r="F85" s="13">
        <v>1.9201388888888889E-2</v>
      </c>
      <c r="G85" s="3">
        <v>0.21189814814814814</v>
      </c>
      <c r="H85" s="1">
        <v>0.19236111111111112</v>
      </c>
      <c r="I85" s="5">
        <v>688</v>
      </c>
      <c r="J85">
        <v>6167</v>
      </c>
      <c r="K85">
        <v>149</v>
      </c>
      <c r="L85" s="5">
        <v>162</v>
      </c>
      <c r="M85" s="5">
        <v>688</v>
      </c>
      <c r="N85">
        <v>20</v>
      </c>
      <c r="O85">
        <v>668</v>
      </c>
      <c r="P85" s="1">
        <v>0.19930555555555557</v>
      </c>
      <c r="Q85" s="5">
        <v>1333</v>
      </c>
      <c r="R85" s="14">
        <v>9</v>
      </c>
      <c r="S85">
        <v>149</v>
      </c>
      <c r="T85" s="5">
        <v>20</v>
      </c>
      <c r="U85" s="5">
        <v>668</v>
      </c>
      <c r="V85" s="5">
        <v>0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</row>
    <row r="86" spans="1:37" x14ac:dyDescent="0.25">
      <c r="A86" s="11" t="e">
        <f>Table1[[#This Row],[Milk Yield]]-J82</f>
        <v>#VALUE!</v>
      </c>
      <c r="B86" t="s">
        <v>0</v>
      </c>
      <c r="C86" s="2" t="s">
        <v>1</v>
      </c>
      <c r="D86" s="12" t="s">
        <v>2</v>
      </c>
      <c r="E86" s="2" t="s">
        <v>3</v>
      </c>
      <c r="F86" s="13" t="s">
        <v>4</v>
      </c>
      <c r="G86" s="3" t="s">
        <v>5</v>
      </c>
      <c r="H86" s="1" t="s">
        <v>6</v>
      </c>
      <c r="I86" s="5" t="s">
        <v>8</v>
      </c>
      <c r="J86" t="s">
        <v>9</v>
      </c>
      <c r="K86" t="s">
        <v>10</v>
      </c>
      <c r="L86" s="5" t="s">
        <v>11</v>
      </c>
      <c r="M86" s="5" t="s">
        <v>12</v>
      </c>
      <c r="N86" t="s">
        <v>13</v>
      </c>
      <c r="O86" t="s">
        <v>20</v>
      </c>
      <c r="P86" t="s">
        <v>7</v>
      </c>
      <c r="Q86" s="5" t="s">
        <v>15</v>
      </c>
      <c r="R86" s="14" t="s">
        <v>18</v>
      </c>
      <c r="S86" t="s">
        <v>16</v>
      </c>
      <c r="T86" s="5" t="s">
        <v>14</v>
      </c>
      <c r="U86" s="5" t="s">
        <v>17</v>
      </c>
      <c r="V86" s="5" t="s">
        <v>19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</row>
    <row r="87" spans="1:37" x14ac:dyDescent="0.25">
      <c r="A87" s="11">
        <f>Table1[[#This Row],[Milk Yield]]-J83</f>
        <v>-257</v>
      </c>
      <c r="B87" t="s">
        <v>24</v>
      </c>
      <c r="C87" s="2">
        <v>1</v>
      </c>
      <c r="D87" s="12">
        <v>45489</v>
      </c>
      <c r="E87" s="2">
        <v>31</v>
      </c>
      <c r="F87" s="13">
        <v>0.33990740740740738</v>
      </c>
      <c r="G87" s="3">
        <v>0.57476851851851851</v>
      </c>
      <c r="H87" s="1">
        <v>0.23472222222222222</v>
      </c>
      <c r="I87" s="5">
        <v>678</v>
      </c>
      <c r="J87">
        <v>6561</v>
      </c>
      <c r="K87">
        <v>120</v>
      </c>
      <c r="L87" s="5">
        <v>195</v>
      </c>
      <c r="M87" s="5">
        <v>678</v>
      </c>
      <c r="N87">
        <v>21</v>
      </c>
      <c r="O87">
        <v>657</v>
      </c>
      <c r="P87" s="1">
        <v>0.21111111111111111</v>
      </c>
      <c r="Q87" s="5">
        <v>1164</v>
      </c>
      <c r="R87" s="14">
        <v>9.6999999999999993</v>
      </c>
      <c r="S87">
        <v>120</v>
      </c>
      <c r="T87" s="5">
        <v>21</v>
      </c>
      <c r="U87" s="5">
        <v>657</v>
      </c>
      <c r="V87" s="5">
        <v>0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</row>
    <row r="88" spans="1:37" x14ac:dyDescent="0.25">
      <c r="A88" s="11">
        <f>Table1[[#This Row],[Milk Yield]]-J84</f>
        <v>345</v>
      </c>
      <c r="B88" t="s">
        <v>24</v>
      </c>
      <c r="C88" s="2">
        <v>2</v>
      </c>
      <c r="D88" s="12">
        <v>45489</v>
      </c>
      <c r="E88" s="2">
        <v>37</v>
      </c>
      <c r="F88" s="13">
        <v>0.67872685185185189</v>
      </c>
      <c r="G88" s="3">
        <v>0.88049768518518523</v>
      </c>
      <c r="H88" s="1">
        <v>0.2013888888888889</v>
      </c>
      <c r="I88" s="5">
        <v>720</v>
      </c>
      <c r="J88">
        <v>6426</v>
      </c>
      <c r="K88">
        <v>149</v>
      </c>
      <c r="L88" s="5">
        <v>510</v>
      </c>
      <c r="M88" s="5">
        <v>720</v>
      </c>
      <c r="N88">
        <v>63</v>
      </c>
      <c r="O88">
        <v>657</v>
      </c>
      <c r="P88" s="1">
        <v>0.24097222222222223</v>
      </c>
      <c r="Q88" s="5">
        <v>1327</v>
      </c>
      <c r="R88" s="14">
        <v>9</v>
      </c>
      <c r="S88">
        <v>149</v>
      </c>
      <c r="T88" s="5">
        <v>63</v>
      </c>
      <c r="U88" s="5">
        <v>658</v>
      </c>
      <c r="V88" s="5">
        <v>1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</row>
    <row r="89" spans="1:37" x14ac:dyDescent="0.25">
      <c r="A89" s="11">
        <f>Table1[[#This Row],[Milk Yield]]-J85</f>
        <v>-252</v>
      </c>
      <c r="B89" t="s">
        <v>24</v>
      </c>
      <c r="C89" s="2">
        <v>3</v>
      </c>
      <c r="D89" s="12">
        <v>45489</v>
      </c>
      <c r="E89" s="2">
        <v>31</v>
      </c>
      <c r="F89" s="13">
        <v>0.99811342592592589</v>
      </c>
      <c r="G89" s="3">
        <v>0.19856481481481481</v>
      </c>
      <c r="H89" s="1">
        <v>0.2</v>
      </c>
      <c r="I89" s="5">
        <v>696</v>
      </c>
      <c r="J89">
        <v>5915</v>
      </c>
      <c r="K89">
        <v>145</v>
      </c>
      <c r="L89" s="5">
        <v>427</v>
      </c>
      <c r="M89" s="5">
        <v>696</v>
      </c>
      <c r="N89">
        <v>51</v>
      </c>
      <c r="O89">
        <v>645</v>
      </c>
      <c r="P89" s="1">
        <v>0.21041666666666667</v>
      </c>
      <c r="Q89" s="5">
        <v>1230</v>
      </c>
      <c r="R89" s="14">
        <v>8.5</v>
      </c>
      <c r="S89">
        <v>145</v>
      </c>
      <c r="T89" s="5">
        <v>51</v>
      </c>
      <c r="U89" s="5">
        <v>645</v>
      </c>
      <c r="V89" s="5">
        <v>0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</row>
    <row r="90" spans="1:37" x14ac:dyDescent="0.25">
      <c r="A90" s="11" t="e">
        <f>Table1[[#This Row],[Milk Yield]]-J86</f>
        <v>#VALUE!</v>
      </c>
      <c r="B90" t="s">
        <v>0</v>
      </c>
      <c r="C90" s="2" t="s">
        <v>1</v>
      </c>
      <c r="D90" s="12" t="s">
        <v>2</v>
      </c>
      <c r="E90" s="2" t="s">
        <v>3</v>
      </c>
      <c r="F90" s="13" t="s">
        <v>4</v>
      </c>
      <c r="G90" s="3" t="s">
        <v>5</v>
      </c>
      <c r="H90" s="1" t="s">
        <v>6</v>
      </c>
      <c r="I90" s="5" t="s">
        <v>8</v>
      </c>
      <c r="J90" t="s">
        <v>9</v>
      </c>
      <c r="K90" t="s">
        <v>10</v>
      </c>
      <c r="L90" s="5" t="s">
        <v>11</v>
      </c>
      <c r="M90" s="5" t="s">
        <v>12</v>
      </c>
      <c r="N90" t="s">
        <v>13</v>
      </c>
      <c r="O90" t="s">
        <v>20</v>
      </c>
      <c r="P90" t="s">
        <v>7</v>
      </c>
      <c r="Q90" s="5" t="s">
        <v>15</v>
      </c>
      <c r="R90" s="14" t="s">
        <v>18</v>
      </c>
      <c r="S90" t="s">
        <v>16</v>
      </c>
      <c r="T90" s="5" t="s">
        <v>14</v>
      </c>
      <c r="U90" s="5" t="s">
        <v>17</v>
      </c>
      <c r="V90" s="5" t="s">
        <v>19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</row>
    <row r="91" spans="1:37" x14ac:dyDescent="0.25">
      <c r="A91" s="11">
        <f>Table1[[#This Row],[Milk Yield]]-J87</f>
        <v>137</v>
      </c>
      <c r="B91" t="s">
        <v>24</v>
      </c>
      <c r="C91" s="2">
        <v>1</v>
      </c>
      <c r="D91" s="12">
        <v>45490</v>
      </c>
      <c r="E91" s="2">
        <v>32</v>
      </c>
      <c r="F91" s="13">
        <v>0.34289351851851851</v>
      </c>
      <c r="G91" s="3">
        <v>0.56148148148148147</v>
      </c>
      <c r="H91" s="1">
        <v>0.21805555555555556</v>
      </c>
      <c r="I91" s="5">
        <v>699</v>
      </c>
      <c r="J91">
        <v>6698</v>
      </c>
      <c r="K91">
        <v>133</v>
      </c>
      <c r="L91" s="5">
        <v>358</v>
      </c>
      <c r="M91" s="5">
        <v>699</v>
      </c>
      <c r="N91">
        <v>41</v>
      </c>
      <c r="O91">
        <v>658</v>
      </c>
      <c r="P91" s="1">
        <v>0.21249999999999999</v>
      </c>
      <c r="Q91" s="5">
        <v>1277</v>
      </c>
      <c r="R91" s="14">
        <v>9.6</v>
      </c>
      <c r="S91">
        <v>133</v>
      </c>
      <c r="T91" s="5">
        <v>41</v>
      </c>
      <c r="U91" s="5">
        <v>658</v>
      </c>
      <c r="V91" s="5">
        <v>0</v>
      </c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</row>
    <row r="92" spans="1:37" x14ac:dyDescent="0.25">
      <c r="A92" s="11">
        <f>Table1[[#This Row],[Milk Yield]]-J88</f>
        <v>95</v>
      </c>
      <c r="B92" t="s">
        <v>24</v>
      </c>
      <c r="C92" s="2">
        <v>2</v>
      </c>
      <c r="D92" s="12">
        <v>45490</v>
      </c>
      <c r="E92" s="2">
        <v>34</v>
      </c>
      <c r="F92" s="13">
        <v>0.67489583333333336</v>
      </c>
      <c r="G92" s="3">
        <v>0.88936342592592588</v>
      </c>
      <c r="H92" s="1">
        <v>0.21388888888888888</v>
      </c>
      <c r="I92" s="5">
        <v>684</v>
      </c>
      <c r="J92">
        <v>6521</v>
      </c>
      <c r="K92">
        <v>133</v>
      </c>
      <c r="L92" s="5">
        <v>323</v>
      </c>
      <c r="M92" s="5">
        <v>684</v>
      </c>
      <c r="N92">
        <v>33</v>
      </c>
      <c r="O92">
        <v>651</v>
      </c>
      <c r="P92" s="1">
        <v>0.22777777777777777</v>
      </c>
      <c r="Q92" s="5">
        <v>1267</v>
      </c>
      <c r="R92" s="14">
        <v>9.6</v>
      </c>
      <c r="S92">
        <v>133</v>
      </c>
      <c r="T92" s="5">
        <v>33</v>
      </c>
      <c r="U92" s="5">
        <v>651</v>
      </c>
      <c r="V92" s="5">
        <v>0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</row>
    <row r="93" spans="1:37" x14ac:dyDescent="0.25">
      <c r="A93" s="11">
        <f>Table1[[#This Row],[Milk Yield]]-J89</f>
        <v>-106</v>
      </c>
      <c r="B93" t="s">
        <v>24</v>
      </c>
      <c r="C93" s="2">
        <v>3</v>
      </c>
      <c r="D93" s="12">
        <v>45490</v>
      </c>
      <c r="E93" s="2">
        <v>32</v>
      </c>
      <c r="F93" s="13">
        <v>0.99954861111111115</v>
      </c>
      <c r="G93" s="3">
        <v>0.19119212962962964</v>
      </c>
      <c r="H93" s="1">
        <v>0.19097222222222221</v>
      </c>
      <c r="I93" s="5">
        <v>672</v>
      </c>
      <c r="J93">
        <v>5809</v>
      </c>
      <c r="K93">
        <v>146</v>
      </c>
      <c r="L93" s="5">
        <v>414</v>
      </c>
      <c r="M93" s="5">
        <v>672</v>
      </c>
      <c r="N93">
        <v>47</v>
      </c>
      <c r="O93">
        <v>625</v>
      </c>
      <c r="P93" s="1">
        <v>0.20208333333333334</v>
      </c>
      <c r="Q93" s="5">
        <v>1263</v>
      </c>
      <c r="R93" s="14">
        <v>8.6999999999999993</v>
      </c>
      <c r="S93">
        <v>146</v>
      </c>
      <c r="T93" s="5">
        <v>47</v>
      </c>
      <c r="U93" s="5">
        <v>626</v>
      </c>
      <c r="V93" s="5">
        <v>1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</row>
    <row r="94" spans="1:37" x14ac:dyDescent="0.25">
      <c r="A94" s="11" t="e">
        <f>Table1[[#This Row],[Milk Yield]]-J90</f>
        <v>#VALUE!</v>
      </c>
      <c r="B94" t="s">
        <v>0</v>
      </c>
      <c r="C94" s="2" t="s">
        <v>1</v>
      </c>
      <c r="D94" s="12" t="s">
        <v>2</v>
      </c>
      <c r="E94" s="2" t="s">
        <v>3</v>
      </c>
      <c r="F94" s="13" t="s">
        <v>4</v>
      </c>
      <c r="G94" s="3" t="s">
        <v>5</v>
      </c>
      <c r="H94" s="1" t="s">
        <v>6</v>
      </c>
      <c r="I94" s="5" t="s">
        <v>8</v>
      </c>
      <c r="J94" t="s">
        <v>9</v>
      </c>
      <c r="K94" t="s">
        <v>10</v>
      </c>
      <c r="L94" s="5" t="s">
        <v>11</v>
      </c>
      <c r="M94" s="5" t="s">
        <v>12</v>
      </c>
      <c r="N94" t="s">
        <v>13</v>
      </c>
      <c r="O94" t="s">
        <v>20</v>
      </c>
      <c r="P94" t="s">
        <v>7</v>
      </c>
      <c r="Q94" s="5" t="s">
        <v>15</v>
      </c>
      <c r="R94" s="14" t="s">
        <v>18</v>
      </c>
      <c r="S94" t="s">
        <v>16</v>
      </c>
      <c r="T94" s="5" t="s">
        <v>14</v>
      </c>
      <c r="U94" s="5" t="s">
        <v>17</v>
      </c>
      <c r="V94" s="5" t="s">
        <v>19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</row>
    <row r="95" spans="1:37" x14ac:dyDescent="0.25">
      <c r="A95" s="11">
        <f>Table1[[#This Row],[Milk Yield]]-J91</f>
        <v>324</v>
      </c>
      <c r="B95" t="s">
        <v>24</v>
      </c>
      <c r="C95" s="2">
        <v>1</v>
      </c>
      <c r="D95" s="12">
        <v>45491</v>
      </c>
      <c r="E95" s="2">
        <v>33</v>
      </c>
      <c r="F95" s="13">
        <v>0.33989583333333334</v>
      </c>
      <c r="G95" s="3">
        <v>0.57081018518518523</v>
      </c>
      <c r="H95" s="1">
        <v>0.23055555555555557</v>
      </c>
      <c r="I95" s="5">
        <v>688</v>
      </c>
      <c r="J95">
        <v>7022</v>
      </c>
      <c r="K95">
        <v>124</v>
      </c>
      <c r="L95" s="5">
        <v>327</v>
      </c>
      <c r="M95" s="5">
        <v>688</v>
      </c>
      <c r="N95">
        <v>32</v>
      </c>
      <c r="O95">
        <v>656</v>
      </c>
      <c r="P95" s="1">
        <v>0.21944444444444444</v>
      </c>
      <c r="Q95" s="5">
        <v>1267</v>
      </c>
      <c r="R95" s="14">
        <v>10.3</v>
      </c>
      <c r="S95">
        <v>124</v>
      </c>
      <c r="T95" s="5">
        <v>32</v>
      </c>
      <c r="U95" s="5">
        <v>656</v>
      </c>
      <c r="V95" s="5">
        <v>0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</row>
    <row r="96" spans="1:37" x14ac:dyDescent="0.25">
      <c r="A96" s="11">
        <f>Table1[[#This Row],[Milk Yield]]-J92</f>
        <v>61</v>
      </c>
      <c r="B96" t="s">
        <v>24</v>
      </c>
      <c r="C96" s="2">
        <v>2</v>
      </c>
      <c r="D96" s="12">
        <v>45491</v>
      </c>
      <c r="E96" s="2">
        <v>35</v>
      </c>
      <c r="F96" s="13">
        <v>0.67581018518518521</v>
      </c>
      <c r="G96" s="3">
        <v>0.90114583333333331</v>
      </c>
      <c r="H96" s="1">
        <v>0.22500000000000001</v>
      </c>
      <c r="I96" s="5">
        <v>684</v>
      </c>
      <c r="J96">
        <v>6582</v>
      </c>
      <c r="K96">
        <v>126</v>
      </c>
      <c r="L96" s="5">
        <v>283</v>
      </c>
      <c r="M96" s="5">
        <v>684</v>
      </c>
      <c r="N96">
        <v>32</v>
      </c>
      <c r="O96">
        <v>652</v>
      </c>
      <c r="P96" s="1">
        <v>0.20972222222222223</v>
      </c>
      <c r="Q96" s="5">
        <v>1217</v>
      </c>
      <c r="R96" s="14">
        <v>9.6999999999999993</v>
      </c>
      <c r="S96">
        <v>126</v>
      </c>
      <c r="T96" s="5">
        <v>32</v>
      </c>
      <c r="U96" s="5">
        <v>653</v>
      </c>
      <c r="V96" s="5">
        <v>1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</row>
    <row r="97" spans="1:37" x14ac:dyDescent="0.25">
      <c r="A97" s="11">
        <f>Table1[[#This Row],[Milk Yield]]-J93</f>
        <v>219</v>
      </c>
      <c r="B97" t="s">
        <v>24</v>
      </c>
      <c r="C97" s="2">
        <v>3</v>
      </c>
      <c r="D97" s="12">
        <v>45491</v>
      </c>
      <c r="E97" s="2">
        <v>33</v>
      </c>
      <c r="F97" s="13">
        <v>4.6064814814814814E-3</v>
      </c>
      <c r="G97" s="3">
        <v>0.20673611111111112</v>
      </c>
      <c r="H97" s="1">
        <v>0.20208333333333334</v>
      </c>
      <c r="I97" s="5">
        <v>681</v>
      </c>
      <c r="J97">
        <v>6028</v>
      </c>
      <c r="K97">
        <v>140</v>
      </c>
      <c r="L97" s="5">
        <v>368</v>
      </c>
      <c r="M97" s="5">
        <v>681</v>
      </c>
      <c r="N97">
        <v>44</v>
      </c>
      <c r="O97">
        <v>637</v>
      </c>
      <c r="P97" s="1">
        <v>0.19791666666666666</v>
      </c>
      <c r="Q97" s="5">
        <v>1243</v>
      </c>
      <c r="R97" s="14">
        <v>8.9</v>
      </c>
      <c r="S97">
        <v>140</v>
      </c>
      <c r="T97" s="5">
        <v>44</v>
      </c>
      <c r="U97" s="5">
        <v>637</v>
      </c>
      <c r="V97" s="5">
        <v>0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</row>
    <row r="98" spans="1:37" x14ac:dyDescent="0.25">
      <c r="A98" s="11" t="e">
        <f>Table1[[#This Row],[Milk Yield]]-J94</f>
        <v>#VALUE!</v>
      </c>
      <c r="B98" t="s">
        <v>0</v>
      </c>
      <c r="C98" s="2" t="s">
        <v>1</v>
      </c>
      <c r="D98" s="12" t="s">
        <v>2</v>
      </c>
      <c r="E98" s="2" t="s">
        <v>3</v>
      </c>
      <c r="F98" s="13" t="s">
        <v>4</v>
      </c>
      <c r="G98" s="3" t="s">
        <v>5</v>
      </c>
      <c r="H98" s="1" t="s">
        <v>6</v>
      </c>
      <c r="I98" s="5" t="s">
        <v>8</v>
      </c>
      <c r="J98" t="s">
        <v>9</v>
      </c>
      <c r="K98" t="s">
        <v>10</v>
      </c>
      <c r="L98" s="5" t="s">
        <v>11</v>
      </c>
      <c r="M98" s="5" t="s">
        <v>12</v>
      </c>
      <c r="N98" t="s">
        <v>13</v>
      </c>
      <c r="O98" t="s">
        <v>20</v>
      </c>
      <c r="P98" t="s">
        <v>7</v>
      </c>
      <c r="Q98" s="5" t="s">
        <v>15</v>
      </c>
      <c r="R98" s="14" t="s">
        <v>18</v>
      </c>
      <c r="S98" t="s">
        <v>16</v>
      </c>
      <c r="T98" s="5" t="s">
        <v>14</v>
      </c>
      <c r="U98" s="5" t="s">
        <v>17</v>
      </c>
      <c r="V98" s="5" t="s">
        <v>19</v>
      </c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</row>
    <row r="99" spans="1:37" x14ac:dyDescent="0.25">
      <c r="A99" s="11">
        <f>Table1[[#This Row],[Milk Yield]]-J95</f>
        <v>70</v>
      </c>
      <c r="B99" t="s">
        <v>24</v>
      </c>
      <c r="C99" s="2">
        <v>1</v>
      </c>
      <c r="D99" s="12">
        <v>45492</v>
      </c>
      <c r="E99" s="2">
        <v>32</v>
      </c>
      <c r="F99" s="13">
        <v>0.33883101851851855</v>
      </c>
      <c r="G99" s="3">
        <v>0.58483796296296298</v>
      </c>
      <c r="H99" s="1">
        <v>0.24583333333333332</v>
      </c>
      <c r="I99" s="5">
        <v>679</v>
      </c>
      <c r="J99">
        <v>7092</v>
      </c>
      <c r="K99">
        <v>115</v>
      </c>
      <c r="L99" s="5">
        <v>146</v>
      </c>
      <c r="M99" s="5">
        <v>679</v>
      </c>
      <c r="N99">
        <v>13</v>
      </c>
      <c r="O99">
        <v>666</v>
      </c>
      <c r="P99" s="1">
        <v>0.21458333333333332</v>
      </c>
      <c r="Q99" s="5">
        <v>1201</v>
      </c>
      <c r="R99" s="14">
        <v>10.5</v>
      </c>
      <c r="S99">
        <v>115</v>
      </c>
      <c r="T99" s="5">
        <v>13</v>
      </c>
      <c r="U99" s="5">
        <v>666</v>
      </c>
      <c r="V99" s="5">
        <v>0</v>
      </c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</row>
    <row r="100" spans="1:37" x14ac:dyDescent="0.25">
      <c r="A100" s="11">
        <f>Table1[[#This Row],[Milk Yield]]-J96</f>
        <v>-134</v>
      </c>
      <c r="B100" t="s">
        <v>24</v>
      </c>
      <c r="C100" s="2">
        <v>2</v>
      </c>
      <c r="D100" s="12">
        <v>45492</v>
      </c>
      <c r="E100" s="2">
        <v>32</v>
      </c>
      <c r="F100" s="13">
        <v>0.67192129629629627</v>
      </c>
      <c r="G100" s="3">
        <v>0.89526620370370369</v>
      </c>
      <c r="H100" s="1">
        <v>0.22291666666666668</v>
      </c>
      <c r="I100" s="5">
        <v>695</v>
      </c>
      <c r="J100">
        <v>6448</v>
      </c>
      <c r="K100">
        <v>130</v>
      </c>
      <c r="L100" s="5">
        <v>277</v>
      </c>
      <c r="M100" s="5">
        <v>695</v>
      </c>
      <c r="N100">
        <v>30</v>
      </c>
      <c r="O100">
        <v>665</v>
      </c>
      <c r="P100" s="1">
        <v>0.21319444444444444</v>
      </c>
      <c r="Q100" s="5">
        <v>1203</v>
      </c>
      <c r="R100" s="14">
        <v>9.3000000000000007</v>
      </c>
      <c r="S100">
        <v>130</v>
      </c>
      <c r="T100" s="5">
        <v>30</v>
      </c>
      <c r="U100" s="5">
        <v>666</v>
      </c>
      <c r="V100" s="5">
        <v>1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</row>
    <row r="101" spans="1:37" x14ac:dyDescent="0.25">
      <c r="A101" s="11">
        <f>Table1[[#This Row],[Milk Yield]]-J97</f>
        <v>-285</v>
      </c>
      <c r="B101" t="s">
        <v>24</v>
      </c>
      <c r="C101" s="2">
        <v>3</v>
      </c>
      <c r="D101" s="12">
        <v>45492</v>
      </c>
      <c r="E101" s="2">
        <v>32</v>
      </c>
      <c r="F101" s="13">
        <v>6.1111111111111114E-3</v>
      </c>
      <c r="G101" s="3">
        <v>0.18226851851851852</v>
      </c>
      <c r="H101" s="1">
        <v>0.17569444444444443</v>
      </c>
      <c r="I101" s="5">
        <v>691</v>
      </c>
      <c r="J101">
        <v>5743</v>
      </c>
      <c r="K101">
        <v>163</v>
      </c>
      <c r="L101" s="5">
        <v>422</v>
      </c>
      <c r="M101" s="5">
        <v>691</v>
      </c>
      <c r="N101">
        <v>50</v>
      </c>
      <c r="O101">
        <v>641</v>
      </c>
      <c r="P101" s="1">
        <v>0.2048611111111111</v>
      </c>
      <c r="Q101" s="5">
        <v>1358</v>
      </c>
      <c r="R101" s="14">
        <v>8.4</v>
      </c>
      <c r="S101">
        <v>163</v>
      </c>
      <c r="T101" s="5">
        <v>50</v>
      </c>
      <c r="U101" s="5">
        <v>641</v>
      </c>
      <c r="V101" s="5">
        <v>0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</row>
    <row r="102" spans="1:37" x14ac:dyDescent="0.25">
      <c r="A102" s="11" t="e">
        <f>Table1[[#This Row],[Milk Yield]]-J98</f>
        <v>#VALUE!</v>
      </c>
      <c r="B102" t="s">
        <v>0</v>
      </c>
      <c r="C102" s="2" t="s">
        <v>1</v>
      </c>
      <c r="D102" s="12" t="s">
        <v>2</v>
      </c>
      <c r="E102" s="2" t="s">
        <v>3</v>
      </c>
      <c r="F102" s="13" t="s">
        <v>4</v>
      </c>
      <c r="G102" s="3" t="s">
        <v>5</v>
      </c>
      <c r="H102" s="1" t="s">
        <v>6</v>
      </c>
      <c r="I102" s="5" t="s">
        <v>8</v>
      </c>
      <c r="J102" t="s">
        <v>9</v>
      </c>
      <c r="K102" t="s">
        <v>10</v>
      </c>
      <c r="L102" s="5" t="s">
        <v>11</v>
      </c>
      <c r="M102" s="5" t="s">
        <v>12</v>
      </c>
      <c r="N102" t="s">
        <v>13</v>
      </c>
      <c r="O102" t="s">
        <v>20</v>
      </c>
      <c r="P102" t="s">
        <v>7</v>
      </c>
      <c r="Q102" s="5" t="s">
        <v>15</v>
      </c>
      <c r="R102" s="14" t="s">
        <v>18</v>
      </c>
      <c r="S102" t="s">
        <v>16</v>
      </c>
      <c r="T102" s="5" t="s">
        <v>14</v>
      </c>
      <c r="U102" s="5" t="s">
        <v>17</v>
      </c>
      <c r="V102" s="5" t="s">
        <v>19</v>
      </c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</row>
    <row r="103" spans="1:37" x14ac:dyDescent="0.25">
      <c r="A103" s="11">
        <f>Table1[[#This Row],[Milk Yield]]-J99</f>
        <v>155</v>
      </c>
      <c r="B103" t="s">
        <v>24</v>
      </c>
      <c r="C103" s="2">
        <v>1</v>
      </c>
      <c r="D103" s="12">
        <v>45493</v>
      </c>
      <c r="E103" s="2">
        <v>32</v>
      </c>
      <c r="F103" s="13">
        <v>0.33812500000000001</v>
      </c>
      <c r="G103" s="3">
        <v>0.58989583333333329</v>
      </c>
      <c r="H103" s="1">
        <v>0.25138888888888888</v>
      </c>
      <c r="I103" s="5">
        <v>693</v>
      </c>
      <c r="J103">
        <v>7247</v>
      </c>
      <c r="K103">
        <v>115</v>
      </c>
      <c r="L103" s="5">
        <v>473</v>
      </c>
      <c r="M103" s="5">
        <v>693</v>
      </c>
      <c r="N103">
        <v>49</v>
      </c>
      <c r="O103">
        <v>644</v>
      </c>
      <c r="P103" s="1">
        <v>0.23333333333333334</v>
      </c>
      <c r="Q103" s="5">
        <v>1199</v>
      </c>
      <c r="R103" s="14">
        <v>10.5</v>
      </c>
      <c r="S103">
        <v>115</v>
      </c>
      <c r="T103" s="5">
        <v>49</v>
      </c>
      <c r="U103" s="5">
        <v>642</v>
      </c>
      <c r="V103" s="5">
        <v>0</v>
      </c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</row>
    <row r="104" spans="1:37" x14ac:dyDescent="0.25">
      <c r="A104" s="11">
        <f>Table1[[#This Row],[Milk Yield]]-J100</f>
        <v>335</v>
      </c>
      <c r="B104" t="s">
        <v>24</v>
      </c>
      <c r="C104" s="2">
        <v>2</v>
      </c>
      <c r="D104" s="12">
        <v>45493</v>
      </c>
      <c r="E104" s="2">
        <v>33</v>
      </c>
      <c r="F104" s="13">
        <v>0.70542824074074073</v>
      </c>
      <c r="G104" s="3">
        <v>0.90071759259259254</v>
      </c>
      <c r="H104" s="1">
        <v>0.19513888888888889</v>
      </c>
      <c r="I104" s="5">
        <v>703</v>
      </c>
      <c r="J104">
        <v>6783</v>
      </c>
      <c r="K104">
        <v>150</v>
      </c>
      <c r="L104" s="5">
        <v>132</v>
      </c>
      <c r="M104" s="5">
        <v>703</v>
      </c>
      <c r="N104">
        <v>13</v>
      </c>
      <c r="O104">
        <v>690</v>
      </c>
      <c r="P104" s="1">
        <v>0.20555555555555555</v>
      </c>
      <c r="Q104" s="5">
        <v>1447</v>
      </c>
      <c r="R104" s="14">
        <v>9.6999999999999993</v>
      </c>
      <c r="S104">
        <v>150</v>
      </c>
      <c r="T104" s="5">
        <v>13</v>
      </c>
      <c r="U104" s="5">
        <v>690</v>
      </c>
      <c r="V104" s="5">
        <v>0</v>
      </c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</row>
    <row r="105" spans="1:37" x14ac:dyDescent="0.25">
      <c r="A105" s="11">
        <f>Table1[[#This Row],[Milk Yield]]-J101</f>
        <v>207</v>
      </c>
      <c r="B105" t="s">
        <v>24</v>
      </c>
      <c r="C105" s="2">
        <v>3</v>
      </c>
      <c r="D105" s="12">
        <v>45493</v>
      </c>
      <c r="E105" s="2">
        <v>33</v>
      </c>
      <c r="F105" s="13">
        <v>1.1550925925925926E-2</v>
      </c>
      <c r="G105" s="3">
        <v>0.22450231481481481</v>
      </c>
      <c r="H105" s="1">
        <v>0.21249999999999999</v>
      </c>
      <c r="I105" s="5">
        <v>702</v>
      </c>
      <c r="J105">
        <v>5950</v>
      </c>
      <c r="K105">
        <v>137</v>
      </c>
      <c r="L105" s="5">
        <v>224</v>
      </c>
      <c r="M105" s="5">
        <v>702</v>
      </c>
      <c r="N105">
        <v>25</v>
      </c>
      <c r="O105">
        <v>677</v>
      </c>
      <c r="P105" s="1">
        <v>0.2</v>
      </c>
      <c r="Q105" s="5">
        <v>1164</v>
      </c>
      <c r="R105" s="14">
        <v>8.5</v>
      </c>
      <c r="S105">
        <v>137</v>
      </c>
      <c r="T105" s="5">
        <v>25</v>
      </c>
      <c r="U105" s="5">
        <v>678</v>
      </c>
      <c r="V105" s="5">
        <v>1</v>
      </c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</row>
    <row r="106" spans="1:37" x14ac:dyDescent="0.25">
      <c r="A106" s="11" t="e">
        <f>Table1[[#This Row],[Milk Yield]]-J102</f>
        <v>#VALUE!</v>
      </c>
      <c r="B106" t="s">
        <v>0</v>
      </c>
      <c r="C106" s="2" t="s">
        <v>1</v>
      </c>
      <c r="D106" s="12" t="s">
        <v>2</v>
      </c>
      <c r="E106" s="2" t="s">
        <v>3</v>
      </c>
      <c r="F106" s="13" t="s">
        <v>4</v>
      </c>
      <c r="G106" s="3" t="s">
        <v>5</v>
      </c>
      <c r="H106" s="1" t="s">
        <v>6</v>
      </c>
      <c r="I106" s="5" t="s">
        <v>8</v>
      </c>
      <c r="J106" t="s">
        <v>9</v>
      </c>
      <c r="K106" t="s">
        <v>10</v>
      </c>
      <c r="L106" s="5" t="s">
        <v>11</v>
      </c>
      <c r="M106" s="5" t="s">
        <v>12</v>
      </c>
      <c r="N106" t="s">
        <v>13</v>
      </c>
      <c r="O106" t="s">
        <v>20</v>
      </c>
      <c r="P106" t="s">
        <v>7</v>
      </c>
      <c r="Q106" s="5" t="s">
        <v>15</v>
      </c>
      <c r="R106" s="14" t="s">
        <v>18</v>
      </c>
      <c r="S106" t="s">
        <v>16</v>
      </c>
      <c r="T106" s="5" t="s">
        <v>14</v>
      </c>
      <c r="U106" s="5" t="s">
        <v>17</v>
      </c>
      <c r="V106" s="5" t="s">
        <v>19</v>
      </c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</row>
    <row r="107" spans="1:37" x14ac:dyDescent="0.25">
      <c r="A107" s="11">
        <f>Table1[[#This Row],[Milk Yield]]-J103</f>
        <v>-830</v>
      </c>
      <c r="B107" t="s">
        <v>24</v>
      </c>
      <c r="C107" s="2">
        <v>1</v>
      </c>
      <c r="D107" s="12">
        <v>45494</v>
      </c>
      <c r="E107" s="2">
        <v>33</v>
      </c>
      <c r="F107" s="13">
        <v>0.34091435185185187</v>
      </c>
      <c r="G107" s="3">
        <v>0.5736458333333333</v>
      </c>
      <c r="H107" s="1">
        <v>0.2326388888888889</v>
      </c>
      <c r="I107" s="5">
        <v>700</v>
      </c>
      <c r="J107">
        <v>6417</v>
      </c>
      <c r="K107">
        <v>125</v>
      </c>
      <c r="L107" s="5">
        <v>65</v>
      </c>
      <c r="M107" s="5">
        <v>700</v>
      </c>
      <c r="N107">
        <v>9</v>
      </c>
      <c r="O107">
        <v>691</v>
      </c>
      <c r="P107" s="1">
        <v>0.20694444444444443</v>
      </c>
      <c r="Q107" s="5">
        <v>1149</v>
      </c>
      <c r="R107" s="14">
        <v>9.1999999999999993</v>
      </c>
      <c r="S107">
        <v>125</v>
      </c>
      <c r="T107" s="5">
        <v>9</v>
      </c>
      <c r="U107" s="5">
        <v>691</v>
      </c>
      <c r="V107" s="5">
        <v>0</v>
      </c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</row>
    <row r="108" spans="1:37" x14ac:dyDescent="0.25">
      <c r="A108" s="11">
        <f>Table1[[#This Row],[Milk Yield]]-J104</f>
        <v>-610</v>
      </c>
      <c r="B108" t="s">
        <v>24</v>
      </c>
      <c r="C108" s="2">
        <v>2</v>
      </c>
      <c r="D108" s="12">
        <v>45494</v>
      </c>
      <c r="E108" s="2">
        <v>32</v>
      </c>
      <c r="F108" s="13">
        <v>0.67311342592592593</v>
      </c>
      <c r="G108" s="3">
        <v>0.87863425925925931</v>
      </c>
      <c r="H108" s="1">
        <v>0.2048611111111111</v>
      </c>
      <c r="I108" s="5">
        <v>687</v>
      </c>
      <c r="J108">
        <v>6173</v>
      </c>
      <c r="K108">
        <v>139</v>
      </c>
      <c r="L108" s="5">
        <v>322</v>
      </c>
      <c r="M108" s="5">
        <v>687</v>
      </c>
      <c r="N108">
        <v>37</v>
      </c>
      <c r="O108">
        <v>650</v>
      </c>
      <c r="P108" s="1">
        <v>0.2076388888888889</v>
      </c>
      <c r="Q108" s="5">
        <v>1252</v>
      </c>
      <c r="R108" s="14">
        <v>9</v>
      </c>
      <c r="S108">
        <v>139</v>
      </c>
      <c r="T108" s="5">
        <v>37</v>
      </c>
      <c r="U108" s="5">
        <v>650</v>
      </c>
      <c r="V108" s="5">
        <v>0</v>
      </c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</row>
    <row r="109" spans="1:37" x14ac:dyDescent="0.25">
      <c r="A109" s="11">
        <f>Table1[[#This Row],[Milk Yield]]-J105</f>
        <v>335</v>
      </c>
      <c r="B109" t="s">
        <v>24</v>
      </c>
      <c r="C109" s="2">
        <v>3</v>
      </c>
      <c r="D109" s="12">
        <v>45494</v>
      </c>
      <c r="E109" s="2">
        <v>28</v>
      </c>
      <c r="F109" s="13">
        <v>9.8726851851851857E-3</v>
      </c>
      <c r="G109" s="3">
        <v>0.2132175925925926</v>
      </c>
      <c r="H109" s="1">
        <v>0.20277777777777778</v>
      </c>
      <c r="I109" s="5">
        <v>666</v>
      </c>
      <c r="J109">
        <v>6285</v>
      </c>
      <c r="K109">
        <v>136</v>
      </c>
      <c r="L109" s="5">
        <v>263</v>
      </c>
      <c r="M109" s="5">
        <v>666</v>
      </c>
      <c r="N109">
        <v>30</v>
      </c>
      <c r="O109">
        <v>636</v>
      </c>
      <c r="P109" s="1">
        <v>0.21597222222222223</v>
      </c>
      <c r="Q109" s="5">
        <v>1288</v>
      </c>
      <c r="R109" s="14">
        <v>9.5</v>
      </c>
      <c r="S109">
        <v>136</v>
      </c>
      <c r="T109" s="5">
        <v>30</v>
      </c>
      <c r="U109" s="5">
        <v>637</v>
      </c>
      <c r="V109" s="5">
        <v>1</v>
      </c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</row>
    <row r="110" spans="1:37" x14ac:dyDescent="0.25">
      <c r="A110" s="11" t="e">
        <f>Table1[[#This Row],[Milk Yield]]-J106</f>
        <v>#VALUE!</v>
      </c>
      <c r="B110" t="s">
        <v>0</v>
      </c>
      <c r="C110" s="2" t="s">
        <v>1</v>
      </c>
      <c r="D110" s="12" t="s">
        <v>2</v>
      </c>
      <c r="E110" s="2" t="s">
        <v>3</v>
      </c>
      <c r="F110" s="13" t="s">
        <v>4</v>
      </c>
      <c r="G110" s="3" t="s">
        <v>5</v>
      </c>
      <c r="H110" s="1" t="s">
        <v>6</v>
      </c>
      <c r="I110" s="5" t="s">
        <v>8</v>
      </c>
      <c r="J110" t="s">
        <v>9</v>
      </c>
      <c r="K110" t="s">
        <v>10</v>
      </c>
      <c r="L110" s="5" t="s">
        <v>11</v>
      </c>
      <c r="M110" s="5" t="s">
        <v>12</v>
      </c>
      <c r="N110" t="s">
        <v>13</v>
      </c>
      <c r="O110" t="s">
        <v>20</v>
      </c>
      <c r="P110" t="s">
        <v>7</v>
      </c>
      <c r="Q110" s="5" t="s">
        <v>15</v>
      </c>
      <c r="R110" s="14" t="s">
        <v>18</v>
      </c>
      <c r="S110" t="s">
        <v>16</v>
      </c>
      <c r="T110" s="5" t="s">
        <v>14</v>
      </c>
      <c r="U110" s="5" t="s">
        <v>17</v>
      </c>
      <c r="V110" s="5" t="s">
        <v>19</v>
      </c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</row>
    <row r="111" spans="1:37" x14ac:dyDescent="0.25">
      <c r="A111" s="11">
        <f>Table1[[#This Row],[Milk Yield]]-J107</f>
        <v>70</v>
      </c>
      <c r="B111" t="s">
        <v>24</v>
      </c>
      <c r="C111" s="2">
        <v>1</v>
      </c>
      <c r="D111" s="12">
        <v>45495</v>
      </c>
      <c r="E111" s="2">
        <v>31</v>
      </c>
      <c r="F111" s="13">
        <v>0.3454861111111111</v>
      </c>
      <c r="G111" s="3">
        <v>0.55596064814814816</v>
      </c>
      <c r="H111" s="1">
        <v>0.21041666666666667</v>
      </c>
      <c r="I111" s="5">
        <v>679</v>
      </c>
      <c r="J111">
        <v>6487</v>
      </c>
      <c r="K111">
        <v>134</v>
      </c>
      <c r="L111" s="5">
        <v>376</v>
      </c>
      <c r="M111" s="5">
        <v>679</v>
      </c>
      <c r="N111">
        <v>37</v>
      </c>
      <c r="O111">
        <v>642</v>
      </c>
      <c r="P111" s="1">
        <v>0.21875</v>
      </c>
      <c r="Q111" s="5">
        <v>1284</v>
      </c>
      <c r="R111" s="14">
        <v>9.6</v>
      </c>
      <c r="S111">
        <v>134</v>
      </c>
      <c r="T111" s="5">
        <v>37</v>
      </c>
      <c r="U111" s="5">
        <v>643</v>
      </c>
      <c r="V111" s="5">
        <v>1</v>
      </c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</row>
    <row r="112" spans="1:37" x14ac:dyDescent="0.25">
      <c r="A112" s="11">
        <f>Table1[[#This Row],[Milk Yield]]-J108</f>
        <v>240</v>
      </c>
      <c r="B112" t="s">
        <v>24</v>
      </c>
      <c r="C112" s="2">
        <v>2</v>
      </c>
      <c r="D112" s="12">
        <v>45495</v>
      </c>
      <c r="E112" s="2">
        <v>33</v>
      </c>
      <c r="F112" s="13">
        <v>0.67115740740740737</v>
      </c>
      <c r="G112" s="3">
        <v>0.88634259259259263</v>
      </c>
      <c r="H112" s="1">
        <v>0.21458333333333332</v>
      </c>
      <c r="I112" s="5">
        <v>697</v>
      </c>
      <c r="J112">
        <v>6413</v>
      </c>
      <c r="K112">
        <v>135</v>
      </c>
      <c r="L112" s="5">
        <v>221</v>
      </c>
      <c r="M112" s="5">
        <v>697</v>
      </c>
      <c r="N112">
        <v>26</v>
      </c>
      <c r="O112">
        <v>671</v>
      </c>
      <c r="P112" s="1">
        <v>0.21805555555555556</v>
      </c>
      <c r="Q112" s="5">
        <v>1242</v>
      </c>
      <c r="R112" s="14">
        <v>9.3000000000000007</v>
      </c>
      <c r="S112">
        <v>135</v>
      </c>
      <c r="T112" s="5">
        <v>26</v>
      </c>
      <c r="U112" s="5">
        <v>672</v>
      </c>
      <c r="V112" s="5">
        <v>1</v>
      </c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</row>
    <row r="113" spans="1:37" x14ac:dyDescent="0.25">
      <c r="A113" s="11">
        <f>Table1[[#This Row],[Milk Yield]]-J109</f>
        <v>-338</v>
      </c>
      <c r="B113" t="s">
        <v>24</v>
      </c>
      <c r="C113" s="2">
        <v>3</v>
      </c>
      <c r="D113" s="12">
        <v>45495</v>
      </c>
      <c r="E113" s="2">
        <v>31</v>
      </c>
      <c r="F113" s="13">
        <v>9.0624999999999994E-3</v>
      </c>
      <c r="G113" s="3">
        <v>0.2101851851851852</v>
      </c>
      <c r="H113" s="1">
        <v>0.20069444444444445</v>
      </c>
      <c r="I113" s="5">
        <v>685</v>
      </c>
      <c r="J113">
        <v>5947</v>
      </c>
      <c r="K113">
        <v>142</v>
      </c>
      <c r="L113" s="5">
        <v>141</v>
      </c>
      <c r="M113" s="5">
        <v>685</v>
      </c>
      <c r="N113">
        <v>18</v>
      </c>
      <c r="O113">
        <v>667</v>
      </c>
      <c r="P113" s="1">
        <v>0.2</v>
      </c>
      <c r="Q113" s="5">
        <v>1232</v>
      </c>
      <c r="R113" s="14">
        <v>8.6999999999999993</v>
      </c>
      <c r="S113">
        <v>142</v>
      </c>
      <c r="T113" s="5">
        <v>18</v>
      </c>
      <c r="U113" s="5">
        <v>667</v>
      </c>
      <c r="V113" s="5">
        <v>0</v>
      </c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</row>
    <row r="114" spans="1:37" x14ac:dyDescent="0.25">
      <c r="A114" s="11" t="e">
        <f>Table1[[#This Row],[Milk Yield]]-J110</f>
        <v>#VALUE!</v>
      </c>
      <c r="B114" t="s">
        <v>0</v>
      </c>
      <c r="C114" s="2" t="s">
        <v>1</v>
      </c>
      <c r="D114" s="12" t="s">
        <v>2</v>
      </c>
      <c r="E114" s="2" t="s">
        <v>3</v>
      </c>
      <c r="F114" s="13" t="s">
        <v>4</v>
      </c>
      <c r="G114" s="3" t="s">
        <v>5</v>
      </c>
      <c r="H114" s="1" t="s">
        <v>6</v>
      </c>
      <c r="I114" s="5" t="s">
        <v>8</v>
      </c>
      <c r="J114" t="s">
        <v>9</v>
      </c>
      <c r="K114" t="s">
        <v>10</v>
      </c>
      <c r="L114" s="5" t="s">
        <v>11</v>
      </c>
      <c r="M114" s="5" t="s">
        <v>12</v>
      </c>
      <c r="N114" t="s">
        <v>13</v>
      </c>
      <c r="O114" t="s">
        <v>20</v>
      </c>
      <c r="P114" t="s">
        <v>7</v>
      </c>
      <c r="Q114" s="5" t="s">
        <v>15</v>
      </c>
      <c r="R114" s="14" t="s">
        <v>18</v>
      </c>
      <c r="S114" t="s">
        <v>16</v>
      </c>
      <c r="T114" s="5" t="s">
        <v>14</v>
      </c>
      <c r="U114" s="5" t="s">
        <v>17</v>
      </c>
      <c r="V114" s="5" t="s">
        <v>19</v>
      </c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</row>
    <row r="115" spans="1:37" x14ac:dyDescent="0.25">
      <c r="A115" s="11">
        <f>Table1[[#This Row],[Milk Yield]]-J111</f>
        <v>-50</v>
      </c>
      <c r="B115" t="s">
        <v>24</v>
      </c>
      <c r="C115" s="2">
        <v>1</v>
      </c>
      <c r="D115" s="12">
        <v>45496</v>
      </c>
      <c r="E115" s="2">
        <v>31</v>
      </c>
      <c r="F115" s="13">
        <v>0.33907407407407408</v>
      </c>
      <c r="G115" s="3">
        <v>0.53449074074074077</v>
      </c>
      <c r="H115" s="1">
        <v>0.19513888888888889</v>
      </c>
      <c r="I115" s="5">
        <v>694</v>
      </c>
      <c r="J115">
        <v>6437</v>
      </c>
      <c r="K115">
        <v>148</v>
      </c>
      <c r="L115" s="5">
        <v>141</v>
      </c>
      <c r="M115" s="5">
        <v>694</v>
      </c>
      <c r="N115">
        <v>14</v>
      </c>
      <c r="O115">
        <v>680</v>
      </c>
      <c r="P115" s="1">
        <v>0.20277777777777778</v>
      </c>
      <c r="Q115" s="5">
        <v>1373</v>
      </c>
      <c r="R115" s="14">
        <v>9.3000000000000007</v>
      </c>
      <c r="S115">
        <v>148</v>
      </c>
      <c r="T115" s="5">
        <v>14</v>
      </c>
      <c r="U115" s="5">
        <v>680</v>
      </c>
      <c r="V115" s="5">
        <v>0</v>
      </c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</row>
    <row r="116" spans="1:37" x14ac:dyDescent="0.25">
      <c r="A116" s="11">
        <f>Table1[[#This Row],[Milk Yield]]-J112</f>
        <v>336</v>
      </c>
      <c r="B116" t="s">
        <v>24</v>
      </c>
      <c r="C116" s="2">
        <v>2</v>
      </c>
      <c r="D116" s="12">
        <v>45496</v>
      </c>
      <c r="E116" s="2">
        <v>33</v>
      </c>
      <c r="F116" s="13">
        <v>0.67104166666666665</v>
      </c>
      <c r="G116" s="3">
        <v>0.88138888888888889</v>
      </c>
      <c r="H116" s="1">
        <v>0.20972222222222223</v>
      </c>
      <c r="I116" s="5">
        <v>705</v>
      </c>
      <c r="J116">
        <v>6749</v>
      </c>
      <c r="K116">
        <v>140</v>
      </c>
      <c r="L116" s="5">
        <v>138</v>
      </c>
      <c r="M116" s="5">
        <v>705</v>
      </c>
      <c r="N116">
        <v>15</v>
      </c>
      <c r="O116">
        <v>690</v>
      </c>
      <c r="P116" s="1">
        <v>0.21180555555555555</v>
      </c>
      <c r="Q116" s="5">
        <v>1337</v>
      </c>
      <c r="R116" s="14">
        <v>9.6</v>
      </c>
      <c r="S116">
        <v>140</v>
      </c>
      <c r="T116" s="5">
        <v>15</v>
      </c>
      <c r="U116" s="5">
        <v>692</v>
      </c>
      <c r="V116" s="5">
        <v>2</v>
      </c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</row>
    <row r="117" spans="1:37" x14ac:dyDescent="0.25">
      <c r="A117" s="11">
        <f>Table1[[#This Row],[Milk Yield]]-J113</f>
        <v>-172</v>
      </c>
      <c r="B117" t="s">
        <v>24</v>
      </c>
      <c r="C117" s="2">
        <v>3</v>
      </c>
      <c r="D117" s="12">
        <v>45496</v>
      </c>
      <c r="E117" s="2">
        <v>30</v>
      </c>
      <c r="F117" s="13">
        <v>2.6620370370370372E-4</v>
      </c>
      <c r="G117" s="3">
        <v>0.19067129629629628</v>
      </c>
      <c r="H117" s="1">
        <v>0.19027777777777777</v>
      </c>
      <c r="I117" s="5">
        <v>678</v>
      </c>
      <c r="J117">
        <v>5775</v>
      </c>
      <c r="K117">
        <v>148</v>
      </c>
      <c r="L117" s="5">
        <v>103</v>
      </c>
      <c r="M117" s="5">
        <v>678</v>
      </c>
      <c r="N117">
        <v>13</v>
      </c>
      <c r="O117">
        <v>665</v>
      </c>
      <c r="P117" s="1">
        <v>0.19097222222222221</v>
      </c>
      <c r="Q117" s="5">
        <v>1264</v>
      </c>
      <c r="R117" s="14">
        <v>8.6</v>
      </c>
      <c r="S117">
        <v>148</v>
      </c>
      <c r="T117" s="5">
        <v>13</v>
      </c>
      <c r="U117" s="5">
        <v>666</v>
      </c>
      <c r="V117" s="5">
        <v>1</v>
      </c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</row>
    <row r="118" spans="1:37" x14ac:dyDescent="0.25">
      <c r="A118" s="11" t="e">
        <f>Table1[[#This Row],[Milk Yield]]-J114</f>
        <v>#VALUE!</v>
      </c>
      <c r="B118" t="s">
        <v>0</v>
      </c>
      <c r="C118" s="2" t="s">
        <v>1</v>
      </c>
      <c r="D118" s="12" t="s">
        <v>2</v>
      </c>
      <c r="E118" s="2" t="s">
        <v>3</v>
      </c>
      <c r="F118" s="13" t="s">
        <v>4</v>
      </c>
      <c r="G118" s="3" t="s">
        <v>5</v>
      </c>
      <c r="H118" s="1" t="s">
        <v>6</v>
      </c>
      <c r="I118" s="5" t="s">
        <v>8</v>
      </c>
      <c r="J118" t="s">
        <v>9</v>
      </c>
      <c r="K118" t="s">
        <v>10</v>
      </c>
      <c r="L118" s="5" t="s">
        <v>11</v>
      </c>
      <c r="M118" s="5" t="s">
        <v>12</v>
      </c>
      <c r="N118" t="s">
        <v>13</v>
      </c>
      <c r="O118" t="s">
        <v>20</v>
      </c>
      <c r="P118" t="s">
        <v>7</v>
      </c>
      <c r="Q118" s="5" t="s">
        <v>15</v>
      </c>
      <c r="R118" s="14" t="s">
        <v>18</v>
      </c>
      <c r="S118" t="s">
        <v>16</v>
      </c>
      <c r="T118" s="5" t="s">
        <v>14</v>
      </c>
      <c r="U118" s="5" t="s">
        <v>17</v>
      </c>
      <c r="V118" s="5" t="s">
        <v>19</v>
      </c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</row>
    <row r="119" spans="1:37" x14ac:dyDescent="0.25">
      <c r="A119" s="11">
        <f>Table1[[#This Row],[Milk Yield]]-J115</f>
        <v>326</v>
      </c>
      <c r="B119" t="s">
        <v>24</v>
      </c>
      <c r="C119" s="2">
        <v>1</v>
      </c>
      <c r="D119" s="12">
        <v>45497</v>
      </c>
      <c r="E119" s="2">
        <v>31</v>
      </c>
      <c r="F119" s="13">
        <v>0.33986111111111111</v>
      </c>
      <c r="G119" s="3">
        <v>0.53512731481481479</v>
      </c>
      <c r="H119" s="1">
        <v>0.19513888888888889</v>
      </c>
      <c r="I119" s="5">
        <v>681</v>
      </c>
      <c r="J119">
        <v>6763</v>
      </c>
      <c r="K119">
        <v>145</v>
      </c>
      <c r="L119" s="5">
        <v>260</v>
      </c>
      <c r="M119" s="5">
        <v>681</v>
      </c>
      <c r="N119">
        <v>27</v>
      </c>
      <c r="O119">
        <v>654</v>
      </c>
      <c r="P119" s="1">
        <v>0.20277777777777778</v>
      </c>
      <c r="Q119" s="5">
        <v>1443</v>
      </c>
      <c r="R119" s="14">
        <v>10</v>
      </c>
      <c r="S119">
        <v>145</v>
      </c>
      <c r="T119" s="5">
        <v>27</v>
      </c>
      <c r="U119" s="5">
        <v>656</v>
      </c>
      <c r="V119" s="5">
        <v>2</v>
      </c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</row>
    <row r="120" spans="1:37" x14ac:dyDescent="0.25">
      <c r="A120" s="11">
        <f>Table1[[#This Row],[Milk Yield]]-J116</f>
        <v>-230</v>
      </c>
      <c r="B120" t="s">
        <v>24</v>
      </c>
      <c r="C120" s="2">
        <v>2</v>
      </c>
      <c r="D120" s="12">
        <v>45497</v>
      </c>
      <c r="E120" s="2">
        <v>32</v>
      </c>
      <c r="F120" s="13">
        <v>0.66896990740740736</v>
      </c>
      <c r="G120" s="3">
        <v>0.87260416666666663</v>
      </c>
      <c r="H120" s="1">
        <v>0.20347222222222222</v>
      </c>
      <c r="I120" s="5">
        <v>693</v>
      </c>
      <c r="J120">
        <v>6519</v>
      </c>
      <c r="K120">
        <v>142</v>
      </c>
      <c r="L120" s="5">
        <v>81</v>
      </c>
      <c r="M120" s="5">
        <v>693</v>
      </c>
      <c r="N120">
        <v>9</v>
      </c>
      <c r="O120">
        <v>684</v>
      </c>
      <c r="P120" s="1">
        <v>0.2048611111111111</v>
      </c>
      <c r="Q120" s="5">
        <v>1334</v>
      </c>
      <c r="R120" s="14">
        <v>9.5</v>
      </c>
      <c r="S120">
        <v>142</v>
      </c>
      <c r="T120" s="5">
        <v>9</v>
      </c>
      <c r="U120" s="5">
        <v>687</v>
      </c>
      <c r="V120" s="5">
        <v>3</v>
      </c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</row>
    <row r="121" spans="1:37" x14ac:dyDescent="0.25">
      <c r="A121" s="11">
        <f>Table1[[#This Row],[Milk Yield]]-J117</f>
        <v>-62</v>
      </c>
      <c r="B121" t="s">
        <v>24</v>
      </c>
      <c r="C121" s="2">
        <v>3</v>
      </c>
      <c r="D121" s="12">
        <v>45497</v>
      </c>
      <c r="E121" s="2">
        <v>31</v>
      </c>
      <c r="F121" s="13">
        <v>0.99608796296296298</v>
      </c>
      <c r="G121" s="3">
        <v>0.18839120370370371</v>
      </c>
      <c r="H121" s="1">
        <v>0.19166666666666668</v>
      </c>
      <c r="I121" s="5">
        <v>676</v>
      </c>
      <c r="J121">
        <v>5713</v>
      </c>
      <c r="K121">
        <v>146</v>
      </c>
      <c r="L121" s="5">
        <v>233</v>
      </c>
      <c r="M121" s="5">
        <v>676</v>
      </c>
      <c r="N121">
        <v>30</v>
      </c>
      <c r="O121">
        <v>646</v>
      </c>
      <c r="P121" s="1">
        <v>0.19375000000000001</v>
      </c>
      <c r="Q121" s="5">
        <v>1238</v>
      </c>
      <c r="R121" s="14">
        <v>8.5</v>
      </c>
      <c r="S121">
        <v>146</v>
      </c>
      <c r="T121" s="5">
        <v>30</v>
      </c>
      <c r="U121" s="5">
        <v>649</v>
      </c>
      <c r="V121" s="5">
        <v>3</v>
      </c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</row>
    <row r="122" spans="1:37" x14ac:dyDescent="0.25">
      <c r="A122" s="11" t="e">
        <f>Table1[[#This Row],[Milk Yield]]-J118</f>
        <v>#VALUE!</v>
      </c>
      <c r="B122" t="s">
        <v>0</v>
      </c>
      <c r="C122" s="2" t="s">
        <v>1</v>
      </c>
      <c r="D122" s="12" t="s">
        <v>2</v>
      </c>
      <c r="E122" s="2" t="s">
        <v>3</v>
      </c>
      <c r="F122" s="13" t="s">
        <v>4</v>
      </c>
      <c r="G122" s="3" t="s">
        <v>5</v>
      </c>
      <c r="H122" s="1" t="s">
        <v>6</v>
      </c>
      <c r="I122" s="5" t="s">
        <v>8</v>
      </c>
      <c r="J122" t="s">
        <v>9</v>
      </c>
      <c r="K122" t="s">
        <v>10</v>
      </c>
      <c r="L122" s="5" t="s">
        <v>11</v>
      </c>
      <c r="M122" s="5" t="s">
        <v>12</v>
      </c>
      <c r="N122" t="s">
        <v>13</v>
      </c>
      <c r="O122" t="s">
        <v>20</v>
      </c>
      <c r="P122" t="s">
        <v>7</v>
      </c>
      <c r="Q122" s="5" t="s">
        <v>15</v>
      </c>
      <c r="R122" s="14" t="s">
        <v>18</v>
      </c>
      <c r="S122" t="s">
        <v>16</v>
      </c>
      <c r="T122" s="5" t="s">
        <v>14</v>
      </c>
      <c r="U122" s="5" t="s">
        <v>17</v>
      </c>
      <c r="V122" s="5" t="s">
        <v>19</v>
      </c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</row>
    <row r="123" spans="1:37" x14ac:dyDescent="0.25">
      <c r="A123" s="11">
        <f>Table1[[#This Row],[Milk Yield]]-J119</f>
        <v>17</v>
      </c>
      <c r="B123" t="s">
        <v>24</v>
      </c>
      <c r="C123" s="2">
        <v>1</v>
      </c>
      <c r="D123" s="12">
        <v>45498</v>
      </c>
      <c r="E123" s="2">
        <v>32</v>
      </c>
      <c r="F123" s="13">
        <v>0.33837962962962964</v>
      </c>
      <c r="G123" s="3">
        <v>0.53435185185185186</v>
      </c>
      <c r="H123" s="1">
        <v>0.19583333333333333</v>
      </c>
      <c r="I123" s="5">
        <v>687</v>
      </c>
      <c r="J123">
        <v>6780</v>
      </c>
      <c r="K123">
        <v>146</v>
      </c>
      <c r="L123" s="5">
        <v>148</v>
      </c>
      <c r="M123" s="5">
        <v>687</v>
      </c>
      <c r="N123">
        <v>15</v>
      </c>
      <c r="O123">
        <v>672</v>
      </c>
      <c r="P123" s="1">
        <v>0.20347222222222222</v>
      </c>
      <c r="Q123" s="5">
        <v>1442</v>
      </c>
      <c r="R123" s="14">
        <v>9.9</v>
      </c>
      <c r="S123">
        <v>146</v>
      </c>
      <c r="T123" s="5">
        <v>15</v>
      </c>
      <c r="U123" s="5">
        <v>675</v>
      </c>
      <c r="V123" s="5">
        <v>3</v>
      </c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</row>
    <row r="124" spans="1:37" x14ac:dyDescent="0.25">
      <c r="A124" s="11">
        <f>Table1[[#This Row],[Milk Yield]]-J120</f>
        <v>-22</v>
      </c>
      <c r="B124" t="s">
        <v>24</v>
      </c>
      <c r="C124" s="2">
        <v>2</v>
      </c>
      <c r="D124" s="12">
        <v>45498</v>
      </c>
      <c r="E124" s="2">
        <v>32</v>
      </c>
      <c r="F124" s="13">
        <v>0.67192129629629627</v>
      </c>
      <c r="G124" s="3">
        <v>0.88200231481481484</v>
      </c>
      <c r="H124" s="1">
        <v>0.20972222222222223</v>
      </c>
      <c r="I124" s="5">
        <v>695</v>
      </c>
      <c r="J124">
        <v>6497</v>
      </c>
      <c r="K124">
        <v>138</v>
      </c>
      <c r="L124" s="5">
        <v>212</v>
      </c>
      <c r="M124" s="5">
        <v>695</v>
      </c>
      <c r="N124">
        <v>23</v>
      </c>
      <c r="O124">
        <v>672</v>
      </c>
      <c r="P124" s="1">
        <v>0.20972222222222223</v>
      </c>
      <c r="Q124" s="5">
        <v>1289</v>
      </c>
      <c r="R124" s="14">
        <v>9.4</v>
      </c>
      <c r="S124">
        <v>138</v>
      </c>
      <c r="T124" s="5">
        <v>23</v>
      </c>
      <c r="U124" s="5">
        <v>672</v>
      </c>
      <c r="V124" s="5">
        <v>0</v>
      </c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</row>
    <row r="125" spans="1:37" x14ac:dyDescent="0.25">
      <c r="A125" s="11">
        <f>Table1[[#This Row],[Milk Yield]]-J121</f>
        <v>76</v>
      </c>
      <c r="B125" t="s">
        <v>24</v>
      </c>
      <c r="C125" s="2">
        <v>3</v>
      </c>
      <c r="D125" s="12">
        <v>45498</v>
      </c>
      <c r="E125" s="2">
        <v>33</v>
      </c>
      <c r="F125" s="13">
        <v>0.99943287037037032</v>
      </c>
      <c r="G125" s="3">
        <v>0.19349537037037037</v>
      </c>
      <c r="H125" s="1">
        <v>0.19375000000000001</v>
      </c>
      <c r="I125" s="5">
        <v>698</v>
      </c>
      <c r="J125">
        <v>5789</v>
      </c>
      <c r="K125">
        <v>150</v>
      </c>
      <c r="L125" s="5">
        <v>159</v>
      </c>
      <c r="M125" s="5">
        <v>698</v>
      </c>
      <c r="N125">
        <v>19</v>
      </c>
      <c r="O125">
        <v>679</v>
      </c>
      <c r="P125" s="1">
        <v>0.18680555555555556</v>
      </c>
      <c r="Q125" s="5">
        <v>1243</v>
      </c>
      <c r="R125" s="14">
        <v>8.3000000000000007</v>
      </c>
      <c r="S125">
        <v>150</v>
      </c>
      <c r="T125" s="5">
        <v>19</v>
      </c>
      <c r="U125" s="5">
        <v>680</v>
      </c>
      <c r="V125" s="5">
        <v>1</v>
      </c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</row>
    <row r="126" spans="1:37" x14ac:dyDescent="0.25">
      <c r="A126" s="11" t="e">
        <f>Table1[[#This Row],[Milk Yield]]-J122</f>
        <v>#VALUE!</v>
      </c>
      <c r="B126" t="s">
        <v>0</v>
      </c>
      <c r="C126" s="2" t="s">
        <v>1</v>
      </c>
      <c r="D126" s="12" t="s">
        <v>2</v>
      </c>
      <c r="E126" s="2" t="s">
        <v>3</v>
      </c>
      <c r="F126" s="13" t="s">
        <v>4</v>
      </c>
      <c r="G126" s="3" t="s">
        <v>5</v>
      </c>
      <c r="H126" s="1" t="s">
        <v>6</v>
      </c>
      <c r="I126" s="5" t="s">
        <v>8</v>
      </c>
      <c r="J126" t="s">
        <v>9</v>
      </c>
      <c r="K126" t="s">
        <v>10</v>
      </c>
      <c r="L126" s="5" t="s">
        <v>11</v>
      </c>
      <c r="M126" s="5" t="s">
        <v>12</v>
      </c>
      <c r="N126" t="s">
        <v>13</v>
      </c>
      <c r="O126" t="s">
        <v>20</v>
      </c>
      <c r="P126" t="s">
        <v>7</v>
      </c>
      <c r="Q126" s="5" t="s">
        <v>15</v>
      </c>
      <c r="R126" s="14" t="s">
        <v>18</v>
      </c>
      <c r="S126" t="s">
        <v>16</v>
      </c>
      <c r="T126" s="5" t="s">
        <v>14</v>
      </c>
      <c r="U126" s="5" t="s">
        <v>17</v>
      </c>
      <c r="V126" s="5" t="s">
        <v>19</v>
      </c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</row>
    <row r="127" spans="1:37" x14ac:dyDescent="0.25">
      <c r="A127" s="11">
        <f>Table1[[#This Row],[Milk Yield]]-J123</f>
        <v>-1226</v>
      </c>
      <c r="B127" t="s">
        <v>24</v>
      </c>
      <c r="C127" s="2">
        <v>3</v>
      </c>
      <c r="D127" s="12">
        <v>45499</v>
      </c>
      <c r="E127" s="2">
        <v>31</v>
      </c>
      <c r="F127" s="13">
        <v>0.99811342592592589</v>
      </c>
      <c r="G127" s="3">
        <v>0.17444444444444446</v>
      </c>
      <c r="H127" s="1">
        <v>0.17569444444444443</v>
      </c>
      <c r="I127" s="5">
        <v>659</v>
      </c>
      <c r="J127">
        <v>5554</v>
      </c>
      <c r="K127">
        <v>156</v>
      </c>
      <c r="L127" s="5">
        <v>72</v>
      </c>
      <c r="M127" s="5">
        <v>659</v>
      </c>
      <c r="N127">
        <v>8</v>
      </c>
      <c r="O127">
        <v>651</v>
      </c>
      <c r="P127" s="1">
        <v>0.18402777777777779</v>
      </c>
      <c r="Q127" s="5">
        <v>1313</v>
      </c>
      <c r="R127" s="14">
        <v>8.5</v>
      </c>
      <c r="S127">
        <v>156</v>
      </c>
      <c r="T127" s="5">
        <v>8</v>
      </c>
      <c r="U127" s="5">
        <v>652</v>
      </c>
      <c r="V127" s="5">
        <v>1</v>
      </c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</row>
    <row r="128" spans="1:37" x14ac:dyDescent="0.25">
      <c r="A128" s="11">
        <f>Table1[[#This Row],[Milk Yield]]-J124</f>
        <v>16</v>
      </c>
      <c r="B128" t="s">
        <v>24</v>
      </c>
      <c r="C128" s="2">
        <v>1</v>
      </c>
      <c r="D128" s="12">
        <v>45499</v>
      </c>
      <c r="E128" s="2">
        <v>32</v>
      </c>
      <c r="F128" s="13">
        <v>0.33459490740740738</v>
      </c>
      <c r="G128" s="3">
        <v>0.53380787037037036</v>
      </c>
      <c r="H128" s="1">
        <v>0.1986111111111111</v>
      </c>
      <c r="I128" s="5">
        <v>681</v>
      </c>
      <c r="J128">
        <v>6513</v>
      </c>
      <c r="K128">
        <v>142</v>
      </c>
      <c r="L128" s="5">
        <v>84</v>
      </c>
      <c r="M128" s="5">
        <v>681</v>
      </c>
      <c r="N128">
        <v>9</v>
      </c>
      <c r="O128">
        <v>672</v>
      </c>
      <c r="P128" s="1">
        <v>0.19583333333333333</v>
      </c>
      <c r="Q128" s="5">
        <v>1362</v>
      </c>
      <c r="R128" s="14">
        <v>9.6</v>
      </c>
      <c r="S128">
        <v>142</v>
      </c>
      <c r="T128" s="5">
        <v>9</v>
      </c>
      <c r="U128" s="5">
        <v>672</v>
      </c>
      <c r="V128" s="5">
        <v>1</v>
      </c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</row>
    <row r="129" spans="1:37" x14ac:dyDescent="0.25">
      <c r="A129" s="11">
        <f>Table1[[#This Row],[Milk Yield]]-J125</f>
        <v>387</v>
      </c>
      <c r="B129" t="s">
        <v>24</v>
      </c>
      <c r="C129" s="2">
        <v>2</v>
      </c>
      <c r="D129" s="12">
        <v>45499</v>
      </c>
      <c r="E129" s="2">
        <v>32</v>
      </c>
      <c r="F129" s="13">
        <v>0.66726851851851854</v>
      </c>
      <c r="G129" s="3">
        <v>0.8644560185185185</v>
      </c>
      <c r="H129" s="1">
        <v>0.19652777777777777</v>
      </c>
      <c r="I129" s="5">
        <v>688</v>
      </c>
      <c r="J129">
        <v>6176</v>
      </c>
      <c r="K129">
        <v>145</v>
      </c>
      <c r="L129" s="5">
        <v>63</v>
      </c>
      <c r="M129" s="5">
        <v>688</v>
      </c>
      <c r="N129">
        <v>8</v>
      </c>
      <c r="O129">
        <v>680</v>
      </c>
      <c r="P129" s="1">
        <v>0.19791666666666666</v>
      </c>
      <c r="Q129" s="5">
        <v>1305</v>
      </c>
      <c r="R129" s="14">
        <v>9</v>
      </c>
      <c r="S129">
        <v>145</v>
      </c>
      <c r="T129" s="5">
        <v>8</v>
      </c>
      <c r="U129" s="5">
        <v>680</v>
      </c>
      <c r="V129" s="5">
        <v>0</v>
      </c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</row>
    <row r="130" spans="1:37" x14ac:dyDescent="0.25">
      <c r="A130" s="11" t="e">
        <f>Table1[[#This Row],[Milk Yield]]-J126</f>
        <v>#VALUE!</v>
      </c>
      <c r="B130" t="s">
        <v>0</v>
      </c>
      <c r="C130" s="2" t="s">
        <v>1</v>
      </c>
      <c r="D130" s="12" t="s">
        <v>2</v>
      </c>
      <c r="E130" s="2" t="s">
        <v>3</v>
      </c>
      <c r="F130" s="13" t="s">
        <v>4</v>
      </c>
      <c r="G130" s="3" t="s">
        <v>5</v>
      </c>
      <c r="H130" s="1" t="s">
        <v>6</v>
      </c>
      <c r="I130" s="5" t="s">
        <v>8</v>
      </c>
      <c r="J130" t="s">
        <v>9</v>
      </c>
      <c r="K130" t="s">
        <v>10</v>
      </c>
      <c r="L130" s="5" t="s">
        <v>11</v>
      </c>
      <c r="M130" s="5" t="s">
        <v>12</v>
      </c>
      <c r="N130" t="s">
        <v>13</v>
      </c>
      <c r="O130" t="s">
        <v>20</v>
      </c>
      <c r="P130" t="s">
        <v>7</v>
      </c>
      <c r="Q130" s="5" t="s">
        <v>15</v>
      </c>
      <c r="R130" s="14" t="s">
        <v>18</v>
      </c>
      <c r="S130" t="s">
        <v>16</v>
      </c>
      <c r="T130" s="5" t="s">
        <v>14</v>
      </c>
      <c r="U130" s="5" t="s">
        <v>17</v>
      </c>
      <c r="V130" s="5" t="s">
        <v>19</v>
      </c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</row>
    <row r="131" spans="1:37" x14ac:dyDescent="0.25">
      <c r="A131" s="11">
        <f>Table1[[#This Row],[Milk Yield]]-J127</f>
        <v>1164</v>
      </c>
      <c r="B131" t="s">
        <v>24</v>
      </c>
      <c r="C131" s="2">
        <v>1</v>
      </c>
      <c r="D131" s="12">
        <v>45500</v>
      </c>
      <c r="E131" s="2">
        <v>32</v>
      </c>
      <c r="F131" s="13">
        <v>0.33579861111111109</v>
      </c>
      <c r="G131" s="3">
        <v>0.54586805555555551</v>
      </c>
      <c r="H131" s="1">
        <v>0.20972222222222223</v>
      </c>
      <c r="I131" s="5">
        <v>670</v>
      </c>
      <c r="J131">
        <v>6718</v>
      </c>
      <c r="K131">
        <v>133</v>
      </c>
      <c r="L131" s="5">
        <v>139</v>
      </c>
      <c r="M131" s="5">
        <v>670</v>
      </c>
      <c r="N131">
        <v>15</v>
      </c>
      <c r="O131">
        <v>655</v>
      </c>
      <c r="P131" s="1">
        <v>0.2048611111111111</v>
      </c>
      <c r="Q131" s="5">
        <v>1332</v>
      </c>
      <c r="R131" s="14">
        <v>10.1</v>
      </c>
      <c r="S131">
        <v>133</v>
      </c>
      <c r="T131" s="5">
        <v>15</v>
      </c>
      <c r="U131" s="5">
        <v>655</v>
      </c>
      <c r="V131" s="5">
        <v>0</v>
      </c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</row>
    <row r="132" spans="1:37" x14ac:dyDescent="0.25">
      <c r="A132" s="11">
        <f>Table1[[#This Row],[Milk Yield]]-J128</f>
        <v>-400</v>
      </c>
      <c r="B132" t="s">
        <v>24</v>
      </c>
      <c r="C132" s="2">
        <v>2</v>
      </c>
      <c r="D132" s="12">
        <v>45500</v>
      </c>
      <c r="E132" s="2">
        <v>32</v>
      </c>
      <c r="F132" s="13">
        <v>0.67329861111111111</v>
      </c>
      <c r="G132" s="3">
        <v>0.87297453703703709</v>
      </c>
      <c r="H132" s="1">
        <v>0.19930555555555557</v>
      </c>
      <c r="I132" s="5">
        <v>676</v>
      </c>
      <c r="J132">
        <v>6113</v>
      </c>
      <c r="K132">
        <v>141</v>
      </c>
      <c r="L132" s="5">
        <v>357</v>
      </c>
      <c r="M132" s="5">
        <v>676</v>
      </c>
      <c r="N132">
        <v>36</v>
      </c>
      <c r="O132">
        <v>640</v>
      </c>
      <c r="P132" s="1">
        <v>0.21180555555555555</v>
      </c>
      <c r="Q132" s="5">
        <v>1276</v>
      </c>
      <c r="R132" s="14">
        <v>9.1</v>
      </c>
      <c r="S132">
        <v>141</v>
      </c>
      <c r="T132" s="5">
        <v>36</v>
      </c>
      <c r="U132" s="5">
        <v>640</v>
      </c>
      <c r="V132" s="5">
        <v>0</v>
      </c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</row>
    <row r="133" spans="1:37" x14ac:dyDescent="0.25">
      <c r="A133" s="11">
        <f>Table1[[#This Row],[Milk Yield]]-J129</f>
        <v>-527</v>
      </c>
      <c r="B133" t="s">
        <v>24</v>
      </c>
      <c r="C133" s="2">
        <v>3</v>
      </c>
      <c r="D133" s="12">
        <v>45500</v>
      </c>
      <c r="E133" s="2">
        <v>30</v>
      </c>
      <c r="F133" s="13">
        <v>4.3055555555555555E-3</v>
      </c>
      <c r="G133" s="3">
        <v>0.19718749999999999</v>
      </c>
      <c r="H133" s="1">
        <v>0.19236111111111112</v>
      </c>
      <c r="I133" s="5">
        <v>669</v>
      </c>
      <c r="J133">
        <v>5649</v>
      </c>
      <c r="K133">
        <v>145</v>
      </c>
      <c r="L133" s="5">
        <v>156</v>
      </c>
      <c r="M133" s="5">
        <v>669</v>
      </c>
      <c r="N133">
        <v>18</v>
      </c>
      <c r="O133">
        <v>651</v>
      </c>
      <c r="P133" s="1">
        <v>0.19513888888888889</v>
      </c>
      <c r="Q133" s="5">
        <v>1220</v>
      </c>
      <c r="R133" s="14">
        <v>8.5</v>
      </c>
      <c r="S133">
        <v>145</v>
      </c>
      <c r="T133" s="5">
        <v>18</v>
      </c>
      <c r="U133" s="5">
        <v>651</v>
      </c>
      <c r="V133" s="5">
        <v>0</v>
      </c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</row>
    <row r="134" spans="1:37" x14ac:dyDescent="0.25">
      <c r="A134" s="11" t="e">
        <f>Table1[[#This Row],[Milk Yield]]-J130</f>
        <v>#VALUE!</v>
      </c>
      <c r="B134" t="s">
        <v>0</v>
      </c>
      <c r="C134" s="2" t="s">
        <v>1</v>
      </c>
      <c r="D134" s="12" t="s">
        <v>2</v>
      </c>
      <c r="E134" s="2" t="s">
        <v>3</v>
      </c>
      <c r="F134" s="13" t="s">
        <v>4</v>
      </c>
      <c r="G134" s="3" t="s">
        <v>5</v>
      </c>
      <c r="H134" s="1" t="s">
        <v>6</v>
      </c>
      <c r="I134" s="5" t="s">
        <v>8</v>
      </c>
      <c r="J134" t="s">
        <v>9</v>
      </c>
      <c r="K134" t="s">
        <v>10</v>
      </c>
      <c r="L134" s="5" t="s">
        <v>11</v>
      </c>
      <c r="M134" s="5" t="s">
        <v>12</v>
      </c>
      <c r="N134" t="s">
        <v>13</v>
      </c>
      <c r="O134" t="s">
        <v>20</v>
      </c>
      <c r="P134" t="s">
        <v>7</v>
      </c>
      <c r="Q134" s="5" t="s">
        <v>15</v>
      </c>
      <c r="R134" s="14" t="s">
        <v>18</v>
      </c>
      <c r="S134" t="s">
        <v>16</v>
      </c>
      <c r="T134" s="5" t="s">
        <v>14</v>
      </c>
      <c r="U134" s="5" t="s">
        <v>17</v>
      </c>
      <c r="V134" s="5" t="s">
        <v>19</v>
      </c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</row>
    <row r="135" spans="1:37" x14ac:dyDescent="0.25">
      <c r="A135" s="11">
        <f>Table1[[#This Row],[Milk Yield]]-J131</f>
        <v>-280</v>
      </c>
      <c r="B135" t="s">
        <v>24</v>
      </c>
      <c r="C135" s="2">
        <v>1</v>
      </c>
      <c r="D135" s="12">
        <v>45501</v>
      </c>
      <c r="E135" s="2">
        <v>31</v>
      </c>
      <c r="F135" s="13">
        <v>0.33630787037037035</v>
      </c>
      <c r="G135" s="3">
        <v>0.53377314814814814</v>
      </c>
      <c r="H135" s="1">
        <v>0.19722222222222222</v>
      </c>
      <c r="I135" s="5">
        <v>676</v>
      </c>
      <c r="J135">
        <v>6438</v>
      </c>
      <c r="K135">
        <v>143</v>
      </c>
      <c r="L135" s="5">
        <v>98</v>
      </c>
      <c r="M135" s="5">
        <v>676</v>
      </c>
      <c r="N135">
        <v>9</v>
      </c>
      <c r="O135">
        <v>667</v>
      </c>
      <c r="P135" s="1">
        <v>0.20069444444444445</v>
      </c>
      <c r="Q135" s="5">
        <v>1358</v>
      </c>
      <c r="R135" s="14">
        <v>9.6</v>
      </c>
      <c r="S135">
        <v>143</v>
      </c>
      <c r="T135" s="5">
        <v>9</v>
      </c>
      <c r="U135" s="5">
        <v>667</v>
      </c>
      <c r="V135" s="5">
        <v>0</v>
      </c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</row>
    <row r="136" spans="1:37" x14ac:dyDescent="0.25">
      <c r="A136" s="11">
        <f>Table1[[#This Row],[Milk Yield]]-J132</f>
        <v>187</v>
      </c>
      <c r="B136" t="s">
        <v>24</v>
      </c>
      <c r="C136" s="2">
        <v>2</v>
      </c>
      <c r="D136" s="12">
        <v>45501</v>
      </c>
      <c r="E136" s="2">
        <v>33</v>
      </c>
      <c r="F136" s="13">
        <v>0.66922453703703699</v>
      </c>
      <c r="G136" s="3">
        <v>0.88840277777777776</v>
      </c>
      <c r="H136" s="1">
        <v>0.21875</v>
      </c>
      <c r="I136" s="5">
        <v>694</v>
      </c>
      <c r="J136">
        <v>6300</v>
      </c>
      <c r="K136">
        <v>132</v>
      </c>
      <c r="L136" s="5">
        <v>124</v>
      </c>
      <c r="M136" s="5">
        <v>694</v>
      </c>
      <c r="N136">
        <v>16</v>
      </c>
      <c r="O136">
        <v>678</v>
      </c>
      <c r="P136" s="1">
        <v>0.2048611111111111</v>
      </c>
      <c r="Q136" s="5">
        <v>1198</v>
      </c>
      <c r="R136" s="14">
        <v>9.1</v>
      </c>
      <c r="S136">
        <v>132</v>
      </c>
      <c r="T136" s="5">
        <v>16</v>
      </c>
      <c r="U136" s="5">
        <v>676</v>
      </c>
      <c r="V136" s="5">
        <v>0</v>
      </c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</row>
    <row r="137" spans="1:37" x14ac:dyDescent="0.25">
      <c r="A137" s="11">
        <f>Table1[[#This Row],[Milk Yield]]-J133</f>
        <v>151</v>
      </c>
      <c r="B137" t="s">
        <v>24</v>
      </c>
      <c r="C137" s="2">
        <v>3</v>
      </c>
      <c r="D137" s="12">
        <v>45501</v>
      </c>
      <c r="E137" s="2">
        <v>31</v>
      </c>
      <c r="F137" s="13">
        <v>2.199074074074074E-4</v>
      </c>
      <c r="G137" s="3">
        <v>0.22273148148148147</v>
      </c>
      <c r="H137" s="1">
        <v>0.22222222222222221</v>
      </c>
      <c r="I137" s="5">
        <v>679</v>
      </c>
      <c r="J137">
        <v>5800</v>
      </c>
      <c r="K137">
        <v>127</v>
      </c>
      <c r="L137" s="5">
        <v>141</v>
      </c>
      <c r="M137" s="5">
        <v>679</v>
      </c>
      <c r="N137">
        <v>18</v>
      </c>
      <c r="O137">
        <v>661</v>
      </c>
      <c r="P137" s="1">
        <v>0.19513888888888889</v>
      </c>
      <c r="Q137" s="5">
        <v>1086</v>
      </c>
      <c r="R137" s="14">
        <v>8.6</v>
      </c>
      <c r="S137">
        <v>127</v>
      </c>
      <c r="T137" s="5">
        <v>18</v>
      </c>
      <c r="U137" s="5">
        <v>661</v>
      </c>
      <c r="V137" s="5">
        <v>0</v>
      </c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</row>
    <row r="138" spans="1:37" x14ac:dyDescent="0.25">
      <c r="A138" s="11" t="e">
        <f>Table1[[#This Row],[Milk Yield]]-J134</f>
        <v>#VALUE!</v>
      </c>
      <c r="B138" t="s">
        <v>0</v>
      </c>
      <c r="C138" s="2" t="s">
        <v>1</v>
      </c>
      <c r="D138" s="12" t="s">
        <v>2</v>
      </c>
      <c r="E138" s="2" t="s">
        <v>3</v>
      </c>
      <c r="F138" s="13" t="s">
        <v>4</v>
      </c>
      <c r="G138" s="3" t="s">
        <v>5</v>
      </c>
      <c r="H138" s="1" t="s">
        <v>6</v>
      </c>
      <c r="I138" s="5" t="s">
        <v>8</v>
      </c>
      <c r="J138" t="s">
        <v>9</v>
      </c>
      <c r="K138" t="s">
        <v>10</v>
      </c>
      <c r="L138" s="5" t="s">
        <v>11</v>
      </c>
      <c r="M138" s="5" t="s">
        <v>12</v>
      </c>
      <c r="N138" t="s">
        <v>13</v>
      </c>
      <c r="O138" t="s">
        <v>20</v>
      </c>
      <c r="P138" t="s">
        <v>7</v>
      </c>
      <c r="Q138" s="5" t="s">
        <v>15</v>
      </c>
      <c r="R138" s="14" t="s">
        <v>18</v>
      </c>
      <c r="S138" t="s">
        <v>16</v>
      </c>
      <c r="T138" s="5" t="s">
        <v>14</v>
      </c>
      <c r="U138" s="5" t="s">
        <v>17</v>
      </c>
      <c r="V138" s="5" t="s">
        <v>19</v>
      </c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</row>
    <row r="139" spans="1:37" x14ac:dyDescent="0.25">
      <c r="A139" s="11">
        <f>Table1[[#This Row],[Milk Yield]]-J135</f>
        <v>65</v>
      </c>
      <c r="B139" t="s">
        <v>24</v>
      </c>
      <c r="C139" s="2">
        <v>1</v>
      </c>
      <c r="D139" s="12">
        <v>45502</v>
      </c>
      <c r="E139" s="2">
        <v>33</v>
      </c>
      <c r="F139" s="13">
        <v>0.33739583333333334</v>
      </c>
      <c r="G139" s="3">
        <v>0.57641203703703703</v>
      </c>
      <c r="H139" s="1">
        <v>0.2388888888888889</v>
      </c>
      <c r="I139" s="5">
        <v>700</v>
      </c>
      <c r="J139">
        <v>6503</v>
      </c>
      <c r="K139">
        <v>122</v>
      </c>
      <c r="L139" s="5">
        <v>256</v>
      </c>
      <c r="M139" s="5">
        <v>700</v>
      </c>
      <c r="N139">
        <v>29</v>
      </c>
      <c r="O139">
        <v>671</v>
      </c>
      <c r="P139" s="1">
        <v>0.20833333333333334</v>
      </c>
      <c r="Q139" s="5">
        <v>1134</v>
      </c>
      <c r="R139" s="14">
        <v>9.3000000000000007</v>
      </c>
      <c r="S139">
        <v>122</v>
      </c>
      <c r="T139" s="5">
        <v>29</v>
      </c>
      <c r="U139" s="5">
        <v>672</v>
      </c>
      <c r="V139" s="5">
        <v>1</v>
      </c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</row>
    <row r="140" spans="1:37" x14ac:dyDescent="0.25">
      <c r="A140" s="11">
        <f>Table1[[#This Row],[Milk Yield]]-J136</f>
        <v>-398</v>
      </c>
      <c r="B140" t="s">
        <v>24</v>
      </c>
      <c r="C140" s="2">
        <v>2</v>
      </c>
      <c r="D140" s="12">
        <v>45502</v>
      </c>
      <c r="E140" s="2">
        <v>32</v>
      </c>
      <c r="F140" s="13">
        <v>0.67585648148148147</v>
      </c>
      <c r="G140" s="3">
        <v>0.87758101851851855</v>
      </c>
      <c r="H140" s="1">
        <v>0.2013888888888889</v>
      </c>
      <c r="I140" s="5">
        <v>688</v>
      </c>
      <c r="J140">
        <v>5902</v>
      </c>
      <c r="K140">
        <v>142</v>
      </c>
      <c r="L140" s="5">
        <v>283</v>
      </c>
      <c r="M140" s="5">
        <v>687</v>
      </c>
      <c r="N140">
        <v>33</v>
      </c>
      <c r="O140">
        <v>654</v>
      </c>
      <c r="P140" s="1">
        <v>0.20555555555555555</v>
      </c>
      <c r="Q140" s="5">
        <v>1219</v>
      </c>
      <c r="R140" s="14">
        <v>8.6</v>
      </c>
      <c r="S140">
        <v>142</v>
      </c>
      <c r="T140" s="5">
        <v>33</v>
      </c>
      <c r="U140" s="5">
        <v>655</v>
      </c>
      <c r="V140" s="5">
        <v>1</v>
      </c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</row>
    <row r="141" spans="1:37" x14ac:dyDescent="0.25">
      <c r="A141" s="11">
        <f>Table1[[#This Row],[Milk Yield]]-J137</f>
        <v>-346</v>
      </c>
      <c r="B141" t="s">
        <v>24</v>
      </c>
      <c r="C141" s="2">
        <v>3</v>
      </c>
      <c r="D141" s="12">
        <v>45502</v>
      </c>
      <c r="E141" s="2">
        <v>31</v>
      </c>
      <c r="F141" s="13">
        <v>7.3148148148148148E-3</v>
      </c>
      <c r="G141" s="3">
        <v>0.18400462962962963</v>
      </c>
      <c r="H141" s="1">
        <v>0.1763888888888889</v>
      </c>
      <c r="I141" s="5">
        <v>672</v>
      </c>
      <c r="J141">
        <v>5454</v>
      </c>
      <c r="K141">
        <v>158</v>
      </c>
      <c r="L141" s="5">
        <v>102</v>
      </c>
      <c r="M141" s="5">
        <v>672</v>
      </c>
      <c r="N141">
        <v>13</v>
      </c>
      <c r="O141">
        <v>659</v>
      </c>
      <c r="P141" s="1">
        <v>0.18611111111111112</v>
      </c>
      <c r="Q141" s="5">
        <v>1286</v>
      </c>
      <c r="R141" s="14">
        <v>8.1999999999999993</v>
      </c>
      <c r="S141">
        <v>158</v>
      </c>
      <c r="T141" s="5">
        <v>13</v>
      </c>
      <c r="U141" s="5">
        <v>659</v>
      </c>
      <c r="V141" s="5">
        <v>0</v>
      </c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</row>
    <row r="142" spans="1:37" x14ac:dyDescent="0.25">
      <c r="A142" s="11" t="e">
        <f>Table1[[#This Row],[Milk Yield]]-J138</f>
        <v>#VALUE!</v>
      </c>
      <c r="B142" t="s">
        <v>0</v>
      </c>
      <c r="C142" s="2" t="s">
        <v>1</v>
      </c>
      <c r="D142" s="12" t="s">
        <v>2</v>
      </c>
      <c r="E142" s="2" t="s">
        <v>3</v>
      </c>
      <c r="F142" s="13" t="s">
        <v>4</v>
      </c>
      <c r="G142" s="3" t="s">
        <v>5</v>
      </c>
      <c r="H142" s="1" t="s">
        <v>6</v>
      </c>
      <c r="I142" s="5" t="s">
        <v>8</v>
      </c>
      <c r="J142" t="s">
        <v>9</v>
      </c>
      <c r="K142" t="s">
        <v>10</v>
      </c>
      <c r="L142" s="5" t="s">
        <v>11</v>
      </c>
      <c r="M142" s="5" t="s">
        <v>12</v>
      </c>
      <c r="N142" t="s">
        <v>13</v>
      </c>
      <c r="O142" t="s">
        <v>20</v>
      </c>
      <c r="P142" t="s">
        <v>7</v>
      </c>
      <c r="Q142" s="5" t="s">
        <v>15</v>
      </c>
      <c r="R142" s="14" t="s">
        <v>18</v>
      </c>
      <c r="S142" t="s">
        <v>16</v>
      </c>
      <c r="T142" s="5" t="s">
        <v>14</v>
      </c>
      <c r="U142" s="5" t="s">
        <v>17</v>
      </c>
      <c r="V142" s="5" t="s">
        <v>19</v>
      </c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</row>
    <row r="143" spans="1:37" x14ac:dyDescent="0.25">
      <c r="A143" s="11">
        <f>Table1[[#This Row],[Milk Yield]]-J139</f>
        <v>187</v>
      </c>
      <c r="B143" t="s">
        <v>24</v>
      </c>
      <c r="C143" s="2">
        <v>1</v>
      </c>
      <c r="D143" s="12">
        <v>45503</v>
      </c>
      <c r="E143" s="2">
        <v>32</v>
      </c>
      <c r="F143" s="13">
        <v>0.3450462962962963</v>
      </c>
      <c r="G143" s="3">
        <v>0.58216435185185189</v>
      </c>
      <c r="H143" s="1">
        <v>0.23680555555555555</v>
      </c>
      <c r="I143" s="5">
        <v>697</v>
      </c>
      <c r="J143">
        <v>6690</v>
      </c>
      <c r="K143">
        <v>122</v>
      </c>
      <c r="L143" s="5">
        <v>109</v>
      </c>
      <c r="M143" s="5">
        <v>697</v>
      </c>
      <c r="N143">
        <v>14</v>
      </c>
      <c r="O143">
        <v>683</v>
      </c>
      <c r="P143" s="1">
        <v>0.20208333333333334</v>
      </c>
      <c r="Q143" s="5">
        <v>1176</v>
      </c>
      <c r="R143" s="14">
        <v>9.6</v>
      </c>
      <c r="S143">
        <v>122</v>
      </c>
      <c r="T143" s="5">
        <v>14</v>
      </c>
      <c r="U143" s="5">
        <v>683</v>
      </c>
      <c r="V143" s="5">
        <v>1</v>
      </c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</row>
    <row r="144" spans="1:37" x14ac:dyDescent="0.25">
      <c r="A144" s="11">
        <f>Table1[[#This Row],[Milk Yield]]-J140</f>
        <v>5</v>
      </c>
      <c r="B144" t="s">
        <v>24</v>
      </c>
      <c r="C144" s="2">
        <v>2</v>
      </c>
      <c r="D144" s="12">
        <v>45503</v>
      </c>
      <c r="E144" s="2">
        <v>31</v>
      </c>
      <c r="F144" s="13">
        <v>0.69707175925925924</v>
      </c>
      <c r="G144" s="3">
        <v>0.87312500000000004</v>
      </c>
      <c r="H144" s="1">
        <v>0.17569444444444443</v>
      </c>
      <c r="I144" s="5">
        <v>675</v>
      </c>
      <c r="J144">
        <v>5907</v>
      </c>
      <c r="K144">
        <v>160</v>
      </c>
      <c r="L144" s="5">
        <v>216</v>
      </c>
      <c r="M144" s="5">
        <v>675</v>
      </c>
      <c r="N144">
        <v>23</v>
      </c>
      <c r="O144">
        <v>652</v>
      </c>
      <c r="P144" s="1">
        <v>0.18680555555555556</v>
      </c>
      <c r="Q144" s="5">
        <v>1398</v>
      </c>
      <c r="R144" s="14">
        <v>8.8000000000000007</v>
      </c>
      <c r="S144">
        <v>160</v>
      </c>
      <c r="T144" s="5">
        <v>23</v>
      </c>
      <c r="U144" s="5">
        <v>654</v>
      </c>
      <c r="V144" s="5">
        <v>2</v>
      </c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</row>
    <row r="145" spans="1:37" x14ac:dyDescent="0.25">
      <c r="A145" s="11">
        <f>Table1[[#This Row],[Milk Yield]]-J141</f>
        <v>-104</v>
      </c>
      <c r="B145" t="s">
        <v>24</v>
      </c>
      <c r="C145" s="2">
        <v>3</v>
      </c>
      <c r="D145" s="12">
        <v>45503</v>
      </c>
      <c r="E145" s="2">
        <v>31</v>
      </c>
      <c r="F145" s="13">
        <v>9.1666666666666667E-3</v>
      </c>
      <c r="G145" s="3">
        <v>0.18636574074074075</v>
      </c>
      <c r="H145" s="1">
        <v>0.17708333333333334</v>
      </c>
      <c r="I145" s="5">
        <v>679</v>
      </c>
      <c r="J145">
        <v>5350</v>
      </c>
      <c r="K145">
        <v>160</v>
      </c>
      <c r="L145" s="5">
        <v>220</v>
      </c>
      <c r="M145" s="5">
        <v>679</v>
      </c>
      <c r="N145">
        <v>33</v>
      </c>
      <c r="O145">
        <v>646</v>
      </c>
      <c r="P145" s="1">
        <v>0.18402777777777779</v>
      </c>
      <c r="Q145" s="5">
        <v>1258</v>
      </c>
      <c r="R145" s="14">
        <v>7.9</v>
      </c>
      <c r="S145">
        <v>160</v>
      </c>
      <c r="T145" s="5">
        <v>33</v>
      </c>
      <c r="U145" s="5">
        <v>647</v>
      </c>
      <c r="V145" s="5">
        <v>1</v>
      </c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</row>
    <row r="146" spans="1:37" x14ac:dyDescent="0.25">
      <c r="A146" s="11" t="e">
        <f>Table1[[#This Row],[Milk Yield]]-J142</f>
        <v>#VALUE!</v>
      </c>
      <c r="B146" t="s">
        <v>0</v>
      </c>
      <c r="C146" s="2" t="s">
        <v>1</v>
      </c>
      <c r="D146" s="12" t="s">
        <v>2</v>
      </c>
      <c r="E146" s="2" t="s">
        <v>3</v>
      </c>
      <c r="F146" s="13" t="s">
        <v>4</v>
      </c>
      <c r="G146" s="3" t="s">
        <v>5</v>
      </c>
      <c r="H146" s="1" t="s">
        <v>6</v>
      </c>
      <c r="I146" s="5" t="s">
        <v>8</v>
      </c>
      <c r="J146" t="s">
        <v>9</v>
      </c>
      <c r="K146" t="s">
        <v>10</v>
      </c>
      <c r="L146" s="5" t="s">
        <v>11</v>
      </c>
      <c r="M146" s="5" t="s">
        <v>12</v>
      </c>
      <c r="N146" t="s">
        <v>13</v>
      </c>
      <c r="O146" t="s">
        <v>20</v>
      </c>
      <c r="P146" t="s">
        <v>7</v>
      </c>
      <c r="Q146" s="5" t="s">
        <v>15</v>
      </c>
      <c r="R146" s="14" t="s">
        <v>18</v>
      </c>
      <c r="S146" t="s">
        <v>16</v>
      </c>
      <c r="T146" s="5" t="s">
        <v>14</v>
      </c>
      <c r="U146" s="5" t="s">
        <v>17</v>
      </c>
      <c r="V146" s="5" t="s">
        <v>19</v>
      </c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</row>
    <row r="147" spans="1:37" x14ac:dyDescent="0.25">
      <c r="A147" s="11">
        <f>Table1[[#This Row],[Milk Yield]]-J143</f>
        <v>-216</v>
      </c>
      <c r="B147" t="s">
        <v>24</v>
      </c>
      <c r="C147" s="2">
        <v>1</v>
      </c>
      <c r="D147" s="12">
        <v>45504</v>
      </c>
      <c r="E147" s="2">
        <v>33</v>
      </c>
      <c r="F147" s="13">
        <v>0.3387384259259259</v>
      </c>
      <c r="G147" s="3">
        <v>0.57024305555555554</v>
      </c>
      <c r="H147" s="1">
        <v>0.23125000000000001</v>
      </c>
      <c r="I147" s="5">
        <v>701</v>
      </c>
      <c r="J147">
        <v>6474</v>
      </c>
      <c r="K147">
        <v>126</v>
      </c>
      <c r="L147" s="5">
        <v>126</v>
      </c>
      <c r="M147" s="5">
        <v>701</v>
      </c>
      <c r="N147">
        <v>16</v>
      </c>
      <c r="O147">
        <v>685</v>
      </c>
      <c r="P147" s="1">
        <v>0.20555555555555555</v>
      </c>
      <c r="Q147" s="5">
        <v>1165</v>
      </c>
      <c r="R147" s="14">
        <v>9.3000000000000007</v>
      </c>
      <c r="S147">
        <v>126</v>
      </c>
      <c r="T147" s="5">
        <v>16</v>
      </c>
      <c r="U147" s="5">
        <v>685</v>
      </c>
      <c r="V147" s="5">
        <v>1</v>
      </c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</row>
    <row r="148" spans="1:37" x14ac:dyDescent="0.25">
      <c r="A148" s="11">
        <f>Table1[[#This Row],[Milk Yield]]-J144</f>
        <v>-83</v>
      </c>
      <c r="B148" t="s">
        <v>24</v>
      </c>
      <c r="C148" s="2">
        <v>2</v>
      </c>
      <c r="D148" s="12">
        <v>45504</v>
      </c>
      <c r="E148" s="2">
        <v>32</v>
      </c>
      <c r="F148" s="13">
        <v>0.67616898148148152</v>
      </c>
      <c r="G148" s="3">
        <v>0.89001157407407405</v>
      </c>
      <c r="H148" s="1">
        <v>0.21319444444444444</v>
      </c>
      <c r="I148" s="5">
        <v>671</v>
      </c>
      <c r="J148">
        <v>5824</v>
      </c>
      <c r="K148">
        <v>131</v>
      </c>
      <c r="L148" s="5">
        <v>98</v>
      </c>
      <c r="M148" s="5">
        <v>671</v>
      </c>
      <c r="N148">
        <v>10</v>
      </c>
      <c r="O148">
        <v>661</v>
      </c>
      <c r="P148" s="1">
        <v>0.18611111111111112</v>
      </c>
      <c r="Q148" s="5">
        <v>1135</v>
      </c>
      <c r="R148" s="14">
        <v>8.6999999999999993</v>
      </c>
      <c r="S148">
        <v>131</v>
      </c>
      <c r="T148" s="5">
        <v>10</v>
      </c>
      <c r="U148" s="5">
        <v>663</v>
      </c>
      <c r="V148" s="5">
        <v>2</v>
      </c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</row>
    <row r="149" spans="1:37" x14ac:dyDescent="0.25">
      <c r="A149" s="11">
        <f>Table1[[#This Row],[Milk Yield]]-J145</f>
        <v>8</v>
      </c>
      <c r="B149" t="s">
        <v>24</v>
      </c>
      <c r="C149" s="2">
        <v>3</v>
      </c>
      <c r="D149" s="12">
        <v>45504</v>
      </c>
      <c r="E149" s="2">
        <v>31</v>
      </c>
      <c r="F149" s="13">
        <v>0.99672453703703701</v>
      </c>
      <c r="G149" s="3">
        <v>0.18175925925925926</v>
      </c>
      <c r="H149" s="1">
        <v>0.18472222222222223</v>
      </c>
      <c r="I149" s="5">
        <v>670</v>
      </c>
      <c r="J149">
        <v>5358</v>
      </c>
      <c r="K149">
        <v>151</v>
      </c>
      <c r="L149" s="5">
        <v>69</v>
      </c>
      <c r="M149" s="5">
        <v>670</v>
      </c>
      <c r="N149">
        <v>10</v>
      </c>
      <c r="O149">
        <v>660</v>
      </c>
      <c r="P149" s="1">
        <v>0.17986111111111111</v>
      </c>
      <c r="Q149" s="5">
        <v>1206</v>
      </c>
      <c r="R149" s="14">
        <v>8</v>
      </c>
      <c r="S149">
        <v>151</v>
      </c>
      <c r="T149" s="5">
        <v>10</v>
      </c>
      <c r="U149" s="5">
        <v>661</v>
      </c>
      <c r="V149" s="5">
        <v>1</v>
      </c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</row>
    <row r="150" spans="1:37" x14ac:dyDescent="0.25">
      <c r="A150" s="11" t="e">
        <f>Table1[[#This Row],[Milk Yield]]-J146</f>
        <v>#VALUE!</v>
      </c>
      <c r="B150" t="s">
        <v>0</v>
      </c>
      <c r="C150" s="2" t="s">
        <v>1</v>
      </c>
      <c r="D150" s="12" t="s">
        <v>2</v>
      </c>
      <c r="E150" s="2" t="s">
        <v>3</v>
      </c>
      <c r="F150" s="13" t="s">
        <v>4</v>
      </c>
      <c r="G150" s="3" t="s">
        <v>5</v>
      </c>
      <c r="H150" s="1" t="s">
        <v>6</v>
      </c>
      <c r="I150" s="5" t="s">
        <v>8</v>
      </c>
      <c r="J150" t="s">
        <v>9</v>
      </c>
      <c r="K150" t="s">
        <v>10</v>
      </c>
      <c r="L150" s="5" t="s">
        <v>11</v>
      </c>
      <c r="M150" s="5" t="s">
        <v>12</v>
      </c>
      <c r="N150" t="s">
        <v>13</v>
      </c>
      <c r="O150" t="s">
        <v>20</v>
      </c>
      <c r="P150" t="s">
        <v>7</v>
      </c>
      <c r="Q150" s="5" t="s">
        <v>15</v>
      </c>
      <c r="R150" s="14" t="s">
        <v>18</v>
      </c>
      <c r="S150" t="s">
        <v>16</v>
      </c>
      <c r="T150" s="5" t="s">
        <v>14</v>
      </c>
      <c r="U150" s="5" t="s">
        <v>17</v>
      </c>
      <c r="V150" s="5" t="s">
        <v>19</v>
      </c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</row>
    <row r="151" spans="1:37" x14ac:dyDescent="0.25">
      <c r="A151" s="11">
        <f>Table1[[#This Row],[Milk Yield]]-J147</f>
        <v>190</v>
      </c>
      <c r="B151" t="s">
        <v>24</v>
      </c>
      <c r="C151" s="2">
        <v>1</v>
      </c>
      <c r="D151" s="12">
        <v>45505</v>
      </c>
      <c r="E151" s="2">
        <v>33</v>
      </c>
      <c r="F151" s="13">
        <v>0.34015046296296297</v>
      </c>
      <c r="G151" s="3">
        <v>0.56784722222222217</v>
      </c>
      <c r="H151" s="1">
        <v>0.22708333333333333</v>
      </c>
      <c r="I151" s="5">
        <v>691</v>
      </c>
      <c r="J151">
        <v>6664</v>
      </c>
      <c r="K151">
        <v>126</v>
      </c>
      <c r="L151" s="5">
        <v>119</v>
      </c>
      <c r="M151" s="5">
        <v>691</v>
      </c>
      <c r="N151">
        <v>12</v>
      </c>
      <c r="O151">
        <v>679</v>
      </c>
      <c r="P151" s="1">
        <v>0.20277777777777778</v>
      </c>
      <c r="Q151" s="5">
        <v>1219</v>
      </c>
      <c r="R151" s="14">
        <v>9.6999999999999993</v>
      </c>
      <c r="S151">
        <v>126</v>
      </c>
      <c r="T151" s="5">
        <v>12</v>
      </c>
      <c r="U151" s="5">
        <v>681</v>
      </c>
      <c r="V151" s="5">
        <v>2</v>
      </c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</row>
    <row r="152" spans="1:37" x14ac:dyDescent="0.25">
      <c r="A152" s="11">
        <f>Table1[[#This Row],[Milk Yield]]-J148</f>
        <v>-383</v>
      </c>
      <c r="B152" t="s">
        <v>24</v>
      </c>
      <c r="C152" s="2">
        <v>2</v>
      </c>
      <c r="D152" s="12">
        <v>45505</v>
      </c>
      <c r="E152" s="2">
        <v>32</v>
      </c>
      <c r="F152" s="13">
        <v>0.67608796296296292</v>
      </c>
      <c r="G152" s="3">
        <v>0.85689814814814813</v>
      </c>
      <c r="H152" s="1">
        <v>0.18055555555555555</v>
      </c>
      <c r="I152" s="5">
        <v>675</v>
      </c>
      <c r="J152">
        <v>5441</v>
      </c>
      <c r="K152">
        <v>156</v>
      </c>
      <c r="L152" s="5">
        <v>119</v>
      </c>
      <c r="M152" s="5">
        <v>675</v>
      </c>
      <c r="N152">
        <v>17</v>
      </c>
      <c r="O152">
        <v>658</v>
      </c>
      <c r="P152" s="1">
        <v>0.18541666666666667</v>
      </c>
      <c r="Q152" s="5">
        <v>1254</v>
      </c>
      <c r="R152" s="14">
        <v>8.1</v>
      </c>
      <c r="S152">
        <v>156</v>
      </c>
      <c r="T152" s="5">
        <v>17</v>
      </c>
      <c r="U152" s="5">
        <v>659</v>
      </c>
      <c r="V152" s="5">
        <v>1</v>
      </c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</row>
    <row r="153" spans="1:37" x14ac:dyDescent="0.25">
      <c r="A153" s="11">
        <f>Table1[[#This Row],[Milk Yield]]-J149</f>
        <v>359</v>
      </c>
      <c r="B153" t="s">
        <v>24</v>
      </c>
      <c r="C153" s="2">
        <v>3</v>
      </c>
      <c r="D153" s="12">
        <v>45505</v>
      </c>
      <c r="E153" s="2">
        <v>32</v>
      </c>
      <c r="F153" s="13">
        <v>5.8796296296296296E-3</v>
      </c>
      <c r="G153" s="3">
        <v>0.18810185185185185</v>
      </c>
      <c r="H153" s="1">
        <v>0.18194444444444444</v>
      </c>
      <c r="I153" s="5">
        <v>665</v>
      </c>
      <c r="J153">
        <v>5717</v>
      </c>
      <c r="K153">
        <v>152</v>
      </c>
      <c r="L153" s="5">
        <v>136</v>
      </c>
      <c r="M153" s="5">
        <v>665</v>
      </c>
      <c r="N153">
        <v>17</v>
      </c>
      <c r="O153">
        <v>648</v>
      </c>
      <c r="P153" s="1">
        <v>0.18819444444444444</v>
      </c>
      <c r="Q153" s="5">
        <v>1307</v>
      </c>
      <c r="R153" s="14">
        <v>8.6</v>
      </c>
      <c r="S153">
        <v>152</v>
      </c>
      <c r="T153" s="5">
        <v>17</v>
      </c>
      <c r="U153" s="5">
        <v>649</v>
      </c>
      <c r="V153" s="5">
        <v>1</v>
      </c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</row>
    <row r="154" spans="1:37" x14ac:dyDescent="0.25">
      <c r="A154" s="11" t="e">
        <f>Table1[[#This Row],[Milk Yield]]-J150</f>
        <v>#VALUE!</v>
      </c>
      <c r="B154" t="s">
        <v>0</v>
      </c>
      <c r="C154" s="2" t="s">
        <v>1</v>
      </c>
      <c r="D154" s="12" t="s">
        <v>2</v>
      </c>
      <c r="E154" s="2" t="s">
        <v>3</v>
      </c>
      <c r="F154" s="13" t="s">
        <v>4</v>
      </c>
      <c r="G154" s="3" t="s">
        <v>5</v>
      </c>
      <c r="H154" s="1" t="s">
        <v>6</v>
      </c>
      <c r="I154" s="5" t="s">
        <v>8</v>
      </c>
      <c r="J154" t="s">
        <v>9</v>
      </c>
      <c r="K154" t="s">
        <v>10</v>
      </c>
      <c r="L154" s="5" t="s">
        <v>11</v>
      </c>
      <c r="M154" s="5" t="s">
        <v>12</v>
      </c>
      <c r="N154" t="s">
        <v>13</v>
      </c>
      <c r="O154" t="s">
        <v>20</v>
      </c>
      <c r="P154" t="s">
        <v>7</v>
      </c>
      <c r="Q154" s="5" t="s">
        <v>15</v>
      </c>
      <c r="R154" s="14" t="s">
        <v>18</v>
      </c>
      <c r="S154" t="s">
        <v>16</v>
      </c>
      <c r="T154" s="5" t="s">
        <v>14</v>
      </c>
      <c r="U154" s="5" t="s">
        <v>17</v>
      </c>
      <c r="V154" s="5" t="s">
        <v>19</v>
      </c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</row>
    <row r="155" spans="1:37" x14ac:dyDescent="0.25">
      <c r="A155" s="11">
        <f>Table1[[#This Row],[Milk Yield]]-J151</f>
        <v>-300</v>
      </c>
      <c r="B155" t="s">
        <v>24</v>
      </c>
      <c r="C155" s="2">
        <v>1</v>
      </c>
      <c r="D155" s="12">
        <v>45506</v>
      </c>
      <c r="E155" s="2">
        <v>33</v>
      </c>
      <c r="F155" s="13">
        <v>0.33953703703703703</v>
      </c>
      <c r="G155" s="3">
        <v>0.56942129629629634</v>
      </c>
      <c r="H155" s="1">
        <v>0.2298611111111111</v>
      </c>
      <c r="I155" s="5">
        <v>688</v>
      </c>
      <c r="J155">
        <v>6364</v>
      </c>
      <c r="K155">
        <v>125</v>
      </c>
      <c r="L155" s="5">
        <v>121</v>
      </c>
      <c r="M155" s="5">
        <v>688</v>
      </c>
      <c r="N155">
        <v>13</v>
      </c>
      <c r="O155">
        <v>675</v>
      </c>
      <c r="P155" s="1">
        <v>0.20347222222222222</v>
      </c>
      <c r="Q155" s="5">
        <v>1153</v>
      </c>
      <c r="R155" s="14">
        <v>9.3000000000000007</v>
      </c>
      <c r="S155">
        <v>125</v>
      </c>
      <c r="T155" s="5">
        <v>13</v>
      </c>
      <c r="U155" s="5">
        <v>676</v>
      </c>
      <c r="V155" s="5">
        <v>1</v>
      </c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</row>
    <row r="156" spans="1:37" x14ac:dyDescent="0.25">
      <c r="A156" s="11">
        <f>Table1[[#This Row],[Milk Yield]]-J152</f>
        <v>198</v>
      </c>
      <c r="B156" t="s">
        <v>24</v>
      </c>
      <c r="C156" s="2">
        <v>2</v>
      </c>
      <c r="D156" s="12">
        <v>45506</v>
      </c>
      <c r="E156" s="2">
        <v>31</v>
      </c>
      <c r="F156" s="13">
        <v>0.67090277777777774</v>
      </c>
      <c r="G156" s="3">
        <v>0.86267361111111107</v>
      </c>
      <c r="H156" s="1">
        <v>0.19166666666666668</v>
      </c>
      <c r="I156" s="5">
        <v>659</v>
      </c>
      <c r="J156">
        <v>5639</v>
      </c>
      <c r="K156">
        <v>143</v>
      </c>
      <c r="L156" s="5">
        <v>151</v>
      </c>
      <c r="M156" s="5">
        <v>659</v>
      </c>
      <c r="N156">
        <v>20</v>
      </c>
      <c r="O156">
        <v>639</v>
      </c>
      <c r="P156" s="1">
        <v>0.18472222222222223</v>
      </c>
      <c r="Q156" s="5">
        <v>1225</v>
      </c>
      <c r="R156" s="14">
        <v>8.6</v>
      </c>
      <c r="S156">
        <v>143</v>
      </c>
      <c r="T156" s="5">
        <v>20</v>
      </c>
      <c r="U156" s="5">
        <v>641</v>
      </c>
      <c r="V156" s="5">
        <v>2</v>
      </c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</row>
    <row r="157" spans="1:37" x14ac:dyDescent="0.25">
      <c r="A157" s="11">
        <f>Table1[[#This Row],[Milk Yield]]-J153</f>
        <v>-414</v>
      </c>
      <c r="B157" t="s">
        <v>24</v>
      </c>
      <c r="C157" s="2">
        <v>3</v>
      </c>
      <c r="D157" s="12">
        <v>45506</v>
      </c>
      <c r="E157" s="2">
        <v>32</v>
      </c>
      <c r="F157" s="13">
        <v>5.0347222222222225E-3</v>
      </c>
      <c r="G157" s="3">
        <v>0.17930555555555555</v>
      </c>
      <c r="H157" s="1">
        <v>0.1736111111111111</v>
      </c>
      <c r="I157" s="5">
        <v>661</v>
      </c>
      <c r="J157">
        <v>5303</v>
      </c>
      <c r="K157">
        <v>158</v>
      </c>
      <c r="L157" s="5">
        <v>74</v>
      </c>
      <c r="M157" s="5">
        <v>661</v>
      </c>
      <c r="N157">
        <v>10</v>
      </c>
      <c r="O157">
        <v>651</v>
      </c>
      <c r="P157" s="1">
        <v>0.17916666666666667</v>
      </c>
      <c r="Q157" s="5">
        <v>1268</v>
      </c>
      <c r="R157" s="14">
        <v>8.1</v>
      </c>
      <c r="S157">
        <v>158</v>
      </c>
      <c r="T157" s="5">
        <v>10</v>
      </c>
      <c r="U157" s="5">
        <v>652</v>
      </c>
      <c r="V157" s="5">
        <v>1</v>
      </c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</row>
    <row r="158" spans="1:37" x14ac:dyDescent="0.25">
      <c r="A158" s="11" t="e">
        <f>Table1[[#This Row],[Milk Yield]]-J154</f>
        <v>#VALUE!</v>
      </c>
      <c r="B158" t="s">
        <v>0</v>
      </c>
      <c r="C158" s="2" t="s">
        <v>1</v>
      </c>
      <c r="D158" s="12" t="s">
        <v>2</v>
      </c>
      <c r="E158" s="2" t="s">
        <v>3</v>
      </c>
      <c r="F158" s="13" t="s">
        <v>4</v>
      </c>
      <c r="G158" s="3" t="s">
        <v>5</v>
      </c>
      <c r="H158" s="1" t="s">
        <v>6</v>
      </c>
      <c r="I158" s="5" t="s">
        <v>8</v>
      </c>
      <c r="J158" t="s">
        <v>9</v>
      </c>
      <c r="K158" t="s">
        <v>10</v>
      </c>
      <c r="L158" s="5" t="s">
        <v>11</v>
      </c>
      <c r="M158" s="5" t="s">
        <v>12</v>
      </c>
      <c r="N158" t="s">
        <v>13</v>
      </c>
      <c r="O158" t="s">
        <v>20</v>
      </c>
      <c r="P158" t="s">
        <v>7</v>
      </c>
      <c r="Q158" s="5" t="s">
        <v>15</v>
      </c>
      <c r="R158" s="14" t="s">
        <v>18</v>
      </c>
      <c r="S158" t="s">
        <v>16</v>
      </c>
      <c r="T158" s="5" t="s">
        <v>14</v>
      </c>
      <c r="U158" s="5" t="s">
        <v>17</v>
      </c>
      <c r="V158" s="5" t="s">
        <v>19</v>
      </c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</row>
    <row r="159" spans="1:37" x14ac:dyDescent="0.25">
      <c r="A159" s="11">
        <f>Table1[[#This Row],[Milk Yield]]-J155</f>
        <v>-167</v>
      </c>
      <c r="B159" t="s">
        <v>24</v>
      </c>
      <c r="C159" s="2">
        <v>1</v>
      </c>
      <c r="D159" s="12">
        <v>45507</v>
      </c>
      <c r="E159" s="2">
        <v>32</v>
      </c>
      <c r="F159" s="13">
        <v>0.33755787037037038</v>
      </c>
      <c r="G159" s="3">
        <v>0.55628472222222225</v>
      </c>
      <c r="H159" s="1">
        <v>0.21805555555555556</v>
      </c>
      <c r="I159" s="5">
        <v>675</v>
      </c>
      <c r="J159">
        <v>6197</v>
      </c>
      <c r="K159">
        <v>129</v>
      </c>
      <c r="L159" s="5">
        <v>127</v>
      </c>
      <c r="M159" s="5">
        <v>675</v>
      </c>
      <c r="N159">
        <v>13</v>
      </c>
      <c r="O159">
        <v>662</v>
      </c>
      <c r="P159" s="1">
        <v>0.19791666666666666</v>
      </c>
      <c r="Q159" s="5">
        <v>1181</v>
      </c>
      <c r="R159" s="14">
        <v>9.1999999999999993</v>
      </c>
      <c r="S159">
        <v>129</v>
      </c>
      <c r="T159" s="5">
        <v>13</v>
      </c>
      <c r="U159" s="5">
        <v>661</v>
      </c>
      <c r="V159" s="5">
        <v>1</v>
      </c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</row>
    <row r="160" spans="1:37" x14ac:dyDescent="0.25">
      <c r="A160" s="11">
        <f>Table1[[#This Row],[Milk Yield]]-J156</f>
        <v>-263</v>
      </c>
      <c r="B160" t="s">
        <v>24</v>
      </c>
      <c r="C160" s="2">
        <v>2</v>
      </c>
      <c r="D160" s="12">
        <v>45507</v>
      </c>
      <c r="E160" s="2">
        <v>32</v>
      </c>
      <c r="F160" s="13">
        <v>0.67714120370370368</v>
      </c>
      <c r="G160" s="3">
        <v>0.86628472222222219</v>
      </c>
      <c r="H160" s="1">
        <v>0.18888888888888888</v>
      </c>
      <c r="I160" s="5">
        <v>656</v>
      </c>
      <c r="J160">
        <v>5376</v>
      </c>
      <c r="K160">
        <v>145</v>
      </c>
      <c r="L160" s="5">
        <v>67</v>
      </c>
      <c r="M160" s="5">
        <v>656</v>
      </c>
      <c r="N160">
        <v>9</v>
      </c>
      <c r="O160">
        <v>647</v>
      </c>
      <c r="P160" s="1">
        <v>0.17916666666666667</v>
      </c>
      <c r="Q160" s="5">
        <v>1184</v>
      </c>
      <c r="R160" s="14">
        <v>8.1999999999999993</v>
      </c>
      <c r="S160">
        <v>145</v>
      </c>
      <c r="T160" s="5">
        <v>9</v>
      </c>
      <c r="U160" s="5">
        <v>647</v>
      </c>
      <c r="V160" s="5">
        <v>0</v>
      </c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</row>
    <row r="161" spans="1:37" x14ac:dyDescent="0.25">
      <c r="A161" s="11">
        <f>Table1[[#This Row],[Milk Yield]]-J157</f>
        <v>-21</v>
      </c>
      <c r="B161" t="s">
        <v>24</v>
      </c>
      <c r="C161" s="2">
        <v>3</v>
      </c>
      <c r="D161" s="12">
        <v>45507</v>
      </c>
      <c r="E161" s="2">
        <v>32</v>
      </c>
      <c r="F161" s="13">
        <v>1.5856481481481481E-3</v>
      </c>
      <c r="G161" s="3">
        <v>0.18386574074074075</v>
      </c>
      <c r="H161" s="1">
        <v>0.18194444444444444</v>
      </c>
      <c r="I161" s="5">
        <v>657</v>
      </c>
      <c r="J161">
        <v>5282</v>
      </c>
      <c r="K161">
        <v>150</v>
      </c>
      <c r="L161" s="5">
        <v>43</v>
      </c>
      <c r="M161" s="5">
        <v>657</v>
      </c>
      <c r="N161">
        <v>8</v>
      </c>
      <c r="O161">
        <v>649</v>
      </c>
      <c r="P161" s="1">
        <v>0.17986111111111111</v>
      </c>
      <c r="Q161" s="5">
        <v>1208</v>
      </c>
      <c r="R161" s="14">
        <v>8.1</v>
      </c>
      <c r="S161">
        <v>150</v>
      </c>
      <c r="T161" s="5">
        <v>8</v>
      </c>
      <c r="U161" s="5">
        <v>649</v>
      </c>
      <c r="V161" s="5">
        <v>0</v>
      </c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</row>
    <row r="162" spans="1:37" x14ac:dyDescent="0.25">
      <c r="A162" s="11" t="e">
        <f>Table1[[#This Row],[Milk Yield]]-J158</f>
        <v>#VALUE!</v>
      </c>
      <c r="B162" t="s">
        <v>0</v>
      </c>
      <c r="C162" s="2" t="s">
        <v>1</v>
      </c>
      <c r="D162" s="12" t="s">
        <v>2</v>
      </c>
      <c r="E162" s="2" t="s">
        <v>3</v>
      </c>
      <c r="F162" s="13" t="s">
        <v>4</v>
      </c>
      <c r="G162" s="3" t="s">
        <v>5</v>
      </c>
      <c r="H162" s="1" t="s">
        <v>6</v>
      </c>
      <c r="I162" s="5" t="s">
        <v>8</v>
      </c>
      <c r="J162" t="s">
        <v>9</v>
      </c>
      <c r="K162" t="s">
        <v>10</v>
      </c>
      <c r="L162" s="5" t="s">
        <v>11</v>
      </c>
      <c r="M162" s="5" t="s">
        <v>12</v>
      </c>
      <c r="N162" t="s">
        <v>13</v>
      </c>
      <c r="O162" t="s">
        <v>20</v>
      </c>
      <c r="P162" t="s">
        <v>7</v>
      </c>
      <c r="Q162" s="5" t="s">
        <v>15</v>
      </c>
      <c r="R162" s="14" t="s">
        <v>18</v>
      </c>
      <c r="S162" t="s">
        <v>16</v>
      </c>
      <c r="T162" s="5" t="s">
        <v>14</v>
      </c>
      <c r="U162" s="5" t="s">
        <v>17</v>
      </c>
      <c r="V162" s="5" t="s">
        <v>19</v>
      </c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</row>
    <row r="163" spans="1:37" x14ac:dyDescent="0.25">
      <c r="A163" s="11">
        <f>Table1[[#This Row],[Milk Yield]]-J159</f>
        <v>7</v>
      </c>
      <c r="B163" t="s">
        <v>24</v>
      </c>
      <c r="C163" s="2">
        <v>1</v>
      </c>
      <c r="D163" s="12">
        <v>45508</v>
      </c>
      <c r="E163" s="2">
        <v>34</v>
      </c>
      <c r="F163" s="13">
        <v>0.33541666666666664</v>
      </c>
      <c r="G163" s="3">
        <v>0.55699074074074073</v>
      </c>
      <c r="H163" s="1">
        <v>0.22152777777777777</v>
      </c>
      <c r="I163" s="5">
        <v>681</v>
      </c>
      <c r="J163">
        <v>6204</v>
      </c>
      <c r="K163">
        <v>128</v>
      </c>
      <c r="L163" s="5">
        <v>64</v>
      </c>
      <c r="M163" s="5">
        <v>681</v>
      </c>
      <c r="N163">
        <v>7</v>
      </c>
      <c r="O163">
        <v>674</v>
      </c>
      <c r="P163" s="1">
        <v>0.19652777777777777</v>
      </c>
      <c r="Q163" s="5">
        <v>1167</v>
      </c>
      <c r="R163" s="14">
        <v>9.1999999999999993</v>
      </c>
      <c r="S163">
        <v>128</v>
      </c>
      <c r="T163" s="5">
        <v>7</v>
      </c>
      <c r="U163" s="5">
        <v>674</v>
      </c>
      <c r="V163" s="5">
        <v>0</v>
      </c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</row>
    <row r="164" spans="1:37" x14ac:dyDescent="0.25">
      <c r="A164" s="11">
        <f>Table1[[#This Row],[Milk Yield]]-J160</f>
        <v>-31</v>
      </c>
      <c r="B164" t="s">
        <v>24</v>
      </c>
      <c r="C164" s="2">
        <v>2</v>
      </c>
      <c r="D164" s="12">
        <v>45508</v>
      </c>
      <c r="E164" s="2">
        <v>33</v>
      </c>
      <c r="F164" s="13">
        <v>0.67681712962962959</v>
      </c>
      <c r="G164" s="3">
        <v>0.84796296296296292</v>
      </c>
      <c r="H164" s="1">
        <v>0.17083333333333334</v>
      </c>
      <c r="I164" s="5">
        <v>676</v>
      </c>
      <c r="J164">
        <v>5345</v>
      </c>
      <c r="K164">
        <v>165</v>
      </c>
      <c r="L164" s="5">
        <v>81</v>
      </c>
      <c r="M164" s="5">
        <v>676</v>
      </c>
      <c r="N164">
        <v>10</v>
      </c>
      <c r="O164">
        <v>666</v>
      </c>
      <c r="P164" s="1">
        <v>0.18055555555555555</v>
      </c>
      <c r="Q164" s="5">
        <v>1301</v>
      </c>
      <c r="R164" s="14">
        <v>8</v>
      </c>
      <c r="S164">
        <v>165</v>
      </c>
      <c r="T164" s="5">
        <v>10</v>
      </c>
      <c r="U164" s="5">
        <v>666</v>
      </c>
      <c r="V164" s="5">
        <v>0</v>
      </c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</row>
    <row r="165" spans="1:37" x14ac:dyDescent="0.25">
      <c r="A165" s="11">
        <f>Table1[[#This Row],[Milk Yield]]-J161</f>
        <v>187</v>
      </c>
      <c r="B165" t="s">
        <v>24</v>
      </c>
      <c r="C165" s="2">
        <v>3</v>
      </c>
      <c r="D165" s="12">
        <v>45508</v>
      </c>
      <c r="E165" s="2">
        <v>32</v>
      </c>
      <c r="F165" s="13">
        <v>6.1805555555555555E-3</v>
      </c>
      <c r="G165" s="3">
        <v>0.1834375</v>
      </c>
      <c r="H165" s="1">
        <v>0.17708333333333334</v>
      </c>
      <c r="I165" s="5">
        <v>657</v>
      </c>
      <c r="J165">
        <v>5469</v>
      </c>
      <c r="K165">
        <v>154</v>
      </c>
      <c r="L165" s="5">
        <v>27</v>
      </c>
      <c r="M165" s="5">
        <v>657</v>
      </c>
      <c r="N165">
        <v>5</v>
      </c>
      <c r="O165">
        <v>652</v>
      </c>
      <c r="P165" s="1">
        <v>0.18541666666666667</v>
      </c>
      <c r="Q165" s="5">
        <v>1285</v>
      </c>
      <c r="R165" s="14">
        <v>8.4</v>
      </c>
      <c r="S165">
        <v>154</v>
      </c>
      <c r="T165" s="5">
        <v>5</v>
      </c>
      <c r="U165" s="5">
        <v>652</v>
      </c>
      <c r="V165" s="5">
        <v>0</v>
      </c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</row>
    <row r="166" spans="1:37" x14ac:dyDescent="0.25">
      <c r="A166" s="11" t="e">
        <f>Table1[[#This Row],[Milk Yield]]-J162</f>
        <v>#VALUE!</v>
      </c>
      <c r="B166" t="s">
        <v>0</v>
      </c>
      <c r="C166" s="2" t="s">
        <v>1</v>
      </c>
      <c r="D166" s="12" t="s">
        <v>2</v>
      </c>
      <c r="E166" s="2" t="s">
        <v>3</v>
      </c>
      <c r="F166" s="13" t="s">
        <v>4</v>
      </c>
      <c r="G166" s="3" t="s">
        <v>5</v>
      </c>
      <c r="H166" s="1" t="s">
        <v>6</v>
      </c>
      <c r="I166" s="5" t="s">
        <v>8</v>
      </c>
      <c r="J166" t="s">
        <v>9</v>
      </c>
      <c r="K166" t="s">
        <v>10</v>
      </c>
      <c r="L166" s="5" t="s">
        <v>11</v>
      </c>
      <c r="M166" s="5" t="s">
        <v>12</v>
      </c>
      <c r="N166" t="s">
        <v>13</v>
      </c>
      <c r="O166" t="s">
        <v>20</v>
      </c>
      <c r="P166" t="s">
        <v>7</v>
      </c>
      <c r="Q166" s="5" t="s">
        <v>15</v>
      </c>
      <c r="R166" s="14" t="s">
        <v>18</v>
      </c>
      <c r="S166" t="s">
        <v>16</v>
      </c>
      <c r="T166" s="5" t="s">
        <v>14</v>
      </c>
      <c r="U166" s="5" t="s">
        <v>17</v>
      </c>
      <c r="V166" s="5" t="s">
        <v>19</v>
      </c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</row>
    <row r="167" spans="1:37" x14ac:dyDescent="0.25">
      <c r="A167" s="11">
        <f>Table1[[#This Row],[Milk Yield]]-J163</f>
        <v>9</v>
      </c>
      <c r="B167" t="s">
        <v>24</v>
      </c>
      <c r="C167" s="2">
        <v>1</v>
      </c>
      <c r="D167" s="12">
        <v>45509</v>
      </c>
      <c r="E167" s="2">
        <v>34</v>
      </c>
      <c r="F167" s="13">
        <v>0.34185185185185185</v>
      </c>
      <c r="G167" s="3">
        <v>0.55782407407407408</v>
      </c>
      <c r="H167" s="1">
        <v>0.21597222222222223</v>
      </c>
      <c r="I167" s="5">
        <v>679</v>
      </c>
      <c r="J167">
        <v>6213</v>
      </c>
      <c r="K167">
        <v>131</v>
      </c>
      <c r="L167" s="5">
        <v>68</v>
      </c>
      <c r="M167" s="5">
        <v>679</v>
      </c>
      <c r="N167">
        <v>8</v>
      </c>
      <c r="O167">
        <v>671</v>
      </c>
      <c r="P167" s="1">
        <v>0.19444444444444445</v>
      </c>
      <c r="Q167" s="5">
        <v>1199</v>
      </c>
      <c r="R167" s="14">
        <v>9.1999999999999993</v>
      </c>
      <c r="S167">
        <v>131</v>
      </c>
      <c r="T167" s="5">
        <v>8</v>
      </c>
      <c r="U167" s="5">
        <v>670</v>
      </c>
      <c r="V167" s="5">
        <v>0</v>
      </c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</row>
    <row r="168" spans="1:37" x14ac:dyDescent="0.25">
      <c r="A168" s="11">
        <f>Table1[[#This Row],[Milk Yield]]-J164</f>
        <v>888</v>
      </c>
      <c r="B168" t="s">
        <v>24</v>
      </c>
      <c r="C168" s="2">
        <v>2</v>
      </c>
      <c r="D168" s="12">
        <v>45509</v>
      </c>
      <c r="E168" s="2">
        <v>33</v>
      </c>
      <c r="F168" s="13">
        <v>0.68914351851851852</v>
      </c>
      <c r="G168" s="3">
        <v>0.93821759259259263</v>
      </c>
      <c r="H168" s="1">
        <v>0.24861111111111112</v>
      </c>
      <c r="I168" s="5">
        <v>674</v>
      </c>
      <c r="J168">
        <v>6233</v>
      </c>
      <c r="K168">
        <v>113</v>
      </c>
      <c r="L168" s="5">
        <v>224</v>
      </c>
      <c r="M168" s="5">
        <v>674</v>
      </c>
      <c r="N168">
        <v>24</v>
      </c>
      <c r="O168">
        <v>650</v>
      </c>
      <c r="P168" s="1">
        <v>0.2048611111111111</v>
      </c>
      <c r="Q168" s="5">
        <v>1043</v>
      </c>
      <c r="R168" s="14">
        <v>9.3000000000000007</v>
      </c>
      <c r="S168">
        <v>113</v>
      </c>
      <c r="T168" s="5">
        <v>24</v>
      </c>
      <c r="U168" s="5">
        <v>650</v>
      </c>
      <c r="V168" s="5">
        <v>0</v>
      </c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</row>
    <row r="169" spans="1:37" x14ac:dyDescent="0.25">
      <c r="A169" s="11">
        <f>Table1[[#This Row],[Milk Yield]]-J165</f>
        <v>-636</v>
      </c>
      <c r="B169" t="s">
        <v>24</v>
      </c>
      <c r="C169" s="2">
        <v>3</v>
      </c>
      <c r="D169" s="12">
        <v>45509</v>
      </c>
      <c r="E169" s="2">
        <v>34</v>
      </c>
      <c r="F169" s="13">
        <v>9.4907407407407408E-4</v>
      </c>
      <c r="G169" s="3">
        <v>0.21401620370370369</v>
      </c>
      <c r="H169" s="1">
        <v>0.21249999999999999</v>
      </c>
      <c r="I169" s="5">
        <v>670</v>
      </c>
      <c r="J169">
        <v>4833</v>
      </c>
      <c r="K169">
        <v>131</v>
      </c>
      <c r="L169" s="5">
        <v>78</v>
      </c>
      <c r="M169" s="5">
        <v>670</v>
      </c>
      <c r="N169">
        <v>12</v>
      </c>
      <c r="O169">
        <v>658</v>
      </c>
      <c r="P169" s="1">
        <v>0.17847222222222223</v>
      </c>
      <c r="Q169" s="5">
        <v>945</v>
      </c>
      <c r="R169" s="14">
        <v>7.3</v>
      </c>
      <c r="S169">
        <v>131</v>
      </c>
      <c r="T169" s="5">
        <v>12</v>
      </c>
      <c r="U169" s="5">
        <v>659</v>
      </c>
      <c r="V169" s="5">
        <v>1</v>
      </c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</row>
    <row r="170" spans="1:37" x14ac:dyDescent="0.25">
      <c r="A170" s="11" t="e">
        <f>Table1[[#This Row],[Milk Yield]]-J166</f>
        <v>#VALUE!</v>
      </c>
      <c r="B170" t="s">
        <v>0</v>
      </c>
      <c r="C170" s="2" t="s">
        <v>1</v>
      </c>
      <c r="D170" s="12" t="s">
        <v>2</v>
      </c>
      <c r="E170" s="2" t="s">
        <v>3</v>
      </c>
      <c r="F170" s="13" t="s">
        <v>4</v>
      </c>
      <c r="G170" s="3" t="s">
        <v>5</v>
      </c>
      <c r="H170" s="1" t="s">
        <v>6</v>
      </c>
      <c r="I170" s="5" t="s">
        <v>8</v>
      </c>
      <c r="J170" t="s">
        <v>9</v>
      </c>
      <c r="K170" t="s">
        <v>10</v>
      </c>
      <c r="L170" s="5" t="s">
        <v>11</v>
      </c>
      <c r="M170" s="5" t="s">
        <v>12</v>
      </c>
      <c r="N170" t="s">
        <v>13</v>
      </c>
      <c r="O170" t="s">
        <v>20</v>
      </c>
      <c r="P170" t="s">
        <v>7</v>
      </c>
      <c r="Q170" s="5" t="s">
        <v>15</v>
      </c>
      <c r="R170" s="14" t="s">
        <v>18</v>
      </c>
      <c r="S170" t="s">
        <v>16</v>
      </c>
      <c r="T170" s="5" t="s">
        <v>14</v>
      </c>
      <c r="U170" s="5" t="s">
        <v>17</v>
      </c>
      <c r="V170" s="5" t="s">
        <v>19</v>
      </c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</row>
    <row r="171" spans="1:37" x14ac:dyDescent="0.25">
      <c r="A171" s="11">
        <f>Table1[[#This Row],[Milk Yield]]-J167</f>
        <v>-324</v>
      </c>
      <c r="B171" t="s">
        <v>24</v>
      </c>
      <c r="C171" s="2">
        <v>1</v>
      </c>
      <c r="D171" s="12">
        <v>45510</v>
      </c>
      <c r="E171" s="2">
        <v>33</v>
      </c>
      <c r="F171" s="13">
        <v>0.33703703703703702</v>
      </c>
      <c r="G171" s="3">
        <v>0.54678240740740736</v>
      </c>
      <c r="H171" s="1">
        <v>0.20972222222222223</v>
      </c>
      <c r="I171" s="5">
        <v>681</v>
      </c>
      <c r="J171">
        <v>5889</v>
      </c>
      <c r="K171">
        <v>135</v>
      </c>
      <c r="L171" s="5">
        <v>231</v>
      </c>
      <c r="M171" s="5">
        <v>681</v>
      </c>
      <c r="N171">
        <v>26</v>
      </c>
      <c r="O171">
        <v>655</v>
      </c>
      <c r="P171" s="1">
        <v>0.1986111111111111</v>
      </c>
      <c r="Q171" s="5">
        <v>1170</v>
      </c>
      <c r="R171" s="14">
        <v>8.6999999999999993</v>
      </c>
      <c r="S171">
        <v>135</v>
      </c>
      <c r="T171" s="5">
        <v>26</v>
      </c>
      <c r="U171" s="5">
        <v>647</v>
      </c>
      <c r="V171" s="5">
        <v>0</v>
      </c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</row>
    <row r="172" spans="1:37" x14ac:dyDescent="0.25">
      <c r="A172" s="11">
        <f>Table1[[#This Row],[Milk Yield]]-J168</f>
        <v>-788</v>
      </c>
      <c r="B172" t="s">
        <v>24</v>
      </c>
      <c r="C172" s="2">
        <v>2</v>
      </c>
      <c r="D172" s="12">
        <v>45510</v>
      </c>
      <c r="E172" s="2">
        <v>32</v>
      </c>
      <c r="F172" s="13">
        <v>0.67122685185185182</v>
      </c>
      <c r="G172" s="3">
        <v>0.87116898148148147</v>
      </c>
      <c r="H172" s="1">
        <v>0.19930555555555557</v>
      </c>
      <c r="I172" s="5">
        <v>659</v>
      </c>
      <c r="J172">
        <v>5445</v>
      </c>
      <c r="K172">
        <v>137</v>
      </c>
      <c r="L172" s="5">
        <v>83</v>
      </c>
      <c r="M172" s="5">
        <v>659</v>
      </c>
      <c r="N172">
        <v>10</v>
      </c>
      <c r="O172">
        <v>649</v>
      </c>
      <c r="P172" s="1">
        <v>0.18055555555555555</v>
      </c>
      <c r="Q172" s="5">
        <v>1135</v>
      </c>
      <c r="R172" s="14">
        <v>8.3000000000000007</v>
      </c>
      <c r="S172">
        <v>137</v>
      </c>
      <c r="T172" s="5">
        <v>10</v>
      </c>
      <c r="U172" s="5">
        <v>650</v>
      </c>
      <c r="V172" s="5">
        <v>1</v>
      </c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</row>
    <row r="173" spans="1:37" x14ac:dyDescent="0.25">
      <c r="A173" s="11">
        <f>Table1[[#This Row],[Milk Yield]]-J169</f>
        <v>520</v>
      </c>
      <c r="B173" t="s">
        <v>24</v>
      </c>
      <c r="C173" s="2">
        <v>3</v>
      </c>
      <c r="D173" s="12">
        <v>45510</v>
      </c>
      <c r="E173" s="2">
        <v>32</v>
      </c>
      <c r="F173" s="13">
        <v>2.1527777777777778E-3</v>
      </c>
      <c r="G173" s="3">
        <v>0.17967592592592593</v>
      </c>
      <c r="H173" s="1">
        <v>0.17708333333333334</v>
      </c>
      <c r="I173" s="5">
        <v>664</v>
      </c>
      <c r="J173">
        <v>5353</v>
      </c>
      <c r="K173">
        <v>156</v>
      </c>
      <c r="L173" s="5">
        <v>68</v>
      </c>
      <c r="M173" s="5">
        <v>664</v>
      </c>
      <c r="N173">
        <v>9</v>
      </c>
      <c r="O173">
        <v>655</v>
      </c>
      <c r="P173" s="1">
        <v>0.18402777777777779</v>
      </c>
      <c r="Q173" s="5">
        <v>1256</v>
      </c>
      <c r="R173" s="14">
        <v>8.1</v>
      </c>
      <c r="S173">
        <v>156</v>
      </c>
      <c r="T173" s="5">
        <v>9</v>
      </c>
      <c r="U173" s="5">
        <v>656</v>
      </c>
      <c r="V173" s="5">
        <v>1</v>
      </c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</row>
    <row r="174" spans="1:37" x14ac:dyDescent="0.25">
      <c r="A174" s="11" t="e">
        <f>Table1[[#This Row],[Milk Yield]]-J170</f>
        <v>#VALUE!</v>
      </c>
      <c r="B174" t="s">
        <v>0</v>
      </c>
      <c r="C174" s="2" t="s">
        <v>1</v>
      </c>
      <c r="D174" s="12" t="s">
        <v>2</v>
      </c>
      <c r="E174" s="2" t="s">
        <v>3</v>
      </c>
      <c r="F174" s="13" t="s">
        <v>4</v>
      </c>
      <c r="G174" s="3" t="s">
        <v>5</v>
      </c>
      <c r="H174" s="1" t="s">
        <v>6</v>
      </c>
      <c r="I174" s="5" t="s">
        <v>8</v>
      </c>
      <c r="J174" t="s">
        <v>9</v>
      </c>
      <c r="K174" t="s">
        <v>10</v>
      </c>
      <c r="L174" s="5" t="s">
        <v>11</v>
      </c>
      <c r="M174" s="5" t="s">
        <v>12</v>
      </c>
      <c r="N174" t="s">
        <v>13</v>
      </c>
      <c r="O174" t="s">
        <v>20</v>
      </c>
      <c r="P174" t="s">
        <v>7</v>
      </c>
      <c r="Q174" s="5" t="s">
        <v>15</v>
      </c>
      <c r="R174" s="14" t="s">
        <v>18</v>
      </c>
      <c r="S174" t="s">
        <v>16</v>
      </c>
      <c r="T174" s="5" t="s">
        <v>14</v>
      </c>
      <c r="U174" s="5" t="s">
        <v>17</v>
      </c>
      <c r="V174" s="5" t="s">
        <v>19</v>
      </c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</row>
    <row r="175" spans="1:37" x14ac:dyDescent="0.25">
      <c r="A175" s="11">
        <f>Table1[[#This Row],[Milk Yield]]-J171</f>
        <v>287</v>
      </c>
      <c r="B175" t="s">
        <v>24</v>
      </c>
      <c r="C175" s="2">
        <v>1</v>
      </c>
      <c r="D175" s="12">
        <v>45511</v>
      </c>
      <c r="E175" s="2">
        <v>33</v>
      </c>
      <c r="F175" s="13">
        <v>0.33562500000000001</v>
      </c>
      <c r="G175" s="3">
        <v>0.54287037037037034</v>
      </c>
      <c r="H175" s="1">
        <v>0.20694444444444443</v>
      </c>
      <c r="I175" s="5">
        <v>683</v>
      </c>
      <c r="J175">
        <v>6176</v>
      </c>
      <c r="K175">
        <v>137</v>
      </c>
      <c r="L175" s="5">
        <v>91</v>
      </c>
      <c r="M175" s="5">
        <v>683</v>
      </c>
      <c r="N175">
        <v>10</v>
      </c>
      <c r="O175">
        <v>673</v>
      </c>
      <c r="P175" s="1">
        <v>0.19375000000000001</v>
      </c>
      <c r="Q175" s="5">
        <v>1242</v>
      </c>
      <c r="R175" s="14">
        <v>9.1</v>
      </c>
      <c r="S175">
        <v>137</v>
      </c>
      <c r="T175" s="5">
        <v>10</v>
      </c>
      <c r="U175" s="5">
        <v>673</v>
      </c>
      <c r="V175" s="5">
        <v>1</v>
      </c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</row>
    <row r="176" spans="1:37" x14ac:dyDescent="0.25">
      <c r="A176" s="11">
        <f>Table1[[#This Row],[Milk Yield]]-J172</f>
        <v>-20</v>
      </c>
      <c r="B176" t="s">
        <v>24</v>
      </c>
      <c r="C176" s="2">
        <v>2</v>
      </c>
      <c r="D176" s="12">
        <v>45511</v>
      </c>
      <c r="E176" s="2">
        <v>32</v>
      </c>
      <c r="F176" s="13">
        <v>0.67214120370370367</v>
      </c>
      <c r="G176" s="3">
        <v>0.84722222222222221</v>
      </c>
      <c r="H176" s="1">
        <v>0.17499999999999999</v>
      </c>
      <c r="I176" s="5">
        <v>671</v>
      </c>
      <c r="J176">
        <v>5425</v>
      </c>
      <c r="K176">
        <v>160</v>
      </c>
      <c r="L176" s="5">
        <v>133</v>
      </c>
      <c r="M176" s="5">
        <v>671</v>
      </c>
      <c r="N176">
        <v>17</v>
      </c>
      <c r="O176">
        <v>654</v>
      </c>
      <c r="P176" s="1">
        <v>0.17847222222222223</v>
      </c>
      <c r="Q176" s="5">
        <v>1291</v>
      </c>
      <c r="R176" s="14">
        <v>8.1</v>
      </c>
      <c r="S176">
        <v>160</v>
      </c>
      <c r="T176" s="5">
        <v>17</v>
      </c>
      <c r="U176" s="5">
        <v>655</v>
      </c>
      <c r="V176" s="5">
        <v>1</v>
      </c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</row>
    <row r="177" spans="1:37" x14ac:dyDescent="0.25">
      <c r="A177" s="11">
        <f>Table1[[#This Row],[Milk Yield]]-J173</f>
        <v>282</v>
      </c>
      <c r="B177" t="s">
        <v>24</v>
      </c>
      <c r="C177" s="2">
        <v>3</v>
      </c>
      <c r="D177" s="12">
        <v>45511</v>
      </c>
      <c r="E177" s="2">
        <v>32</v>
      </c>
      <c r="F177" s="13">
        <v>3.2638888888888891E-3</v>
      </c>
      <c r="G177" s="3">
        <v>0.18637731481481482</v>
      </c>
      <c r="H177" s="1">
        <v>0.18263888888888888</v>
      </c>
      <c r="I177" s="5">
        <v>669</v>
      </c>
      <c r="J177">
        <v>5635</v>
      </c>
      <c r="K177">
        <v>152</v>
      </c>
      <c r="L177" s="5">
        <v>138</v>
      </c>
      <c r="M177" s="5">
        <v>669</v>
      </c>
      <c r="N177">
        <v>14</v>
      </c>
      <c r="O177">
        <v>655</v>
      </c>
      <c r="P177" s="1">
        <v>0.18402777777777779</v>
      </c>
      <c r="Q177" s="5">
        <v>1282</v>
      </c>
      <c r="R177" s="14">
        <v>8.5</v>
      </c>
      <c r="S177">
        <v>152</v>
      </c>
      <c r="T177" s="5">
        <v>14</v>
      </c>
      <c r="U177" s="5">
        <v>655</v>
      </c>
      <c r="V177" s="5">
        <v>0</v>
      </c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</row>
    <row r="178" spans="1:37" x14ac:dyDescent="0.25">
      <c r="A178" s="11" t="e">
        <f>Table1[[#This Row],[Milk Yield]]-J174</f>
        <v>#VALUE!</v>
      </c>
      <c r="B178" t="s">
        <v>0</v>
      </c>
      <c r="C178" s="2" t="s">
        <v>1</v>
      </c>
      <c r="D178" s="12" t="s">
        <v>2</v>
      </c>
      <c r="E178" s="2" t="s">
        <v>3</v>
      </c>
      <c r="F178" s="13" t="s">
        <v>4</v>
      </c>
      <c r="G178" s="3" t="s">
        <v>5</v>
      </c>
      <c r="H178" s="1" t="s">
        <v>6</v>
      </c>
      <c r="I178" s="5" t="s">
        <v>8</v>
      </c>
      <c r="J178" t="s">
        <v>9</v>
      </c>
      <c r="K178" t="s">
        <v>10</v>
      </c>
      <c r="L178" s="5" t="s">
        <v>11</v>
      </c>
      <c r="M178" s="5" t="s">
        <v>12</v>
      </c>
      <c r="N178" t="s">
        <v>13</v>
      </c>
      <c r="O178" t="s">
        <v>20</v>
      </c>
      <c r="P178" t="s">
        <v>7</v>
      </c>
      <c r="Q178" s="5" t="s">
        <v>15</v>
      </c>
      <c r="R178" s="14" t="s">
        <v>18</v>
      </c>
      <c r="S178" t="s">
        <v>16</v>
      </c>
      <c r="T178" s="5" t="s">
        <v>14</v>
      </c>
      <c r="U178" s="5" t="s">
        <v>17</v>
      </c>
      <c r="V178" s="5" t="s">
        <v>19</v>
      </c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</row>
    <row r="179" spans="1:37" x14ac:dyDescent="0.25">
      <c r="A179" s="11">
        <f>Table1[[#This Row],[Milk Yield]]-J175</f>
        <v>-148</v>
      </c>
      <c r="B179" t="s">
        <v>24</v>
      </c>
      <c r="C179" s="2">
        <v>1</v>
      </c>
      <c r="D179" s="12">
        <v>45512</v>
      </c>
      <c r="E179" s="2">
        <v>34</v>
      </c>
      <c r="F179" s="13">
        <v>0.3344212962962963</v>
      </c>
      <c r="G179" s="3">
        <v>0.54059027777777779</v>
      </c>
      <c r="H179" s="1">
        <v>0.20555555555555555</v>
      </c>
      <c r="I179" s="5">
        <v>681</v>
      </c>
      <c r="J179">
        <v>6028</v>
      </c>
      <c r="K179">
        <v>138</v>
      </c>
      <c r="L179" s="5">
        <v>175</v>
      </c>
      <c r="M179" s="5">
        <v>681</v>
      </c>
      <c r="N179">
        <v>18</v>
      </c>
      <c r="O179">
        <v>663</v>
      </c>
      <c r="P179" s="1">
        <v>0.19930555555555557</v>
      </c>
      <c r="Q179" s="5">
        <v>1218</v>
      </c>
      <c r="R179" s="14">
        <v>8.9</v>
      </c>
      <c r="S179">
        <v>138</v>
      </c>
      <c r="T179" s="5">
        <v>18</v>
      </c>
      <c r="U179" s="5">
        <v>661</v>
      </c>
      <c r="V179" s="5">
        <v>0</v>
      </c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</row>
    <row r="180" spans="1:37" x14ac:dyDescent="0.25">
      <c r="A180" s="11">
        <f>Table1[[#This Row],[Milk Yield]]-J176</f>
        <v>151</v>
      </c>
      <c r="B180" t="s">
        <v>24</v>
      </c>
      <c r="C180" s="2">
        <v>2</v>
      </c>
      <c r="D180" s="12">
        <v>45512</v>
      </c>
      <c r="E180" s="2">
        <v>34</v>
      </c>
      <c r="F180" s="13">
        <v>0.66766203703703708</v>
      </c>
      <c r="G180" s="3">
        <v>0.85281249999999997</v>
      </c>
      <c r="H180" s="1">
        <v>0.18472222222222223</v>
      </c>
      <c r="I180" s="5">
        <v>683</v>
      </c>
      <c r="J180">
        <v>5576</v>
      </c>
      <c r="K180">
        <v>154</v>
      </c>
      <c r="L180" s="5">
        <v>99</v>
      </c>
      <c r="M180" s="5">
        <v>683</v>
      </c>
      <c r="N180">
        <v>12</v>
      </c>
      <c r="O180">
        <v>671</v>
      </c>
      <c r="P180" s="1">
        <v>0.18541666666666667</v>
      </c>
      <c r="Q180" s="5">
        <v>1255</v>
      </c>
      <c r="R180" s="14">
        <v>8.1999999999999993</v>
      </c>
      <c r="S180">
        <v>154</v>
      </c>
      <c r="T180" s="5">
        <v>12</v>
      </c>
      <c r="U180" s="5">
        <v>671</v>
      </c>
      <c r="V180" s="5">
        <v>0</v>
      </c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</row>
    <row r="181" spans="1:37" x14ac:dyDescent="0.25">
      <c r="A181" s="11">
        <f>Table1[[#This Row],[Milk Yield]]-J177</f>
        <v>-71</v>
      </c>
      <c r="B181" t="s">
        <v>24</v>
      </c>
      <c r="C181" s="2">
        <v>3</v>
      </c>
      <c r="D181" s="12">
        <v>45512</v>
      </c>
      <c r="E181" s="2">
        <v>34</v>
      </c>
      <c r="F181" s="13">
        <v>5.4398148148148149E-3</v>
      </c>
      <c r="G181" s="3">
        <v>0.1789699074074074</v>
      </c>
      <c r="H181" s="1">
        <v>0.17291666666666666</v>
      </c>
      <c r="I181" s="5">
        <v>675</v>
      </c>
      <c r="J181">
        <v>5564</v>
      </c>
      <c r="K181">
        <v>162</v>
      </c>
      <c r="L181" s="5">
        <v>113</v>
      </c>
      <c r="M181" s="5">
        <v>675</v>
      </c>
      <c r="N181">
        <v>15</v>
      </c>
      <c r="O181">
        <v>660</v>
      </c>
      <c r="P181" s="1">
        <v>0.18402777777777779</v>
      </c>
      <c r="Q181" s="5">
        <v>1336</v>
      </c>
      <c r="R181" s="14">
        <v>8.3000000000000007</v>
      </c>
      <c r="S181">
        <v>162</v>
      </c>
      <c r="T181" s="5">
        <v>15</v>
      </c>
      <c r="U181" s="5">
        <v>661</v>
      </c>
      <c r="V181" s="5">
        <v>1</v>
      </c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</row>
    <row r="182" spans="1:37" x14ac:dyDescent="0.25">
      <c r="A182" s="11" t="e">
        <f>Table1[[#This Row],[Milk Yield]]-J178</f>
        <v>#VALUE!</v>
      </c>
      <c r="B182" t="s">
        <v>0</v>
      </c>
      <c r="C182" s="2" t="s">
        <v>1</v>
      </c>
      <c r="D182" s="12" t="s">
        <v>2</v>
      </c>
      <c r="E182" s="2" t="s">
        <v>3</v>
      </c>
      <c r="F182" s="13" t="s">
        <v>4</v>
      </c>
      <c r="G182" s="3" t="s">
        <v>5</v>
      </c>
      <c r="H182" s="1" t="s">
        <v>6</v>
      </c>
      <c r="I182" s="5" t="s">
        <v>8</v>
      </c>
      <c r="J182" t="s">
        <v>9</v>
      </c>
      <c r="K182" t="s">
        <v>10</v>
      </c>
      <c r="L182" s="5" t="s">
        <v>11</v>
      </c>
      <c r="M182" s="5" t="s">
        <v>12</v>
      </c>
      <c r="N182" t="s">
        <v>13</v>
      </c>
      <c r="O182" t="s">
        <v>20</v>
      </c>
      <c r="P182" t="s">
        <v>7</v>
      </c>
      <c r="Q182" s="5" t="s">
        <v>15</v>
      </c>
      <c r="R182" s="14" t="s">
        <v>18</v>
      </c>
      <c r="S182" t="s">
        <v>16</v>
      </c>
      <c r="T182" s="5" t="s">
        <v>14</v>
      </c>
      <c r="U182" s="5" t="s">
        <v>17</v>
      </c>
      <c r="V182" s="5" t="s">
        <v>19</v>
      </c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</row>
    <row r="183" spans="1:37" x14ac:dyDescent="0.25">
      <c r="A183" s="11">
        <f>Table1[[#This Row],[Milk Yield]]-J179</f>
        <v>348</v>
      </c>
      <c r="B183" t="s">
        <v>24</v>
      </c>
      <c r="C183" s="2">
        <v>1</v>
      </c>
      <c r="D183" s="12">
        <v>45513</v>
      </c>
      <c r="E183" s="2">
        <v>34</v>
      </c>
      <c r="F183" s="13">
        <v>0.33336805555555554</v>
      </c>
      <c r="G183" s="3">
        <v>0.55401620370370375</v>
      </c>
      <c r="H183" s="1">
        <v>0.22013888888888888</v>
      </c>
      <c r="I183" s="5">
        <v>688</v>
      </c>
      <c r="J183">
        <v>6376</v>
      </c>
      <c r="K183">
        <v>130</v>
      </c>
      <c r="L183" s="5">
        <v>149</v>
      </c>
      <c r="M183" s="5">
        <v>688</v>
      </c>
      <c r="N183">
        <v>16</v>
      </c>
      <c r="O183">
        <v>672</v>
      </c>
      <c r="P183" s="1">
        <v>0.20694444444444443</v>
      </c>
      <c r="Q183" s="5">
        <v>1204</v>
      </c>
      <c r="R183" s="14">
        <v>9.3000000000000007</v>
      </c>
      <c r="S183">
        <v>130</v>
      </c>
      <c r="T183" s="5">
        <v>16</v>
      </c>
      <c r="U183" s="5">
        <v>670</v>
      </c>
      <c r="V183" s="5">
        <v>1</v>
      </c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</row>
    <row r="184" spans="1:37" x14ac:dyDescent="0.25">
      <c r="A184" s="11">
        <f>Table1[[#This Row],[Milk Yield]]-J180</f>
        <v>-177</v>
      </c>
      <c r="B184" t="s">
        <v>24</v>
      </c>
      <c r="C184" s="2">
        <v>2</v>
      </c>
      <c r="D184" s="12">
        <v>45513</v>
      </c>
      <c r="E184" s="2">
        <v>32</v>
      </c>
      <c r="F184" s="13">
        <v>0.66783564814814811</v>
      </c>
      <c r="G184" s="3">
        <v>0.86826388888888884</v>
      </c>
      <c r="H184" s="1">
        <v>0.2</v>
      </c>
      <c r="I184" s="5">
        <v>679</v>
      </c>
      <c r="J184">
        <v>5399</v>
      </c>
      <c r="K184">
        <v>141</v>
      </c>
      <c r="L184" s="5">
        <v>110</v>
      </c>
      <c r="M184" s="5">
        <v>679</v>
      </c>
      <c r="N184">
        <v>18</v>
      </c>
      <c r="O184">
        <v>661</v>
      </c>
      <c r="P184" s="1">
        <v>0.18194444444444444</v>
      </c>
      <c r="Q184" s="5">
        <v>1122</v>
      </c>
      <c r="R184" s="14">
        <v>8</v>
      </c>
      <c r="S184">
        <v>141</v>
      </c>
      <c r="T184" s="5">
        <v>18</v>
      </c>
      <c r="U184" s="5">
        <v>661</v>
      </c>
      <c r="V184" s="5">
        <v>0</v>
      </c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</row>
    <row r="185" spans="1:37" x14ac:dyDescent="0.25">
      <c r="A185" s="11">
        <f>Table1[[#This Row],[Milk Yield]]-J181</f>
        <v>124</v>
      </c>
      <c r="B185" t="s">
        <v>24</v>
      </c>
      <c r="C185" s="2">
        <v>3</v>
      </c>
      <c r="D185" s="12">
        <v>45513</v>
      </c>
      <c r="E185" s="2">
        <v>32</v>
      </c>
      <c r="F185" s="13">
        <v>3.3912037037037036E-3</v>
      </c>
      <c r="G185" s="3">
        <v>0.19062499999999999</v>
      </c>
      <c r="H185" s="1">
        <v>0.18680555555555556</v>
      </c>
      <c r="I185" s="5">
        <v>669</v>
      </c>
      <c r="J185">
        <v>5688</v>
      </c>
      <c r="K185">
        <v>149</v>
      </c>
      <c r="L185" s="5">
        <v>135</v>
      </c>
      <c r="M185" s="5">
        <v>669</v>
      </c>
      <c r="N185">
        <v>16</v>
      </c>
      <c r="O185">
        <v>653</v>
      </c>
      <c r="P185" s="1">
        <v>0.18819444444444444</v>
      </c>
      <c r="Q185" s="5">
        <v>1266</v>
      </c>
      <c r="R185" s="14">
        <v>8.6</v>
      </c>
      <c r="S185">
        <v>149</v>
      </c>
      <c r="T185" s="5">
        <v>16</v>
      </c>
      <c r="U185" s="5">
        <v>653</v>
      </c>
      <c r="V185" s="5">
        <v>0</v>
      </c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</row>
    <row r="186" spans="1:37" x14ac:dyDescent="0.25">
      <c r="A186" s="11" t="e">
        <f>Table1[[#This Row],[Milk Yield]]-J182</f>
        <v>#VALUE!</v>
      </c>
      <c r="B186" t="s">
        <v>0</v>
      </c>
      <c r="C186" s="2" t="s">
        <v>1</v>
      </c>
      <c r="D186" s="12" t="s">
        <v>2</v>
      </c>
      <c r="E186" s="2" t="s">
        <v>3</v>
      </c>
      <c r="F186" s="13" t="s">
        <v>4</v>
      </c>
      <c r="G186" s="3" t="s">
        <v>5</v>
      </c>
      <c r="H186" s="1" t="s">
        <v>6</v>
      </c>
      <c r="I186" s="5" t="s">
        <v>8</v>
      </c>
      <c r="J186" t="s">
        <v>9</v>
      </c>
      <c r="K186" t="s">
        <v>10</v>
      </c>
      <c r="L186" s="5" t="s">
        <v>11</v>
      </c>
      <c r="M186" s="5" t="s">
        <v>12</v>
      </c>
      <c r="N186" t="s">
        <v>13</v>
      </c>
      <c r="O186" t="s">
        <v>20</v>
      </c>
      <c r="P186" t="s">
        <v>7</v>
      </c>
      <c r="Q186" s="5" t="s">
        <v>15</v>
      </c>
      <c r="R186" s="14" t="s">
        <v>18</v>
      </c>
      <c r="S186" t="s">
        <v>16</v>
      </c>
      <c r="T186" s="5" t="s">
        <v>14</v>
      </c>
      <c r="U186" s="5" t="s">
        <v>17</v>
      </c>
      <c r="V186" s="5" t="s">
        <v>19</v>
      </c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</row>
    <row r="187" spans="1:37" x14ac:dyDescent="0.25">
      <c r="A187" s="11">
        <f>Table1[[#This Row],[Milk Yield]]-J183</f>
        <v>-217</v>
      </c>
      <c r="B187" t="s">
        <v>24</v>
      </c>
      <c r="C187" s="2">
        <v>1</v>
      </c>
      <c r="D187" s="12">
        <v>45514</v>
      </c>
      <c r="F187" s="13">
        <v>0.33336805555555554</v>
      </c>
      <c r="I187" s="5">
        <v>677</v>
      </c>
      <c r="J187">
        <v>6159</v>
      </c>
      <c r="L187" s="5"/>
      <c r="M187" s="5"/>
      <c r="Q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</row>
    <row r="188" spans="1:37" x14ac:dyDescent="0.25">
      <c r="A188" s="11">
        <f>Table1[[#This Row],[Milk Yield]]-J184</f>
        <v>185</v>
      </c>
      <c r="B188" t="s">
        <v>24</v>
      </c>
      <c r="C188" s="2">
        <v>2</v>
      </c>
      <c r="D188" s="12">
        <v>45514</v>
      </c>
      <c r="E188" s="2">
        <v>31</v>
      </c>
      <c r="F188" s="13">
        <v>0.67098379629629634</v>
      </c>
      <c r="G188" s="3">
        <v>0.86769675925925926</v>
      </c>
      <c r="H188" s="1">
        <v>0.19652777777777777</v>
      </c>
      <c r="I188" s="5">
        <v>651</v>
      </c>
      <c r="J188">
        <v>5584</v>
      </c>
      <c r="K188">
        <v>138</v>
      </c>
      <c r="L188" s="5">
        <v>96</v>
      </c>
      <c r="M188" s="5">
        <v>651</v>
      </c>
      <c r="N188">
        <v>16</v>
      </c>
      <c r="O188">
        <v>635</v>
      </c>
      <c r="P188" s="1">
        <v>0.18680555555555556</v>
      </c>
      <c r="Q188" s="5">
        <v>1183</v>
      </c>
      <c r="R188" s="14">
        <v>8.6</v>
      </c>
      <c r="S188">
        <v>138</v>
      </c>
      <c r="T188" s="5">
        <v>16</v>
      </c>
      <c r="U188" s="5">
        <v>635</v>
      </c>
      <c r="V188" s="5">
        <v>0</v>
      </c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</row>
    <row r="189" spans="1:37" x14ac:dyDescent="0.25">
      <c r="A189" s="11">
        <f>Table1[[#This Row],[Milk Yield]]-J185</f>
        <v>-73</v>
      </c>
      <c r="B189" t="s">
        <v>24</v>
      </c>
      <c r="C189" s="2">
        <v>3</v>
      </c>
      <c r="D189" s="12">
        <v>45514</v>
      </c>
      <c r="E189" s="2">
        <v>33</v>
      </c>
      <c r="F189" s="13">
        <v>4.4212962962962964E-3</v>
      </c>
      <c r="G189" s="3">
        <v>0.18855324074074073</v>
      </c>
      <c r="H189" s="1">
        <v>0.18402777777777779</v>
      </c>
      <c r="I189" s="5">
        <v>677</v>
      </c>
      <c r="J189">
        <v>5615</v>
      </c>
      <c r="K189">
        <v>153</v>
      </c>
      <c r="L189" s="5">
        <v>39</v>
      </c>
      <c r="M189" s="5">
        <v>677</v>
      </c>
      <c r="N189">
        <v>5</v>
      </c>
      <c r="O189">
        <v>672</v>
      </c>
      <c r="P189" s="1">
        <v>0.18333333333333332</v>
      </c>
      <c r="Q189" s="5">
        <v>1271</v>
      </c>
      <c r="R189" s="14">
        <v>8.3000000000000007</v>
      </c>
      <c r="S189">
        <v>153</v>
      </c>
      <c r="T189" s="5">
        <v>5</v>
      </c>
      <c r="U189" s="5">
        <v>672</v>
      </c>
      <c r="V189" s="5">
        <v>0</v>
      </c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</row>
    <row r="190" spans="1:37" x14ac:dyDescent="0.25">
      <c r="A190" s="11" t="e">
        <f>Table1[[#This Row],[Milk Yield]]-J186</f>
        <v>#VALUE!</v>
      </c>
      <c r="B190" t="s">
        <v>0</v>
      </c>
      <c r="C190" s="2" t="s">
        <v>1</v>
      </c>
      <c r="D190" s="12" t="s">
        <v>2</v>
      </c>
      <c r="E190" s="2" t="s">
        <v>3</v>
      </c>
      <c r="F190" s="13" t="s">
        <v>4</v>
      </c>
      <c r="G190" s="3" t="s">
        <v>5</v>
      </c>
      <c r="H190" s="1" t="s">
        <v>6</v>
      </c>
      <c r="I190" s="5" t="s">
        <v>8</v>
      </c>
      <c r="J190" t="s">
        <v>9</v>
      </c>
      <c r="K190" t="s">
        <v>10</v>
      </c>
      <c r="L190" s="5" t="s">
        <v>11</v>
      </c>
      <c r="M190" s="5" t="s">
        <v>12</v>
      </c>
      <c r="N190" t="s">
        <v>13</v>
      </c>
      <c r="O190" t="s">
        <v>20</v>
      </c>
      <c r="P190" t="s">
        <v>7</v>
      </c>
      <c r="Q190" s="5" t="s">
        <v>15</v>
      </c>
      <c r="R190" s="14" t="s">
        <v>18</v>
      </c>
      <c r="S190" t="s">
        <v>16</v>
      </c>
      <c r="T190" s="5" t="s">
        <v>14</v>
      </c>
      <c r="U190" s="5" t="s">
        <v>17</v>
      </c>
      <c r="V190" s="5" t="s">
        <v>19</v>
      </c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</row>
    <row r="191" spans="1:37" x14ac:dyDescent="0.25">
      <c r="A191" s="11">
        <f>Table1[[#This Row],[Milk Yield]]-J187</f>
        <v>-31</v>
      </c>
      <c r="B191" t="s">
        <v>24</v>
      </c>
      <c r="C191" s="2">
        <v>1</v>
      </c>
      <c r="D191" s="12">
        <v>45515</v>
      </c>
      <c r="E191" s="2">
        <v>33</v>
      </c>
      <c r="F191" s="13">
        <v>0.33481481481481479</v>
      </c>
      <c r="G191" s="3">
        <v>0.55576388888888884</v>
      </c>
      <c r="H191" s="1">
        <v>0.22083333333333333</v>
      </c>
      <c r="I191" s="5">
        <v>675</v>
      </c>
      <c r="J191">
        <v>6128</v>
      </c>
      <c r="K191">
        <v>127</v>
      </c>
      <c r="L191" s="5">
        <v>79</v>
      </c>
      <c r="M191" s="5">
        <v>675</v>
      </c>
      <c r="N191">
        <v>9</v>
      </c>
      <c r="O191">
        <v>666</v>
      </c>
      <c r="P191" s="1">
        <v>0.20208333333333334</v>
      </c>
      <c r="Q191" s="5">
        <v>1156</v>
      </c>
      <c r="R191" s="14">
        <v>9.1</v>
      </c>
      <c r="S191">
        <v>127</v>
      </c>
      <c r="T191" s="5">
        <v>9</v>
      </c>
      <c r="U191" s="5">
        <v>666</v>
      </c>
      <c r="V191" s="5">
        <v>0</v>
      </c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</row>
    <row r="192" spans="1:37" x14ac:dyDescent="0.25">
      <c r="A192" s="11">
        <f>Table1[[#This Row],[Milk Yield]]-J188</f>
        <v>-126</v>
      </c>
      <c r="B192" t="s">
        <v>24</v>
      </c>
      <c r="C192" s="2">
        <v>2</v>
      </c>
      <c r="D192" s="12">
        <v>45515</v>
      </c>
      <c r="E192" s="2">
        <v>31</v>
      </c>
      <c r="F192" s="13">
        <v>0.67231481481481481</v>
      </c>
      <c r="G192" s="3">
        <v>0.8483680555555555</v>
      </c>
      <c r="H192" s="1">
        <v>0.17569444444444443</v>
      </c>
      <c r="I192" s="5">
        <v>664</v>
      </c>
      <c r="J192">
        <v>5458</v>
      </c>
      <c r="K192">
        <v>157</v>
      </c>
      <c r="L192" s="5">
        <v>68</v>
      </c>
      <c r="M192" s="5">
        <v>664</v>
      </c>
      <c r="N192">
        <v>9</v>
      </c>
      <c r="O192">
        <v>655</v>
      </c>
      <c r="P192" s="1">
        <v>0.18194444444444444</v>
      </c>
      <c r="Q192" s="5">
        <v>1292</v>
      </c>
      <c r="R192" s="14">
        <v>8.3000000000000007</v>
      </c>
      <c r="S192">
        <v>157</v>
      </c>
      <c r="T192" s="5">
        <v>9</v>
      </c>
      <c r="U192" s="5">
        <v>655</v>
      </c>
      <c r="V192" s="5">
        <v>0</v>
      </c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</row>
    <row r="193" spans="1:37" x14ac:dyDescent="0.25">
      <c r="A193" s="11">
        <f>Table1[[#This Row],[Milk Yield]]-J189</f>
        <v>-23</v>
      </c>
      <c r="B193" t="s">
        <v>24</v>
      </c>
      <c r="C193" s="2">
        <v>3</v>
      </c>
      <c r="D193" s="12">
        <v>45515</v>
      </c>
      <c r="E193" s="2">
        <v>31</v>
      </c>
      <c r="F193" s="13">
        <v>5.9259259259259256E-3</v>
      </c>
      <c r="G193" s="3">
        <v>0.18924768518518517</v>
      </c>
      <c r="H193" s="1">
        <v>0.18263888888888888</v>
      </c>
      <c r="I193" s="5">
        <v>650</v>
      </c>
      <c r="J193">
        <v>5592</v>
      </c>
      <c r="K193">
        <v>148</v>
      </c>
      <c r="L193" s="5">
        <v>127</v>
      </c>
      <c r="M193" s="5">
        <v>650</v>
      </c>
      <c r="N193">
        <v>13</v>
      </c>
      <c r="O193">
        <v>637</v>
      </c>
      <c r="P193" s="1">
        <v>0.1875</v>
      </c>
      <c r="Q193" s="5">
        <v>1271</v>
      </c>
      <c r="R193" s="14">
        <v>8.6999999999999993</v>
      </c>
      <c r="S193">
        <v>148</v>
      </c>
      <c r="T193" s="5">
        <v>13</v>
      </c>
      <c r="U193" s="5">
        <v>637</v>
      </c>
      <c r="V193" s="5">
        <v>0</v>
      </c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</row>
    <row r="194" spans="1:37" x14ac:dyDescent="0.25">
      <c r="A194" s="11" t="e">
        <f>Table1[[#This Row],[Milk Yield]]-J190</f>
        <v>#VALUE!</v>
      </c>
      <c r="B194" t="s">
        <v>0</v>
      </c>
      <c r="C194" s="2" t="s">
        <v>1</v>
      </c>
      <c r="D194" s="12" t="s">
        <v>2</v>
      </c>
      <c r="E194" s="2" t="s">
        <v>3</v>
      </c>
      <c r="F194" s="13" t="s">
        <v>4</v>
      </c>
      <c r="G194" s="3" t="s">
        <v>5</v>
      </c>
      <c r="H194" s="1" t="s">
        <v>6</v>
      </c>
      <c r="I194" s="5" t="s">
        <v>8</v>
      </c>
      <c r="J194" t="s">
        <v>9</v>
      </c>
      <c r="K194" t="s">
        <v>10</v>
      </c>
      <c r="L194" s="5" t="s">
        <v>11</v>
      </c>
      <c r="M194" s="5" t="s">
        <v>12</v>
      </c>
      <c r="N194" t="s">
        <v>13</v>
      </c>
      <c r="O194" t="s">
        <v>20</v>
      </c>
      <c r="P194" t="s">
        <v>7</v>
      </c>
      <c r="Q194" s="5" t="s">
        <v>15</v>
      </c>
      <c r="R194" s="14" t="s">
        <v>18</v>
      </c>
      <c r="S194" t="s">
        <v>16</v>
      </c>
      <c r="T194" s="5" t="s">
        <v>14</v>
      </c>
      <c r="U194" s="5" t="s">
        <v>17</v>
      </c>
      <c r="V194" s="5" t="s">
        <v>19</v>
      </c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</row>
    <row r="195" spans="1:37" x14ac:dyDescent="0.25">
      <c r="A195" s="11">
        <f>Table1[[#This Row],[Milk Yield]]-J191</f>
        <v>-248</v>
      </c>
      <c r="B195" t="s">
        <v>24</v>
      </c>
      <c r="C195" s="2">
        <v>1</v>
      </c>
      <c r="D195" s="12">
        <v>45516</v>
      </c>
      <c r="E195" s="2">
        <v>31</v>
      </c>
      <c r="F195" s="13">
        <v>0.3420138888888889</v>
      </c>
      <c r="G195" s="3">
        <v>0.51239583333333338</v>
      </c>
      <c r="H195" s="1">
        <v>0.1701388888888889</v>
      </c>
      <c r="I195" s="5">
        <v>668</v>
      </c>
      <c r="J195">
        <v>5880</v>
      </c>
      <c r="K195">
        <v>163</v>
      </c>
      <c r="L195" s="5">
        <v>83</v>
      </c>
      <c r="M195" s="5">
        <v>668</v>
      </c>
      <c r="N195">
        <v>11</v>
      </c>
      <c r="O195">
        <v>657</v>
      </c>
      <c r="P195" s="1">
        <v>0.19722222222222222</v>
      </c>
      <c r="Q195" s="5">
        <v>1438</v>
      </c>
      <c r="R195" s="14">
        <v>8.9</v>
      </c>
      <c r="S195">
        <v>163</v>
      </c>
      <c r="T195" s="5">
        <v>11</v>
      </c>
      <c r="U195" s="5">
        <v>657</v>
      </c>
      <c r="V195" s="5">
        <v>0</v>
      </c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</row>
    <row r="196" spans="1:37" x14ac:dyDescent="0.25">
      <c r="A196" s="11">
        <f>Table1[[#This Row],[Milk Yield]]-J192</f>
        <v>332</v>
      </c>
      <c r="B196" t="s">
        <v>24</v>
      </c>
      <c r="C196" s="2">
        <v>2</v>
      </c>
      <c r="D196" s="12">
        <v>45516</v>
      </c>
      <c r="E196" s="2">
        <v>31</v>
      </c>
      <c r="F196" s="13">
        <v>0.67462962962962958</v>
      </c>
      <c r="G196" s="3">
        <v>0.85238425925925931</v>
      </c>
      <c r="H196" s="1">
        <v>0.17708333333333334</v>
      </c>
      <c r="I196" s="5">
        <v>651</v>
      </c>
      <c r="J196">
        <v>5790</v>
      </c>
      <c r="K196">
        <v>153</v>
      </c>
      <c r="L196" s="5">
        <v>121</v>
      </c>
      <c r="M196" s="5">
        <v>651</v>
      </c>
      <c r="N196">
        <v>14</v>
      </c>
      <c r="O196">
        <v>637</v>
      </c>
      <c r="P196" s="1">
        <v>0.18819444444444444</v>
      </c>
      <c r="Q196" s="5">
        <v>1357</v>
      </c>
      <c r="R196" s="14">
        <v>8.9</v>
      </c>
      <c r="S196">
        <v>153</v>
      </c>
      <c r="T196" s="5">
        <v>14</v>
      </c>
      <c r="U196" s="5">
        <v>637</v>
      </c>
      <c r="V196" s="5">
        <v>0</v>
      </c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</row>
    <row r="197" spans="1:37" x14ac:dyDescent="0.25">
      <c r="A197" s="11">
        <f>Table1[[#This Row],[Milk Yield]]-J193</f>
        <v>78</v>
      </c>
      <c r="B197" t="s">
        <v>24</v>
      </c>
      <c r="C197" s="2">
        <v>3</v>
      </c>
      <c r="D197" s="12">
        <v>45516</v>
      </c>
      <c r="E197" s="2">
        <v>32</v>
      </c>
      <c r="F197" s="13">
        <v>4.6296296296296298E-4</v>
      </c>
      <c r="G197" s="3">
        <v>0.20554398148148148</v>
      </c>
      <c r="H197" s="1">
        <v>0.2048611111111111</v>
      </c>
      <c r="I197" s="5">
        <v>664</v>
      </c>
      <c r="J197">
        <v>5670</v>
      </c>
      <c r="K197">
        <v>135</v>
      </c>
      <c r="L197" s="5">
        <v>34</v>
      </c>
      <c r="M197" s="5">
        <v>664</v>
      </c>
      <c r="N197">
        <v>6</v>
      </c>
      <c r="O197">
        <v>658</v>
      </c>
      <c r="P197" s="1">
        <v>0.19652777777777777</v>
      </c>
      <c r="Q197" s="5">
        <v>1152</v>
      </c>
      <c r="R197" s="14">
        <v>8.6</v>
      </c>
      <c r="S197">
        <v>135</v>
      </c>
      <c r="T197" s="5">
        <v>6</v>
      </c>
      <c r="U197" s="5">
        <v>658</v>
      </c>
      <c r="V197" s="5">
        <v>0</v>
      </c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</row>
    <row r="198" spans="1:37" x14ac:dyDescent="0.25">
      <c r="A198" s="11" t="e">
        <f>Table1[[#This Row],[Milk Yield]]-J194</f>
        <v>#VALUE!</v>
      </c>
      <c r="B198" t="s">
        <v>0</v>
      </c>
      <c r="C198" s="2" t="s">
        <v>1</v>
      </c>
      <c r="D198" s="12" t="s">
        <v>2</v>
      </c>
      <c r="E198" s="2" t="s">
        <v>3</v>
      </c>
      <c r="F198" s="13" t="s">
        <v>4</v>
      </c>
      <c r="G198" s="3" t="s">
        <v>5</v>
      </c>
      <c r="H198" s="1" t="s">
        <v>6</v>
      </c>
      <c r="I198" s="5" t="s">
        <v>8</v>
      </c>
      <c r="J198" t="s">
        <v>9</v>
      </c>
      <c r="K198" t="s">
        <v>10</v>
      </c>
      <c r="L198" s="5" t="s">
        <v>11</v>
      </c>
      <c r="M198" s="5" t="s">
        <v>12</v>
      </c>
      <c r="N198" t="s">
        <v>13</v>
      </c>
      <c r="O198" t="s">
        <v>20</v>
      </c>
      <c r="P198" t="s">
        <v>7</v>
      </c>
      <c r="Q198" s="5" t="s">
        <v>15</v>
      </c>
      <c r="R198" s="14" t="s">
        <v>18</v>
      </c>
      <c r="S198" t="s">
        <v>16</v>
      </c>
      <c r="T198" s="5" t="s">
        <v>14</v>
      </c>
      <c r="U198" s="5" t="s">
        <v>17</v>
      </c>
      <c r="V198" s="5" t="s">
        <v>19</v>
      </c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</row>
    <row r="199" spans="1:37" x14ac:dyDescent="0.25">
      <c r="A199" s="11">
        <f>Table1[[#This Row],[Milk Yield]]-J195</f>
        <v>-214</v>
      </c>
      <c r="B199" t="s">
        <v>24</v>
      </c>
      <c r="C199" s="2">
        <v>1</v>
      </c>
      <c r="D199" s="12">
        <v>45517</v>
      </c>
      <c r="E199" s="2">
        <v>32</v>
      </c>
      <c r="F199" s="13">
        <v>0.3376736111111111</v>
      </c>
      <c r="G199" s="3">
        <v>0.52184027777777775</v>
      </c>
      <c r="H199" s="1">
        <v>0.18402777777777779</v>
      </c>
      <c r="I199" s="5">
        <v>663</v>
      </c>
      <c r="J199">
        <v>5666</v>
      </c>
      <c r="K199">
        <v>150</v>
      </c>
      <c r="L199" s="5">
        <v>25</v>
      </c>
      <c r="M199" s="5">
        <v>663</v>
      </c>
      <c r="N199">
        <v>4</v>
      </c>
      <c r="O199">
        <v>659</v>
      </c>
      <c r="P199" s="1">
        <v>0.19166666666666668</v>
      </c>
      <c r="Q199" s="5">
        <v>1282</v>
      </c>
      <c r="R199" s="14">
        <v>8.6</v>
      </c>
      <c r="S199">
        <v>150</v>
      </c>
      <c r="T199" s="5">
        <v>4</v>
      </c>
      <c r="U199" s="5">
        <v>658</v>
      </c>
      <c r="V199" s="5">
        <v>0</v>
      </c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</row>
    <row r="200" spans="1:37" x14ac:dyDescent="0.25">
      <c r="A200" s="11">
        <f>Table1[[#This Row],[Milk Yield]]-J196</f>
        <v>-128</v>
      </c>
      <c r="B200" t="s">
        <v>24</v>
      </c>
      <c r="C200" s="2">
        <v>2</v>
      </c>
      <c r="D200" s="12">
        <v>45517</v>
      </c>
      <c r="E200" s="2">
        <v>31</v>
      </c>
      <c r="F200" s="13">
        <v>0.67145833333333338</v>
      </c>
      <c r="G200" s="3">
        <v>0.84612268518518519</v>
      </c>
      <c r="H200" s="1">
        <v>0.17430555555555555</v>
      </c>
      <c r="I200" s="5">
        <v>653</v>
      </c>
      <c r="J200">
        <v>5662</v>
      </c>
      <c r="K200">
        <v>156</v>
      </c>
      <c r="L200" s="5">
        <v>90</v>
      </c>
      <c r="M200" s="5">
        <v>653</v>
      </c>
      <c r="N200">
        <v>12</v>
      </c>
      <c r="O200">
        <v>641</v>
      </c>
      <c r="P200" s="1">
        <v>0.18333333333333332</v>
      </c>
      <c r="Q200" s="5">
        <v>1351</v>
      </c>
      <c r="R200" s="14">
        <v>8.6999999999999993</v>
      </c>
      <c r="S200">
        <v>156</v>
      </c>
      <c r="T200" s="5">
        <v>12</v>
      </c>
      <c r="U200" s="5">
        <v>641</v>
      </c>
      <c r="V200" s="5">
        <v>0</v>
      </c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</row>
    <row r="201" spans="1:37" x14ac:dyDescent="0.25">
      <c r="A201" s="11">
        <f>Table1[[#This Row],[Milk Yield]]-J197</f>
        <v>218</v>
      </c>
      <c r="B201" t="s">
        <v>24</v>
      </c>
      <c r="C201" s="2">
        <v>3</v>
      </c>
      <c r="D201" s="12">
        <v>45517</v>
      </c>
      <c r="E201" s="2">
        <v>34</v>
      </c>
      <c r="F201" s="13">
        <v>0.98701388888888886</v>
      </c>
      <c r="G201" s="3">
        <v>0.20093749999999999</v>
      </c>
      <c r="H201" s="1">
        <v>0.21388888888888888</v>
      </c>
      <c r="I201" s="5">
        <v>703</v>
      </c>
      <c r="J201">
        <v>5888</v>
      </c>
      <c r="K201">
        <v>137</v>
      </c>
      <c r="L201" s="5">
        <v>432</v>
      </c>
      <c r="M201" s="5">
        <v>703</v>
      </c>
      <c r="N201">
        <v>49</v>
      </c>
      <c r="O201">
        <v>654</v>
      </c>
      <c r="P201" s="1">
        <v>0.22708333333333333</v>
      </c>
      <c r="Q201" s="5">
        <v>1147</v>
      </c>
      <c r="R201" s="14">
        <v>8.4</v>
      </c>
      <c r="S201">
        <v>137</v>
      </c>
      <c r="T201" s="5">
        <v>49</v>
      </c>
      <c r="U201" s="5">
        <v>654</v>
      </c>
      <c r="V201" s="5">
        <v>0</v>
      </c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</row>
    <row r="202" spans="1:37" x14ac:dyDescent="0.25">
      <c r="A202" s="11" t="e">
        <f>Table1[[#This Row],[Milk Yield]]-J198</f>
        <v>#VALUE!</v>
      </c>
      <c r="B202" t="s">
        <v>0</v>
      </c>
      <c r="C202" s="2" t="s">
        <v>1</v>
      </c>
      <c r="D202" s="12" t="s">
        <v>2</v>
      </c>
      <c r="E202" s="2" t="s">
        <v>3</v>
      </c>
      <c r="F202" s="13" t="s">
        <v>4</v>
      </c>
      <c r="G202" s="3" t="s">
        <v>5</v>
      </c>
      <c r="H202" s="1" t="s">
        <v>6</v>
      </c>
      <c r="I202" s="5" t="s">
        <v>8</v>
      </c>
      <c r="J202" t="s">
        <v>9</v>
      </c>
      <c r="K202" t="s">
        <v>10</v>
      </c>
      <c r="L202" s="5" t="s">
        <v>11</v>
      </c>
      <c r="M202" s="5" t="s">
        <v>12</v>
      </c>
      <c r="N202" t="s">
        <v>13</v>
      </c>
      <c r="O202" t="s">
        <v>20</v>
      </c>
      <c r="P202" t="s">
        <v>7</v>
      </c>
      <c r="Q202" s="5" t="s">
        <v>15</v>
      </c>
      <c r="R202" s="14" t="s">
        <v>18</v>
      </c>
      <c r="S202" t="s">
        <v>16</v>
      </c>
      <c r="T202" s="5" t="s">
        <v>14</v>
      </c>
      <c r="U202" s="5" t="s">
        <v>17</v>
      </c>
      <c r="V202" s="5" t="s">
        <v>19</v>
      </c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</row>
    <row r="203" spans="1:37" x14ac:dyDescent="0.25">
      <c r="A203" s="11">
        <f>Table1[[#This Row],[Milk Yield]]-J199</f>
        <v>7</v>
      </c>
      <c r="B203" t="s">
        <v>24</v>
      </c>
      <c r="C203" s="2">
        <v>1</v>
      </c>
      <c r="D203" s="12">
        <v>45518</v>
      </c>
      <c r="E203" s="2">
        <v>32</v>
      </c>
      <c r="F203" s="13">
        <v>0.33596064814814813</v>
      </c>
      <c r="G203" s="3">
        <v>0.562962962962963</v>
      </c>
      <c r="H203" s="1">
        <v>0.22638888888888889</v>
      </c>
      <c r="I203" s="5">
        <v>660</v>
      </c>
      <c r="J203">
        <v>5673</v>
      </c>
      <c r="K203">
        <v>121</v>
      </c>
      <c r="L203" s="5">
        <v>114</v>
      </c>
      <c r="M203" s="5">
        <v>660</v>
      </c>
      <c r="N203">
        <v>15</v>
      </c>
      <c r="O203">
        <v>645</v>
      </c>
      <c r="P203" s="1">
        <v>0.19583333333333333</v>
      </c>
      <c r="Q203" s="5">
        <v>1041</v>
      </c>
      <c r="R203" s="14">
        <v>8.6</v>
      </c>
      <c r="S203">
        <v>121</v>
      </c>
      <c r="T203" s="5">
        <v>15</v>
      </c>
      <c r="U203" s="5">
        <v>645</v>
      </c>
      <c r="V203" s="5">
        <v>0</v>
      </c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</row>
    <row r="204" spans="1:37" x14ac:dyDescent="0.25">
      <c r="A204" s="11">
        <f>Table1[[#This Row],[Milk Yield]]-J200</f>
        <v>-105</v>
      </c>
      <c r="B204" t="s">
        <v>24</v>
      </c>
      <c r="C204" s="2">
        <v>2</v>
      </c>
      <c r="D204" s="12">
        <v>45518</v>
      </c>
      <c r="E204" s="2">
        <v>31</v>
      </c>
      <c r="F204" s="13">
        <v>0.66445601851851854</v>
      </c>
      <c r="G204" s="3">
        <v>0.8480671296296296</v>
      </c>
      <c r="H204" s="1">
        <v>0.18333333333333332</v>
      </c>
      <c r="I204" s="5">
        <v>653</v>
      </c>
      <c r="J204">
        <v>5557</v>
      </c>
      <c r="K204">
        <v>148</v>
      </c>
      <c r="L204" s="5">
        <v>77</v>
      </c>
      <c r="M204" s="5">
        <v>653</v>
      </c>
      <c r="N204">
        <v>11</v>
      </c>
      <c r="O204">
        <v>642</v>
      </c>
      <c r="P204" s="1">
        <v>0.18541666666666667</v>
      </c>
      <c r="Q204" s="5">
        <v>1261</v>
      </c>
      <c r="R204" s="14">
        <v>8.6</v>
      </c>
      <c r="S204">
        <v>148</v>
      </c>
      <c r="T204" s="5">
        <v>11</v>
      </c>
      <c r="U204" s="5">
        <v>642</v>
      </c>
      <c r="V204" s="5">
        <v>0</v>
      </c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</row>
    <row r="205" spans="1:37" x14ac:dyDescent="0.25">
      <c r="A205" s="11">
        <f>Table1[[#This Row],[Milk Yield]]-J201</f>
        <v>-215</v>
      </c>
      <c r="B205" t="s">
        <v>24</v>
      </c>
      <c r="C205" s="2">
        <v>3</v>
      </c>
      <c r="D205" s="12">
        <v>45518</v>
      </c>
      <c r="E205" s="2">
        <v>33</v>
      </c>
      <c r="F205" s="13">
        <v>2.662037037037037E-3</v>
      </c>
      <c r="G205" s="3">
        <v>0.19753472222222221</v>
      </c>
      <c r="H205" s="1">
        <v>0.19444444444444445</v>
      </c>
      <c r="I205" s="5">
        <v>651</v>
      </c>
      <c r="J205">
        <v>5673</v>
      </c>
      <c r="K205">
        <v>139</v>
      </c>
      <c r="L205" s="5">
        <v>125</v>
      </c>
      <c r="M205" s="5">
        <v>651</v>
      </c>
      <c r="N205">
        <v>16</v>
      </c>
      <c r="O205">
        <v>635</v>
      </c>
      <c r="P205" s="1">
        <v>0.2013888888888889</v>
      </c>
      <c r="Q205" s="5">
        <v>1213</v>
      </c>
      <c r="R205" s="14">
        <v>8.8000000000000007</v>
      </c>
      <c r="S205">
        <v>139</v>
      </c>
      <c r="T205" s="5">
        <v>16</v>
      </c>
      <c r="U205" s="5">
        <v>635</v>
      </c>
      <c r="V205" s="5">
        <v>0</v>
      </c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</row>
    <row r="206" spans="1:37" x14ac:dyDescent="0.25">
      <c r="A206" s="11" t="e">
        <f>Table1[[#This Row],[Milk Yield]]-J202</f>
        <v>#VALUE!</v>
      </c>
      <c r="B206" t="s">
        <v>0</v>
      </c>
      <c r="C206" s="2" t="s">
        <v>1</v>
      </c>
      <c r="D206" s="12" t="s">
        <v>2</v>
      </c>
      <c r="E206" s="2" t="s">
        <v>3</v>
      </c>
      <c r="F206" s="13" t="s">
        <v>4</v>
      </c>
      <c r="G206" s="3" t="s">
        <v>5</v>
      </c>
      <c r="H206" s="1" t="s">
        <v>6</v>
      </c>
      <c r="I206" s="5" t="s">
        <v>8</v>
      </c>
      <c r="J206" t="s">
        <v>9</v>
      </c>
      <c r="K206" t="s">
        <v>10</v>
      </c>
      <c r="L206" s="5" t="s">
        <v>11</v>
      </c>
      <c r="M206" s="5" t="s">
        <v>12</v>
      </c>
      <c r="N206" t="s">
        <v>13</v>
      </c>
      <c r="O206" t="s">
        <v>20</v>
      </c>
      <c r="P206" t="s">
        <v>7</v>
      </c>
      <c r="Q206" s="5" t="s">
        <v>15</v>
      </c>
      <c r="R206" s="14" t="s">
        <v>18</v>
      </c>
      <c r="S206" t="s">
        <v>16</v>
      </c>
      <c r="T206" s="5" t="s">
        <v>14</v>
      </c>
      <c r="U206" s="5" t="s">
        <v>17</v>
      </c>
      <c r="V206" s="5" t="s">
        <v>19</v>
      </c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</row>
    <row r="207" spans="1:37" x14ac:dyDescent="0.25">
      <c r="A207" s="11">
        <f>Table1[[#This Row],[Milk Yield]]-J203</f>
        <v>36</v>
      </c>
      <c r="B207" t="s">
        <v>24</v>
      </c>
      <c r="C207" s="2">
        <v>1</v>
      </c>
      <c r="D207" s="12">
        <v>45519</v>
      </c>
      <c r="E207" s="2">
        <v>32</v>
      </c>
      <c r="F207" s="13">
        <v>0.33505787037037038</v>
      </c>
      <c r="G207" s="3">
        <v>0.54317129629629635</v>
      </c>
      <c r="H207" s="1">
        <v>0.2076388888888889</v>
      </c>
      <c r="I207" s="5">
        <v>645</v>
      </c>
      <c r="J207">
        <v>5709</v>
      </c>
      <c r="K207">
        <v>129</v>
      </c>
      <c r="L207" s="5">
        <v>68</v>
      </c>
      <c r="M207" s="5">
        <v>645</v>
      </c>
      <c r="N207">
        <v>8</v>
      </c>
      <c r="O207">
        <v>637</v>
      </c>
      <c r="P207" s="1">
        <v>0.19444444444444445</v>
      </c>
      <c r="Q207" s="5">
        <v>1143</v>
      </c>
      <c r="R207" s="14">
        <v>8.9</v>
      </c>
      <c r="S207">
        <v>129</v>
      </c>
      <c r="T207" s="5">
        <v>8</v>
      </c>
      <c r="U207" s="5">
        <v>637</v>
      </c>
      <c r="V207" s="5">
        <v>0</v>
      </c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</row>
    <row r="208" spans="1:37" x14ac:dyDescent="0.25">
      <c r="A208" s="11">
        <f>Table1[[#This Row],[Milk Yield]]-J204</f>
        <v>-22</v>
      </c>
      <c r="B208" t="s">
        <v>24</v>
      </c>
      <c r="C208" s="2">
        <v>2</v>
      </c>
      <c r="D208" s="12">
        <v>45519</v>
      </c>
      <c r="E208" s="2">
        <v>31</v>
      </c>
      <c r="F208" s="13">
        <v>0.65716435185185185</v>
      </c>
      <c r="G208" s="3">
        <v>0.83975694444444449</v>
      </c>
      <c r="H208" s="1">
        <v>0.18194444444444444</v>
      </c>
      <c r="I208" s="5">
        <v>666</v>
      </c>
      <c r="J208">
        <v>5535</v>
      </c>
      <c r="K208">
        <v>152</v>
      </c>
      <c r="L208" s="5">
        <v>119</v>
      </c>
      <c r="M208" s="5">
        <v>666</v>
      </c>
      <c r="N208">
        <v>16</v>
      </c>
      <c r="O208">
        <v>650</v>
      </c>
      <c r="P208" s="1">
        <v>0.18124999999999999</v>
      </c>
      <c r="Q208" s="5">
        <v>1263</v>
      </c>
      <c r="R208" s="14">
        <v>8.4</v>
      </c>
      <c r="S208">
        <v>152</v>
      </c>
      <c r="T208" s="5">
        <v>16</v>
      </c>
      <c r="U208" s="5">
        <v>650</v>
      </c>
      <c r="V208" s="5">
        <v>0</v>
      </c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</row>
    <row r="209" spans="1:37" x14ac:dyDescent="0.25">
      <c r="A209" s="11">
        <f>Table1[[#This Row],[Milk Yield]]-J205</f>
        <v>171</v>
      </c>
      <c r="B209" t="s">
        <v>24</v>
      </c>
      <c r="C209" s="2">
        <v>3</v>
      </c>
      <c r="D209" s="12">
        <v>45519</v>
      </c>
      <c r="E209" s="2">
        <v>31</v>
      </c>
      <c r="F209" s="13">
        <v>0.99988425925925928</v>
      </c>
      <c r="G209" s="3">
        <v>0.19987268518518519</v>
      </c>
      <c r="H209" s="1">
        <v>0.19930555555555557</v>
      </c>
      <c r="I209" s="5">
        <v>659</v>
      </c>
      <c r="J209">
        <v>5844</v>
      </c>
      <c r="K209">
        <v>137</v>
      </c>
      <c r="L209" s="5">
        <v>101</v>
      </c>
      <c r="M209" s="5">
        <v>659</v>
      </c>
      <c r="N209">
        <v>13</v>
      </c>
      <c r="O209">
        <v>646</v>
      </c>
      <c r="P209" s="1">
        <v>0.2013888888888889</v>
      </c>
      <c r="Q209" s="5">
        <v>1218</v>
      </c>
      <c r="R209" s="14">
        <v>8.9</v>
      </c>
      <c r="S209">
        <v>137</v>
      </c>
      <c r="T209" s="5">
        <v>13</v>
      </c>
      <c r="U209" s="5">
        <v>646</v>
      </c>
      <c r="V209" s="5">
        <v>0</v>
      </c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</row>
    <row r="210" spans="1:37" x14ac:dyDescent="0.25">
      <c r="A210" s="11" t="e">
        <f>Table1[[#This Row],[Milk Yield]]-J206</f>
        <v>#VALUE!</v>
      </c>
      <c r="B210" t="s">
        <v>0</v>
      </c>
      <c r="C210" s="2" t="s">
        <v>1</v>
      </c>
      <c r="D210" s="12" t="s">
        <v>2</v>
      </c>
      <c r="E210" s="2" t="s">
        <v>3</v>
      </c>
      <c r="F210" s="13" t="s">
        <v>4</v>
      </c>
      <c r="G210" s="3" t="s">
        <v>5</v>
      </c>
      <c r="H210" s="1" t="s">
        <v>6</v>
      </c>
      <c r="I210" s="5" t="s">
        <v>8</v>
      </c>
      <c r="J210" t="s">
        <v>9</v>
      </c>
      <c r="K210" t="s">
        <v>10</v>
      </c>
      <c r="L210" s="5" t="s">
        <v>11</v>
      </c>
      <c r="M210" s="5" t="s">
        <v>12</v>
      </c>
      <c r="N210" t="s">
        <v>13</v>
      </c>
      <c r="O210" t="s">
        <v>20</v>
      </c>
      <c r="P210" t="s">
        <v>7</v>
      </c>
      <c r="Q210" s="5" t="s">
        <v>15</v>
      </c>
      <c r="R210" s="14" t="s">
        <v>18</v>
      </c>
      <c r="S210" t="s">
        <v>16</v>
      </c>
      <c r="T210" s="5" t="s">
        <v>14</v>
      </c>
      <c r="U210" s="5" t="s">
        <v>17</v>
      </c>
      <c r="V210" s="5" t="s">
        <v>19</v>
      </c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</row>
    <row r="211" spans="1:37" x14ac:dyDescent="0.25">
      <c r="A211" s="11">
        <f>Table1[[#This Row],[Milk Yield]]-J207</f>
        <v>-156</v>
      </c>
      <c r="B211" t="s">
        <v>24</v>
      </c>
      <c r="C211" s="2">
        <v>1</v>
      </c>
      <c r="D211" s="12">
        <v>45520</v>
      </c>
      <c r="E211" s="2">
        <v>28</v>
      </c>
      <c r="F211" s="13">
        <v>0.32908564814814817</v>
      </c>
      <c r="G211" s="3">
        <v>0.55261574074074071</v>
      </c>
      <c r="H211" s="1">
        <v>0.22291666666666668</v>
      </c>
      <c r="I211" s="5">
        <v>644</v>
      </c>
      <c r="J211">
        <v>5553</v>
      </c>
      <c r="K211">
        <v>120</v>
      </c>
      <c r="L211" s="5">
        <v>147</v>
      </c>
      <c r="M211" s="5">
        <v>644</v>
      </c>
      <c r="N211">
        <v>17</v>
      </c>
      <c r="O211">
        <v>627</v>
      </c>
      <c r="P211" s="1">
        <v>0.20069444444444445</v>
      </c>
      <c r="Q211" s="5">
        <v>1035</v>
      </c>
      <c r="R211" s="14">
        <v>8.6999999999999993</v>
      </c>
      <c r="S211">
        <v>120</v>
      </c>
      <c r="T211" s="5">
        <v>17</v>
      </c>
      <c r="U211" s="5">
        <v>627</v>
      </c>
      <c r="V211" s="5">
        <v>0</v>
      </c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</row>
    <row r="212" spans="1:37" x14ac:dyDescent="0.25">
      <c r="A212" s="11">
        <f>Table1[[#This Row],[Milk Yield]]-J208</f>
        <v>20</v>
      </c>
      <c r="B212" t="s">
        <v>24</v>
      </c>
      <c r="C212" s="2">
        <v>2</v>
      </c>
      <c r="D212" s="12">
        <v>45520</v>
      </c>
      <c r="E212" s="2">
        <v>30</v>
      </c>
      <c r="F212" s="13">
        <v>0.67056712962962961</v>
      </c>
      <c r="G212" s="3">
        <v>0.83557870370370368</v>
      </c>
      <c r="H212" s="1">
        <v>0.16458333333333333</v>
      </c>
      <c r="I212" s="5">
        <v>638</v>
      </c>
      <c r="J212">
        <v>5555</v>
      </c>
      <c r="K212">
        <v>161</v>
      </c>
      <c r="L212" s="5">
        <v>117</v>
      </c>
      <c r="M212" s="5">
        <v>638</v>
      </c>
      <c r="N212">
        <v>13</v>
      </c>
      <c r="O212">
        <v>625</v>
      </c>
      <c r="P212" s="1">
        <v>0.18472222222222223</v>
      </c>
      <c r="Q212" s="5">
        <v>1403</v>
      </c>
      <c r="R212" s="14">
        <v>8.8000000000000007</v>
      </c>
      <c r="S212">
        <v>161</v>
      </c>
      <c r="T212" s="5">
        <v>13</v>
      </c>
      <c r="U212" s="5">
        <v>625</v>
      </c>
      <c r="V212" s="5">
        <v>0</v>
      </c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</row>
    <row r="213" spans="1:37" x14ac:dyDescent="0.25">
      <c r="A213" s="11">
        <f>Table1[[#This Row],[Milk Yield]]-J209</f>
        <v>-159</v>
      </c>
      <c r="B213" t="s">
        <v>24</v>
      </c>
      <c r="C213" s="2">
        <v>3</v>
      </c>
      <c r="D213" s="12">
        <v>45520</v>
      </c>
      <c r="E213" s="2">
        <v>31</v>
      </c>
      <c r="F213" s="13">
        <v>0.99699074074074079</v>
      </c>
      <c r="G213" s="3">
        <v>0.20047453703703705</v>
      </c>
      <c r="H213" s="1">
        <v>0.20347222222222222</v>
      </c>
      <c r="I213" s="5">
        <v>661</v>
      </c>
      <c r="J213">
        <v>5685</v>
      </c>
      <c r="K213">
        <v>135</v>
      </c>
      <c r="L213" s="5">
        <v>93</v>
      </c>
      <c r="M213" s="5">
        <v>661</v>
      </c>
      <c r="N213">
        <v>10</v>
      </c>
      <c r="O213">
        <v>651</v>
      </c>
      <c r="P213" s="1">
        <v>0.1986111111111111</v>
      </c>
      <c r="Q213" s="5">
        <v>1164</v>
      </c>
      <c r="R213" s="14">
        <v>8.6999999999999993</v>
      </c>
      <c r="S213">
        <v>135</v>
      </c>
      <c r="T213" s="5">
        <v>10</v>
      </c>
      <c r="U213" s="5">
        <v>651</v>
      </c>
      <c r="V213" s="5">
        <v>0</v>
      </c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</row>
    <row r="214" spans="1:37" x14ac:dyDescent="0.25">
      <c r="A214" s="11" t="e">
        <f>Table1[[#This Row],[Milk Yield]]-J210</f>
        <v>#VALUE!</v>
      </c>
      <c r="B214" t="s">
        <v>0</v>
      </c>
      <c r="C214" s="2" t="s">
        <v>1</v>
      </c>
      <c r="D214" s="12" t="s">
        <v>2</v>
      </c>
      <c r="E214" s="2" t="s">
        <v>3</v>
      </c>
      <c r="F214" s="13" t="s">
        <v>4</v>
      </c>
      <c r="G214" s="3" t="s">
        <v>5</v>
      </c>
      <c r="H214" s="1" t="s">
        <v>6</v>
      </c>
      <c r="I214" s="5" t="s">
        <v>8</v>
      </c>
      <c r="J214" t="s">
        <v>9</v>
      </c>
      <c r="K214" t="s">
        <v>10</v>
      </c>
      <c r="L214" s="5" t="s">
        <v>11</v>
      </c>
      <c r="M214" s="5" t="s">
        <v>12</v>
      </c>
      <c r="N214" t="s">
        <v>13</v>
      </c>
      <c r="O214" t="s">
        <v>20</v>
      </c>
      <c r="P214" t="s">
        <v>7</v>
      </c>
      <c r="Q214" s="5" t="s">
        <v>15</v>
      </c>
      <c r="R214" s="14" t="s">
        <v>18</v>
      </c>
      <c r="S214" t="s">
        <v>16</v>
      </c>
      <c r="T214" s="5" t="s">
        <v>14</v>
      </c>
      <c r="U214" s="5" t="s">
        <v>17</v>
      </c>
      <c r="V214" s="5" t="s">
        <v>19</v>
      </c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</row>
    <row r="215" spans="1:37" x14ac:dyDescent="0.25">
      <c r="A215" s="11">
        <f>Table1[[#This Row],[Milk Yield]]-J211</f>
        <v>144</v>
      </c>
      <c r="B215" t="s">
        <v>24</v>
      </c>
      <c r="C215" s="2">
        <v>1</v>
      </c>
      <c r="D215" s="12">
        <v>45521</v>
      </c>
      <c r="E215" s="2">
        <v>30</v>
      </c>
      <c r="F215" s="13">
        <v>0.33708333333333335</v>
      </c>
      <c r="G215" s="3">
        <v>0.5376157407407407</v>
      </c>
      <c r="H215" s="1">
        <v>0.2</v>
      </c>
      <c r="I215" s="5">
        <v>653</v>
      </c>
      <c r="J215">
        <v>5697</v>
      </c>
      <c r="K215">
        <v>136</v>
      </c>
      <c r="L215" s="5">
        <v>109</v>
      </c>
      <c r="M215" s="5">
        <v>653</v>
      </c>
      <c r="N215">
        <v>12</v>
      </c>
      <c r="O215">
        <v>641</v>
      </c>
      <c r="P215" s="1">
        <v>0.19375000000000001</v>
      </c>
      <c r="Q215" s="5">
        <v>1184</v>
      </c>
      <c r="R215" s="14">
        <v>8.8000000000000007</v>
      </c>
      <c r="S215">
        <v>136</v>
      </c>
      <c r="T215" s="5">
        <v>12</v>
      </c>
      <c r="U215" s="5">
        <v>641</v>
      </c>
      <c r="V215" s="5">
        <v>0</v>
      </c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</row>
    <row r="216" spans="1:37" x14ac:dyDescent="0.25">
      <c r="A216" s="11">
        <f>Table1[[#This Row],[Milk Yield]]-J212</f>
        <v>37</v>
      </c>
      <c r="B216" t="s">
        <v>24</v>
      </c>
      <c r="C216" s="2">
        <v>2</v>
      </c>
      <c r="D216" s="12">
        <v>45521</v>
      </c>
      <c r="E216" s="2">
        <v>31</v>
      </c>
      <c r="F216" s="13">
        <v>0.66399305555555554</v>
      </c>
      <c r="G216" s="3">
        <v>0.83724537037037039</v>
      </c>
      <c r="H216" s="1">
        <v>0.17291666666666666</v>
      </c>
      <c r="I216" s="5">
        <v>664</v>
      </c>
      <c r="J216">
        <v>5592</v>
      </c>
      <c r="K216">
        <v>160</v>
      </c>
      <c r="L216" s="5">
        <v>61</v>
      </c>
      <c r="M216" s="5">
        <v>664</v>
      </c>
      <c r="N216">
        <v>7</v>
      </c>
      <c r="O216">
        <v>657</v>
      </c>
      <c r="P216" s="1">
        <v>0.18055555555555555</v>
      </c>
      <c r="Q216" s="5">
        <v>1345</v>
      </c>
      <c r="R216" s="14">
        <v>8.5</v>
      </c>
      <c r="S216">
        <v>160</v>
      </c>
      <c r="T216" s="5">
        <v>7</v>
      </c>
      <c r="U216" s="5">
        <v>658</v>
      </c>
      <c r="V216" s="5">
        <v>1</v>
      </c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</row>
    <row r="217" spans="1:37" x14ac:dyDescent="0.25">
      <c r="A217" s="11">
        <f>Table1[[#This Row],[Milk Yield]]-J213</f>
        <v>1</v>
      </c>
      <c r="B217" t="s">
        <v>24</v>
      </c>
      <c r="C217" s="2">
        <v>3</v>
      </c>
      <c r="D217" s="12">
        <v>45521</v>
      </c>
      <c r="E217" s="2">
        <v>31</v>
      </c>
      <c r="F217" s="13">
        <v>0.99709490740740736</v>
      </c>
      <c r="G217" s="3">
        <v>0.19192129629629628</v>
      </c>
      <c r="H217" s="1">
        <v>0.19444444444444445</v>
      </c>
      <c r="I217" s="5">
        <v>667</v>
      </c>
      <c r="J217">
        <v>5686</v>
      </c>
      <c r="K217">
        <v>143</v>
      </c>
      <c r="L217" s="5">
        <v>89</v>
      </c>
      <c r="M217" s="5">
        <v>667</v>
      </c>
      <c r="N217">
        <v>13</v>
      </c>
      <c r="O217">
        <v>654</v>
      </c>
      <c r="P217" s="1">
        <v>0.2013888888888889</v>
      </c>
      <c r="Q217" s="5">
        <v>1216</v>
      </c>
      <c r="R217" s="14">
        <v>8.6</v>
      </c>
      <c r="S217">
        <v>143</v>
      </c>
      <c r="T217" s="5">
        <v>13</v>
      </c>
      <c r="U217" s="5">
        <v>655</v>
      </c>
      <c r="V217" s="5">
        <v>1</v>
      </c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</row>
    <row r="218" spans="1:37" x14ac:dyDescent="0.25">
      <c r="A218" s="11" t="e">
        <f>Table1[[#This Row],[Milk Yield]]-J214</f>
        <v>#VALUE!</v>
      </c>
      <c r="B218" t="s">
        <v>0</v>
      </c>
      <c r="C218" s="2" t="s">
        <v>1</v>
      </c>
      <c r="D218" s="12" t="s">
        <v>2</v>
      </c>
      <c r="E218" s="2" t="s">
        <v>3</v>
      </c>
      <c r="F218" s="13" t="s">
        <v>4</v>
      </c>
      <c r="G218" s="3" t="s">
        <v>5</v>
      </c>
      <c r="H218" s="1" t="s">
        <v>6</v>
      </c>
      <c r="I218" s="5" t="s">
        <v>8</v>
      </c>
      <c r="J218" t="s">
        <v>9</v>
      </c>
      <c r="K218" t="s">
        <v>10</v>
      </c>
      <c r="L218" s="5" t="s">
        <v>11</v>
      </c>
      <c r="M218" s="5" t="s">
        <v>12</v>
      </c>
      <c r="N218" t="s">
        <v>13</v>
      </c>
      <c r="O218" t="s">
        <v>20</v>
      </c>
      <c r="P218" t="s">
        <v>7</v>
      </c>
      <c r="Q218" s="5" t="s">
        <v>15</v>
      </c>
      <c r="R218" s="14" t="s">
        <v>18</v>
      </c>
      <c r="S218" t="s">
        <v>16</v>
      </c>
      <c r="T218" s="5" t="s">
        <v>14</v>
      </c>
      <c r="U218" s="5" t="s">
        <v>17</v>
      </c>
      <c r="V218" s="5" t="s">
        <v>19</v>
      </c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</row>
    <row r="219" spans="1:37" x14ac:dyDescent="0.25">
      <c r="A219" s="11">
        <f>Table1[[#This Row],[Milk Yield]]-J215</f>
        <v>84</v>
      </c>
      <c r="B219" t="s">
        <v>24</v>
      </c>
      <c r="C219" s="2">
        <v>1</v>
      </c>
      <c r="D219" s="12">
        <v>45522</v>
      </c>
      <c r="E219" s="2">
        <v>31</v>
      </c>
      <c r="F219" s="13">
        <v>0.33414351851851853</v>
      </c>
      <c r="G219" s="3">
        <v>0.53020833333333328</v>
      </c>
      <c r="H219" s="1">
        <v>0.19583333333333333</v>
      </c>
      <c r="I219" s="5">
        <v>670</v>
      </c>
      <c r="J219">
        <v>5781</v>
      </c>
      <c r="K219">
        <v>142</v>
      </c>
      <c r="L219" s="5">
        <v>88</v>
      </c>
      <c r="M219" s="5">
        <v>670</v>
      </c>
      <c r="N219">
        <v>12</v>
      </c>
      <c r="O219">
        <v>658</v>
      </c>
      <c r="P219" s="1">
        <v>0.19236111111111112</v>
      </c>
      <c r="Q219" s="5">
        <v>1229</v>
      </c>
      <c r="R219" s="14">
        <v>8.6999999999999993</v>
      </c>
      <c r="S219">
        <v>142</v>
      </c>
      <c r="T219" s="5">
        <v>12</v>
      </c>
      <c r="U219" s="5">
        <v>659</v>
      </c>
      <c r="V219" s="5">
        <v>1</v>
      </c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</row>
    <row r="220" spans="1:37" x14ac:dyDescent="0.25">
      <c r="A220" s="11">
        <f>Table1[[#This Row],[Milk Yield]]-J216</f>
        <v>65</v>
      </c>
      <c r="B220" t="s">
        <v>24</v>
      </c>
      <c r="C220" s="2">
        <v>2</v>
      </c>
      <c r="D220" s="12">
        <v>45522</v>
      </c>
      <c r="E220" s="2">
        <v>31</v>
      </c>
      <c r="F220" s="13">
        <v>0.63467592592592592</v>
      </c>
      <c r="G220" s="3">
        <v>0.84738425925925931</v>
      </c>
      <c r="H220" s="1">
        <v>0.21249999999999999</v>
      </c>
      <c r="I220" s="5">
        <v>665</v>
      </c>
      <c r="J220">
        <v>5657</v>
      </c>
      <c r="K220">
        <v>130</v>
      </c>
      <c r="L220" s="5">
        <v>355</v>
      </c>
      <c r="M220" s="5">
        <v>665</v>
      </c>
      <c r="N220">
        <v>40</v>
      </c>
      <c r="O220">
        <v>625</v>
      </c>
      <c r="P220" s="1">
        <v>0.19166666666666668</v>
      </c>
      <c r="Q220" s="5">
        <v>1108</v>
      </c>
      <c r="R220" s="14">
        <v>8.6</v>
      </c>
      <c r="S220">
        <v>130</v>
      </c>
      <c r="T220" s="5">
        <v>40</v>
      </c>
      <c r="U220" s="5">
        <v>626</v>
      </c>
      <c r="V220" s="5">
        <v>1</v>
      </c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</row>
    <row r="221" spans="1:37" x14ac:dyDescent="0.25">
      <c r="A221" s="11">
        <f>Table1[[#This Row],[Milk Yield]]-J217</f>
        <v>-8</v>
      </c>
      <c r="B221" t="s">
        <v>24</v>
      </c>
      <c r="C221" s="2">
        <v>3</v>
      </c>
      <c r="D221" s="12">
        <v>45522</v>
      </c>
      <c r="E221" s="2">
        <v>31</v>
      </c>
      <c r="F221" s="13">
        <v>0.99642361111111111</v>
      </c>
      <c r="G221" s="3">
        <v>0.19974537037037038</v>
      </c>
      <c r="H221" s="1">
        <v>0.20277777777777778</v>
      </c>
      <c r="I221" s="5">
        <v>672</v>
      </c>
      <c r="J221">
        <v>5678</v>
      </c>
      <c r="K221">
        <v>138</v>
      </c>
      <c r="L221" s="5">
        <v>103</v>
      </c>
      <c r="M221" s="5">
        <v>672</v>
      </c>
      <c r="N221">
        <v>15</v>
      </c>
      <c r="O221">
        <v>657</v>
      </c>
      <c r="P221" s="1">
        <v>0.20208333333333334</v>
      </c>
      <c r="Q221" s="5">
        <v>1164</v>
      </c>
      <c r="R221" s="14">
        <v>8.5</v>
      </c>
      <c r="S221">
        <v>138</v>
      </c>
      <c r="T221" s="5">
        <v>15</v>
      </c>
      <c r="U221" s="5">
        <v>658</v>
      </c>
      <c r="V221" s="5">
        <v>1</v>
      </c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</row>
    <row r="222" spans="1:37" x14ac:dyDescent="0.25">
      <c r="A222" s="11" t="e">
        <f>Table1[[#This Row],[Milk Yield]]-J218</f>
        <v>#VALUE!</v>
      </c>
      <c r="B222" t="s">
        <v>0</v>
      </c>
      <c r="C222" s="2" t="s">
        <v>1</v>
      </c>
      <c r="D222" s="12" t="s">
        <v>2</v>
      </c>
      <c r="E222" s="2" t="s">
        <v>3</v>
      </c>
      <c r="F222" s="13" t="s">
        <v>4</v>
      </c>
      <c r="G222" s="3" t="s">
        <v>5</v>
      </c>
      <c r="H222" s="1" t="s">
        <v>6</v>
      </c>
      <c r="I222" s="5" t="s">
        <v>8</v>
      </c>
      <c r="J222" t="s">
        <v>9</v>
      </c>
      <c r="K222" t="s">
        <v>10</v>
      </c>
      <c r="L222" s="5" t="s">
        <v>11</v>
      </c>
      <c r="M222" s="5" t="s">
        <v>12</v>
      </c>
      <c r="N222" t="s">
        <v>13</v>
      </c>
      <c r="O222" t="s">
        <v>20</v>
      </c>
      <c r="P222" t="s">
        <v>7</v>
      </c>
      <c r="Q222" s="5" t="s">
        <v>15</v>
      </c>
      <c r="R222" s="14" t="s">
        <v>18</v>
      </c>
      <c r="S222" t="s">
        <v>16</v>
      </c>
      <c r="T222" s="5" t="s">
        <v>14</v>
      </c>
      <c r="U222" s="5" t="s">
        <v>17</v>
      </c>
      <c r="V222" s="5" t="s">
        <v>19</v>
      </c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</row>
    <row r="223" spans="1:37" x14ac:dyDescent="0.25">
      <c r="A223" s="11">
        <f>Table1[[#This Row],[Milk Yield]]-J219</f>
        <v>682</v>
      </c>
      <c r="B223" t="s">
        <v>24</v>
      </c>
      <c r="C223" s="2">
        <v>1</v>
      </c>
      <c r="D223" s="12">
        <v>45523</v>
      </c>
      <c r="E223" s="2">
        <v>32</v>
      </c>
      <c r="F223" s="13">
        <v>0.33740740740740743</v>
      </c>
      <c r="G223" s="3">
        <v>0.57833333333333337</v>
      </c>
      <c r="H223" s="1">
        <v>0.24027777777777778</v>
      </c>
      <c r="I223" s="5">
        <v>674</v>
      </c>
      <c r="J223">
        <v>6463</v>
      </c>
      <c r="K223">
        <v>117</v>
      </c>
      <c r="L223" s="5">
        <v>174</v>
      </c>
      <c r="M223" s="5">
        <v>674</v>
      </c>
      <c r="N223">
        <v>21</v>
      </c>
      <c r="O223">
        <v>653</v>
      </c>
      <c r="P223" s="1">
        <v>0.20694444444444443</v>
      </c>
      <c r="Q223" s="5">
        <v>1118</v>
      </c>
      <c r="R223" s="14">
        <v>9.6</v>
      </c>
      <c r="S223">
        <v>117</v>
      </c>
      <c r="T223" s="5">
        <v>21</v>
      </c>
      <c r="U223" s="5">
        <v>654</v>
      </c>
      <c r="V223" s="5">
        <v>1</v>
      </c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</row>
    <row r="224" spans="1:37" x14ac:dyDescent="0.25">
      <c r="A224" s="11">
        <f>Table1[[#This Row],[Milk Yield]]-J220</f>
        <v>-627</v>
      </c>
      <c r="B224" t="s">
        <v>24</v>
      </c>
      <c r="C224" s="2">
        <v>2</v>
      </c>
      <c r="D224" s="12">
        <v>45523</v>
      </c>
      <c r="E224" s="2">
        <v>31</v>
      </c>
      <c r="F224" s="13">
        <v>0.66680555555555554</v>
      </c>
      <c r="G224" s="3">
        <v>0.83592592592592596</v>
      </c>
      <c r="H224" s="1">
        <v>0.16875000000000001</v>
      </c>
      <c r="I224" s="5">
        <v>667</v>
      </c>
      <c r="J224">
        <v>5030</v>
      </c>
      <c r="K224">
        <v>164</v>
      </c>
      <c r="L224" s="5">
        <v>123</v>
      </c>
      <c r="M224" s="5">
        <v>667</v>
      </c>
      <c r="N224">
        <v>14</v>
      </c>
      <c r="O224">
        <v>653</v>
      </c>
      <c r="P224" s="1">
        <v>0.17569444444444443</v>
      </c>
      <c r="Q224" s="5">
        <v>1239</v>
      </c>
      <c r="R224" s="14">
        <v>7.6</v>
      </c>
      <c r="S224">
        <v>164</v>
      </c>
      <c r="T224" s="5">
        <v>14</v>
      </c>
      <c r="U224" s="5">
        <v>654</v>
      </c>
      <c r="V224" s="5">
        <v>1</v>
      </c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</row>
    <row r="225" spans="1:37" x14ac:dyDescent="0.25">
      <c r="A225" s="11">
        <f>Table1[[#This Row],[Milk Yield]]-J221</f>
        <v>239</v>
      </c>
      <c r="B225" t="s">
        <v>24</v>
      </c>
      <c r="C225" s="2">
        <v>3</v>
      </c>
      <c r="D225" s="12">
        <v>45523</v>
      </c>
      <c r="E225" s="2">
        <v>32</v>
      </c>
      <c r="F225" s="13">
        <v>0</v>
      </c>
      <c r="G225" s="3">
        <v>0.20355324074074074</v>
      </c>
      <c r="H225" s="1">
        <v>0.20347222222222222</v>
      </c>
      <c r="I225" s="5">
        <v>669</v>
      </c>
      <c r="J225">
        <v>5917</v>
      </c>
      <c r="K225">
        <v>137</v>
      </c>
      <c r="L225" s="5">
        <v>165</v>
      </c>
      <c r="M225" s="5">
        <v>669</v>
      </c>
      <c r="N225">
        <v>17</v>
      </c>
      <c r="O225">
        <v>652</v>
      </c>
      <c r="P225" s="1">
        <v>0.20277777777777778</v>
      </c>
      <c r="Q225" s="5">
        <v>1211</v>
      </c>
      <c r="R225" s="14">
        <v>8.9</v>
      </c>
      <c r="S225">
        <v>137</v>
      </c>
      <c r="T225" s="5">
        <v>17</v>
      </c>
      <c r="U225" s="5">
        <v>653</v>
      </c>
      <c r="V225" s="5">
        <v>1</v>
      </c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</row>
    <row r="226" spans="1:37" x14ac:dyDescent="0.25">
      <c r="A226" s="11" t="e">
        <f>Table1[[#This Row],[Milk Yield]]-J222</f>
        <v>#VALUE!</v>
      </c>
      <c r="B226" t="s">
        <v>0</v>
      </c>
      <c r="C226" s="2" t="s">
        <v>1</v>
      </c>
      <c r="D226" s="12" t="s">
        <v>2</v>
      </c>
      <c r="E226" s="2" t="s">
        <v>3</v>
      </c>
      <c r="F226" s="13" t="s">
        <v>4</v>
      </c>
      <c r="G226" s="3" t="s">
        <v>5</v>
      </c>
      <c r="H226" s="1" t="s">
        <v>6</v>
      </c>
      <c r="I226" s="5" t="s">
        <v>8</v>
      </c>
      <c r="J226" t="s">
        <v>9</v>
      </c>
      <c r="K226" t="s">
        <v>10</v>
      </c>
      <c r="L226" s="5" t="s">
        <v>11</v>
      </c>
      <c r="M226" s="5" t="s">
        <v>12</v>
      </c>
      <c r="N226" t="s">
        <v>13</v>
      </c>
      <c r="O226" t="s">
        <v>20</v>
      </c>
      <c r="P226" t="s">
        <v>7</v>
      </c>
      <c r="Q226" s="5" t="s">
        <v>15</v>
      </c>
      <c r="R226" s="14" t="s">
        <v>18</v>
      </c>
      <c r="S226" t="s">
        <v>16</v>
      </c>
      <c r="T226" s="5" t="s">
        <v>14</v>
      </c>
      <c r="U226" s="5" t="s">
        <v>17</v>
      </c>
      <c r="V226" s="5" t="s">
        <v>19</v>
      </c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</row>
    <row r="227" spans="1:37" x14ac:dyDescent="0.25">
      <c r="A227" s="11">
        <f>Table1[[#This Row],[Milk Yield]]-J223</f>
        <v>-753</v>
      </c>
      <c r="B227" t="s">
        <v>24</v>
      </c>
      <c r="C227" s="2">
        <v>1</v>
      </c>
      <c r="D227" s="12">
        <v>45524</v>
      </c>
      <c r="E227" s="2">
        <v>31</v>
      </c>
      <c r="F227" s="13">
        <v>0.33763888888888888</v>
      </c>
      <c r="G227" s="3">
        <v>0.51901620370370372</v>
      </c>
      <c r="H227" s="1">
        <v>0.18124999999999999</v>
      </c>
      <c r="I227" s="5">
        <v>674</v>
      </c>
      <c r="J227">
        <v>5710</v>
      </c>
      <c r="K227">
        <v>155</v>
      </c>
      <c r="L227" s="5">
        <v>90</v>
      </c>
      <c r="M227" s="5">
        <v>674</v>
      </c>
      <c r="N227">
        <v>12</v>
      </c>
      <c r="O227">
        <v>662</v>
      </c>
      <c r="P227" s="1">
        <v>0.19375000000000001</v>
      </c>
      <c r="Q227" s="5">
        <v>1312</v>
      </c>
      <c r="R227" s="14">
        <v>8.5</v>
      </c>
      <c r="S227">
        <v>155</v>
      </c>
      <c r="T227" s="5">
        <v>12</v>
      </c>
      <c r="U227" s="5">
        <v>663</v>
      </c>
      <c r="V227" s="5">
        <v>1</v>
      </c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</row>
    <row r="228" spans="1:37" x14ac:dyDescent="0.25">
      <c r="A228" s="11">
        <f>Table1[[#This Row],[Milk Yield]]-J224</f>
        <v>661</v>
      </c>
      <c r="B228" t="s">
        <v>24</v>
      </c>
      <c r="C228" s="2">
        <v>2</v>
      </c>
      <c r="D228" s="12">
        <v>45524</v>
      </c>
      <c r="E228" s="2">
        <v>31</v>
      </c>
      <c r="F228" s="13">
        <v>0.66967592592592595</v>
      </c>
      <c r="G228" s="3">
        <v>0.83944444444444444</v>
      </c>
      <c r="H228" s="1">
        <v>0.16944444444444445</v>
      </c>
      <c r="I228" s="5">
        <v>669</v>
      </c>
      <c r="J228">
        <v>5691</v>
      </c>
      <c r="K228">
        <v>164</v>
      </c>
      <c r="L228" s="5">
        <v>133</v>
      </c>
      <c r="M228" s="5">
        <v>669</v>
      </c>
      <c r="N228">
        <v>18</v>
      </c>
      <c r="O228">
        <v>651</v>
      </c>
      <c r="P228" s="1">
        <v>0.1875</v>
      </c>
      <c r="Q228" s="5">
        <v>1397</v>
      </c>
      <c r="R228" s="14">
        <v>8.6</v>
      </c>
      <c r="S228">
        <v>164</v>
      </c>
      <c r="T228" s="5">
        <v>18</v>
      </c>
      <c r="U228" s="5">
        <v>652</v>
      </c>
      <c r="V228" s="5">
        <v>1</v>
      </c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</row>
    <row r="229" spans="1:37" x14ac:dyDescent="0.25">
      <c r="A229" s="11">
        <f>Table1[[#This Row],[Milk Yield]]-J225</f>
        <v>-408</v>
      </c>
      <c r="B229" t="s">
        <v>24</v>
      </c>
      <c r="C229" s="2">
        <v>3</v>
      </c>
      <c r="D229" s="12">
        <v>45524</v>
      </c>
      <c r="E229" s="2">
        <v>33</v>
      </c>
      <c r="F229" s="13">
        <v>0.99603009259259256</v>
      </c>
      <c r="G229" s="3">
        <v>0.19408564814814816</v>
      </c>
      <c r="H229" s="1">
        <v>0.19791666666666666</v>
      </c>
      <c r="I229" s="5">
        <v>668</v>
      </c>
      <c r="J229">
        <v>5509</v>
      </c>
      <c r="K229">
        <v>141</v>
      </c>
      <c r="L229" s="5">
        <v>131</v>
      </c>
      <c r="M229" s="5">
        <v>668</v>
      </c>
      <c r="N229">
        <v>15</v>
      </c>
      <c r="O229">
        <v>653</v>
      </c>
      <c r="P229" s="1">
        <v>0.21527777777777779</v>
      </c>
      <c r="Q229" s="5">
        <v>1159</v>
      </c>
      <c r="R229" s="14">
        <v>8.3000000000000007</v>
      </c>
      <c r="S229">
        <v>141</v>
      </c>
      <c r="T229" s="5">
        <v>15</v>
      </c>
      <c r="U229" s="5">
        <v>654</v>
      </c>
      <c r="V229" s="5">
        <v>1</v>
      </c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</row>
    <row r="230" spans="1:37" x14ac:dyDescent="0.25">
      <c r="A230" s="11" t="e">
        <f>Table1[[#This Row],[Milk Yield]]-J226</f>
        <v>#VALUE!</v>
      </c>
      <c r="B230" t="s">
        <v>0</v>
      </c>
      <c r="C230" s="2" t="s">
        <v>1</v>
      </c>
      <c r="D230" s="12" t="s">
        <v>2</v>
      </c>
      <c r="E230" s="2" t="s">
        <v>3</v>
      </c>
      <c r="F230" s="13" t="s">
        <v>4</v>
      </c>
      <c r="G230" s="3" t="s">
        <v>5</v>
      </c>
      <c r="H230" s="1" t="s">
        <v>6</v>
      </c>
      <c r="I230" s="5" t="s">
        <v>8</v>
      </c>
      <c r="J230" t="s">
        <v>9</v>
      </c>
      <c r="K230" t="s">
        <v>10</v>
      </c>
      <c r="L230" s="5" t="s">
        <v>11</v>
      </c>
      <c r="M230" s="5" t="s">
        <v>12</v>
      </c>
      <c r="N230" t="s">
        <v>13</v>
      </c>
      <c r="O230" t="s">
        <v>20</v>
      </c>
      <c r="P230" t="s">
        <v>7</v>
      </c>
      <c r="Q230" s="5" t="s">
        <v>15</v>
      </c>
      <c r="R230" s="14" t="s">
        <v>18</v>
      </c>
      <c r="S230" t="s">
        <v>16</v>
      </c>
      <c r="T230" s="5" t="s">
        <v>14</v>
      </c>
      <c r="U230" s="5" t="s">
        <v>17</v>
      </c>
      <c r="V230" s="5" t="s">
        <v>19</v>
      </c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</row>
    <row r="231" spans="1:37" x14ac:dyDescent="0.25">
      <c r="A231" s="11">
        <f>Table1[[#This Row],[Milk Yield]]-J227</f>
        <v>-505</v>
      </c>
      <c r="B231" t="s">
        <v>24</v>
      </c>
      <c r="C231" s="2">
        <v>1</v>
      </c>
      <c r="D231" s="12">
        <v>45525</v>
      </c>
      <c r="E231" s="2">
        <v>32</v>
      </c>
      <c r="F231" s="13">
        <v>0.33474537037037039</v>
      </c>
      <c r="G231" s="3">
        <v>0.53332175925925929</v>
      </c>
      <c r="H231" s="1">
        <v>0.19791666666666666</v>
      </c>
      <c r="I231" s="5">
        <v>655</v>
      </c>
      <c r="J231">
        <v>5205</v>
      </c>
      <c r="K231">
        <v>137</v>
      </c>
      <c r="L231" s="5">
        <v>153</v>
      </c>
      <c r="M231" s="5">
        <v>655</v>
      </c>
      <c r="N231">
        <v>20</v>
      </c>
      <c r="O231">
        <v>635</v>
      </c>
      <c r="P231" s="1">
        <v>0.18680555555555556</v>
      </c>
      <c r="Q231" s="5">
        <v>1092</v>
      </c>
      <c r="R231" s="14">
        <v>8</v>
      </c>
      <c r="S231">
        <v>137</v>
      </c>
      <c r="T231" s="5">
        <v>20</v>
      </c>
      <c r="U231" s="5">
        <v>635</v>
      </c>
      <c r="V231" s="5">
        <v>1</v>
      </c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</row>
    <row r="232" spans="1:37" x14ac:dyDescent="0.25">
      <c r="A232" s="11">
        <f>Table1[[#This Row],[Milk Yield]]-J228</f>
        <v>-207</v>
      </c>
      <c r="B232" t="s">
        <v>24</v>
      </c>
      <c r="C232" s="2">
        <v>2</v>
      </c>
      <c r="D232" s="12">
        <v>45525</v>
      </c>
      <c r="E232" s="2">
        <v>34</v>
      </c>
      <c r="F232" s="13">
        <v>0.66716435185185186</v>
      </c>
      <c r="G232" s="3">
        <v>0.87069444444444444</v>
      </c>
      <c r="H232" s="1">
        <v>0.20347222222222222</v>
      </c>
      <c r="I232" s="5">
        <v>681</v>
      </c>
      <c r="J232">
        <v>5484</v>
      </c>
      <c r="K232">
        <v>139</v>
      </c>
      <c r="L232" s="5">
        <v>99</v>
      </c>
      <c r="M232" s="5">
        <v>681</v>
      </c>
      <c r="N232">
        <v>12</v>
      </c>
      <c r="O232">
        <v>669</v>
      </c>
      <c r="P232" s="1">
        <v>0.17847222222222223</v>
      </c>
      <c r="Q232" s="5">
        <v>1123</v>
      </c>
      <c r="R232" s="14">
        <v>8.1</v>
      </c>
      <c r="S232">
        <v>139</v>
      </c>
      <c r="T232" s="5">
        <v>12</v>
      </c>
      <c r="U232" s="5">
        <v>670</v>
      </c>
      <c r="V232" s="5">
        <v>1</v>
      </c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</row>
    <row r="233" spans="1:37" x14ac:dyDescent="0.25">
      <c r="A233" s="11">
        <f>Table1[[#This Row],[Milk Yield]]-J229</f>
        <v>-322</v>
      </c>
      <c r="B233" t="s">
        <v>24</v>
      </c>
      <c r="C233" s="2">
        <v>3</v>
      </c>
      <c r="D233" s="12">
        <v>45525</v>
      </c>
      <c r="E233" s="2">
        <v>36</v>
      </c>
      <c r="F233" s="13">
        <v>5.324074074074074E-3</v>
      </c>
      <c r="G233" s="3">
        <v>0.21459490740740741</v>
      </c>
      <c r="H233" s="1">
        <v>0.20902777777777778</v>
      </c>
      <c r="I233" s="5">
        <v>679</v>
      </c>
      <c r="J233">
        <v>5187</v>
      </c>
      <c r="K233">
        <v>135</v>
      </c>
      <c r="L233" s="5">
        <v>110</v>
      </c>
      <c r="M233" s="5">
        <v>679</v>
      </c>
      <c r="N233">
        <v>15</v>
      </c>
      <c r="O233">
        <v>664</v>
      </c>
      <c r="P233" s="1">
        <v>0.19166666666666668</v>
      </c>
      <c r="Q233" s="5">
        <v>1033</v>
      </c>
      <c r="R233" s="14">
        <v>7.7</v>
      </c>
      <c r="S233">
        <v>135</v>
      </c>
      <c r="T233" s="5">
        <v>15</v>
      </c>
      <c r="U233" s="5">
        <v>665</v>
      </c>
      <c r="V233" s="5">
        <v>1</v>
      </c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</row>
    <row r="234" spans="1:37" x14ac:dyDescent="0.25">
      <c r="A234" s="11" t="e">
        <f>Table1[[#This Row],[Milk Yield]]-J230</f>
        <v>#VALUE!</v>
      </c>
      <c r="B234" t="s">
        <v>0</v>
      </c>
      <c r="C234" s="2" t="s">
        <v>1</v>
      </c>
      <c r="D234" s="12" t="s">
        <v>2</v>
      </c>
      <c r="E234" s="2" t="s">
        <v>3</v>
      </c>
      <c r="F234" s="13" t="s">
        <v>4</v>
      </c>
      <c r="G234" s="3" t="s">
        <v>5</v>
      </c>
      <c r="H234" s="1" t="s">
        <v>6</v>
      </c>
      <c r="I234" s="5" t="s">
        <v>8</v>
      </c>
      <c r="J234" t="s">
        <v>9</v>
      </c>
      <c r="K234" t="s">
        <v>10</v>
      </c>
      <c r="L234" s="5" t="s">
        <v>11</v>
      </c>
      <c r="M234" s="5" t="s">
        <v>12</v>
      </c>
      <c r="N234" t="s">
        <v>13</v>
      </c>
      <c r="O234" t="s">
        <v>20</v>
      </c>
      <c r="P234" t="s">
        <v>7</v>
      </c>
      <c r="Q234" s="5" t="s">
        <v>15</v>
      </c>
      <c r="R234" s="14" t="s">
        <v>18</v>
      </c>
      <c r="S234" t="s">
        <v>16</v>
      </c>
      <c r="T234" s="5" t="s">
        <v>14</v>
      </c>
      <c r="U234" s="5" t="s">
        <v>17</v>
      </c>
      <c r="V234" s="5" t="s">
        <v>19</v>
      </c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</row>
    <row r="235" spans="1:37" x14ac:dyDescent="0.25">
      <c r="A235" s="11">
        <f>Table1[[#This Row],[Milk Yield]]-J231</f>
        <v>50</v>
      </c>
      <c r="B235" t="s">
        <v>24</v>
      </c>
      <c r="C235" s="2">
        <v>1</v>
      </c>
      <c r="D235" s="12">
        <v>45526</v>
      </c>
      <c r="E235" s="2">
        <v>34</v>
      </c>
      <c r="F235" s="13">
        <v>0.33791666666666664</v>
      </c>
      <c r="G235" s="3">
        <v>0.54418981481481477</v>
      </c>
      <c r="H235" s="1">
        <v>0.20624999999999999</v>
      </c>
      <c r="I235" s="5">
        <v>660</v>
      </c>
      <c r="J235">
        <v>5255</v>
      </c>
      <c r="K235">
        <v>133</v>
      </c>
      <c r="L235" s="5">
        <v>122</v>
      </c>
      <c r="M235" s="5">
        <v>660</v>
      </c>
      <c r="N235">
        <v>18</v>
      </c>
      <c r="O235">
        <v>642</v>
      </c>
      <c r="P235" s="1">
        <v>0.18888888888888888</v>
      </c>
      <c r="Q235" s="5">
        <v>1061</v>
      </c>
      <c r="R235" s="14">
        <v>8</v>
      </c>
      <c r="S235">
        <v>133</v>
      </c>
      <c r="T235" s="5">
        <v>18</v>
      </c>
      <c r="U235" s="5">
        <v>643</v>
      </c>
      <c r="V235" s="5">
        <v>1</v>
      </c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</row>
    <row r="236" spans="1:37" x14ac:dyDescent="0.25">
      <c r="A236" s="11">
        <f>Table1[[#This Row],[Milk Yield]]-J232</f>
        <v>-539</v>
      </c>
      <c r="B236" t="s">
        <v>24</v>
      </c>
      <c r="C236" s="2">
        <v>2</v>
      </c>
      <c r="D236" s="12">
        <v>45526</v>
      </c>
      <c r="E236" s="2">
        <v>36</v>
      </c>
      <c r="F236" s="13">
        <v>0.66939814814814813</v>
      </c>
      <c r="G236" s="3">
        <v>0.8842592592592593</v>
      </c>
      <c r="H236" s="1">
        <v>0.21458333333333332</v>
      </c>
      <c r="I236" s="5">
        <v>685</v>
      </c>
      <c r="J236">
        <v>4945</v>
      </c>
      <c r="K236">
        <v>133</v>
      </c>
      <c r="L236" s="5">
        <v>101</v>
      </c>
      <c r="M236" s="5">
        <v>685</v>
      </c>
      <c r="N236">
        <v>14</v>
      </c>
      <c r="O236">
        <v>671</v>
      </c>
      <c r="P236" s="1">
        <v>0.17569444444444443</v>
      </c>
      <c r="Q236" s="5">
        <v>959</v>
      </c>
      <c r="R236" s="14">
        <v>7.3</v>
      </c>
      <c r="S236">
        <v>133</v>
      </c>
      <c r="T236" s="5">
        <v>14</v>
      </c>
      <c r="U236" s="5">
        <v>671</v>
      </c>
      <c r="V236" s="5">
        <v>0</v>
      </c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</row>
    <row r="237" spans="1:37" x14ac:dyDescent="0.25">
      <c r="A237" s="11">
        <f>Table1[[#This Row],[Milk Yield]]-J233</f>
        <v>-389</v>
      </c>
      <c r="B237" t="s">
        <v>24</v>
      </c>
      <c r="C237" s="2">
        <v>3</v>
      </c>
      <c r="D237" s="12">
        <v>45526</v>
      </c>
      <c r="E237" s="2">
        <v>37</v>
      </c>
      <c r="F237" s="13">
        <v>2.4652777777777776E-3</v>
      </c>
      <c r="G237" s="3">
        <v>0.22423611111111111</v>
      </c>
      <c r="H237" s="1">
        <v>0.22152777777777777</v>
      </c>
      <c r="I237" s="5">
        <v>682</v>
      </c>
      <c r="J237">
        <v>4798</v>
      </c>
      <c r="K237">
        <v>128</v>
      </c>
      <c r="L237" s="5">
        <v>76</v>
      </c>
      <c r="M237" s="5">
        <v>682</v>
      </c>
      <c r="N237">
        <v>13</v>
      </c>
      <c r="O237">
        <v>669</v>
      </c>
      <c r="P237" s="1">
        <v>0.18333333333333332</v>
      </c>
      <c r="Q237" s="5">
        <v>902</v>
      </c>
      <c r="R237" s="14">
        <v>7.1</v>
      </c>
      <c r="S237">
        <v>128</v>
      </c>
      <c r="T237" s="5">
        <v>13</v>
      </c>
      <c r="U237" s="5">
        <v>669</v>
      </c>
      <c r="V237" s="5">
        <v>0</v>
      </c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</row>
    <row r="238" spans="1:37" x14ac:dyDescent="0.25">
      <c r="A238" s="11" t="e">
        <f>Table1[[#This Row],[Milk Yield]]-J234</f>
        <v>#VALUE!</v>
      </c>
      <c r="B238" t="s">
        <v>0</v>
      </c>
      <c r="C238" s="2" t="s">
        <v>1</v>
      </c>
      <c r="D238" s="12" t="s">
        <v>2</v>
      </c>
      <c r="E238" s="2" t="s">
        <v>3</v>
      </c>
      <c r="F238" s="13" t="s">
        <v>4</v>
      </c>
      <c r="G238" s="3" t="s">
        <v>5</v>
      </c>
      <c r="H238" s="1" t="s">
        <v>6</v>
      </c>
      <c r="I238" s="5" t="s">
        <v>8</v>
      </c>
      <c r="J238" t="s">
        <v>9</v>
      </c>
      <c r="K238" t="s">
        <v>10</v>
      </c>
      <c r="L238" s="5" t="s">
        <v>11</v>
      </c>
      <c r="M238" s="5" t="s">
        <v>12</v>
      </c>
      <c r="N238" t="s">
        <v>13</v>
      </c>
      <c r="O238" t="s">
        <v>20</v>
      </c>
      <c r="P238" t="s">
        <v>7</v>
      </c>
      <c r="Q238" s="5" t="s">
        <v>15</v>
      </c>
      <c r="R238" s="14" t="s">
        <v>18</v>
      </c>
      <c r="S238" t="s">
        <v>16</v>
      </c>
      <c r="T238" s="5" t="s">
        <v>14</v>
      </c>
      <c r="U238" s="5" t="s">
        <v>17</v>
      </c>
      <c r="V238" s="5" t="s">
        <v>19</v>
      </c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</row>
    <row r="239" spans="1:37" x14ac:dyDescent="0.25">
      <c r="A239" s="11">
        <f>Table1[[#This Row],[Milk Yield]]-J235</f>
        <v>317</v>
      </c>
      <c r="B239" t="s">
        <v>24</v>
      </c>
      <c r="C239" s="2">
        <v>1</v>
      </c>
      <c r="D239" s="12">
        <v>45527</v>
      </c>
      <c r="E239" s="2">
        <v>34</v>
      </c>
      <c r="F239" s="13">
        <v>0.33491898148148147</v>
      </c>
      <c r="G239" s="3">
        <v>0.53109953703703705</v>
      </c>
      <c r="H239" s="1">
        <v>0.19583333333333333</v>
      </c>
      <c r="I239" s="5">
        <v>680</v>
      </c>
      <c r="J239">
        <v>5572</v>
      </c>
      <c r="K239">
        <v>144</v>
      </c>
      <c r="L239" s="5">
        <v>204</v>
      </c>
      <c r="M239" s="5">
        <v>680</v>
      </c>
      <c r="N239">
        <v>30</v>
      </c>
      <c r="O239">
        <v>650</v>
      </c>
      <c r="P239" s="1">
        <v>0.19097222222222221</v>
      </c>
      <c r="Q239" s="5">
        <v>1184</v>
      </c>
      <c r="R239" s="14">
        <v>8.1999999999999993</v>
      </c>
      <c r="S239">
        <v>144</v>
      </c>
      <c r="T239" s="5">
        <v>30</v>
      </c>
      <c r="U239" s="5">
        <v>650</v>
      </c>
      <c r="V239" s="5">
        <v>0</v>
      </c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</row>
    <row r="240" spans="1:37" x14ac:dyDescent="0.25">
      <c r="A240" s="11">
        <f>Table1[[#This Row],[Milk Yield]]-J236</f>
        <v>920</v>
      </c>
      <c r="B240" t="s">
        <v>24</v>
      </c>
      <c r="C240" s="2">
        <v>2</v>
      </c>
      <c r="D240" s="12">
        <v>45527</v>
      </c>
      <c r="E240" s="2">
        <v>35</v>
      </c>
      <c r="F240" s="13">
        <v>0.66741898148148149</v>
      </c>
      <c r="G240" s="3">
        <v>0.86068287037037039</v>
      </c>
      <c r="H240" s="1">
        <v>0.19305555555555556</v>
      </c>
      <c r="I240" s="5">
        <v>677</v>
      </c>
      <c r="J240">
        <v>5865</v>
      </c>
      <c r="K240">
        <v>146</v>
      </c>
      <c r="L240" s="5">
        <v>97</v>
      </c>
      <c r="M240" s="5">
        <v>677</v>
      </c>
      <c r="N240">
        <v>14</v>
      </c>
      <c r="O240">
        <v>663</v>
      </c>
      <c r="P240" s="1">
        <v>0.1763888888888889</v>
      </c>
      <c r="Q240" s="5">
        <v>1264</v>
      </c>
      <c r="R240" s="14">
        <v>8.6999999999999993</v>
      </c>
      <c r="S240">
        <v>146</v>
      </c>
      <c r="T240" s="5">
        <v>14</v>
      </c>
      <c r="U240" s="5">
        <v>663</v>
      </c>
      <c r="V240" s="5">
        <v>0</v>
      </c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</row>
    <row r="241" spans="1:37" x14ac:dyDescent="0.25">
      <c r="A241" s="11">
        <f>Table1[[#This Row],[Milk Yield]]-J237</f>
        <v>1222</v>
      </c>
      <c r="B241" t="s">
        <v>24</v>
      </c>
      <c r="C241" s="2">
        <v>3</v>
      </c>
      <c r="D241" s="12">
        <v>45527</v>
      </c>
      <c r="E241" s="2">
        <v>34</v>
      </c>
      <c r="F241" s="13">
        <v>6.3888888888888893E-3</v>
      </c>
      <c r="G241" s="3">
        <v>0.21969907407407407</v>
      </c>
      <c r="H241" s="1">
        <v>0.21319444444444444</v>
      </c>
      <c r="I241" s="5">
        <v>678</v>
      </c>
      <c r="J241">
        <v>6020</v>
      </c>
      <c r="K241">
        <v>132</v>
      </c>
      <c r="L241" s="5">
        <v>124</v>
      </c>
      <c r="M241" s="5">
        <v>678</v>
      </c>
      <c r="N241">
        <v>16</v>
      </c>
      <c r="O241">
        <v>662</v>
      </c>
      <c r="P241" s="1">
        <v>0.20277777777777778</v>
      </c>
      <c r="Q241" s="5">
        <v>1176</v>
      </c>
      <c r="R241" s="14">
        <v>8.9</v>
      </c>
      <c r="S241">
        <v>132</v>
      </c>
      <c r="T241" s="5">
        <v>16</v>
      </c>
      <c r="U241" s="5">
        <v>662</v>
      </c>
      <c r="V241" s="5">
        <v>0</v>
      </c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</row>
    <row r="242" spans="1:37" x14ac:dyDescent="0.25">
      <c r="A242" s="11" t="e">
        <f>Table1[[#This Row],[Milk Yield]]-J238</f>
        <v>#VALUE!</v>
      </c>
      <c r="B242" t="s">
        <v>0</v>
      </c>
      <c r="C242" s="2" t="s">
        <v>1</v>
      </c>
      <c r="D242" s="12" t="s">
        <v>2</v>
      </c>
      <c r="E242" s="2" t="s">
        <v>3</v>
      </c>
      <c r="F242" s="13" t="s">
        <v>4</v>
      </c>
      <c r="G242" s="3" t="s">
        <v>5</v>
      </c>
      <c r="H242" s="1" t="s">
        <v>6</v>
      </c>
      <c r="I242" s="5" t="s">
        <v>8</v>
      </c>
      <c r="J242" t="s">
        <v>9</v>
      </c>
      <c r="K242" t="s">
        <v>10</v>
      </c>
      <c r="L242" s="5" t="s">
        <v>11</v>
      </c>
      <c r="M242" s="5" t="s">
        <v>12</v>
      </c>
      <c r="N242" t="s">
        <v>13</v>
      </c>
      <c r="O242" t="s">
        <v>20</v>
      </c>
      <c r="P242" t="s">
        <v>7</v>
      </c>
      <c r="Q242" s="5" t="s">
        <v>15</v>
      </c>
      <c r="R242" s="14" t="s">
        <v>18</v>
      </c>
      <c r="S242" t="s">
        <v>16</v>
      </c>
      <c r="T242" s="5" t="s">
        <v>14</v>
      </c>
      <c r="U242" s="5" t="s">
        <v>17</v>
      </c>
      <c r="V242" s="5" t="s">
        <v>19</v>
      </c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</row>
    <row r="243" spans="1:37" x14ac:dyDescent="0.25">
      <c r="A243" s="11">
        <f>Table1[[#This Row],[Milk Yield]]-J239</f>
        <v>-54</v>
      </c>
      <c r="B243" t="s">
        <v>24</v>
      </c>
      <c r="C243" s="2">
        <v>1</v>
      </c>
      <c r="D243" s="12">
        <v>45528</v>
      </c>
      <c r="E243" s="2">
        <v>32</v>
      </c>
      <c r="F243" s="13">
        <v>0.33398148148148149</v>
      </c>
      <c r="G243" s="3">
        <v>0.51320601851851855</v>
      </c>
      <c r="H243" s="1">
        <v>0.17916666666666667</v>
      </c>
      <c r="I243" s="5">
        <v>661</v>
      </c>
      <c r="J243">
        <v>5518</v>
      </c>
      <c r="K243">
        <v>154</v>
      </c>
      <c r="L243" s="5">
        <v>107</v>
      </c>
      <c r="M243" s="5">
        <v>661</v>
      </c>
      <c r="N243">
        <v>14</v>
      </c>
      <c r="O243">
        <v>647</v>
      </c>
      <c r="P243" s="1">
        <v>0.18819444444444444</v>
      </c>
      <c r="Q243" s="5">
        <v>1283</v>
      </c>
      <c r="R243" s="14">
        <v>8.4</v>
      </c>
      <c r="S243">
        <v>154</v>
      </c>
      <c r="T243" s="5">
        <v>14</v>
      </c>
      <c r="U243" s="5">
        <v>647</v>
      </c>
      <c r="V243" s="5">
        <v>0</v>
      </c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</row>
    <row r="244" spans="1:37" x14ac:dyDescent="0.25">
      <c r="A244" s="11">
        <f>Table1[[#This Row],[Milk Yield]]-J240</f>
        <v>157</v>
      </c>
      <c r="B244" t="s">
        <v>24</v>
      </c>
      <c r="C244" s="2">
        <v>2</v>
      </c>
      <c r="D244" s="12">
        <v>45528</v>
      </c>
      <c r="E244" s="2">
        <v>34</v>
      </c>
      <c r="F244" s="13">
        <v>0.66763888888888889</v>
      </c>
      <c r="G244" s="3">
        <v>0.84701388888888884</v>
      </c>
      <c r="H244" s="1">
        <v>0.17916666666666667</v>
      </c>
      <c r="I244" s="5">
        <v>669</v>
      </c>
      <c r="J244">
        <v>6022</v>
      </c>
      <c r="K244">
        <v>155</v>
      </c>
      <c r="L244" s="5">
        <v>143</v>
      </c>
      <c r="M244" s="5">
        <v>669</v>
      </c>
      <c r="N244">
        <v>18</v>
      </c>
      <c r="O244">
        <v>651</v>
      </c>
      <c r="P244" s="1">
        <v>0.18333333333333332</v>
      </c>
      <c r="Q244" s="5">
        <v>1399</v>
      </c>
      <c r="R244" s="14">
        <v>9.1</v>
      </c>
      <c r="S244">
        <v>155</v>
      </c>
      <c r="T244" s="5">
        <v>18</v>
      </c>
      <c r="U244" s="5">
        <v>651</v>
      </c>
      <c r="V244" s="5">
        <v>0</v>
      </c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</row>
    <row r="245" spans="1:37" x14ac:dyDescent="0.25">
      <c r="A245" s="11">
        <f>Table1[[#This Row],[Milk Yield]]-J241</f>
        <v>85</v>
      </c>
      <c r="B245" t="s">
        <v>24</v>
      </c>
      <c r="C245" s="2">
        <v>3</v>
      </c>
      <c r="D245" s="12">
        <v>45528</v>
      </c>
      <c r="E245" s="2">
        <v>36</v>
      </c>
      <c r="F245" s="13">
        <v>7.7546296296296293E-4</v>
      </c>
      <c r="G245" s="3">
        <v>0.21662037037037038</v>
      </c>
      <c r="H245" s="1">
        <v>0.21527777777777779</v>
      </c>
      <c r="I245" s="5">
        <v>680</v>
      </c>
      <c r="J245">
        <v>6105</v>
      </c>
      <c r="K245">
        <v>131</v>
      </c>
      <c r="L245" s="5">
        <v>248</v>
      </c>
      <c r="M245" s="5">
        <v>680</v>
      </c>
      <c r="N245">
        <v>38</v>
      </c>
      <c r="O245">
        <v>642</v>
      </c>
      <c r="P245" s="1">
        <v>0.20833333333333334</v>
      </c>
      <c r="Q245" s="5">
        <v>1179</v>
      </c>
      <c r="R245" s="14">
        <v>9</v>
      </c>
      <c r="S245">
        <v>131</v>
      </c>
      <c r="T245" s="5">
        <v>38</v>
      </c>
      <c r="U245" s="5">
        <v>642</v>
      </c>
      <c r="V245" s="5">
        <v>0</v>
      </c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</row>
    <row r="246" spans="1:37" x14ac:dyDescent="0.25">
      <c r="A246" s="11" t="e">
        <f>Table1[[#This Row],[Milk Yield]]-J242</f>
        <v>#VALUE!</v>
      </c>
      <c r="B246" t="s">
        <v>0</v>
      </c>
      <c r="C246" s="2" t="s">
        <v>1</v>
      </c>
      <c r="D246" s="12" t="s">
        <v>2</v>
      </c>
      <c r="E246" s="2" t="s">
        <v>3</v>
      </c>
      <c r="F246" s="13" t="s">
        <v>4</v>
      </c>
      <c r="G246" s="3" t="s">
        <v>5</v>
      </c>
      <c r="H246" s="1" t="s">
        <v>6</v>
      </c>
      <c r="I246" s="5" t="s">
        <v>8</v>
      </c>
      <c r="J246" t="s">
        <v>9</v>
      </c>
      <c r="K246" t="s">
        <v>10</v>
      </c>
      <c r="L246" s="5" t="s">
        <v>11</v>
      </c>
      <c r="M246" s="5" t="s">
        <v>12</v>
      </c>
      <c r="N246" t="s">
        <v>13</v>
      </c>
      <c r="O246" t="s">
        <v>20</v>
      </c>
      <c r="P246" t="s">
        <v>7</v>
      </c>
      <c r="Q246" s="5" t="s">
        <v>15</v>
      </c>
      <c r="R246" s="14" t="s">
        <v>18</v>
      </c>
      <c r="S246" t="s">
        <v>16</v>
      </c>
      <c r="T246" s="5" t="s">
        <v>14</v>
      </c>
      <c r="U246" s="5" t="s">
        <v>17</v>
      </c>
      <c r="V246" s="5" t="s">
        <v>19</v>
      </c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</row>
    <row r="247" spans="1:37" x14ac:dyDescent="0.25">
      <c r="A247" s="11">
        <f>Table1[[#This Row],[Milk Yield]]-J243</f>
        <v>-81</v>
      </c>
      <c r="B247" t="s">
        <v>24</v>
      </c>
      <c r="C247" s="2">
        <v>1</v>
      </c>
      <c r="D247" s="12">
        <v>45529</v>
      </c>
      <c r="E247" s="2">
        <v>31</v>
      </c>
      <c r="F247" s="13">
        <v>0.33118055555555553</v>
      </c>
      <c r="G247" s="3">
        <v>0.51214120370370375</v>
      </c>
      <c r="H247" s="1">
        <v>0.18055555555555555</v>
      </c>
      <c r="I247" s="5">
        <v>656</v>
      </c>
      <c r="J247">
        <v>5437</v>
      </c>
      <c r="K247">
        <v>151</v>
      </c>
      <c r="L247" s="5">
        <v>113</v>
      </c>
      <c r="M247" s="5">
        <v>656</v>
      </c>
      <c r="N247">
        <v>12</v>
      </c>
      <c r="O247">
        <v>644</v>
      </c>
      <c r="P247" s="1">
        <v>0.18472222222222223</v>
      </c>
      <c r="Q247" s="5">
        <v>1252</v>
      </c>
      <c r="R247" s="14">
        <v>8.3000000000000007</v>
      </c>
      <c r="S247">
        <v>151</v>
      </c>
      <c r="T247" s="5">
        <v>12</v>
      </c>
      <c r="U247" s="5">
        <v>644</v>
      </c>
      <c r="V247" s="5">
        <v>0</v>
      </c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</row>
    <row r="248" spans="1:37" x14ac:dyDescent="0.25">
      <c r="A248" s="11">
        <f>Table1[[#This Row],[Milk Yield]]-J244</f>
        <v>355</v>
      </c>
      <c r="B248" t="s">
        <v>24</v>
      </c>
      <c r="C248" s="2">
        <v>2</v>
      </c>
      <c r="D248" s="12">
        <v>45529</v>
      </c>
      <c r="E248" s="2">
        <v>36</v>
      </c>
      <c r="F248" s="13">
        <v>0.66805555555555551</v>
      </c>
      <c r="G248" s="3">
        <v>0.88517361111111115</v>
      </c>
      <c r="H248" s="1">
        <v>0.21666666666666667</v>
      </c>
      <c r="I248" s="5">
        <v>680</v>
      </c>
      <c r="J248">
        <v>6377</v>
      </c>
      <c r="K248">
        <v>130</v>
      </c>
      <c r="L248" s="5">
        <v>291</v>
      </c>
      <c r="M248" s="5">
        <v>680</v>
      </c>
      <c r="N248">
        <v>38</v>
      </c>
      <c r="O248">
        <v>642</v>
      </c>
      <c r="P248" s="1">
        <v>0.19305555555555556</v>
      </c>
      <c r="Q248" s="5">
        <v>1224</v>
      </c>
      <c r="R248" s="14">
        <v>9.4</v>
      </c>
      <c r="S248">
        <v>130</v>
      </c>
      <c r="T248" s="5">
        <v>38</v>
      </c>
      <c r="U248" s="5">
        <v>642</v>
      </c>
      <c r="V248" s="5">
        <v>0</v>
      </c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</row>
    <row r="249" spans="1:37" x14ac:dyDescent="0.25">
      <c r="A249" s="11">
        <f>Table1[[#This Row],[Milk Yield]]-J245</f>
        <v>-118</v>
      </c>
      <c r="B249" t="s">
        <v>24</v>
      </c>
      <c r="C249" s="2">
        <v>3</v>
      </c>
      <c r="D249" s="12">
        <v>45529</v>
      </c>
      <c r="E249" s="2">
        <v>34</v>
      </c>
      <c r="F249" s="13">
        <v>2.3842592592592591E-3</v>
      </c>
      <c r="G249" s="3">
        <v>0.23065972222222222</v>
      </c>
      <c r="H249" s="1">
        <v>0.22777777777777777</v>
      </c>
      <c r="I249" s="5">
        <v>679</v>
      </c>
      <c r="J249">
        <v>5987</v>
      </c>
      <c r="K249">
        <v>124</v>
      </c>
      <c r="L249" s="5">
        <v>117</v>
      </c>
      <c r="M249" s="5">
        <v>679</v>
      </c>
      <c r="N249">
        <v>17</v>
      </c>
      <c r="O249">
        <v>662</v>
      </c>
      <c r="P249" s="1">
        <v>0.2</v>
      </c>
      <c r="Q249" s="5">
        <v>1093</v>
      </c>
      <c r="R249" s="14">
        <v>8.9</v>
      </c>
      <c r="S249">
        <v>124</v>
      </c>
      <c r="T249" s="5">
        <v>17</v>
      </c>
      <c r="U249" s="5">
        <v>662</v>
      </c>
      <c r="V249" s="5">
        <v>0</v>
      </c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</row>
    <row r="250" spans="1:37" x14ac:dyDescent="0.25">
      <c r="A250" s="11" t="e">
        <f>Table1[[#This Row],[Milk Yield]]-J246</f>
        <v>#VALUE!</v>
      </c>
      <c r="B250" t="s">
        <v>0</v>
      </c>
      <c r="C250" s="2" t="s">
        <v>1</v>
      </c>
      <c r="D250" s="12" t="s">
        <v>2</v>
      </c>
      <c r="E250" s="2" t="s">
        <v>3</v>
      </c>
      <c r="F250" s="13" t="s">
        <v>4</v>
      </c>
      <c r="G250" s="3" t="s">
        <v>5</v>
      </c>
      <c r="H250" s="1" t="s">
        <v>6</v>
      </c>
      <c r="I250" s="5" t="s">
        <v>8</v>
      </c>
      <c r="J250" t="s">
        <v>9</v>
      </c>
      <c r="K250" t="s">
        <v>10</v>
      </c>
      <c r="L250" s="5" t="s">
        <v>11</v>
      </c>
      <c r="M250" s="5" t="s">
        <v>12</v>
      </c>
      <c r="N250" t="s">
        <v>13</v>
      </c>
      <c r="O250" t="s">
        <v>20</v>
      </c>
      <c r="P250" t="s">
        <v>7</v>
      </c>
      <c r="Q250" s="5" t="s">
        <v>15</v>
      </c>
      <c r="R250" s="14" t="s">
        <v>18</v>
      </c>
      <c r="S250" t="s">
        <v>16</v>
      </c>
      <c r="T250" s="5" t="s">
        <v>14</v>
      </c>
      <c r="U250" s="5" t="s">
        <v>17</v>
      </c>
      <c r="V250" s="5" t="s">
        <v>19</v>
      </c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</row>
    <row r="251" spans="1:37" x14ac:dyDescent="0.25">
      <c r="A251" s="11">
        <f>Table1[[#This Row],[Milk Yield]]-J247</f>
        <v>335</v>
      </c>
      <c r="B251" t="s">
        <v>24</v>
      </c>
      <c r="C251" s="2">
        <v>1</v>
      </c>
      <c r="D251" s="12">
        <v>45530</v>
      </c>
      <c r="E251" s="2">
        <v>31</v>
      </c>
      <c r="F251" s="13">
        <v>0.3387384259259259</v>
      </c>
      <c r="G251" s="3">
        <v>0.52934027777777781</v>
      </c>
      <c r="H251" s="1">
        <v>0.19027777777777777</v>
      </c>
      <c r="I251" s="5">
        <v>658</v>
      </c>
      <c r="J251">
        <v>5772</v>
      </c>
      <c r="K251">
        <v>144</v>
      </c>
      <c r="L251" s="5">
        <v>216</v>
      </c>
      <c r="M251" s="5">
        <v>658</v>
      </c>
      <c r="N251">
        <v>31</v>
      </c>
      <c r="O251">
        <v>627</v>
      </c>
      <c r="P251" s="1">
        <v>0.19444444444444445</v>
      </c>
      <c r="Q251" s="5">
        <v>1262</v>
      </c>
      <c r="R251" s="14">
        <v>8.8000000000000007</v>
      </c>
      <c r="S251">
        <v>144</v>
      </c>
      <c r="T251" s="5">
        <v>31</v>
      </c>
      <c r="U251" s="5">
        <v>627</v>
      </c>
      <c r="V251" s="5">
        <v>0</v>
      </c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</row>
    <row r="252" spans="1:37" x14ac:dyDescent="0.25">
      <c r="A252" s="11">
        <f>Table1[[#This Row],[Milk Yield]]-J248</f>
        <v>-13</v>
      </c>
      <c r="B252" t="s">
        <v>24</v>
      </c>
      <c r="C252" s="2">
        <v>2</v>
      </c>
      <c r="D252" s="12">
        <v>45530</v>
      </c>
      <c r="E252" s="2">
        <v>36</v>
      </c>
      <c r="F252" s="13">
        <v>0.66819444444444442</v>
      </c>
      <c r="G252" s="3">
        <v>0.89320601851851855</v>
      </c>
      <c r="H252" s="1">
        <v>0.22500000000000001</v>
      </c>
      <c r="I252" s="5">
        <v>682</v>
      </c>
      <c r="J252">
        <v>6364</v>
      </c>
      <c r="K252">
        <v>126</v>
      </c>
      <c r="L252" s="5">
        <v>175</v>
      </c>
      <c r="M252" s="5">
        <v>682</v>
      </c>
      <c r="N252">
        <v>21</v>
      </c>
      <c r="O252">
        <v>661</v>
      </c>
      <c r="P252" s="1">
        <v>0.20069444444444445</v>
      </c>
      <c r="Q252" s="5">
        <v>1178</v>
      </c>
      <c r="R252" s="14">
        <v>9.4</v>
      </c>
      <c r="S252">
        <v>126</v>
      </c>
      <c r="T252" s="5">
        <v>21</v>
      </c>
      <c r="U252" s="5">
        <v>661</v>
      </c>
      <c r="V252" s="5">
        <v>0</v>
      </c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</row>
    <row r="253" spans="1:37" x14ac:dyDescent="0.25">
      <c r="A253" s="11">
        <f>Table1[[#This Row],[Milk Yield]]-J249</f>
        <v>-839</v>
      </c>
      <c r="B253" t="s">
        <v>24</v>
      </c>
      <c r="C253" s="2">
        <v>3</v>
      </c>
      <c r="D253" s="12">
        <v>45530</v>
      </c>
      <c r="E253" s="2">
        <v>34</v>
      </c>
      <c r="F253" s="13">
        <v>6.5972222222222224E-4</v>
      </c>
      <c r="G253" s="3">
        <v>0.21350694444444446</v>
      </c>
      <c r="H253" s="1">
        <v>0.21249999999999999</v>
      </c>
      <c r="I253" s="5">
        <v>663</v>
      </c>
      <c r="J253">
        <v>5148</v>
      </c>
      <c r="K253">
        <v>130</v>
      </c>
      <c r="L253" s="5">
        <v>73</v>
      </c>
      <c r="M253" s="5">
        <v>663</v>
      </c>
      <c r="N253">
        <v>10</v>
      </c>
      <c r="O253">
        <v>653</v>
      </c>
      <c r="P253" s="1">
        <v>0.18541666666666667</v>
      </c>
      <c r="Q253" s="5">
        <v>1008</v>
      </c>
      <c r="R253" s="14">
        <v>7.8</v>
      </c>
      <c r="S253">
        <v>130</v>
      </c>
      <c r="T253" s="5">
        <v>10</v>
      </c>
      <c r="U253" s="5">
        <v>653</v>
      </c>
      <c r="V253" s="5">
        <v>0</v>
      </c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</row>
    <row r="254" spans="1:37" x14ac:dyDescent="0.25">
      <c r="A254" s="11" t="e">
        <f>Table1[[#This Row],[Milk Yield]]-J250</f>
        <v>#VALUE!</v>
      </c>
      <c r="B254" t="s">
        <v>0</v>
      </c>
      <c r="C254" s="2" t="s">
        <v>1</v>
      </c>
      <c r="D254" s="12" t="s">
        <v>2</v>
      </c>
      <c r="E254" s="2" t="s">
        <v>3</v>
      </c>
      <c r="F254" s="13" t="s">
        <v>4</v>
      </c>
      <c r="G254" s="3" t="s">
        <v>5</v>
      </c>
      <c r="H254" s="1" t="s">
        <v>6</v>
      </c>
      <c r="I254" s="5" t="s">
        <v>8</v>
      </c>
      <c r="J254" t="s">
        <v>9</v>
      </c>
      <c r="K254" t="s">
        <v>10</v>
      </c>
      <c r="L254" s="5" t="s">
        <v>11</v>
      </c>
      <c r="M254" s="5" t="s">
        <v>12</v>
      </c>
      <c r="N254" t="s">
        <v>13</v>
      </c>
      <c r="O254" t="s">
        <v>20</v>
      </c>
      <c r="P254" t="s">
        <v>7</v>
      </c>
      <c r="Q254" s="5" t="s">
        <v>15</v>
      </c>
      <c r="R254" s="14" t="s">
        <v>18</v>
      </c>
      <c r="S254" t="s">
        <v>16</v>
      </c>
      <c r="T254" s="5" t="s">
        <v>14</v>
      </c>
      <c r="U254" s="5" t="s">
        <v>17</v>
      </c>
      <c r="V254" s="5" t="s">
        <v>19</v>
      </c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</row>
    <row r="255" spans="1:37" x14ac:dyDescent="0.25">
      <c r="A255" s="11">
        <f>Table1[[#This Row],[Milk Yield]]-J251</f>
        <v>496</v>
      </c>
      <c r="B255" t="s">
        <v>24</v>
      </c>
      <c r="C255" s="2">
        <v>1</v>
      </c>
      <c r="D255" s="12">
        <v>45531</v>
      </c>
      <c r="E255" s="2">
        <v>33</v>
      </c>
      <c r="F255" s="13">
        <v>0.33927083333333335</v>
      </c>
      <c r="G255" s="3">
        <v>0.53618055555555555</v>
      </c>
      <c r="H255" s="1">
        <v>0.19652777777777777</v>
      </c>
      <c r="I255" s="5">
        <v>675</v>
      </c>
      <c r="J255">
        <v>6268</v>
      </c>
      <c r="K255">
        <v>143</v>
      </c>
      <c r="L255" s="5">
        <v>260</v>
      </c>
      <c r="M255" s="5">
        <v>675</v>
      </c>
      <c r="N255">
        <v>32</v>
      </c>
      <c r="O255">
        <v>643</v>
      </c>
      <c r="P255" s="1">
        <v>0.20277777777777778</v>
      </c>
      <c r="Q255" s="5">
        <v>1326</v>
      </c>
      <c r="R255" s="14">
        <v>9.3000000000000007</v>
      </c>
      <c r="S255">
        <v>143</v>
      </c>
      <c r="T255" s="5">
        <v>32</v>
      </c>
      <c r="U255" s="5">
        <v>643</v>
      </c>
      <c r="V255" s="5">
        <v>0</v>
      </c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</row>
    <row r="256" spans="1:37" x14ac:dyDescent="0.25">
      <c r="A256" s="11">
        <f>Table1[[#This Row],[Milk Yield]]-J252</f>
        <v>-262</v>
      </c>
      <c r="B256" t="s">
        <v>24</v>
      </c>
      <c r="C256" s="2">
        <v>2</v>
      </c>
      <c r="D256" s="12">
        <v>45531</v>
      </c>
      <c r="E256" s="2">
        <v>33</v>
      </c>
      <c r="F256" s="13">
        <v>0.66886574074074079</v>
      </c>
      <c r="G256" s="3">
        <v>0.88771990740740736</v>
      </c>
      <c r="H256" s="1">
        <v>0.21875</v>
      </c>
      <c r="I256" s="5">
        <v>677</v>
      </c>
      <c r="J256">
        <v>6102</v>
      </c>
      <c r="K256">
        <v>129</v>
      </c>
      <c r="L256" s="5">
        <v>334</v>
      </c>
      <c r="M256" s="5">
        <v>677</v>
      </c>
      <c r="N256">
        <v>38</v>
      </c>
      <c r="O256">
        <v>639</v>
      </c>
      <c r="P256" s="1">
        <v>0.20972222222222223</v>
      </c>
      <c r="Q256" s="5">
        <v>1162</v>
      </c>
      <c r="R256" s="14">
        <v>9.1</v>
      </c>
      <c r="S256">
        <v>129</v>
      </c>
      <c r="T256" s="5">
        <v>38</v>
      </c>
      <c r="U256" s="5">
        <v>639</v>
      </c>
      <c r="V256" s="5">
        <v>0</v>
      </c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</row>
    <row r="257" spans="1:37" x14ac:dyDescent="0.25">
      <c r="A257" s="11">
        <f>Table1[[#This Row],[Milk Yield]]-J253</f>
        <v>-142</v>
      </c>
      <c r="B257" t="s">
        <v>24</v>
      </c>
      <c r="C257" s="2">
        <v>3</v>
      </c>
      <c r="D257" s="12">
        <v>45531</v>
      </c>
      <c r="E257" s="2">
        <v>32</v>
      </c>
      <c r="F257" s="13">
        <v>1.3888888888888889E-4</v>
      </c>
      <c r="G257" s="3">
        <v>0.18144675925925927</v>
      </c>
      <c r="H257" s="1">
        <v>0.18124999999999999</v>
      </c>
      <c r="I257" s="5">
        <v>665</v>
      </c>
      <c r="J257">
        <v>5006</v>
      </c>
      <c r="K257">
        <v>153</v>
      </c>
      <c r="L257" s="5">
        <v>27</v>
      </c>
      <c r="M257" s="5">
        <v>665</v>
      </c>
      <c r="N257">
        <v>9</v>
      </c>
      <c r="O257">
        <v>656</v>
      </c>
      <c r="P257" s="1">
        <v>0.18055555555555555</v>
      </c>
      <c r="Q257" s="5">
        <v>1151</v>
      </c>
      <c r="R257" s="14">
        <v>7.6</v>
      </c>
      <c r="S257">
        <v>153</v>
      </c>
      <c r="T257" s="5">
        <v>9</v>
      </c>
      <c r="U257" s="5">
        <v>656</v>
      </c>
      <c r="V257" s="5">
        <v>0</v>
      </c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</row>
    <row r="258" spans="1:37" x14ac:dyDescent="0.25">
      <c r="A258" s="11" t="e">
        <f>Table1[[#This Row],[Milk Yield]]-J254</f>
        <v>#VALUE!</v>
      </c>
      <c r="B258" t="s">
        <v>0</v>
      </c>
      <c r="C258" s="2" t="s">
        <v>1</v>
      </c>
      <c r="D258" s="12" t="s">
        <v>2</v>
      </c>
      <c r="E258" s="2" t="s">
        <v>3</v>
      </c>
      <c r="F258" s="13" t="s">
        <v>4</v>
      </c>
      <c r="G258" s="3" t="s">
        <v>5</v>
      </c>
      <c r="H258" s="1" t="s">
        <v>6</v>
      </c>
      <c r="I258" s="5" t="s">
        <v>8</v>
      </c>
      <c r="J258" t="s">
        <v>9</v>
      </c>
      <c r="K258" t="s">
        <v>10</v>
      </c>
      <c r="L258" s="5" t="s">
        <v>11</v>
      </c>
      <c r="M258" s="5" t="s">
        <v>12</v>
      </c>
      <c r="N258" t="s">
        <v>13</v>
      </c>
      <c r="O258" t="s">
        <v>20</v>
      </c>
      <c r="P258" t="s">
        <v>7</v>
      </c>
      <c r="Q258" s="5" t="s">
        <v>15</v>
      </c>
      <c r="R258" s="14" t="s">
        <v>18</v>
      </c>
      <c r="S258" t="s">
        <v>16</v>
      </c>
      <c r="T258" s="5" t="s">
        <v>14</v>
      </c>
      <c r="U258" s="5" t="s">
        <v>17</v>
      </c>
      <c r="V258" s="5" t="s">
        <v>19</v>
      </c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</row>
    <row r="259" spans="1:37" s="5" customFormat="1" x14ac:dyDescent="0.25">
      <c r="A259" s="11">
        <f>Table1[[#This Row],[Milk Yield]]-J255</f>
        <v>279</v>
      </c>
      <c r="B259" t="s">
        <v>24</v>
      </c>
      <c r="C259" s="2">
        <v>1</v>
      </c>
      <c r="D259" s="12">
        <v>45531</v>
      </c>
      <c r="E259" s="2">
        <v>32</v>
      </c>
      <c r="F259" s="13">
        <v>0.33280092592592592</v>
      </c>
      <c r="G259" s="3">
        <v>0.51395833333333329</v>
      </c>
      <c r="H259" s="1">
        <v>0.19652777777777777</v>
      </c>
      <c r="I259" s="5">
        <v>679</v>
      </c>
      <c r="J259">
        <v>6547</v>
      </c>
      <c r="K259">
        <v>144</v>
      </c>
      <c r="L259" s="5">
        <v>248</v>
      </c>
      <c r="M259" s="5">
        <v>506</v>
      </c>
      <c r="N259">
        <v>26</v>
      </c>
      <c r="O259">
        <v>480</v>
      </c>
      <c r="P259" s="1">
        <v>0.19652777777777777</v>
      </c>
      <c r="Q259" s="5">
        <v>1324</v>
      </c>
      <c r="R259" s="14">
        <v>9.3000000000000007</v>
      </c>
      <c r="S259">
        <v>144</v>
      </c>
      <c r="T259" s="5">
        <v>26</v>
      </c>
      <c r="U259" s="5">
        <v>480</v>
      </c>
      <c r="V259" s="5">
        <v>0</v>
      </c>
    </row>
    <row r="260" spans="1:37" x14ac:dyDescent="0.25">
      <c r="A260" s="11">
        <f>Table1[[#This Row],[Milk Yield]]-J256</f>
        <v>281</v>
      </c>
      <c r="B260" t="s">
        <v>24</v>
      </c>
      <c r="C260" s="2">
        <v>2</v>
      </c>
      <c r="D260" s="12">
        <v>45532</v>
      </c>
      <c r="E260" s="2">
        <v>35</v>
      </c>
      <c r="F260" s="13">
        <v>0.67172453703703705</v>
      </c>
      <c r="G260" s="3">
        <v>0.89680555555555552</v>
      </c>
      <c r="H260" s="1">
        <v>0.22500000000000001</v>
      </c>
      <c r="I260" s="5">
        <v>680</v>
      </c>
      <c r="J260">
        <v>6383</v>
      </c>
      <c r="K260">
        <v>126</v>
      </c>
      <c r="L260" s="5">
        <v>130</v>
      </c>
      <c r="M260" s="5">
        <v>680</v>
      </c>
      <c r="N260">
        <v>16</v>
      </c>
      <c r="O260">
        <v>664</v>
      </c>
      <c r="P260" s="1">
        <v>0.2013888888888889</v>
      </c>
      <c r="Q260" s="5">
        <v>1182</v>
      </c>
      <c r="R260" s="14">
        <v>9.4</v>
      </c>
      <c r="S260">
        <v>126</v>
      </c>
      <c r="T260" s="5">
        <v>16</v>
      </c>
      <c r="U260" s="5">
        <v>664</v>
      </c>
      <c r="V260" s="5">
        <v>0</v>
      </c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</row>
    <row r="261" spans="1:37" x14ac:dyDescent="0.25">
      <c r="A261" s="11">
        <f>Table1[[#This Row],[Milk Yield]]-J257</f>
        <v>273</v>
      </c>
      <c r="B261" t="s">
        <v>24</v>
      </c>
      <c r="C261" s="2">
        <v>3</v>
      </c>
      <c r="D261" s="12">
        <v>45532</v>
      </c>
      <c r="E261" s="2">
        <v>32</v>
      </c>
      <c r="F261" s="13">
        <v>0.99905092592592593</v>
      </c>
      <c r="G261" s="3">
        <v>0.18766203703703704</v>
      </c>
      <c r="H261" s="1">
        <v>0.18819444444444444</v>
      </c>
      <c r="I261" s="5">
        <v>686</v>
      </c>
      <c r="J261">
        <v>5279</v>
      </c>
      <c r="K261">
        <v>152</v>
      </c>
      <c r="L261" s="5">
        <v>531</v>
      </c>
      <c r="M261" s="5">
        <v>686</v>
      </c>
      <c r="N261">
        <v>69</v>
      </c>
      <c r="O261">
        <v>617</v>
      </c>
      <c r="P261" s="1">
        <v>0.19722222222222222</v>
      </c>
      <c r="Q261" s="5">
        <v>1166</v>
      </c>
      <c r="R261" s="14">
        <v>7.7</v>
      </c>
      <c r="S261">
        <v>152</v>
      </c>
      <c r="T261" s="5">
        <v>69</v>
      </c>
      <c r="U261" s="5">
        <v>617</v>
      </c>
      <c r="V261" s="5">
        <v>0</v>
      </c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</row>
    <row r="262" spans="1:37" x14ac:dyDescent="0.25">
      <c r="A262" s="11" t="e">
        <f>Table1[[#This Row],[Milk Yield]]-J258</f>
        <v>#VALUE!</v>
      </c>
      <c r="B262" t="s">
        <v>0</v>
      </c>
      <c r="C262" s="2" t="s">
        <v>1</v>
      </c>
      <c r="D262" s="12" t="s">
        <v>2</v>
      </c>
      <c r="E262" s="2" t="s">
        <v>3</v>
      </c>
      <c r="F262" s="13" t="s">
        <v>4</v>
      </c>
      <c r="G262" s="3" t="s">
        <v>5</v>
      </c>
      <c r="H262" s="1" t="s">
        <v>6</v>
      </c>
      <c r="I262" s="5" t="s">
        <v>8</v>
      </c>
      <c r="J262" t="s">
        <v>9</v>
      </c>
      <c r="K262" t="s">
        <v>10</v>
      </c>
      <c r="L262" s="5" t="s">
        <v>11</v>
      </c>
      <c r="M262" s="5" t="s">
        <v>12</v>
      </c>
      <c r="N262" t="s">
        <v>13</v>
      </c>
      <c r="O262" t="s">
        <v>20</v>
      </c>
      <c r="P262" t="s">
        <v>7</v>
      </c>
      <c r="Q262" s="5" t="s">
        <v>15</v>
      </c>
      <c r="R262" s="14" t="s">
        <v>18</v>
      </c>
      <c r="S262" t="s">
        <v>16</v>
      </c>
      <c r="T262" s="5" t="s">
        <v>14</v>
      </c>
      <c r="U262" s="5" t="s">
        <v>17</v>
      </c>
      <c r="V262" s="5" t="s">
        <v>19</v>
      </c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</row>
    <row r="263" spans="1:37" x14ac:dyDescent="0.25">
      <c r="A263" s="11">
        <f>Table1[[#This Row],[Milk Yield]]-J259</f>
        <v>395</v>
      </c>
      <c r="B263" t="s">
        <v>24</v>
      </c>
      <c r="C263" s="2">
        <v>1</v>
      </c>
      <c r="D263" s="12">
        <v>45533</v>
      </c>
      <c r="E263" s="2">
        <v>31</v>
      </c>
      <c r="F263" s="13">
        <v>0.33880787037037036</v>
      </c>
      <c r="G263" s="3">
        <v>0.52462962962962967</v>
      </c>
      <c r="H263" s="1">
        <v>0.18680555555555556</v>
      </c>
      <c r="I263" s="5">
        <v>680</v>
      </c>
      <c r="J263">
        <v>6942</v>
      </c>
      <c r="K263">
        <v>131</v>
      </c>
      <c r="L263" s="5">
        <v>228</v>
      </c>
      <c r="M263" s="5">
        <v>636</v>
      </c>
      <c r="N263">
        <v>30</v>
      </c>
      <c r="O263">
        <v>644</v>
      </c>
      <c r="P263" s="1">
        <v>0.19652777777777777</v>
      </c>
      <c r="Q263" s="5">
        <v>1258</v>
      </c>
      <c r="R263" s="14">
        <v>9.6</v>
      </c>
      <c r="S263">
        <v>131</v>
      </c>
      <c r="T263" s="5">
        <v>30</v>
      </c>
      <c r="U263" s="5">
        <v>644</v>
      </c>
      <c r="V263" s="5">
        <v>0</v>
      </c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</row>
    <row r="264" spans="1:37" x14ac:dyDescent="0.25">
      <c r="A264" s="11">
        <f>Table1[[#This Row],[Milk Yield]]-J260</f>
        <v>-94</v>
      </c>
      <c r="B264" t="s">
        <v>24</v>
      </c>
      <c r="C264" s="2">
        <v>2</v>
      </c>
      <c r="D264" s="12">
        <v>45533</v>
      </c>
      <c r="E264" s="2">
        <v>38</v>
      </c>
      <c r="F264" s="13">
        <v>0.67060185185185184</v>
      </c>
      <c r="G264" s="3">
        <v>0.90292824074074074</v>
      </c>
      <c r="H264" s="1">
        <v>0.23194444444444445</v>
      </c>
      <c r="I264" s="5">
        <v>704</v>
      </c>
      <c r="J264">
        <v>6289</v>
      </c>
      <c r="K264">
        <v>126</v>
      </c>
      <c r="L264" s="5">
        <v>344</v>
      </c>
      <c r="M264" s="5">
        <v>704</v>
      </c>
      <c r="N264">
        <v>58</v>
      </c>
      <c r="O264">
        <v>646</v>
      </c>
      <c r="P264" s="1">
        <v>0.21319444444444444</v>
      </c>
      <c r="Q264" s="5">
        <v>1128</v>
      </c>
      <c r="R264" s="14">
        <v>9</v>
      </c>
      <c r="S264">
        <v>126</v>
      </c>
      <c r="T264" s="5">
        <v>58</v>
      </c>
      <c r="U264" s="5">
        <v>646</v>
      </c>
      <c r="V264" s="5">
        <v>0</v>
      </c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</row>
    <row r="265" spans="1:37" x14ac:dyDescent="0.25">
      <c r="A265" s="11">
        <f>Table1[[#This Row],[Milk Yield]]-J261</f>
        <v>-50</v>
      </c>
      <c r="B265" t="s">
        <v>24</v>
      </c>
      <c r="C265" s="2">
        <v>3</v>
      </c>
      <c r="D265" s="12">
        <v>45533</v>
      </c>
      <c r="E265" s="2">
        <v>34</v>
      </c>
      <c r="F265" s="13">
        <v>0.99613425925925925</v>
      </c>
      <c r="G265" s="3">
        <v>0.21932870370370369</v>
      </c>
      <c r="H265" s="1">
        <v>0.22291666666666668</v>
      </c>
      <c r="I265" s="5">
        <v>690</v>
      </c>
      <c r="J265">
        <v>5229</v>
      </c>
      <c r="K265">
        <v>129</v>
      </c>
      <c r="L265" s="5">
        <v>663</v>
      </c>
      <c r="M265" s="5">
        <v>690</v>
      </c>
      <c r="N265">
        <v>116</v>
      </c>
      <c r="O265">
        <v>574</v>
      </c>
      <c r="P265" s="1">
        <v>0.20902777777777778</v>
      </c>
      <c r="Q265" s="5">
        <v>976</v>
      </c>
      <c r="R265" s="14">
        <v>7.6</v>
      </c>
      <c r="S265">
        <v>129</v>
      </c>
      <c r="T265" s="5">
        <v>116</v>
      </c>
      <c r="U265" s="5">
        <v>574</v>
      </c>
      <c r="V265" s="5">
        <v>0</v>
      </c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</row>
    <row r="266" spans="1:37" x14ac:dyDescent="0.25">
      <c r="A266" s="11" t="e">
        <f>Table1[[#This Row],[Milk Yield]]-J262</f>
        <v>#VALUE!</v>
      </c>
      <c r="B266" t="s">
        <v>0</v>
      </c>
      <c r="C266" s="2" t="s">
        <v>1</v>
      </c>
      <c r="D266" s="12" t="s">
        <v>2</v>
      </c>
      <c r="E266" s="2" t="s">
        <v>3</v>
      </c>
      <c r="F266" s="13" t="s">
        <v>4</v>
      </c>
      <c r="G266" s="3" t="s">
        <v>5</v>
      </c>
      <c r="H266" s="1" t="s">
        <v>6</v>
      </c>
      <c r="I266" s="5" t="s">
        <v>8</v>
      </c>
      <c r="J266" t="s">
        <v>9</v>
      </c>
      <c r="K266" t="s">
        <v>10</v>
      </c>
      <c r="L266" s="5" t="s">
        <v>11</v>
      </c>
      <c r="M266" s="5" t="s">
        <v>12</v>
      </c>
      <c r="N266" t="s">
        <v>13</v>
      </c>
      <c r="O266" t="s">
        <v>20</v>
      </c>
      <c r="P266" t="s">
        <v>7</v>
      </c>
      <c r="Q266" s="5" t="s">
        <v>15</v>
      </c>
      <c r="R266" s="14" t="s">
        <v>18</v>
      </c>
      <c r="S266" t="s">
        <v>16</v>
      </c>
      <c r="T266" s="5" t="s">
        <v>14</v>
      </c>
      <c r="U266" s="5" t="s">
        <v>17</v>
      </c>
      <c r="V266" s="5" t="s">
        <v>19</v>
      </c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</row>
    <row r="267" spans="1:37" x14ac:dyDescent="0.25">
      <c r="A267" s="11">
        <f>Table1[[#This Row],[Milk Yield]]-J263</f>
        <v>-365</v>
      </c>
      <c r="B267" t="s">
        <v>24</v>
      </c>
      <c r="C267" s="2">
        <v>1</v>
      </c>
      <c r="D267" s="12">
        <v>45534</v>
      </c>
      <c r="E267" s="2">
        <v>33</v>
      </c>
      <c r="F267" s="13">
        <v>0.33719907407407407</v>
      </c>
      <c r="G267" s="3">
        <v>0.55388888888888888</v>
      </c>
      <c r="H267" s="1">
        <v>0.21666666666666667</v>
      </c>
      <c r="I267" s="5">
        <v>661</v>
      </c>
      <c r="J267">
        <v>6577</v>
      </c>
      <c r="K267">
        <v>127</v>
      </c>
      <c r="L267" s="5">
        <v>223</v>
      </c>
      <c r="M267" s="5">
        <v>661</v>
      </c>
      <c r="N267">
        <v>25</v>
      </c>
      <c r="O267">
        <v>636</v>
      </c>
      <c r="P267" s="1">
        <v>0.20624999999999999</v>
      </c>
      <c r="Q267" s="5">
        <v>1265</v>
      </c>
      <c r="R267" s="14">
        <v>10</v>
      </c>
      <c r="S267">
        <v>127</v>
      </c>
      <c r="T267" s="5">
        <v>25</v>
      </c>
      <c r="U267" s="5">
        <v>636</v>
      </c>
      <c r="V267" s="5">
        <v>0</v>
      </c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</row>
    <row r="268" spans="1:37" x14ac:dyDescent="0.25">
      <c r="A268" s="11">
        <f>Table1[[#This Row],[Milk Yield]]-J264</f>
        <v>-98</v>
      </c>
      <c r="B268" t="s">
        <v>24</v>
      </c>
      <c r="C268" s="2">
        <v>2</v>
      </c>
      <c r="D268" s="12">
        <v>45534</v>
      </c>
      <c r="E268" s="2">
        <v>32</v>
      </c>
      <c r="F268" s="13">
        <v>0.67009259259259257</v>
      </c>
      <c r="G268" s="3">
        <v>0.88045138888888885</v>
      </c>
      <c r="H268" s="1">
        <v>0.20972222222222223</v>
      </c>
      <c r="I268" s="5">
        <v>676</v>
      </c>
      <c r="J268">
        <v>6191</v>
      </c>
      <c r="K268">
        <v>134</v>
      </c>
      <c r="L268" s="5">
        <v>251</v>
      </c>
      <c r="M268" s="5">
        <v>676</v>
      </c>
      <c r="N268">
        <v>33</v>
      </c>
      <c r="O268">
        <v>643</v>
      </c>
      <c r="P268" s="1">
        <v>0.20208333333333334</v>
      </c>
      <c r="Q268" s="5">
        <v>1226</v>
      </c>
      <c r="R268" s="14">
        <v>9.1999999999999993</v>
      </c>
      <c r="S268">
        <v>134</v>
      </c>
      <c r="T268" s="5">
        <v>33</v>
      </c>
      <c r="U268" s="5">
        <v>643</v>
      </c>
      <c r="V268" s="5">
        <v>0</v>
      </c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</row>
    <row r="269" spans="1:37" x14ac:dyDescent="0.25">
      <c r="A269" s="11">
        <f>Table1[[#This Row],[Milk Yield]]-J265</f>
        <v>-95</v>
      </c>
      <c r="B269" t="s">
        <v>24</v>
      </c>
      <c r="C269" s="2">
        <v>3</v>
      </c>
      <c r="D269" s="12">
        <v>45534</v>
      </c>
      <c r="E269" s="2">
        <v>35</v>
      </c>
      <c r="F269" s="13">
        <v>0.99564814814814817</v>
      </c>
      <c r="G269" s="3">
        <v>0.19344907407407408</v>
      </c>
      <c r="H269" s="1">
        <v>0.19722222222222222</v>
      </c>
      <c r="I269" s="5">
        <v>690</v>
      </c>
      <c r="J269">
        <v>5134</v>
      </c>
      <c r="K269">
        <v>145</v>
      </c>
      <c r="L269" s="5">
        <v>329</v>
      </c>
      <c r="M269" s="5">
        <v>690</v>
      </c>
      <c r="N269">
        <v>54</v>
      </c>
      <c r="O269">
        <v>636</v>
      </c>
      <c r="P269" s="1">
        <v>0.19305555555555556</v>
      </c>
      <c r="Q269" s="5">
        <v>1081</v>
      </c>
      <c r="R269" s="14">
        <v>7.5</v>
      </c>
      <c r="S269">
        <v>145</v>
      </c>
      <c r="T269" s="5">
        <v>54</v>
      </c>
      <c r="U269" s="5">
        <v>636</v>
      </c>
      <c r="V269" s="5">
        <v>0</v>
      </c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</row>
    <row r="270" spans="1:37" x14ac:dyDescent="0.25">
      <c r="A270" s="11" t="e">
        <f>Table1[[#This Row],[Milk Yield]]-J266</f>
        <v>#VALUE!</v>
      </c>
      <c r="B270" t="s">
        <v>0</v>
      </c>
      <c r="C270" s="2" t="s">
        <v>1</v>
      </c>
      <c r="D270" s="12" t="s">
        <v>2</v>
      </c>
      <c r="E270" s="2" t="s">
        <v>3</v>
      </c>
      <c r="F270" s="13" t="s">
        <v>4</v>
      </c>
      <c r="G270" s="3" t="s">
        <v>5</v>
      </c>
      <c r="H270" s="1" t="s">
        <v>6</v>
      </c>
      <c r="I270" s="5" t="s">
        <v>8</v>
      </c>
      <c r="J270" t="s">
        <v>9</v>
      </c>
      <c r="K270" t="s">
        <v>10</v>
      </c>
      <c r="L270" s="5" t="s">
        <v>11</v>
      </c>
      <c r="M270" s="5" t="s">
        <v>12</v>
      </c>
      <c r="N270" t="s">
        <v>13</v>
      </c>
      <c r="O270" t="s">
        <v>20</v>
      </c>
      <c r="P270" t="s">
        <v>7</v>
      </c>
      <c r="Q270" s="5" t="s">
        <v>15</v>
      </c>
      <c r="R270" s="14" t="s">
        <v>18</v>
      </c>
      <c r="S270" t="s">
        <v>16</v>
      </c>
      <c r="T270" s="5" t="s">
        <v>14</v>
      </c>
      <c r="U270" s="5" t="s">
        <v>17</v>
      </c>
      <c r="V270" s="5" t="s">
        <v>19</v>
      </c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</row>
    <row r="271" spans="1:37" x14ac:dyDescent="0.25">
      <c r="A271" s="11">
        <f>Table1[[#This Row],[Milk Yield]]-J267</f>
        <v>80</v>
      </c>
      <c r="B271" t="s">
        <v>24</v>
      </c>
      <c r="C271" s="2">
        <v>1</v>
      </c>
      <c r="D271" s="12">
        <v>45535</v>
      </c>
      <c r="E271" s="2">
        <v>32</v>
      </c>
      <c r="F271" s="13">
        <v>0.33763888888888888</v>
      </c>
      <c r="G271" s="3">
        <v>0.55563657407407407</v>
      </c>
      <c r="H271" s="1">
        <v>0.21736111111111112</v>
      </c>
      <c r="I271" s="5">
        <v>669</v>
      </c>
      <c r="J271">
        <v>6657</v>
      </c>
      <c r="K271">
        <v>128</v>
      </c>
      <c r="L271" s="5">
        <v>897</v>
      </c>
      <c r="M271" s="5">
        <v>669</v>
      </c>
      <c r="N271">
        <v>96</v>
      </c>
      <c r="O271">
        <v>573</v>
      </c>
      <c r="P271" s="1">
        <v>0.23055555555555557</v>
      </c>
      <c r="Q271" s="5">
        <v>1272</v>
      </c>
      <c r="R271" s="14">
        <v>10</v>
      </c>
      <c r="S271">
        <v>128</v>
      </c>
      <c r="T271" s="5">
        <v>96</v>
      </c>
      <c r="U271" s="5">
        <v>570</v>
      </c>
      <c r="V271" s="5">
        <v>0</v>
      </c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</row>
    <row r="272" spans="1:37" x14ac:dyDescent="0.25">
      <c r="A272" s="11">
        <f>Table1[[#This Row],[Milk Yield]]-J268</f>
        <v>2</v>
      </c>
      <c r="B272" t="s">
        <v>24</v>
      </c>
      <c r="C272" s="2">
        <v>2</v>
      </c>
      <c r="D272" s="12">
        <v>45535</v>
      </c>
      <c r="E272" s="2">
        <v>33</v>
      </c>
      <c r="F272" s="13">
        <v>0.66717592592592589</v>
      </c>
      <c r="G272" s="3">
        <v>0.90309027777777773</v>
      </c>
      <c r="H272" s="1">
        <v>0.23541666666666666</v>
      </c>
      <c r="I272" s="5">
        <v>681</v>
      </c>
      <c r="J272">
        <v>6193</v>
      </c>
      <c r="K272">
        <v>120</v>
      </c>
      <c r="L272" s="5">
        <v>237</v>
      </c>
      <c r="M272" s="5">
        <v>681</v>
      </c>
      <c r="N272">
        <v>43</v>
      </c>
      <c r="O272">
        <v>638</v>
      </c>
      <c r="P272" s="1">
        <v>0.20833333333333334</v>
      </c>
      <c r="Q272" s="5">
        <v>1094</v>
      </c>
      <c r="R272" s="14">
        <v>9.1</v>
      </c>
      <c r="S272">
        <v>120</v>
      </c>
      <c r="T272" s="5">
        <v>43</v>
      </c>
      <c r="U272" s="5">
        <v>638</v>
      </c>
      <c r="V272" s="5">
        <v>0</v>
      </c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</row>
    <row r="273" spans="1:37" x14ac:dyDescent="0.25">
      <c r="A273" s="11">
        <f>Table1[[#This Row],[Milk Yield]]-J269</f>
        <v>-185</v>
      </c>
      <c r="B273" t="s">
        <v>24</v>
      </c>
      <c r="C273" s="2">
        <v>3</v>
      </c>
      <c r="D273" s="12">
        <v>45535</v>
      </c>
      <c r="E273" s="2">
        <v>34</v>
      </c>
      <c r="F273" s="13">
        <v>0.99199074074074078</v>
      </c>
      <c r="G273" s="3">
        <v>0.19548611111111111</v>
      </c>
      <c r="H273" s="1">
        <v>0.20347222222222222</v>
      </c>
      <c r="I273" s="5">
        <v>672</v>
      </c>
      <c r="J273">
        <v>4949</v>
      </c>
      <c r="K273">
        <v>138</v>
      </c>
      <c r="L273" s="5">
        <v>111</v>
      </c>
      <c r="M273" s="5">
        <v>672</v>
      </c>
      <c r="N273">
        <v>15</v>
      </c>
      <c r="O273">
        <v>657</v>
      </c>
      <c r="P273" s="1">
        <v>0.18333333333333332</v>
      </c>
      <c r="Q273" s="5">
        <v>1013</v>
      </c>
      <c r="R273" s="14">
        <v>7.4</v>
      </c>
      <c r="S273">
        <v>138</v>
      </c>
      <c r="T273" s="5">
        <v>15</v>
      </c>
      <c r="U273" s="5">
        <v>657</v>
      </c>
      <c r="V273" s="5">
        <v>0</v>
      </c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</row>
    <row r="274" spans="1:37" x14ac:dyDescent="0.25">
      <c r="A274" s="11" t="e">
        <f>Table1[[#This Row],[Milk Yield]]-J270</f>
        <v>#VALUE!</v>
      </c>
      <c r="B274" t="s">
        <v>0</v>
      </c>
      <c r="C274" s="2" t="s">
        <v>1</v>
      </c>
      <c r="D274" s="12" t="s">
        <v>2</v>
      </c>
      <c r="E274" s="2" t="s">
        <v>3</v>
      </c>
      <c r="F274" s="13" t="s">
        <v>4</v>
      </c>
      <c r="G274" s="3" t="s">
        <v>5</v>
      </c>
      <c r="H274" s="1" t="s">
        <v>6</v>
      </c>
      <c r="I274" s="5" t="s">
        <v>8</v>
      </c>
      <c r="J274" t="s">
        <v>9</v>
      </c>
      <c r="K274" t="s">
        <v>10</v>
      </c>
      <c r="L274" s="5" t="s">
        <v>11</v>
      </c>
      <c r="M274" s="5" t="s">
        <v>12</v>
      </c>
      <c r="N274" t="s">
        <v>13</v>
      </c>
      <c r="O274" t="s">
        <v>20</v>
      </c>
      <c r="P274" t="s">
        <v>7</v>
      </c>
      <c r="Q274" s="5" t="s">
        <v>15</v>
      </c>
      <c r="R274" s="14" t="s">
        <v>18</v>
      </c>
      <c r="S274" t="s">
        <v>16</v>
      </c>
      <c r="T274" s="5" t="s">
        <v>14</v>
      </c>
      <c r="U274" s="5" t="s">
        <v>17</v>
      </c>
      <c r="V274" s="5" t="s">
        <v>19</v>
      </c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</row>
    <row r="275" spans="1:37" x14ac:dyDescent="0.25">
      <c r="A275" s="11">
        <f>Table1[[#This Row],[Milk Yield]]-J271</f>
        <v>-129</v>
      </c>
      <c r="B275" t="s">
        <v>24</v>
      </c>
      <c r="C275" s="2">
        <v>1</v>
      </c>
      <c r="D275" s="12">
        <v>45536</v>
      </c>
      <c r="E275" s="2">
        <v>31</v>
      </c>
      <c r="F275" s="13">
        <v>0.3321527777777778</v>
      </c>
      <c r="G275" s="3">
        <v>0.54690972222222223</v>
      </c>
      <c r="H275" s="1">
        <v>0.21458333333333332</v>
      </c>
      <c r="I275" s="5">
        <v>663</v>
      </c>
      <c r="J275">
        <v>6528</v>
      </c>
      <c r="K275">
        <v>129</v>
      </c>
      <c r="L275" s="5">
        <v>186</v>
      </c>
      <c r="M275" s="5">
        <v>663</v>
      </c>
      <c r="N275">
        <v>19</v>
      </c>
      <c r="O275">
        <v>644</v>
      </c>
      <c r="P275" s="1">
        <v>0.20555555555555555</v>
      </c>
      <c r="Q275" s="5">
        <v>1267</v>
      </c>
      <c r="R275" s="14">
        <v>9.9</v>
      </c>
      <c r="S275">
        <v>129</v>
      </c>
      <c r="T275" s="5">
        <v>19</v>
      </c>
      <c r="U275" s="5">
        <v>644</v>
      </c>
      <c r="V275" s="5">
        <v>0</v>
      </c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</row>
    <row r="276" spans="1:37" x14ac:dyDescent="0.25">
      <c r="A276" s="11">
        <f>Table1[[#This Row],[Milk Yield]]-J272</f>
        <v>-111</v>
      </c>
      <c r="B276" t="s">
        <v>24</v>
      </c>
      <c r="C276" s="2">
        <v>2</v>
      </c>
      <c r="D276" s="12">
        <v>45536</v>
      </c>
      <c r="E276" s="2">
        <v>34</v>
      </c>
      <c r="F276" s="13">
        <v>0.67355324074074074</v>
      </c>
      <c r="G276" s="3">
        <v>0.89244212962962965</v>
      </c>
      <c r="H276" s="1">
        <v>0.21875</v>
      </c>
      <c r="I276" s="5">
        <v>685</v>
      </c>
      <c r="J276">
        <v>6082</v>
      </c>
      <c r="K276">
        <v>130</v>
      </c>
      <c r="L276" s="5">
        <v>214</v>
      </c>
      <c r="M276" s="5">
        <v>685</v>
      </c>
      <c r="N276">
        <v>28</v>
      </c>
      <c r="O276">
        <v>657</v>
      </c>
      <c r="P276" s="1">
        <v>0.19583333333333333</v>
      </c>
      <c r="Q276" s="5">
        <v>1158</v>
      </c>
      <c r="R276" s="14">
        <v>8.9</v>
      </c>
      <c r="S276">
        <v>130</v>
      </c>
      <c r="T276" s="5">
        <v>28</v>
      </c>
      <c r="U276" s="5">
        <v>657</v>
      </c>
      <c r="V276" s="5">
        <v>0</v>
      </c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</row>
    <row r="277" spans="1:37" x14ac:dyDescent="0.25">
      <c r="A277" s="11">
        <f>Table1[[#This Row],[Milk Yield]]-J273</f>
        <v>802</v>
      </c>
      <c r="B277" t="s">
        <v>24</v>
      </c>
      <c r="C277" s="2">
        <v>3</v>
      </c>
      <c r="D277" s="12">
        <v>45536</v>
      </c>
      <c r="E277" s="2">
        <v>35</v>
      </c>
      <c r="F277" s="13">
        <v>9.0162037037037034E-3</v>
      </c>
      <c r="G277" s="3">
        <v>0.23791666666666667</v>
      </c>
      <c r="H277" s="1">
        <v>0.22847222222222222</v>
      </c>
      <c r="I277" s="5">
        <v>678</v>
      </c>
      <c r="J277">
        <v>5751</v>
      </c>
      <c r="K277">
        <v>123</v>
      </c>
      <c r="L277" s="5">
        <v>190</v>
      </c>
      <c r="M277" s="5">
        <v>678</v>
      </c>
      <c r="N277">
        <v>31</v>
      </c>
      <c r="O277">
        <v>647</v>
      </c>
      <c r="P277" s="1">
        <v>0.1986111111111111</v>
      </c>
      <c r="Q277" s="5">
        <v>1047</v>
      </c>
      <c r="R277" s="14">
        <v>8.5</v>
      </c>
      <c r="S277">
        <v>123</v>
      </c>
      <c r="T277" s="5">
        <v>31</v>
      </c>
      <c r="U277" s="5">
        <v>647</v>
      </c>
      <c r="V277" s="5">
        <v>0</v>
      </c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</row>
    <row r="278" spans="1:37" x14ac:dyDescent="0.25">
      <c r="A278" s="11" t="e">
        <f>Table1[[#This Row],[Milk Yield]]-J274</f>
        <v>#VALUE!</v>
      </c>
      <c r="B278" t="s">
        <v>0</v>
      </c>
      <c r="C278" s="2" t="s">
        <v>1</v>
      </c>
      <c r="D278" s="12" t="s">
        <v>2</v>
      </c>
      <c r="E278" s="2" t="s">
        <v>3</v>
      </c>
      <c r="F278" s="13" t="s">
        <v>4</v>
      </c>
      <c r="G278" s="3" t="s">
        <v>5</v>
      </c>
      <c r="H278" s="1" t="s">
        <v>6</v>
      </c>
      <c r="I278" s="5" t="s">
        <v>8</v>
      </c>
      <c r="J278" t="s">
        <v>9</v>
      </c>
      <c r="K278" t="s">
        <v>10</v>
      </c>
      <c r="L278" s="5" t="s">
        <v>11</v>
      </c>
      <c r="M278" s="5" t="s">
        <v>12</v>
      </c>
      <c r="N278" t="s">
        <v>13</v>
      </c>
      <c r="O278" t="s">
        <v>20</v>
      </c>
      <c r="P278" t="s">
        <v>7</v>
      </c>
      <c r="Q278" s="5" t="s">
        <v>15</v>
      </c>
      <c r="R278" s="14" t="s">
        <v>18</v>
      </c>
      <c r="S278" t="s">
        <v>16</v>
      </c>
      <c r="T278" s="5" t="s">
        <v>14</v>
      </c>
      <c r="U278" s="5" t="s">
        <v>17</v>
      </c>
      <c r="V278" s="5" t="s">
        <v>19</v>
      </c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</row>
    <row r="279" spans="1:37" x14ac:dyDescent="0.25">
      <c r="A279" s="11">
        <f>Table1[[#This Row],[Milk Yield]]-J275</f>
        <v>-754</v>
      </c>
      <c r="B279" t="s">
        <v>24</v>
      </c>
      <c r="C279" s="2">
        <v>1</v>
      </c>
      <c r="D279" s="12">
        <v>45537</v>
      </c>
      <c r="E279" s="2">
        <v>32</v>
      </c>
      <c r="F279" s="13">
        <v>0.33326388888888892</v>
      </c>
      <c r="G279" s="3">
        <v>0.53452546296296299</v>
      </c>
      <c r="H279" s="1">
        <v>0.20069444444444445</v>
      </c>
      <c r="I279" s="5">
        <v>661</v>
      </c>
      <c r="J279">
        <v>5774</v>
      </c>
      <c r="K279">
        <v>137</v>
      </c>
      <c r="L279" s="5">
        <v>364</v>
      </c>
      <c r="M279" s="5">
        <v>661</v>
      </c>
      <c r="N279">
        <v>43</v>
      </c>
      <c r="O279">
        <v>618</v>
      </c>
      <c r="P279" s="1">
        <v>0.20069444444444445</v>
      </c>
      <c r="Q279" s="5">
        <v>1195</v>
      </c>
      <c r="R279" s="14">
        <v>8.8000000000000007</v>
      </c>
      <c r="S279">
        <v>137</v>
      </c>
      <c r="T279" s="5">
        <v>43</v>
      </c>
      <c r="U279" s="5">
        <v>617</v>
      </c>
      <c r="V279" s="5">
        <v>0</v>
      </c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</row>
    <row r="280" spans="1:37" x14ac:dyDescent="0.25">
      <c r="A280" s="11">
        <f>Table1[[#This Row],[Milk Yield]]-J276</f>
        <v>347</v>
      </c>
      <c r="B280" t="s">
        <v>24</v>
      </c>
      <c r="C280" s="2">
        <v>2</v>
      </c>
      <c r="D280" s="12">
        <v>45537</v>
      </c>
      <c r="E280" s="2">
        <v>36</v>
      </c>
      <c r="F280" s="13">
        <v>0.67143518518518519</v>
      </c>
      <c r="G280" s="3">
        <v>0.91872685185185188</v>
      </c>
      <c r="H280" s="1">
        <v>0.24722222222222223</v>
      </c>
      <c r="I280" s="5">
        <v>683</v>
      </c>
      <c r="J280">
        <v>6429</v>
      </c>
      <c r="K280">
        <v>115</v>
      </c>
      <c r="L280" s="5">
        <v>633</v>
      </c>
      <c r="M280" s="5">
        <v>683</v>
      </c>
      <c r="N280">
        <v>78</v>
      </c>
      <c r="O280">
        <v>605</v>
      </c>
      <c r="P280" s="1">
        <v>0.22361111111111112</v>
      </c>
      <c r="Q280" s="5">
        <v>1083</v>
      </c>
      <c r="R280" s="14">
        <v>9.5</v>
      </c>
      <c r="S280">
        <v>115</v>
      </c>
      <c r="T280" s="5">
        <v>78</v>
      </c>
      <c r="U280" s="5">
        <v>605</v>
      </c>
      <c r="V280" s="5">
        <v>0</v>
      </c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</row>
    <row r="281" spans="1:37" x14ac:dyDescent="0.25">
      <c r="A281" s="11">
        <f>Table1[[#This Row],[Milk Yield]]-J277</f>
        <v>-370</v>
      </c>
      <c r="B281" t="s">
        <v>24</v>
      </c>
      <c r="C281" s="2">
        <v>3</v>
      </c>
      <c r="D281" s="12">
        <v>45537</v>
      </c>
      <c r="E281" s="2">
        <v>37</v>
      </c>
      <c r="F281" s="13">
        <v>4.2708333333333331E-3</v>
      </c>
      <c r="G281" s="3">
        <v>0.23657407407407408</v>
      </c>
      <c r="H281" s="1">
        <v>0.23194444444444445</v>
      </c>
      <c r="I281" s="5">
        <v>723</v>
      </c>
      <c r="J281">
        <v>5381</v>
      </c>
      <c r="K281">
        <v>130</v>
      </c>
      <c r="L281" s="5">
        <v>842</v>
      </c>
      <c r="M281" s="5">
        <v>723</v>
      </c>
      <c r="N281">
        <v>119</v>
      </c>
      <c r="O281">
        <v>604</v>
      </c>
      <c r="P281" s="1">
        <v>0.21319444444444444</v>
      </c>
      <c r="Q281" s="5">
        <v>965</v>
      </c>
      <c r="R281" s="14">
        <v>7.5</v>
      </c>
      <c r="S281">
        <v>130</v>
      </c>
      <c r="T281" s="5">
        <v>119</v>
      </c>
      <c r="U281" s="5">
        <v>604</v>
      </c>
      <c r="V281" s="5">
        <v>0</v>
      </c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</row>
    <row r="282" spans="1:37" x14ac:dyDescent="0.25">
      <c r="A282" s="11" t="e">
        <f>Table1[[#This Row],[Milk Yield]]-J278</f>
        <v>#VALUE!</v>
      </c>
      <c r="B282" t="s">
        <v>0</v>
      </c>
      <c r="C282" s="2" t="s">
        <v>1</v>
      </c>
      <c r="D282" s="12" t="s">
        <v>2</v>
      </c>
      <c r="E282" s="2" t="s">
        <v>3</v>
      </c>
      <c r="F282" s="13" t="s">
        <v>4</v>
      </c>
      <c r="G282" s="3" t="s">
        <v>5</v>
      </c>
      <c r="H282" s="1" t="s">
        <v>6</v>
      </c>
      <c r="I282" s="5" t="s">
        <v>8</v>
      </c>
      <c r="J282" t="s">
        <v>9</v>
      </c>
      <c r="K282" t="s">
        <v>10</v>
      </c>
      <c r="L282" s="5" t="s">
        <v>11</v>
      </c>
      <c r="M282" s="5" t="s">
        <v>12</v>
      </c>
      <c r="N282" t="s">
        <v>13</v>
      </c>
      <c r="O282" t="s">
        <v>20</v>
      </c>
      <c r="P282" t="s">
        <v>7</v>
      </c>
      <c r="Q282" s="5" t="s">
        <v>15</v>
      </c>
      <c r="R282" s="14" t="s">
        <v>18</v>
      </c>
      <c r="S282" t="s">
        <v>16</v>
      </c>
      <c r="T282" s="5" t="s">
        <v>14</v>
      </c>
      <c r="U282" s="5" t="s">
        <v>17</v>
      </c>
      <c r="V282" s="5" t="s">
        <v>19</v>
      </c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</row>
    <row r="283" spans="1:37" x14ac:dyDescent="0.25">
      <c r="A283" s="11">
        <f>Table1[[#This Row],[Milk Yield]]-J279</f>
        <v>-51</v>
      </c>
      <c r="B283" t="s">
        <v>24</v>
      </c>
      <c r="C283" s="2">
        <v>1</v>
      </c>
      <c r="D283" s="12">
        <v>45538</v>
      </c>
      <c r="E283" s="2">
        <v>33</v>
      </c>
      <c r="F283" s="13">
        <v>0.33787037037037038</v>
      </c>
      <c r="G283" s="3">
        <v>0.53435185185185186</v>
      </c>
      <c r="H283" s="1">
        <v>0.19583333333333333</v>
      </c>
      <c r="I283" s="5">
        <v>674</v>
      </c>
      <c r="J283">
        <v>5723</v>
      </c>
      <c r="K283">
        <v>143</v>
      </c>
      <c r="L283" s="5">
        <v>193</v>
      </c>
      <c r="M283" s="5">
        <v>674</v>
      </c>
      <c r="N283">
        <v>29</v>
      </c>
      <c r="O283">
        <v>645</v>
      </c>
      <c r="P283" s="1">
        <v>0.19722222222222222</v>
      </c>
      <c r="Q283" s="5">
        <v>1214</v>
      </c>
      <c r="R283" s="14">
        <v>8.5</v>
      </c>
      <c r="S283">
        <v>143</v>
      </c>
      <c r="T283" s="5">
        <v>29</v>
      </c>
      <c r="U283" s="5">
        <v>645</v>
      </c>
      <c r="V283" s="5">
        <v>0</v>
      </c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</row>
    <row r="284" spans="1:37" x14ac:dyDescent="0.25">
      <c r="A284" s="11">
        <f>Table1[[#This Row],[Milk Yield]]-J280</f>
        <v>-18</v>
      </c>
      <c r="B284" t="s">
        <v>24</v>
      </c>
      <c r="C284" s="2">
        <v>2</v>
      </c>
      <c r="D284" s="12">
        <v>45538</v>
      </c>
      <c r="E284" s="2">
        <v>35</v>
      </c>
      <c r="F284" s="13">
        <v>0.67508101851851854</v>
      </c>
      <c r="G284" s="3">
        <v>0.90113425925925927</v>
      </c>
      <c r="H284" s="1">
        <v>0.22569444444444445</v>
      </c>
      <c r="I284" s="5">
        <v>682</v>
      </c>
      <c r="J284">
        <v>6411</v>
      </c>
      <c r="K284">
        <v>126</v>
      </c>
      <c r="L284" s="5">
        <v>491</v>
      </c>
      <c r="M284" s="5">
        <v>682</v>
      </c>
      <c r="N284">
        <v>57</v>
      </c>
      <c r="O284">
        <v>625</v>
      </c>
      <c r="P284" s="1">
        <v>0.21736111111111112</v>
      </c>
      <c r="Q284" s="5">
        <v>1182</v>
      </c>
      <c r="R284" s="14">
        <v>9.5</v>
      </c>
      <c r="S284">
        <v>126</v>
      </c>
      <c r="T284" s="5">
        <v>57</v>
      </c>
      <c r="U284" s="5">
        <v>626</v>
      </c>
      <c r="V284" s="5">
        <v>1</v>
      </c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</row>
    <row r="285" spans="1:37" x14ac:dyDescent="0.25">
      <c r="A285" s="11">
        <f>Table1[[#This Row],[Milk Yield]]-J281</f>
        <v>-453</v>
      </c>
      <c r="B285" t="s">
        <v>24</v>
      </c>
      <c r="C285" s="2">
        <v>3</v>
      </c>
      <c r="D285" s="12">
        <v>45538</v>
      </c>
      <c r="E285" s="2">
        <v>34</v>
      </c>
      <c r="F285" s="13">
        <v>7.8703703703703696E-3</v>
      </c>
      <c r="G285" s="3">
        <v>0.19690972222222222</v>
      </c>
      <c r="H285" s="1">
        <v>0.18888888888888888</v>
      </c>
      <c r="I285" s="5">
        <v>680</v>
      </c>
      <c r="J285">
        <v>4928</v>
      </c>
      <c r="K285">
        <v>150</v>
      </c>
      <c r="L285" s="5">
        <v>69</v>
      </c>
      <c r="M285" s="5">
        <v>680</v>
      </c>
      <c r="N285">
        <v>13</v>
      </c>
      <c r="O285">
        <v>667</v>
      </c>
      <c r="P285" s="1">
        <v>0.18263888888888888</v>
      </c>
      <c r="Q285" s="5">
        <v>1086</v>
      </c>
      <c r="R285" s="14">
        <v>7.3</v>
      </c>
      <c r="S285">
        <v>150</v>
      </c>
      <c r="T285" s="5">
        <v>13</v>
      </c>
      <c r="U285" s="5">
        <v>668</v>
      </c>
      <c r="V285" s="5">
        <v>1</v>
      </c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</row>
    <row r="286" spans="1:37" x14ac:dyDescent="0.25">
      <c r="A286" s="11" t="e">
        <f>Table1[[#This Row],[Milk Yield]]-J282</f>
        <v>#VALUE!</v>
      </c>
      <c r="B286" t="s">
        <v>0</v>
      </c>
      <c r="C286" s="2" t="s">
        <v>1</v>
      </c>
      <c r="D286" s="12" t="s">
        <v>2</v>
      </c>
      <c r="E286" s="2" t="s">
        <v>3</v>
      </c>
      <c r="F286" s="13" t="s">
        <v>4</v>
      </c>
      <c r="G286" s="3" t="s">
        <v>5</v>
      </c>
      <c r="H286" s="1" t="s">
        <v>6</v>
      </c>
      <c r="I286" s="5" t="s">
        <v>8</v>
      </c>
      <c r="J286" t="s">
        <v>9</v>
      </c>
      <c r="K286" t="s">
        <v>10</v>
      </c>
      <c r="L286" s="5" t="s">
        <v>11</v>
      </c>
      <c r="M286" s="5" t="s">
        <v>12</v>
      </c>
      <c r="N286" t="s">
        <v>13</v>
      </c>
      <c r="O286" t="s">
        <v>20</v>
      </c>
      <c r="P286" t="s">
        <v>7</v>
      </c>
      <c r="Q286" s="5" t="s">
        <v>15</v>
      </c>
      <c r="R286" s="14" t="s">
        <v>18</v>
      </c>
      <c r="S286" t="s">
        <v>16</v>
      </c>
      <c r="T286" s="5" t="s">
        <v>14</v>
      </c>
      <c r="U286" s="5" t="s">
        <v>17</v>
      </c>
      <c r="V286" s="5" t="s">
        <v>19</v>
      </c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</row>
    <row r="287" spans="1:37" x14ac:dyDescent="0.25">
      <c r="A287" s="11">
        <f>Table1[[#This Row],[Milk Yield]]-J283</f>
        <v>557</v>
      </c>
      <c r="B287" t="s">
        <v>24</v>
      </c>
      <c r="C287" s="2">
        <v>1</v>
      </c>
      <c r="D287" s="12">
        <v>45539</v>
      </c>
      <c r="E287" s="2">
        <v>32</v>
      </c>
      <c r="F287" s="13">
        <v>0.33792824074074074</v>
      </c>
      <c r="G287" s="3">
        <v>0.5397453703703704</v>
      </c>
      <c r="H287" s="1">
        <v>0.2013888888888889</v>
      </c>
      <c r="I287" s="5">
        <v>664</v>
      </c>
      <c r="J287">
        <v>6280</v>
      </c>
      <c r="K287">
        <v>137</v>
      </c>
      <c r="L287" s="5">
        <v>229</v>
      </c>
      <c r="M287" s="5">
        <v>664</v>
      </c>
      <c r="N287">
        <v>25</v>
      </c>
      <c r="O287">
        <v>639</v>
      </c>
      <c r="P287" s="1">
        <v>0.19930555555555557</v>
      </c>
      <c r="Q287" s="5">
        <v>1297</v>
      </c>
      <c r="R287" s="14">
        <v>9.5</v>
      </c>
      <c r="S287">
        <v>137</v>
      </c>
      <c r="T287" s="5">
        <v>25</v>
      </c>
      <c r="U287" s="5">
        <v>640</v>
      </c>
      <c r="V287" s="5">
        <v>1</v>
      </c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</row>
    <row r="288" spans="1:37" x14ac:dyDescent="0.25">
      <c r="A288" s="11">
        <f>Table1[[#This Row],[Milk Yield]]-J284</f>
        <v>-392</v>
      </c>
      <c r="B288" t="s">
        <v>24</v>
      </c>
      <c r="C288" s="2">
        <v>2</v>
      </c>
      <c r="D288" s="12">
        <v>45539</v>
      </c>
      <c r="E288" s="2">
        <v>33</v>
      </c>
      <c r="F288" s="13">
        <v>0.67245370370370372</v>
      </c>
      <c r="G288" s="3">
        <v>0.88319444444444439</v>
      </c>
      <c r="H288" s="1">
        <v>0.21041666666666667</v>
      </c>
      <c r="I288" s="5">
        <v>671</v>
      </c>
      <c r="J288">
        <v>6019</v>
      </c>
      <c r="K288">
        <v>133</v>
      </c>
      <c r="L288" s="5">
        <v>89</v>
      </c>
      <c r="M288" s="5">
        <v>671</v>
      </c>
      <c r="N288">
        <v>10</v>
      </c>
      <c r="O288">
        <v>661</v>
      </c>
      <c r="P288" s="1">
        <v>0.1986111111111111</v>
      </c>
      <c r="Q288" s="5">
        <v>1190</v>
      </c>
      <c r="R288" s="14">
        <v>9</v>
      </c>
      <c r="S288">
        <v>133</v>
      </c>
      <c r="T288" s="5">
        <v>10</v>
      </c>
      <c r="U288" s="5">
        <v>662</v>
      </c>
      <c r="V288" s="5">
        <v>1</v>
      </c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</row>
    <row r="289" spans="1:37" x14ac:dyDescent="0.25">
      <c r="A289" s="11">
        <f>Table1[[#This Row],[Milk Yield]]-J285</f>
        <v>200</v>
      </c>
      <c r="B289" t="s">
        <v>24</v>
      </c>
      <c r="C289" s="2">
        <v>3</v>
      </c>
      <c r="D289" s="12">
        <v>45539</v>
      </c>
      <c r="E289" s="2">
        <v>35</v>
      </c>
      <c r="F289" s="13">
        <v>1.5740740740740741E-3</v>
      </c>
      <c r="G289" s="3">
        <v>0.20231481481481481</v>
      </c>
      <c r="H289" s="1">
        <v>0.20069444444444445</v>
      </c>
      <c r="I289" s="5">
        <v>672</v>
      </c>
      <c r="J289">
        <v>5128</v>
      </c>
      <c r="K289">
        <v>139</v>
      </c>
      <c r="L289" s="5">
        <v>119</v>
      </c>
      <c r="M289" s="5">
        <v>672</v>
      </c>
      <c r="N289">
        <v>16</v>
      </c>
      <c r="O289">
        <v>656</v>
      </c>
      <c r="P289" s="1">
        <v>0.18333333333333332</v>
      </c>
      <c r="Q289" s="5">
        <v>1064</v>
      </c>
      <c r="R289" s="14">
        <v>7.7</v>
      </c>
      <c r="S289">
        <v>139</v>
      </c>
      <c r="T289" s="5">
        <v>16</v>
      </c>
      <c r="U289" s="5">
        <v>657</v>
      </c>
      <c r="V289" s="5">
        <v>1</v>
      </c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</row>
    <row r="290" spans="1:37" x14ac:dyDescent="0.25">
      <c r="A290" s="11" t="e">
        <f>Table1[[#This Row],[Milk Yield]]-J286</f>
        <v>#VALUE!</v>
      </c>
      <c r="B290" t="s">
        <v>0</v>
      </c>
      <c r="C290" s="2" t="s">
        <v>1</v>
      </c>
      <c r="D290" s="12" t="s">
        <v>2</v>
      </c>
      <c r="E290" s="2" t="s">
        <v>3</v>
      </c>
      <c r="F290" s="13" t="s">
        <v>4</v>
      </c>
      <c r="G290" s="3" t="s">
        <v>5</v>
      </c>
      <c r="H290" s="1" t="s">
        <v>6</v>
      </c>
      <c r="I290" s="5" t="s">
        <v>8</v>
      </c>
      <c r="J290" t="s">
        <v>9</v>
      </c>
      <c r="K290" t="s">
        <v>10</v>
      </c>
      <c r="L290" s="5" t="s">
        <v>11</v>
      </c>
      <c r="M290" s="5" t="s">
        <v>12</v>
      </c>
      <c r="N290" t="s">
        <v>13</v>
      </c>
      <c r="O290" t="s">
        <v>20</v>
      </c>
      <c r="P290" t="s">
        <v>7</v>
      </c>
      <c r="Q290" s="5" t="s">
        <v>15</v>
      </c>
      <c r="R290" s="14" t="s">
        <v>18</v>
      </c>
      <c r="S290" t="s">
        <v>16</v>
      </c>
      <c r="T290" s="5" t="s">
        <v>14</v>
      </c>
      <c r="U290" s="5" t="s">
        <v>17</v>
      </c>
      <c r="V290" s="5" t="s">
        <v>19</v>
      </c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</row>
    <row r="291" spans="1:37" x14ac:dyDescent="0.25">
      <c r="A291" s="11">
        <f>Table1[[#This Row],[Milk Yield]]-J287</f>
        <v>-28</v>
      </c>
      <c r="B291" t="s">
        <v>24</v>
      </c>
      <c r="C291" s="2">
        <v>1</v>
      </c>
      <c r="D291" s="12">
        <v>45540</v>
      </c>
      <c r="E291" s="2">
        <v>32</v>
      </c>
      <c r="F291" s="13">
        <v>0.33140046296296294</v>
      </c>
      <c r="G291" s="3">
        <v>0.54745370370370372</v>
      </c>
      <c r="H291" s="1">
        <v>0.21597222222222223</v>
      </c>
      <c r="I291" s="5">
        <v>668</v>
      </c>
      <c r="J291">
        <v>6252</v>
      </c>
      <c r="K291">
        <v>129</v>
      </c>
      <c r="L291" s="5">
        <v>277</v>
      </c>
      <c r="M291" s="5">
        <v>668</v>
      </c>
      <c r="N291">
        <v>35</v>
      </c>
      <c r="O291">
        <v>633</v>
      </c>
      <c r="P291" s="1">
        <v>0.2076388888888889</v>
      </c>
      <c r="Q291" s="5">
        <v>1206</v>
      </c>
      <c r="R291" s="14">
        <v>9.4</v>
      </c>
      <c r="S291">
        <v>129</v>
      </c>
      <c r="T291" s="5">
        <v>35</v>
      </c>
      <c r="U291" s="5">
        <v>633</v>
      </c>
      <c r="V291" s="5">
        <v>1</v>
      </c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</row>
    <row r="292" spans="1:37" x14ac:dyDescent="0.25">
      <c r="A292" s="11">
        <f>Table1[[#This Row],[Milk Yield]]-J288</f>
        <v>-120</v>
      </c>
      <c r="B292" t="s">
        <v>24</v>
      </c>
      <c r="C292" s="2">
        <v>2</v>
      </c>
      <c r="D292" s="12">
        <v>45540</v>
      </c>
      <c r="E292" s="2">
        <v>35</v>
      </c>
      <c r="F292" s="13">
        <v>0.66899305555555555</v>
      </c>
      <c r="G292" s="3">
        <v>0.88896990740740744</v>
      </c>
      <c r="H292" s="1">
        <v>0.21944444444444444</v>
      </c>
      <c r="I292" s="5">
        <v>678</v>
      </c>
      <c r="J292">
        <v>5899</v>
      </c>
      <c r="K292">
        <v>128</v>
      </c>
      <c r="L292" s="5">
        <v>78</v>
      </c>
      <c r="M292" s="5">
        <v>677</v>
      </c>
      <c r="N292">
        <v>9</v>
      </c>
      <c r="O292">
        <v>668</v>
      </c>
      <c r="P292" s="1">
        <v>0.2</v>
      </c>
      <c r="Q292" s="5">
        <v>1117</v>
      </c>
      <c r="R292" s="14">
        <v>8.8000000000000007</v>
      </c>
      <c r="S292">
        <v>128</v>
      </c>
      <c r="T292" s="5">
        <v>9</v>
      </c>
      <c r="U292" s="5">
        <v>669</v>
      </c>
      <c r="V292" s="5">
        <v>1</v>
      </c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</row>
    <row r="293" spans="1:37" x14ac:dyDescent="0.25">
      <c r="A293" s="11">
        <f>Table1[[#This Row],[Milk Yield]]-J289</f>
        <v>-44</v>
      </c>
      <c r="B293" t="s">
        <v>24</v>
      </c>
      <c r="C293" s="2">
        <v>3</v>
      </c>
      <c r="D293" s="12">
        <v>45540</v>
      </c>
      <c r="E293" s="2">
        <v>34</v>
      </c>
      <c r="F293" s="13">
        <v>0.99905092592592593</v>
      </c>
      <c r="G293" s="3">
        <v>0.18870370370370371</v>
      </c>
      <c r="H293" s="1">
        <v>0.18958333333333333</v>
      </c>
      <c r="I293" s="5">
        <v>671</v>
      </c>
      <c r="J293">
        <v>5084</v>
      </c>
      <c r="K293">
        <v>147</v>
      </c>
      <c r="L293" s="5">
        <v>116</v>
      </c>
      <c r="M293" s="5">
        <v>671</v>
      </c>
      <c r="N293">
        <v>16</v>
      </c>
      <c r="O293">
        <v>655</v>
      </c>
      <c r="P293" s="1">
        <v>0.18958333333333333</v>
      </c>
      <c r="Q293" s="5">
        <v>1117</v>
      </c>
      <c r="R293" s="14">
        <v>7.6</v>
      </c>
      <c r="S293">
        <v>147</v>
      </c>
      <c r="T293" s="5">
        <v>16</v>
      </c>
      <c r="U293" s="5">
        <v>656</v>
      </c>
      <c r="V293" s="5">
        <v>1</v>
      </c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</row>
    <row r="294" spans="1:37" x14ac:dyDescent="0.25">
      <c r="A294" s="11" t="e">
        <f>Table1[[#This Row],[Milk Yield]]-J290</f>
        <v>#VALUE!</v>
      </c>
      <c r="B294" t="s">
        <v>0</v>
      </c>
      <c r="C294" s="2" t="s">
        <v>1</v>
      </c>
      <c r="D294" s="12" t="s">
        <v>2</v>
      </c>
      <c r="E294" s="2" t="s">
        <v>3</v>
      </c>
      <c r="F294" s="13" t="s">
        <v>4</v>
      </c>
      <c r="G294" s="3" t="s">
        <v>5</v>
      </c>
      <c r="H294" s="1" t="s">
        <v>6</v>
      </c>
      <c r="I294" s="5" t="s">
        <v>8</v>
      </c>
      <c r="J294" t="s">
        <v>9</v>
      </c>
      <c r="K294" t="s">
        <v>10</v>
      </c>
      <c r="L294" s="5" t="s">
        <v>11</v>
      </c>
      <c r="M294" s="5" t="s">
        <v>12</v>
      </c>
      <c r="N294" t="s">
        <v>13</v>
      </c>
      <c r="O294" t="s">
        <v>20</v>
      </c>
      <c r="P294" t="s">
        <v>7</v>
      </c>
      <c r="Q294" s="5" t="s">
        <v>15</v>
      </c>
      <c r="R294" s="14" t="s">
        <v>18</v>
      </c>
      <c r="S294" t="s">
        <v>16</v>
      </c>
      <c r="T294" s="5" t="s">
        <v>14</v>
      </c>
      <c r="U294" s="5" t="s">
        <v>17</v>
      </c>
      <c r="V294" s="5" t="s">
        <v>19</v>
      </c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</row>
    <row r="295" spans="1:37" x14ac:dyDescent="0.25">
      <c r="A295" s="11">
        <f>Table1[[#This Row],[Milk Yield]]-J291</f>
        <v>280</v>
      </c>
      <c r="B295" t="s">
        <v>24</v>
      </c>
      <c r="C295" s="2">
        <v>1</v>
      </c>
      <c r="D295" s="12">
        <v>45541</v>
      </c>
      <c r="E295" s="2">
        <v>32</v>
      </c>
      <c r="F295" s="13">
        <v>0.33275462962962965</v>
      </c>
      <c r="G295" s="3">
        <v>0.54252314814814817</v>
      </c>
      <c r="H295" s="1">
        <v>0.20972222222222223</v>
      </c>
      <c r="I295" s="5">
        <v>664</v>
      </c>
      <c r="J295">
        <v>6532</v>
      </c>
      <c r="K295">
        <v>132</v>
      </c>
      <c r="L295" s="5">
        <v>72</v>
      </c>
      <c r="M295" s="5">
        <v>664</v>
      </c>
      <c r="N295">
        <v>9</v>
      </c>
      <c r="O295">
        <v>655</v>
      </c>
      <c r="P295" s="1">
        <v>0.20277777777777778</v>
      </c>
      <c r="Q295" s="5">
        <v>1297</v>
      </c>
      <c r="R295" s="14">
        <v>9.9</v>
      </c>
      <c r="S295">
        <v>132</v>
      </c>
      <c r="T295" s="5">
        <v>9</v>
      </c>
      <c r="U295" s="5">
        <v>655</v>
      </c>
      <c r="V295" s="5">
        <v>0</v>
      </c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</row>
    <row r="296" spans="1:37" x14ac:dyDescent="0.25">
      <c r="A296" s="11">
        <f>Table1[[#This Row],[Milk Yield]]-J292</f>
        <v>213</v>
      </c>
      <c r="B296" t="s">
        <v>24</v>
      </c>
      <c r="C296" s="2">
        <v>2</v>
      </c>
      <c r="D296" s="12">
        <v>45541</v>
      </c>
      <c r="E296" s="2">
        <v>31</v>
      </c>
      <c r="F296" s="13">
        <v>0.66918981481481477</v>
      </c>
      <c r="G296" s="3">
        <v>0.87802083333333336</v>
      </c>
      <c r="H296" s="1">
        <v>0.20833333333333334</v>
      </c>
      <c r="I296" s="5">
        <v>674</v>
      </c>
      <c r="J296">
        <v>6112</v>
      </c>
      <c r="K296">
        <v>134</v>
      </c>
      <c r="L296" s="5">
        <v>61</v>
      </c>
      <c r="M296" s="5">
        <v>674</v>
      </c>
      <c r="N296">
        <v>7</v>
      </c>
      <c r="O296">
        <v>667</v>
      </c>
      <c r="P296" s="1">
        <v>0.20069444444444445</v>
      </c>
      <c r="Q296" s="5">
        <v>1220</v>
      </c>
      <c r="R296" s="14">
        <v>9.1</v>
      </c>
      <c r="S296">
        <v>134</v>
      </c>
      <c r="T296" s="5">
        <v>7</v>
      </c>
      <c r="U296" s="5">
        <v>667</v>
      </c>
      <c r="V296" s="5">
        <v>0</v>
      </c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</row>
    <row r="297" spans="1:37" x14ac:dyDescent="0.25">
      <c r="A297" s="11">
        <f>Table1[[#This Row],[Milk Yield]]-J293</f>
        <v>164</v>
      </c>
      <c r="B297" t="s">
        <v>24</v>
      </c>
      <c r="C297" s="2">
        <v>3</v>
      </c>
      <c r="D297" s="12">
        <v>45541</v>
      </c>
      <c r="E297" s="2">
        <v>34</v>
      </c>
      <c r="F297" s="13">
        <v>2.2453703703703702E-3</v>
      </c>
      <c r="G297" s="3">
        <v>0.2018287037037037</v>
      </c>
      <c r="H297" s="1">
        <v>0.19930555555555557</v>
      </c>
      <c r="I297" s="5">
        <v>668</v>
      </c>
      <c r="J297">
        <v>5248</v>
      </c>
      <c r="K297">
        <v>139</v>
      </c>
      <c r="L297" s="5">
        <v>90</v>
      </c>
      <c r="M297" s="5">
        <v>668</v>
      </c>
      <c r="N297">
        <v>13</v>
      </c>
      <c r="O297">
        <v>655</v>
      </c>
      <c r="P297" s="1">
        <v>0.18888888888888888</v>
      </c>
      <c r="Q297" s="5">
        <v>1096</v>
      </c>
      <c r="R297" s="14">
        <v>7.9</v>
      </c>
      <c r="S297">
        <v>139</v>
      </c>
      <c r="T297" s="5">
        <v>13</v>
      </c>
      <c r="U297" s="5">
        <v>655</v>
      </c>
      <c r="V297" s="5">
        <v>0</v>
      </c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</row>
    <row r="298" spans="1:37" x14ac:dyDescent="0.25">
      <c r="A298" s="11" t="e">
        <f>Table1[[#This Row],[Milk Yield]]-J294</f>
        <v>#VALUE!</v>
      </c>
      <c r="B298" t="s">
        <v>0</v>
      </c>
      <c r="C298" s="2" t="s">
        <v>1</v>
      </c>
      <c r="D298" s="12" t="s">
        <v>2</v>
      </c>
      <c r="E298" s="2" t="s">
        <v>3</v>
      </c>
      <c r="F298" s="13" t="s">
        <v>4</v>
      </c>
      <c r="G298" s="3" t="s">
        <v>5</v>
      </c>
      <c r="H298" s="1" t="s">
        <v>6</v>
      </c>
      <c r="I298" s="5" t="s">
        <v>8</v>
      </c>
      <c r="J298" t="s">
        <v>9</v>
      </c>
      <c r="K298" t="s">
        <v>10</v>
      </c>
      <c r="L298" s="5" t="s">
        <v>11</v>
      </c>
      <c r="M298" s="5" t="s">
        <v>12</v>
      </c>
      <c r="N298" t="s">
        <v>13</v>
      </c>
      <c r="O298" t="s">
        <v>20</v>
      </c>
      <c r="P298" t="s">
        <v>7</v>
      </c>
      <c r="Q298" s="5" t="s">
        <v>15</v>
      </c>
      <c r="R298" s="14" t="s">
        <v>18</v>
      </c>
      <c r="S298" t="s">
        <v>16</v>
      </c>
      <c r="T298" s="5" t="s">
        <v>14</v>
      </c>
      <c r="U298" s="5" t="s">
        <v>17</v>
      </c>
      <c r="V298" s="5" t="s">
        <v>19</v>
      </c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</row>
    <row r="299" spans="1:37" x14ac:dyDescent="0.25">
      <c r="A299" s="11">
        <f>Table1[[#This Row],[Milk Yield]]-J295</f>
        <v>-405</v>
      </c>
      <c r="B299" t="s">
        <v>24</v>
      </c>
      <c r="C299" s="2">
        <v>1</v>
      </c>
      <c r="D299" s="12">
        <v>45542</v>
      </c>
      <c r="E299" s="2">
        <v>32</v>
      </c>
      <c r="F299" s="13">
        <v>0.33255787037037038</v>
      </c>
      <c r="G299" s="3">
        <v>0.54243055555555553</v>
      </c>
      <c r="H299" s="1">
        <v>0.20972222222222223</v>
      </c>
      <c r="I299" s="5">
        <v>655</v>
      </c>
      <c r="J299">
        <v>6127</v>
      </c>
      <c r="K299">
        <v>130</v>
      </c>
      <c r="L299" s="5">
        <v>130</v>
      </c>
      <c r="M299" s="5">
        <v>655</v>
      </c>
      <c r="N299">
        <v>12</v>
      </c>
      <c r="O299">
        <v>643</v>
      </c>
      <c r="P299" s="1">
        <v>0.2048611111111111</v>
      </c>
      <c r="Q299" s="5">
        <v>1216</v>
      </c>
      <c r="R299" s="14">
        <v>9.4</v>
      </c>
      <c r="S299">
        <v>130</v>
      </c>
      <c r="T299" s="5">
        <v>12</v>
      </c>
      <c r="U299" s="5">
        <v>643</v>
      </c>
      <c r="V299" s="5">
        <v>0</v>
      </c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</row>
    <row r="300" spans="1:37" x14ac:dyDescent="0.25">
      <c r="A300" s="11">
        <f>Table1[[#This Row],[Milk Yield]]-J296</f>
        <v>-26</v>
      </c>
      <c r="B300" t="s">
        <v>24</v>
      </c>
      <c r="C300" s="2">
        <v>2</v>
      </c>
      <c r="D300" s="12">
        <v>45542</v>
      </c>
      <c r="E300" s="2">
        <v>35</v>
      </c>
      <c r="F300" s="13">
        <v>0.66968749999999999</v>
      </c>
      <c r="G300" s="3">
        <v>0.88429398148148153</v>
      </c>
      <c r="H300" s="1">
        <v>0.21458333333333332</v>
      </c>
      <c r="I300" s="5">
        <v>673</v>
      </c>
      <c r="J300">
        <v>6086</v>
      </c>
      <c r="K300">
        <v>131</v>
      </c>
      <c r="L300" s="5">
        <v>93</v>
      </c>
      <c r="M300" s="5">
        <v>673</v>
      </c>
      <c r="N300">
        <v>13</v>
      </c>
      <c r="O300">
        <v>660</v>
      </c>
      <c r="P300" s="1">
        <v>0.20277777777777778</v>
      </c>
      <c r="Q300" s="5">
        <v>1182</v>
      </c>
      <c r="R300" s="14">
        <v>9.1</v>
      </c>
      <c r="S300">
        <v>131</v>
      </c>
      <c r="T300" s="5">
        <v>13</v>
      </c>
      <c r="U300" s="5">
        <v>660</v>
      </c>
      <c r="V300" s="5">
        <v>0</v>
      </c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</row>
    <row r="301" spans="1:37" x14ac:dyDescent="0.25">
      <c r="A301" s="11">
        <f>Table1[[#This Row],[Milk Yield]]-J297</f>
        <v>-236</v>
      </c>
      <c r="B301" t="s">
        <v>24</v>
      </c>
      <c r="C301" s="2">
        <v>3</v>
      </c>
      <c r="D301" s="12">
        <v>45542</v>
      </c>
      <c r="E301" s="2">
        <v>34</v>
      </c>
      <c r="F301" s="13">
        <v>3.5069444444444445E-3</v>
      </c>
      <c r="G301" s="3">
        <v>0.19616898148148149</v>
      </c>
      <c r="H301" s="1">
        <v>0.19236111111111112</v>
      </c>
      <c r="I301" s="5">
        <v>666</v>
      </c>
      <c r="J301">
        <v>5012</v>
      </c>
      <c r="K301">
        <v>144</v>
      </c>
      <c r="L301" s="5">
        <v>72</v>
      </c>
      <c r="M301" s="5">
        <v>666</v>
      </c>
      <c r="N301">
        <v>14</v>
      </c>
      <c r="O301">
        <v>652</v>
      </c>
      <c r="P301" s="1">
        <v>0.18819444444444444</v>
      </c>
      <c r="Q301" s="5">
        <v>1084</v>
      </c>
      <c r="R301" s="14">
        <v>7.6</v>
      </c>
      <c r="S301">
        <v>144</v>
      </c>
      <c r="T301" s="5">
        <v>14</v>
      </c>
      <c r="U301" s="5">
        <v>652</v>
      </c>
      <c r="V301" s="5">
        <v>0</v>
      </c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</row>
    <row r="302" spans="1:37" x14ac:dyDescent="0.25">
      <c r="A302" s="11" t="e">
        <f>Table1[[#This Row],[Milk Yield]]-J298</f>
        <v>#VALUE!</v>
      </c>
      <c r="B302" t="s">
        <v>0</v>
      </c>
      <c r="C302" s="2" t="s">
        <v>1</v>
      </c>
      <c r="D302" s="12" t="s">
        <v>2</v>
      </c>
      <c r="E302" s="2" t="s">
        <v>3</v>
      </c>
      <c r="F302" s="13" t="s">
        <v>4</v>
      </c>
      <c r="G302" s="3" t="s">
        <v>5</v>
      </c>
      <c r="H302" s="1" t="s">
        <v>6</v>
      </c>
      <c r="I302" s="5" t="s">
        <v>8</v>
      </c>
      <c r="J302" t="s">
        <v>9</v>
      </c>
      <c r="K302" t="s">
        <v>10</v>
      </c>
      <c r="L302" s="5" t="s">
        <v>11</v>
      </c>
      <c r="M302" s="5" t="s">
        <v>12</v>
      </c>
      <c r="N302" t="s">
        <v>13</v>
      </c>
      <c r="O302" t="s">
        <v>20</v>
      </c>
      <c r="P302" t="s">
        <v>7</v>
      </c>
      <c r="Q302" s="5" t="s">
        <v>15</v>
      </c>
      <c r="R302" s="14" t="s">
        <v>18</v>
      </c>
      <c r="S302" t="s">
        <v>16</v>
      </c>
      <c r="T302" s="5" t="s">
        <v>14</v>
      </c>
      <c r="U302" s="5" t="s">
        <v>17</v>
      </c>
      <c r="V302" s="5" t="s">
        <v>19</v>
      </c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</row>
    <row r="303" spans="1:37" x14ac:dyDescent="0.25">
      <c r="A303" s="11">
        <f>Table1[[#This Row],[Milk Yield]]-J299</f>
        <v>33</v>
      </c>
      <c r="B303" t="s">
        <v>24</v>
      </c>
      <c r="C303" s="2">
        <v>1</v>
      </c>
      <c r="D303" s="12">
        <v>45543</v>
      </c>
      <c r="E303" s="2">
        <v>32</v>
      </c>
      <c r="F303" s="13">
        <v>0.33140046296296294</v>
      </c>
      <c r="G303" s="3">
        <v>0.53619212962962959</v>
      </c>
      <c r="H303" s="1">
        <v>0.20416666666666666</v>
      </c>
      <c r="I303" s="5">
        <v>668</v>
      </c>
      <c r="J303">
        <v>6160</v>
      </c>
      <c r="K303">
        <v>136</v>
      </c>
      <c r="L303" s="5">
        <v>283</v>
      </c>
      <c r="M303" s="5">
        <v>668</v>
      </c>
      <c r="N303">
        <v>29</v>
      </c>
      <c r="O303">
        <v>639</v>
      </c>
      <c r="P303" s="1">
        <v>0.1986111111111111</v>
      </c>
      <c r="Q303" s="5">
        <v>1253</v>
      </c>
      <c r="R303" s="14">
        <v>9.3000000000000007</v>
      </c>
      <c r="S303">
        <v>136</v>
      </c>
      <c r="T303" s="5">
        <v>29</v>
      </c>
      <c r="U303" s="5">
        <v>639</v>
      </c>
      <c r="V303" s="5">
        <v>0</v>
      </c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</row>
    <row r="304" spans="1:37" x14ac:dyDescent="0.25">
      <c r="A304" s="11">
        <f>Table1[[#This Row],[Milk Yield]]-J300</f>
        <v>-55</v>
      </c>
      <c r="B304" t="s">
        <v>24</v>
      </c>
      <c r="C304" s="2">
        <v>2</v>
      </c>
      <c r="D304" s="12">
        <v>45543</v>
      </c>
      <c r="E304" s="2">
        <v>32</v>
      </c>
      <c r="F304" s="13">
        <v>0.67133101851851851</v>
      </c>
      <c r="G304" s="3">
        <v>0.87993055555555555</v>
      </c>
      <c r="H304" s="1">
        <v>0.20833333333333334</v>
      </c>
      <c r="I304" s="5">
        <v>659</v>
      </c>
      <c r="J304">
        <v>6031</v>
      </c>
      <c r="K304">
        <v>132</v>
      </c>
      <c r="L304" s="5">
        <v>55</v>
      </c>
      <c r="M304" s="5">
        <v>659</v>
      </c>
      <c r="N304">
        <v>8</v>
      </c>
      <c r="O304">
        <v>651</v>
      </c>
      <c r="P304" s="1">
        <v>0.19722222222222222</v>
      </c>
      <c r="Q304" s="5">
        <v>1205</v>
      </c>
      <c r="R304" s="14">
        <v>9.1999999999999993</v>
      </c>
      <c r="S304">
        <v>132</v>
      </c>
      <c r="T304" s="5">
        <v>8</v>
      </c>
      <c r="U304" s="5">
        <v>651</v>
      </c>
      <c r="V304" s="5">
        <v>0</v>
      </c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</row>
    <row r="305" spans="1:37" x14ac:dyDescent="0.25">
      <c r="A305" s="11">
        <f>Table1[[#This Row],[Milk Yield]]-J301</f>
        <v>379</v>
      </c>
      <c r="B305" t="s">
        <v>24</v>
      </c>
      <c r="C305" s="2">
        <v>3</v>
      </c>
      <c r="D305" s="12">
        <v>45543</v>
      </c>
      <c r="E305" s="2">
        <v>32</v>
      </c>
      <c r="F305" s="13">
        <v>5.7754629629629631E-3</v>
      </c>
      <c r="G305" s="3">
        <v>0.20793981481481483</v>
      </c>
      <c r="H305" s="1">
        <v>0.20208333333333334</v>
      </c>
      <c r="I305" s="5">
        <v>669</v>
      </c>
      <c r="J305">
        <v>5391</v>
      </c>
      <c r="K305">
        <v>138</v>
      </c>
      <c r="L305" s="5">
        <v>47</v>
      </c>
      <c r="M305" s="5">
        <v>669</v>
      </c>
      <c r="N305">
        <v>5</v>
      </c>
      <c r="O305">
        <v>664</v>
      </c>
      <c r="P305" s="1">
        <v>0.19375000000000001</v>
      </c>
      <c r="Q305" s="5">
        <v>1111</v>
      </c>
      <c r="R305" s="14">
        <v>8.1</v>
      </c>
      <c r="S305">
        <v>138</v>
      </c>
      <c r="T305" s="5">
        <v>5</v>
      </c>
      <c r="U305" s="5">
        <v>664</v>
      </c>
      <c r="V305" s="5">
        <v>0</v>
      </c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</row>
    <row r="306" spans="1:37" x14ac:dyDescent="0.25">
      <c r="A306" s="11" t="e">
        <f>Table1[[#This Row],[Milk Yield]]-J302</f>
        <v>#VALUE!</v>
      </c>
      <c r="B306" t="s">
        <v>0</v>
      </c>
      <c r="C306" s="2" t="s">
        <v>1</v>
      </c>
      <c r="D306" s="12" t="s">
        <v>2</v>
      </c>
      <c r="E306" s="2" t="s">
        <v>3</v>
      </c>
      <c r="F306" s="13" t="s">
        <v>4</v>
      </c>
      <c r="G306" s="3" t="s">
        <v>5</v>
      </c>
      <c r="H306" s="1" t="s">
        <v>6</v>
      </c>
      <c r="I306" s="5" t="s">
        <v>8</v>
      </c>
      <c r="J306" t="s">
        <v>9</v>
      </c>
      <c r="K306" t="s">
        <v>10</v>
      </c>
      <c r="L306" s="5" t="s">
        <v>11</v>
      </c>
      <c r="M306" s="5" t="s">
        <v>12</v>
      </c>
      <c r="N306" t="s">
        <v>13</v>
      </c>
      <c r="O306" t="s">
        <v>20</v>
      </c>
      <c r="P306" t="s">
        <v>7</v>
      </c>
      <c r="Q306" s="5" t="s">
        <v>15</v>
      </c>
      <c r="R306" s="14" t="s">
        <v>18</v>
      </c>
      <c r="S306" t="s">
        <v>16</v>
      </c>
      <c r="T306" s="5" t="s">
        <v>14</v>
      </c>
      <c r="U306" s="5" t="s">
        <v>17</v>
      </c>
      <c r="V306" s="5" t="s">
        <v>19</v>
      </c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</row>
    <row r="307" spans="1:37" x14ac:dyDescent="0.25">
      <c r="A307" s="11">
        <f>Table1[[#This Row],[Milk Yield]]-J303</f>
        <v>-31</v>
      </c>
      <c r="B307" t="s">
        <v>24</v>
      </c>
      <c r="C307" s="2">
        <v>1</v>
      </c>
      <c r="D307" s="12">
        <v>45544</v>
      </c>
      <c r="E307" s="2">
        <v>31</v>
      </c>
      <c r="F307" s="13">
        <v>0.33828703703703705</v>
      </c>
      <c r="G307" s="3">
        <v>0.54105324074074079</v>
      </c>
      <c r="H307" s="1">
        <v>0.20208333333333334</v>
      </c>
      <c r="I307" s="5">
        <v>658</v>
      </c>
      <c r="J307">
        <v>6129</v>
      </c>
      <c r="K307">
        <v>135</v>
      </c>
      <c r="L307" s="5">
        <v>121</v>
      </c>
      <c r="M307" s="5">
        <v>658</v>
      </c>
      <c r="N307">
        <v>13</v>
      </c>
      <c r="O307">
        <v>645</v>
      </c>
      <c r="P307" s="1">
        <v>0.22222222222222221</v>
      </c>
      <c r="Q307" s="5">
        <v>1259</v>
      </c>
      <c r="R307" s="14">
        <v>9.4</v>
      </c>
      <c r="S307">
        <v>135</v>
      </c>
      <c r="T307" s="5">
        <v>13</v>
      </c>
      <c r="U307" s="5">
        <v>644</v>
      </c>
      <c r="V307" s="5">
        <v>0</v>
      </c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</row>
    <row r="308" spans="1:37" x14ac:dyDescent="0.25">
      <c r="A308" s="11">
        <f>Table1[[#This Row],[Milk Yield]]-J304</f>
        <v>-140</v>
      </c>
      <c r="B308" t="s">
        <v>24</v>
      </c>
      <c r="C308" s="2">
        <v>2</v>
      </c>
      <c r="D308" s="12">
        <v>45544</v>
      </c>
      <c r="E308" s="2">
        <v>36</v>
      </c>
      <c r="F308" s="13">
        <v>0.66508101851851853</v>
      </c>
      <c r="G308" s="3">
        <v>0.8772106481481482</v>
      </c>
      <c r="H308" s="1">
        <v>0.21180555555555555</v>
      </c>
      <c r="I308" s="5">
        <v>680</v>
      </c>
      <c r="J308">
        <v>5891</v>
      </c>
      <c r="K308">
        <v>134</v>
      </c>
      <c r="L308" s="5">
        <v>616</v>
      </c>
      <c r="M308" s="5">
        <v>680</v>
      </c>
      <c r="N308">
        <v>71</v>
      </c>
      <c r="O308">
        <v>609</v>
      </c>
      <c r="P308" s="1">
        <v>0.21041666666666667</v>
      </c>
      <c r="Q308" s="5">
        <v>1157</v>
      </c>
      <c r="R308" s="14">
        <v>8.6999999999999993</v>
      </c>
      <c r="S308">
        <v>134</v>
      </c>
      <c r="T308" s="5">
        <v>71</v>
      </c>
      <c r="U308" s="5">
        <v>609</v>
      </c>
      <c r="V308" s="5">
        <v>0</v>
      </c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</row>
    <row r="309" spans="1:37" x14ac:dyDescent="0.25">
      <c r="A309" s="11">
        <f>Table1[[#This Row],[Milk Yield]]-J305</f>
        <v>275</v>
      </c>
      <c r="B309" t="s">
        <v>24</v>
      </c>
      <c r="C309" s="2">
        <v>3</v>
      </c>
      <c r="D309" s="12">
        <v>45544</v>
      </c>
      <c r="E309" s="2">
        <v>34</v>
      </c>
      <c r="F309" s="13">
        <v>3.4837962962962965E-3</v>
      </c>
      <c r="G309" s="3">
        <v>0.2131712962962963</v>
      </c>
      <c r="H309" s="1">
        <v>0.20902777777777778</v>
      </c>
      <c r="I309" s="5">
        <v>660</v>
      </c>
      <c r="J309">
        <v>5666</v>
      </c>
      <c r="K309">
        <v>131</v>
      </c>
      <c r="L309" s="5">
        <v>97</v>
      </c>
      <c r="M309" s="5">
        <v>660</v>
      </c>
      <c r="N309">
        <v>16</v>
      </c>
      <c r="O309">
        <v>644</v>
      </c>
      <c r="P309" s="1">
        <v>0.18611111111111112</v>
      </c>
      <c r="Q309" s="5">
        <v>1126</v>
      </c>
      <c r="R309" s="14">
        <v>8.6</v>
      </c>
      <c r="S309">
        <v>131</v>
      </c>
      <c r="T309" s="5">
        <v>16</v>
      </c>
      <c r="U309" s="5">
        <v>644</v>
      </c>
      <c r="V309" s="5">
        <v>0</v>
      </c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</row>
    <row r="310" spans="1:37" x14ac:dyDescent="0.25">
      <c r="A310" s="11" t="e">
        <f>Table1[[#This Row],[Milk Yield]]-J306</f>
        <v>#VALUE!</v>
      </c>
      <c r="B310" t="s">
        <v>0</v>
      </c>
      <c r="C310" s="2" t="s">
        <v>1</v>
      </c>
      <c r="D310" s="12" t="s">
        <v>2</v>
      </c>
      <c r="E310" s="2" t="s">
        <v>3</v>
      </c>
      <c r="F310" s="13" t="s">
        <v>4</v>
      </c>
      <c r="G310" s="3" t="s">
        <v>5</v>
      </c>
      <c r="H310" s="1" t="s">
        <v>6</v>
      </c>
      <c r="I310" s="5" t="s">
        <v>8</v>
      </c>
      <c r="J310" t="s">
        <v>9</v>
      </c>
      <c r="K310" t="s">
        <v>10</v>
      </c>
      <c r="L310" s="5" t="s">
        <v>11</v>
      </c>
      <c r="M310" s="5" t="s">
        <v>12</v>
      </c>
      <c r="N310" t="s">
        <v>13</v>
      </c>
      <c r="O310" t="s">
        <v>20</v>
      </c>
      <c r="P310" t="s">
        <v>7</v>
      </c>
      <c r="Q310" s="5" t="s">
        <v>15</v>
      </c>
      <c r="R310" s="14" t="s">
        <v>18</v>
      </c>
      <c r="S310" t="s">
        <v>16</v>
      </c>
      <c r="T310" s="5" t="s">
        <v>14</v>
      </c>
      <c r="U310" s="5" t="s">
        <v>17</v>
      </c>
      <c r="V310" s="5" t="s">
        <v>19</v>
      </c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</row>
    <row r="311" spans="1:37" x14ac:dyDescent="0.25">
      <c r="A311" s="11">
        <f>Table1[[#This Row],[Milk Yield]]-J307</f>
        <v>262</v>
      </c>
      <c r="B311" t="s">
        <v>24</v>
      </c>
      <c r="C311" s="2">
        <v>1</v>
      </c>
      <c r="D311" s="12">
        <v>45545</v>
      </c>
      <c r="E311" s="2">
        <v>31</v>
      </c>
      <c r="F311" s="13">
        <v>0.33703703703703702</v>
      </c>
      <c r="G311" s="3">
        <v>0.55598379629629635</v>
      </c>
      <c r="H311" s="1">
        <v>0.21875</v>
      </c>
      <c r="I311" s="5">
        <v>665</v>
      </c>
      <c r="J311">
        <v>6391</v>
      </c>
      <c r="K311">
        <v>127</v>
      </c>
      <c r="L311" s="5">
        <v>545</v>
      </c>
      <c r="M311" s="5">
        <v>665</v>
      </c>
      <c r="N311">
        <v>63</v>
      </c>
      <c r="O311">
        <v>602</v>
      </c>
      <c r="P311" s="1">
        <v>0.23125000000000001</v>
      </c>
      <c r="Q311" s="5">
        <v>1216</v>
      </c>
      <c r="R311" s="14">
        <v>9.6999999999999993</v>
      </c>
      <c r="S311">
        <v>127</v>
      </c>
      <c r="T311" s="5">
        <v>63</v>
      </c>
      <c r="U311" s="5">
        <v>600</v>
      </c>
      <c r="V311" s="5">
        <v>0</v>
      </c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</row>
    <row r="312" spans="1:37" x14ac:dyDescent="0.25">
      <c r="A312" s="11">
        <f>Table1[[#This Row],[Milk Yield]]-J308</f>
        <v>-173</v>
      </c>
      <c r="B312" t="s">
        <v>24</v>
      </c>
      <c r="C312" s="2">
        <v>2</v>
      </c>
      <c r="D312" s="12">
        <v>45545</v>
      </c>
      <c r="E312" s="2">
        <v>37</v>
      </c>
      <c r="F312" s="13">
        <v>0.6627777777777778</v>
      </c>
      <c r="G312" s="3">
        <v>0.88124999999999998</v>
      </c>
      <c r="H312" s="1">
        <v>0.21805555555555556</v>
      </c>
      <c r="I312" s="5">
        <v>677</v>
      </c>
      <c r="J312">
        <v>5718</v>
      </c>
      <c r="K312">
        <v>129</v>
      </c>
      <c r="L312" s="5">
        <v>425</v>
      </c>
      <c r="M312" s="5">
        <v>677</v>
      </c>
      <c r="N312">
        <v>52</v>
      </c>
      <c r="O312">
        <v>625</v>
      </c>
      <c r="P312" s="1">
        <v>0.2013888888888889</v>
      </c>
      <c r="Q312" s="5">
        <v>1091</v>
      </c>
      <c r="R312" s="14">
        <v>8.5</v>
      </c>
      <c r="S312">
        <v>129</v>
      </c>
      <c r="T312" s="5">
        <v>52</v>
      </c>
      <c r="U312" s="5">
        <v>625</v>
      </c>
      <c r="V312" s="5">
        <v>0</v>
      </c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</row>
    <row r="313" spans="1:37" x14ac:dyDescent="0.25">
      <c r="A313" s="11">
        <f>Table1[[#This Row],[Milk Yield]]-J309</f>
        <v>-295</v>
      </c>
      <c r="B313" t="s">
        <v>24</v>
      </c>
      <c r="C313" s="2">
        <v>3</v>
      </c>
      <c r="D313" s="12">
        <v>45545</v>
      </c>
      <c r="E313" s="2">
        <v>33</v>
      </c>
      <c r="F313" s="13">
        <v>1.7013888888888888E-3</v>
      </c>
      <c r="G313" s="3">
        <v>0.2046412037037037</v>
      </c>
      <c r="H313" s="1">
        <v>0.20277777777777778</v>
      </c>
      <c r="I313" s="5">
        <v>661</v>
      </c>
      <c r="J313">
        <v>5371</v>
      </c>
      <c r="K313">
        <v>136</v>
      </c>
      <c r="L313" s="5">
        <v>30</v>
      </c>
      <c r="M313" s="5">
        <v>661</v>
      </c>
      <c r="N313">
        <v>8</v>
      </c>
      <c r="O313">
        <v>653</v>
      </c>
      <c r="P313" s="1">
        <v>0.18472222222222223</v>
      </c>
      <c r="Q313" s="5">
        <v>1103</v>
      </c>
      <c r="R313" s="14">
        <v>8.1999999999999993</v>
      </c>
      <c r="S313">
        <v>136</v>
      </c>
      <c r="T313" s="5">
        <v>8</v>
      </c>
      <c r="U313" s="5">
        <v>653</v>
      </c>
      <c r="V313" s="5">
        <v>0</v>
      </c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</row>
    <row r="314" spans="1:37" x14ac:dyDescent="0.25">
      <c r="A314" s="11" t="e">
        <f>Table1[[#This Row],[Milk Yield]]-J310</f>
        <v>#VALUE!</v>
      </c>
      <c r="B314" t="s">
        <v>0</v>
      </c>
      <c r="C314" s="2" t="s">
        <v>1</v>
      </c>
      <c r="D314" s="12" t="s">
        <v>2</v>
      </c>
      <c r="E314" s="2" t="s">
        <v>3</v>
      </c>
      <c r="F314" s="13" t="s">
        <v>4</v>
      </c>
      <c r="G314" s="3" t="s">
        <v>5</v>
      </c>
      <c r="H314" s="1" t="s">
        <v>6</v>
      </c>
      <c r="I314" s="5" t="s">
        <v>8</v>
      </c>
      <c r="J314" t="s">
        <v>9</v>
      </c>
      <c r="K314" t="s">
        <v>10</v>
      </c>
      <c r="L314" s="5" t="s">
        <v>11</v>
      </c>
      <c r="M314" s="5" t="s">
        <v>12</v>
      </c>
      <c r="N314" t="s">
        <v>13</v>
      </c>
      <c r="O314" t="s">
        <v>20</v>
      </c>
      <c r="P314" t="s">
        <v>7</v>
      </c>
      <c r="Q314" s="5" t="s">
        <v>15</v>
      </c>
      <c r="R314" s="14" t="s">
        <v>18</v>
      </c>
      <c r="S314" t="s">
        <v>16</v>
      </c>
      <c r="T314" s="5" t="s">
        <v>14</v>
      </c>
      <c r="U314" s="5" t="s">
        <v>17</v>
      </c>
      <c r="V314" s="5" t="s">
        <v>19</v>
      </c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</row>
    <row r="315" spans="1:37" x14ac:dyDescent="0.25">
      <c r="A315" s="11">
        <f>Table1[[#This Row],[Milk Yield]]-J311</f>
        <v>147</v>
      </c>
      <c r="B315" t="s">
        <v>24</v>
      </c>
      <c r="C315" s="2">
        <v>1</v>
      </c>
      <c r="D315" s="12">
        <v>45546</v>
      </c>
      <c r="E315" s="2">
        <v>33</v>
      </c>
      <c r="F315" s="13">
        <v>0.33750000000000002</v>
      </c>
      <c r="G315" s="3">
        <v>0.54802083333333329</v>
      </c>
      <c r="H315" s="1">
        <v>0.21041666666666667</v>
      </c>
      <c r="I315" s="5">
        <v>680</v>
      </c>
      <c r="J315">
        <v>6538</v>
      </c>
      <c r="K315">
        <v>135</v>
      </c>
      <c r="L315" s="5">
        <v>279</v>
      </c>
      <c r="M315" s="5">
        <v>680</v>
      </c>
      <c r="N315">
        <v>47</v>
      </c>
      <c r="O315">
        <v>633</v>
      </c>
      <c r="P315" s="1">
        <v>0.22847222222222222</v>
      </c>
      <c r="Q315" s="5">
        <v>1294</v>
      </c>
      <c r="R315" s="14">
        <v>9.6999999999999993</v>
      </c>
      <c r="S315">
        <v>135</v>
      </c>
      <c r="T315" s="5">
        <v>47</v>
      </c>
      <c r="U315" s="5">
        <v>624</v>
      </c>
      <c r="V315" s="5">
        <v>0</v>
      </c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</row>
    <row r="316" spans="1:37" x14ac:dyDescent="0.25">
      <c r="A316" s="11">
        <f>Table1[[#This Row],[Milk Yield]]-J312</f>
        <v>-329</v>
      </c>
      <c r="B316" t="s">
        <v>24</v>
      </c>
      <c r="C316" s="2">
        <v>2</v>
      </c>
      <c r="D316" s="12">
        <v>45546</v>
      </c>
      <c r="E316" s="2">
        <v>37</v>
      </c>
      <c r="F316" s="13">
        <v>0.66363425925925923</v>
      </c>
      <c r="G316" s="3">
        <v>0.88869212962962962</v>
      </c>
      <c r="H316" s="1">
        <v>0.22500000000000001</v>
      </c>
      <c r="I316" s="5">
        <v>698</v>
      </c>
      <c r="J316">
        <v>5389</v>
      </c>
      <c r="K316">
        <v>129</v>
      </c>
      <c r="L316" s="5">
        <v>466</v>
      </c>
      <c r="M316" s="5">
        <v>698</v>
      </c>
      <c r="N316">
        <v>67</v>
      </c>
      <c r="O316">
        <v>631</v>
      </c>
      <c r="P316" s="1">
        <v>0.20069444444444445</v>
      </c>
      <c r="Q316" s="5">
        <v>998</v>
      </c>
      <c r="R316" s="14">
        <v>7.8</v>
      </c>
      <c r="S316">
        <v>129</v>
      </c>
      <c r="T316" s="5">
        <v>67</v>
      </c>
      <c r="U316" s="5">
        <v>631</v>
      </c>
      <c r="V316" s="5">
        <v>0</v>
      </c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</row>
    <row r="317" spans="1:37" x14ac:dyDescent="0.25">
      <c r="A317" s="11">
        <f>Table1[[#This Row],[Milk Yield]]-J313</f>
        <v>310</v>
      </c>
      <c r="B317" t="s">
        <v>24</v>
      </c>
      <c r="C317" s="2">
        <v>3</v>
      </c>
      <c r="D317" s="12">
        <v>45546</v>
      </c>
      <c r="E317" s="2">
        <v>37</v>
      </c>
      <c r="F317" s="13">
        <v>4.2129629629629626E-3</v>
      </c>
      <c r="G317" s="3">
        <v>0.22193287037037038</v>
      </c>
      <c r="H317" s="1">
        <v>0.21736111111111112</v>
      </c>
      <c r="I317" s="5">
        <v>680</v>
      </c>
      <c r="J317">
        <v>5681</v>
      </c>
      <c r="K317">
        <v>130</v>
      </c>
      <c r="L317" s="5">
        <v>73</v>
      </c>
      <c r="M317" s="5">
        <v>680</v>
      </c>
      <c r="N317">
        <v>26</v>
      </c>
      <c r="O317">
        <v>654</v>
      </c>
      <c r="P317" s="1">
        <v>0.18958333333333333</v>
      </c>
      <c r="Q317" s="5">
        <v>1087</v>
      </c>
      <c r="R317" s="14">
        <v>8.4</v>
      </c>
      <c r="S317">
        <v>130</v>
      </c>
      <c r="T317" s="5">
        <v>26</v>
      </c>
      <c r="U317" s="5">
        <v>654</v>
      </c>
      <c r="V317" s="5">
        <v>0</v>
      </c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</row>
    <row r="318" spans="1:37" x14ac:dyDescent="0.25">
      <c r="A318" s="11" t="e">
        <f>Table1[[#This Row],[Milk Yield]]-J314</f>
        <v>#VALUE!</v>
      </c>
      <c r="B318" t="s">
        <v>0</v>
      </c>
      <c r="C318" s="2" t="s">
        <v>1</v>
      </c>
      <c r="D318" s="12" t="s">
        <v>2</v>
      </c>
      <c r="E318" s="2" t="s">
        <v>3</v>
      </c>
      <c r="F318" s="13" t="s">
        <v>4</v>
      </c>
      <c r="G318" s="3" t="s">
        <v>5</v>
      </c>
      <c r="H318" s="1" t="s">
        <v>6</v>
      </c>
      <c r="I318" s="5" t="s">
        <v>8</v>
      </c>
      <c r="J318" t="s">
        <v>9</v>
      </c>
      <c r="K318" t="s">
        <v>10</v>
      </c>
      <c r="L318" s="5" t="s">
        <v>11</v>
      </c>
      <c r="M318" s="5" t="s">
        <v>12</v>
      </c>
      <c r="N318" t="s">
        <v>13</v>
      </c>
      <c r="O318" t="s">
        <v>20</v>
      </c>
      <c r="P318" t="s">
        <v>7</v>
      </c>
      <c r="Q318" s="5" t="s">
        <v>15</v>
      </c>
      <c r="R318" s="14" t="s">
        <v>18</v>
      </c>
      <c r="S318" t="s">
        <v>16</v>
      </c>
      <c r="T318" s="5" t="s">
        <v>14</v>
      </c>
      <c r="U318" s="5" t="s">
        <v>17</v>
      </c>
      <c r="V318" s="5" t="s">
        <v>19</v>
      </c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</row>
    <row r="319" spans="1:37" x14ac:dyDescent="0.25">
      <c r="A319" s="11">
        <f>Table1[[#This Row],[Milk Yield]]-J315</f>
        <v>140</v>
      </c>
      <c r="B319" t="s">
        <v>24</v>
      </c>
      <c r="C319" s="2">
        <v>1</v>
      </c>
      <c r="D319" s="12">
        <v>45547</v>
      </c>
      <c r="E319" s="2">
        <v>40</v>
      </c>
      <c r="F319" s="13">
        <v>0.33987268518518521</v>
      </c>
      <c r="G319" s="3">
        <v>0.56000000000000005</v>
      </c>
      <c r="H319" s="1">
        <v>0.21944444444444444</v>
      </c>
      <c r="I319" s="5">
        <v>665</v>
      </c>
      <c r="J319">
        <v>6678</v>
      </c>
      <c r="K319">
        <v>126</v>
      </c>
      <c r="L319" s="5">
        <v>339</v>
      </c>
      <c r="M319" s="5">
        <v>665</v>
      </c>
      <c r="N319">
        <v>48</v>
      </c>
      <c r="O319">
        <v>617</v>
      </c>
      <c r="P319" s="1">
        <v>0.21597222222222223</v>
      </c>
      <c r="Q319" s="5">
        <v>1264</v>
      </c>
      <c r="R319" s="14">
        <v>10.1</v>
      </c>
      <c r="S319">
        <v>126</v>
      </c>
      <c r="T319" s="5">
        <v>48</v>
      </c>
      <c r="U319" s="5">
        <v>617</v>
      </c>
      <c r="V319" s="5">
        <v>0</v>
      </c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</row>
    <row r="320" spans="1:37" x14ac:dyDescent="0.25">
      <c r="A320" s="11">
        <f>Table1[[#This Row],[Milk Yield]]-J316</f>
        <v>-170</v>
      </c>
      <c r="B320" t="s">
        <v>24</v>
      </c>
      <c r="C320" s="2">
        <v>2</v>
      </c>
      <c r="D320" s="12">
        <v>45547</v>
      </c>
      <c r="E320" s="2">
        <v>33</v>
      </c>
      <c r="F320" s="13">
        <v>0.67515046296296299</v>
      </c>
      <c r="G320" s="3">
        <v>0.89974537037037039</v>
      </c>
      <c r="H320" s="1">
        <v>0.22430555555555556</v>
      </c>
      <c r="I320" s="5">
        <v>659</v>
      </c>
      <c r="J320">
        <v>5219</v>
      </c>
      <c r="K320">
        <v>122</v>
      </c>
      <c r="L320" s="5">
        <v>315</v>
      </c>
      <c r="M320" s="5">
        <v>659</v>
      </c>
      <c r="N320">
        <v>48</v>
      </c>
      <c r="O320">
        <v>611</v>
      </c>
      <c r="P320" s="1">
        <v>0.20555555555555555</v>
      </c>
      <c r="Q320" s="5">
        <v>968</v>
      </c>
      <c r="R320" s="14">
        <v>8</v>
      </c>
      <c r="S320">
        <v>122</v>
      </c>
      <c r="T320" s="5">
        <v>48</v>
      </c>
      <c r="U320" s="5">
        <v>611</v>
      </c>
      <c r="V320" s="5">
        <v>0</v>
      </c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</row>
    <row r="321" spans="1:37" x14ac:dyDescent="0.25">
      <c r="A321" s="11">
        <f>Table1[[#This Row],[Milk Yield]]-J317</f>
        <v>-796</v>
      </c>
      <c r="B321" t="s">
        <v>24</v>
      </c>
      <c r="C321" s="2">
        <v>3</v>
      </c>
      <c r="D321" s="12">
        <v>45547</v>
      </c>
      <c r="E321" s="2">
        <v>37</v>
      </c>
      <c r="F321" s="13">
        <v>1.2037037037037038E-3</v>
      </c>
      <c r="G321" s="3">
        <v>0.18862268518518518</v>
      </c>
      <c r="H321" s="1">
        <v>0.18680555555555556</v>
      </c>
      <c r="I321" s="5">
        <v>665</v>
      </c>
      <c r="J321">
        <v>4885</v>
      </c>
      <c r="K321">
        <v>148</v>
      </c>
      <c r="L321" s="5">
        <v>31</v>
      </c>
      <c r="M321" s="5">
        <v>665</v>
      </c>
      <c r="N321">
        <v>6</v>
      </c>
      <c r="O321">
        <v>659</v>
      </c>
      <c r="P321" s="1">
        <v>0.17222222222222222</v>
      </c>
      <c r="Q321" s="5">
        <v>1086</v>
      </c>
      <c r="R321" s="14">
        <v>7.4</v>
      </c>
      <c r="S321">
        <v>148</v>
      </c>
      <c r="T321" s="5">
        <v>6</v>
      </c>
      <c r="U321" s="5">
        <v>659</v>
      </c>
      <c r="V321" s="5">
        <v>0</v>
      </c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</row>
    <row r="322" spans="1:37" x14ac:dyDescent="0.25">
      <c r="A322" s="11" t="e">
        <f>Table1[[#This Row],[Milk Yield]]-J318</f>
        <v>#VALUE!</v>
      </c>
      <c r="B322" t="s">
        <v>0</v>
      </c>
      <c r="C322" s="2" t="s">
        <v>1</v>
      </c>
      <c r="D322" s="12" t="s">
        <v>2</v>
      </c>
      <c r="E322" s="2" t="s">
        <v>3</v>
      </c>
      <c r="F322" s="13" t="s">
        <v>4</v>
      </c>
      <c r="G322" s="3" t="s">
        <v>5</v>
      </c>
      <c r="H322" s="1" t="s">
        <v>6</v>
      </c>
      <c r="I322" s="5" t="s">
        <v>8</v>
      </c>
      <c r="J322" t="s">
        <v>9</v>
      </c>
      <c r="K322" t="s">
        <v>10</v>
      </c>
      <c r="L322" s="5" t="s">
        <v>11</v>
      </c>
      <c r="M322" s="5" t="s">
        <v>12</v>
      </c>
      <c r="N322" t="s">
        <v>13</v>
      </c>
      <c r="O322" t="s">
        <v>20</v>
      </c>
      <c r="P322" t="s">
        <v>7</v>
      </c>
      <c r="Q322" s="5" t="s">
        <v>15</v>
      </c>
      <c r="R322" s="14" t="s">
        <v>18</v>
      </c>
      <c r="S322" t="s">
        <v>16</v>
      </c>
      <c r="T322" s="5" t="s">
        <v>14</v>
      </c>
      <c r="U322" s="5" t="s">
        <v>17</v>
      </c>
      <c r="V322" s="5" t="s">
        <v>19</v>
      </c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</row>
    <row r="323" spans="1:37" x14ac:dyDescent="0.25">
      <c r="A323" s="11">
        <f>Table1[[#This Row],[Milk Yield]]-J319</f>
        <v>309</v>
      </c>
      <c r="B323" t="s">
        <v>24</v>
      </c>
      <c r="C323" s="2">
        <v>1</v>
      </c>
      <c r="D323" s="12">
        <v>45548</v>
      </c>
      <c r="E323" s="2">
        <v>38</v>
      </c>
      <c r="F323" s="13">
        <v>0.33721064814814816</v>
      </c>
      <c r="G323" s="3">
        <v>0.56973379629629628</v>
      </c>
      <c r="H323" s="1">
        <v>0.23194444444444445</v>
      </c>
      <c r="I323" s="5">
        <v>682</v>
      </c>
      <c r="J323">
        <v>6987</v>
      </c>
      <c r="K323">
        <v>122</v>
      </c>
      <c r="L323" s="5">
        <v>560</v>
      </c>
      <c r="M323" s="5">
        <v>682</v>
      </c>
      <c r="N323">
        <v>42</v>
      </c>
      <c r="O323">
        <v>640</v>
      </c>
      <c r="P323" s="1">
        <v>0.21875</v>
      </c>
      <c r="Q323" s="5">
        <v>1252</v>
      </c>
      <c r="R323" s="14">
        <v>10.3</v>
      </c>
      <c r="S323">
        <v>122</v>
      </c>
      <c r="T323" s="5">
        <v>42</v>
      </c>
      <c r="U323" s="5">
        <v>640</v>
      </c>
      <c r="V323" s="5">
        <v>0</v>
      </c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</row>
    <row r="324" spans="1:37" x14ac:dyDescent="0.25">
      <c r="A324" s="11">
        <f>Table1[[#This Row],[Milk Yield]]-J320</f>
        <v>232</v>
      </c>
      <c r="B324" t="s">
        <v>24</v>
      </c>
      <c r="C324" s="2">
        <v>2</v>
      </c>
      <c r="D324" s="12">
        <v>45548</v>
      </c>
      <c r="E324" s="2">
        <v>33</v>
      </c>
      <c r="F324" s="13">
        <v>0.66825231481481484</v>
      </c>
      <c r="G324" s="3">
        <v>0.87342592592592594</v>
      </c>
      <c r="H324" s="1">
        <v>0.2048611111111111</v>
      </c>
      <c r="I324" s="5">
        <v>632</v>
      </c>
      <c r="J324">
        <v>5451</v>
      </c>
      <c r="K324">
        <v>128</v>
      </c>
      <c r="L324" s="5">
        <v>1190</v>
      </c>
      <c r="M324" s="5">
        <v>632</v>
      </c>
      <c r="N324">
        <v>76</v>
      </c>
      <c r="O324">
        <v>556</v>
      </c>
      <c r="P324" s="1">
        <v>0.22361111111111112</v>
      </c>
      <c r="Q324" s="5">
        <v>1107</v>
      </c>
      <c r="R324" s="14">
        <v>8.6999999999999993</v>
      </c>
      <c r="S324">
        <v>128</v>
      </c>
      <c r="T324" s="5">
        <v>76</v>
      </c>
      <c r="U324" s="5">
        <v>556</v>
      </c>
      <c r="V324" s="5">
        <v>0</v>
      </c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</row>
    <row r="325" spans="1:37" x14ac:dyDescent="0.25">
      <c r="A325" s="11">
        <f>Table1[[#This Row],[Milk Yield]]-J321</f>
        <v>365</v>
      </c>
      <c r="B325" t="s">
        <v>24</v>
      </c>
      <c r="C325" s="2">
        <v>3</v>
      </c>
      <c r="D325" s="12">
        <v>45548</v>
      </c>
      <c r="E325" s="2">
        <v>33</v>
      </c>
      <c r="F325" s="13">
        <v>0.99875000000000003</v>
      </c>
      <c r="G325" s="3">
        <v>0.19275462962962964</v>
      </c>
      <c r="H325" s="1">
        <v>0.19375000000000001</v>
      </c>
      <c r="I325" s="5">
        <v>654</v>
      </c>
      <c r="J325">
        <v>5250</v>
      </c>
      <c r="K325">
        <v>140</v>
      </c>
      <c r="L325" s="5">
        <v>156</v>
      </c>
      <c r="M325" s="5">
        <v>654</v>
      </c>
      <c r="N325">
        <v>22</v>
      </c>
      <c r="O325">
        <v>632</v>
      </c>
      <c r="P325" s="1">
        <v>0.18333333333333332</v>
      </c>
      <c r="Q325" s="5">
        <v>1128</v>
      </c>
      <c r="R325" s="14">
        <v>8.1</v>
      </c>
      <c r="S325">
        <v>140</v>
      </c>
      <c r="T325" s="5">
        <v>22</v>
      </c>
      <c r="U325" s="5">
        <v>632</v>
      </c>
      <c r="V325" s="5">
        <v>0</v>
      </c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</row>
    <row r="326" spans="1:37" x14ac:dyDescent="0.25">
      <c r="A326" s="11" t="e">
        <f>Table1[[#This Row],[Milk Yield]]-J322</f>
        <v>#VALUE!</v>
      </c>
      <c r="B326" t="s">
        <v>0</v>
      </c>
      <c r="C326" s="2" t="s">
        <v>1</v>
      </c>
      <c r="D326" s="12" t="s">
        <v>2</v>
      </c>
      <c r="E326" s="2" t="s">
        <v>3</v>
      </c>
      <c r="F326" s="13" t="s">
        <v>4</v>
      </c>
      <c r="G326" s="3" t="s">
        <v>5</v>
      </c>
      <c r="H326" s="1" t="s">
        <v>6</v>
      </c>
      <c r="I326" s="5" t="s">
        <v>8</v>
      </c>
      <c r="J326" t="s">
        <v>9</v>
      </c>
      <c r="K326" t="s">
        <v>10</v>
      </c>
      <c r="L326" s="5" t="s">
        <v>11</v>
      </c>
      <c r="M326" s="5" t="s">
        <v>12</v>
      </c>
      <c r="N326" t="s">
        <v>13</v>
      </c>
      <c r="O326" t="s">
        <v>20</v>
      </c>
      <c r="P326" t="s">
        <v>7</v>
      </c>
      <c r="Q326" s="5" t="s">
        <v>15</v>
      </c>
      <c r="R326" s="14" t="s">
        <v>18</v>
      </c>
      <c r="S326" t="s">
        <v>16</v>
      </c>
      <c r="T326" s="5" t="s">
        <v>14</v>
      </c>
      <c r="U326" s="5" t="s">
        <v>17</v>
      </c>
      <c r="V326" s="5" t="s">
        <v>19</v>
      </c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</row>
    <row r="327" spans="1:37" x14ac:dyDescent="0.25">
      <c r="A327" s="11">
        <f>Table1[[#This Row],[Milk Yield]]-J323</f>
        <v>125</v>
      </c>
      <c r="B327" t="s">
        <v>24</v>
      </c>
      <c r="C327" s="2">
        <v>1</v>
      </c>
      <c r="D327" s="12">
        <v>45549</v>
      </c>
      <c r="E327" s="2">
        <v>38</v>
      </c>
      <c r="F327" s="13">
        <v>0.33877314814814813</v>
      </c>
      <c r="G327" s="3">
        <v>0.5644675925925926</v>
      </c>
      <c r="H327" s="1">
        <v>0.22569444444444445</v>
      </c>
      <c r="I327" s="5">
        <v>671</v>
      </c>
      <c r="J327">
        <v>7112</v>
      </c>
      <c r="K327">
        <v>124</v>
      </c>
      <c r="L327" s="5">
        <v>549</v>
      </c>
      <c r="M327" s="5">
        <v>671</v>
      </c>
      <c r="N327">
        <v>76</v>
      </c>
      <c r="O327">
        <v>595</v>
      </c>
      <c r="P327" s="1">
        <v>0.24097222222222223</v>
      </c>
      <c r="Q327" s="5">
        <v>1313</v>
      </c>
      <c r="R327" s="14">
        <v>10.6</v>
      </c>
      <c r="S327">
        <v>124</v>
      </c>
      <c r="T327" s="5">
        <v>76</v>
      </c>
      <c r="U327" s="5">
        <v>595</v>
      </c>
      <c r="V327" s="5">
        <v>0</v>
      </c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</row>
    <row r="328" spans="1:37" x14ac:dyDescent="0.25">
      <c r="A328" s="11">
        <f>Table1[[#This Row],[Milk Yield]]-J324</f>
        <v>-287</v>
      </c>
      <c r="B328" t="s">
        <v>24</v>
      </c>
      <c r="C328" s="2">
        <v>2</v>
      </c>
      <c r="D328" s="12">
        <v>45549</v>
      </c>
      <c r="E328" s="2">
        <v>32</v>
      </c>
      <c r="F328" s="13">
        <v>0.66374999999999995</v>
      </c>
      <c r="G328" s="3">
        <v>0.89460648148148147</v>
      </c>
      <c r="H328" s="1">
        <v>0.23055555555555557</v>
      </c>
      <c r="I328" s="5">
        <v>659</v>
      </c>
      <c r="J328">
        <v>5164</v>
      </c>
      <c r="K328">
        <v>119</v>
      </c>
      <c r="L328" s="5">
        <v>438</v>
      </c>
      <c r="M328" s="5">
        <v>659</v>
      </c>
      <c r="N328">
        <v>67</v>
      </c>
      <c r="O328">
        <v>592</v>
      </c>
      <c r="P328" s="1">
        <v>0.21180555555555555</v>
      </c>
      <c r="Q328" s="5">
        <v>932</v>
      </c>
      <c r="R328" s="14">
        <v>7.9</v>
      </c>
      <c r="S328">
        <v>119</v>
      </c>
      <c r="T328" s="5">
        <v>67</v>
      </c>
      <c r="U328" s="5">
        <v>592</v>
      </c>
      <c r="V328" s="5">
        <v>0</v>
      </c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</row>
    <row r="329" spans="1:37" x14ac:dyDescent="0.25">
      <c r="A329" s="11">
        <f>Table1[[#This Row],[Milk Yield]]-J325</f>
        <v>78</v>
      </c>
      <c r="B329" t="s">
        <v>24</v>
      </c>
      <c r="C329" s="2">
        <v>3</v>
      </c>
      <c r="D329" s="12">
        <v>45549</v>
      </c>
      <c r="E329" s="2">
        <v>33</v>
      </c>
      <c r="F329" s="13">
        <v>5.8680555555555552E-3</v>
      </c>
      <c r="G329" s="3">
        <v>0.20175925925925925</v>
      </c>
      <c r="H329" s="1">
        <v>0.19583333333333333</v>
      </c>
      <c r="I329" s="5">
        <v>652</v>
      </c>
      <c r="J329">
        <v>5328</v>
      </c>
      <c r="K329">
        <v>139</v>
      </c>
      <c r="L329" s="5">
        <v>58</v>
      </c>
      <c r="M329" s="5">
        <v>652</v>
      </c>
      <c r="N329">
        <v>10</v>
      </c>
      <c r="O329">
        <v>642</v>
      </c>
      <c r="P329" s="1">
        <v>0.18124999999999999</v>
      </c>
      <c r="Q329" s="5">
        <v>1133</v>
      </c>
      <c r="R329" s="14">
        <v>8.1999999999999993</v>
      </c>
      <c r="S329">
        <v>139</v>
      </c>
      <c r="T329" s="5">
        <v>10</v>
      </c>
      <c r="U329" s="5">
        <v>642</v>
      </c>
      <c r="V329" s="5">
        <v>0</v>
      </c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</row>
    <row r="330" spans="1:37" x14ac:dyDescent="0.25">
      <c r="A330" s="11" t="e">
        <f>Table1[[#This Row],[Milk Yield]]-J326</f>
        <v>#VALUE!</v>
      </c>
      <c r="B330" t="s">
        <v>0</v>
      </c>
      <c r="C330" s="2" t="s">
        <v>1</v>
      </c>
      <c r="D330" s="12" t="s">
        <v>2</v>
      </c>
      <c r="E330" s="2" t="s">
        <v>3</v>
      </c>
      <c r="F330" s="13" t="s">
        <v>4</v>
      </c>
      <c r="G330" s="3" t="s">
        <v>5</v>
      </c>
      <c r="H330" s="1" t="s">
        <v>6</v>
      </c>
      <c r="I330" s="5" t="s">
        <v>8</v>
      </c>
      <c r="J330" t="s">
        <v>9</v>
      </c>
      <c r="K330" t="s">
        <v>10</v>
      </c>
      <c r="L330" s="5" t="s">
        <v>11</v>
      </c>
      <c r="M330" s="5" t="s">
        <v>12</v>
      </c>
      <c r="N330" t="s">
        <v>13</v>
      </c>
      <c r="O330" t="s">
        <v>20</v>
      </c>
      <c r="P330" t="s">
        <v>7</v>
      </c>
      <c r="Q330" s="5" t="s">
        <v>15</v>
      </c>
      <c r="R330" s="14" t="s">
        <v>18</v>
      </c>
      <c r="S330" t="s">
        <v>16</v>
      </c>
      <c r="T330" s="5" t="s">
        <v>14</v>
      </c>
      <c r="U330" s="5" t="s">
        <v>17</v>
      </c>
      <c r="V330" s="5" t="s">
        <v>19</v>
      </c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</row>
    <row r="331" spans="1:37" x14ac:dyDescent="0.25">
      <c r="A331" s="11">
        <f>Table1[[#This Row],[Milk Yield]]-J327</f>
        <v>-695</v>
      </c>
      <c r="B331" t="s">
        <v>24</v>
      </c>
      <c r="C331" s="2">
        <v>1</v>
      </c>
      <c r="D331" s="12">
        <v>45550</v>
      </c>
      <c r="E331" s="2">
        <v>35</v>
      </c>
      <c r="F331" s="13">
        <v>0.34491898148148148</v>
      </c>
      <c r="G331" s="3">
        <v>0.55798611111111107</v>
      </c>
      <c r="H331" s="1">
        <v>0.21249999999999999</v>
      </c>
      <c r="I331" s="5">
        <v>660</v>
      </c>
      <c r="J331">
        <v>6417</v>
      </c>
      <c r="K331">
        <v>129</v>
      </c>
      <c r="L331" s="5">
        <v>289</v>
      </c>
      <c r="M331" s="5">
        <v>660</v>
      </c>
      <c r="N331">
        <v>34</v>
      </c>
      <c r="O331">
        <v>626</v>
      </c>
      <c r="P331" s="1">
        <v>0.22916666666666666</v>
      </c>
      <c r="Q331" s="5">
        <v>1255</v>
      </c>
      <c r="R331" s="14">
        <v>9.8000000000000007</v>
      </c>
      <c r="S331">
        <v>129</v>
      </c>
      <c r="T331" s="5">
        <v>34</v>
      </c>
      <c r="U331" s="5">
        <v>626</v>
      </c>
      <c r="V331" s="5">
        <v>0</v>
      </c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</row>
    <row r="332" spans="1:37" x14ac:dyDescent="0.25">
      <c r="A332" s="11">
        <f>Table1[[#This Row],[Milk Yield]]-J328</f>
        <v>154</v>
      </c>
      <c r="B332" t="s">
        <v>24</v>
      </c>
      <c r="C332" s="2">
        <v>2</v>
      </c>
      <c r="D332" s="12">
        <v>45550</v>
      </c>
      <c r="E332" s="2">
        <v>32</v>
      </c>
      <c r="F332" s="13">
        <v>0.66372685185185187</v>
      </c>
      <c r="G332" s="3">
        <v>0.89776620370370375</v>
      </c>
      <c r="H332" s="1">
        <v>0.23402777777777778</v>
      </c>
      <c r="I332" s="5">
        <v>660</v>
      </c>
      <c r="J332">
        <v>5318</v>
      </c>
      <c r="K332">
        <v>118</v>
      </c>
      <c r="L332" s="5">
        <v>106</v>
      </c>
      <c r="M332" s="5">
        <v>660</v>
      </c>
      <c r="N332">
        <v>20</v>
      </c>
      <c r="O332">
        <v>640</v>
      </c>
      <c r="P332" s="1">
        <v>0.19722222222222222</v>
      </c>
      <c r="Q332" s="5">
        <v>947</v>
      </c>
      <c r="R332" s="14">
        <v>8.1</v>
      </c>
      <c r="S332">
        <v>118</v>
      </c>
      <c r="T332" s="5">
        <v>20</v>
      </c>
      <c r="U332" s="5">
        <v>640</v>
      </c>
      <c r="V332" s="5">
        <v>0</v>
      </c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</row>
    <row r="333" spans="1:37" x14ac:dyDescent="0.25">
      <c r="A333" s="11">
        <f>Table1[[#This Row],[Milk Yield]]-J329</f>
        <v>-204</v>
      </c>
      <c r="B333" t="s">
        <v>24</v>
      </c>
      <c r="C333" s="2">
        <v>3</v>
      </c>
      <c r="D333" s="12">
        <v>45550</v>
      </c>
      <c r="E333" s="2">
        <v>32</v>
      </c>
      <c r="F333" s="13">
        <v>1.0416666666666667E-3</v>
      </c>
      <c r="G333" s="3">
        <v>0.22420138888888888</v>
      </c>
      <c r="H333" s="1">
        <v>0.22291666666666668</v>
      </c>
      <c r="I333" s="5">
        <v>663</v>
      </c>
      <c r="J333">
        <v>5124</v>
      </c>
      <c r="K333">
        <v>124</v>
      </c>
      <c r="L333" s="5">
        <v>33</v>
      </c>
      <c r="M333" s="5">
        <v>663</v>
      </c>
      <c r="N333">
        <v>7</v>
      </c>
      <c r="O333">
        <v>656</v>
      </c>
      <c r="P333" s="1">
        <v>0.17916666666666667</v>
      </c>
      <c r="Q333" s="5">
        <v>957</v>
      </c>
      <c r="R333" s="14">
        <v>7.8</v>
      </c>
      <c r="S333">
        <v>124</v>
      </c>
      <c r="T333" s="5">
        <v>7</v>
      </c>
      <c r="U333" s="5">
        <v>656</v>
      </c>
      <c r="V333" s="5">
        <v>0</v>
      </c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</row>
    <row r="334" spans="1:37" x14ac:dyDescent="0.25">
      <c r="A334" s="11" t="e">
        <f>Table1[[#This Row],[Milk Yield]]-J330</f>
        <v>#VALUE!</v>
      </c>
      <c r="B334" t="s">
        <v>0</v>
      </c>
      <c r="C334" s="2" t="s">
        <v>1</v>
      </c>
      <c r="D334" s="12" t="s">
        <v>2</v>
      </c>
      <c r="E334" s="2" t="s">
        <v>3</v>
      </c>
      <c r="F334" s="13" t="s">
        <v>4</v>
      </c>
      <c r="G334" s="3" t="s">
        <v>5</v>
      </c>
      <c r="H334" s="1" t="s">
        <v>6</v>
      </c>
      <c r="I334" s="5" t="s">
        <v>8</v>
      </c>
      <c r="J334" t="s">
        <v>9</v>
      </c>
      <c r="K334" t="s">
        <v>10</v>
      </c>
      <c r="L334" s="5" t="s">
        <v>11</v>
      </c>
      <c r="M334" s="5" t="s">
        <v>12</v>
      </c>
      <c r="N334" t="s">
        <v>13</v>
      </c>
      <c r="O334" t="s">
        <v>20</v>
      </c>
      <c r="P334" t="s">
        <v>7</v>
      </c>
      <c r="Q334" s="5" t="s">
        <v>15</v>
      </c>
      <c r="R334" s="14" t="s">
        <v>18</v>
      </c>
      <c r="S334" t="s">
        <v>16</v>
      </c>
      <c r="T334" s="5" t="s">
        <v>14</v>
      </c>
      <c r="U334" s="5" t="s">
        <v>17</v>
      </c>
      <c r="V334" s="5" t="s">
        <v>19</v>
      </c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</row>
    <row r="335" spans="1:37" x14ac:dyDescent="0.25">
      <c r="A335" s="11">
        <f>Table1[[#This Row],[Milk Yield]]-J331</f>
        <v>-137</v>
      </c>
      <c r="B335" t="s">
        <v>24</v>
      </c>
      <c r="C335" s="2">
        <v>1</v>
      </c>
      <c r="D335" s="12">
        <v>45551</v>
      </c>
      <c r="E335" s="2">
        <v>37</v>
      </c>
      <c r="F335" s="13">
        <v>0.33856481481481482</v>
      </c>
      <c r="G335" s="3">
        <v>0.53738425925925926</v>
      </c>
      <c r="H335" s="1">
        <v>0.1986111111111111</v>
      </c>
      <c r="I335" s="5">
        <v>672</v>
      </c>
      <c r="J335">
        <v>6280</v>
      </c>
      <c r="K335">
        <v>141</v>
      </c>
      <c r="L335" s="5">
        <v>230</v>
      </c>
      <c r="M335" s="5">
        <v>672</v>
      </c>
      <c r="N335">
        <v>28</v>
      </c>
      <c r="O335">
        <v>644</v>
      </c>
      <c r="P335" s="1">
        <v>0.21527777777777779</v>
      </c>
      <c r="Q335" s="5">
        <v>1316</v>
      </c>
      <c r="R335" s="14">
        <v>9.4</v>
      </c>
      <c r="S335">
        <v>141</v>
      </c>
      <c r="T335" s="5">
        <v>28</v>
      </c>
      <c r="U335" s="5">
        <v>644</v>
      </c>
      <c r="V335" s="5">
        <v>0</v>
      </c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</row>
    <row r="336" spans="1:37" x14ac:dyDescent="0.25">
      <c r="A336" s="11">
        <f>Table1[[#This Row],[Milk Yield]]-J332</f>
        <v>5</v>
      </c>
      <c r="B336" t="s">
        <v>24</v>
      </c>
      <c r="C336" s="2">
        <v>2</v>
      </c>
      <c r="D336" s="12">
        <v>45551</v>
      </c>
      <c r="E336" s="2">
        <v>35</v>
      </c>
      <c r="F336" s="13">
        <v>0.6650462962962963</v>
      </c>
      <c r="G336" s="3">
        <v>0.87467592592592591</v>
      </c>
      <c r="H336" s="1">
        <v>0.20902777777777778</v>
      </c>
      <c r="I336" s="5">
        <v>656</v>
      </c>
      <c r="J336">
        <v>5323</v>
      </c>
      <c r="K336">
        <v>130</v>
      </c>
      <c r="L336" s="5">
        <v>67</v>
      </c>
      <c r="M336" s="5">
        <v>656</v>
      </c>
      <c r="N336">
        <v>11</v>
      </c>
      <c r="O336">
        <v>645</v>
      </c>
      <c r="P336" s="1">
        <v>0.18888888888888888</v>
      </c>
      <c r="Q336" s="5">
        <v>1058</v>
      </c>
      <c r="R336" s="14">
        <v>8.1999999999999993</v>
      </c>
      <c r="S336">
        <v>130</v>
      </c>
      <c r="T336" s="5">
        <v>11</v>
      </c>
      <c r="U336" s="5">
        <v>645</v>
      </c>
      <c r="V336" s="5">
        <v>0</v>
      </c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</row>
    <row r="337" spans="1:37" x14ac:dyDescent="0.25">
      <c r="A337" s="11">
        <f>Table1[[#This Row],[Milk Yield]]-J333</f>
        <v>418</v>
      </c>
      <c r="B337" t="s">
        <v>24</v>
      </c>
      <c r="C337" s="2">
        <v>3</v>
      </c>
      <c r="D337" s="12">
        <v>45551</v>
      </c>
      <c r="E337" s="2">
        <v>32</v>
      </c>
      <c r="F337" s="13">
        <v>5.2430555555555555E-3</v>
      </c>
      <c r="G337" s="3">
        <v>0.20427083333333335</v>
      </c>
      <c r="H337" s="1">
        <v>0.1986111111111111</v>
      </c>
      <c r="I337" s="5">
        <v>645</v>
      </c>
      <c r="J337">
        <v>5542</v>
      </c>
      <c r="K337">
        <v>135</v>
      </c>
      <c r="L337" s="5">
        <v>26</v>
      </c>
      <c r="M337" s="5">
        <v>645</v>
      </c>
      <c r="N337">
        <v>3</v>
      </c>
      <c r="O337">
        <v>642</v>
      </c>
      <c r="P337" s="1">
        <v>0.18541666666666667</v>
      </c>
      <c r="Q337" s="5">
        <v>1160</v>
      </c>
      <c r="R337" s="14">
        <v>8.6</v>
      </c>
      <c r="S337">
        <v>135</v>
      </c>
      <c r="T337" s="5">
        <v>3</v>
      </c>
      <c r="U337" s="5">
        <v>642</v>
      </c>
      <c r="V337" s="5">
        <v>0</v>
      </c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</row>
    <row r="338" spans="1:37" x14ac:dyDescent="0.25">
      <c r="A338" s="11" t="e">
        <f>Table1[[#This Row],[Milk Yield]]-J334</f>
        <v>#VALUE!</v>
      </c>
      <c r="B338" t="s">
        <v>0</v>
      </c>
      <c r="C338" s="2" t="s">
        <v>1</v>
      </c>
      <c r="D338" s="12" t="s">
        <v>2</v>
      </c>
      <c r="E338" s="2" t="s">
        <v>3</v>
      </c>
      <c r="F338" s="13" t="s">
        <v>4</v>
      </c>
      <c r="G338" s="3" t="s">
        <v>5</v>
      </c>
      <c r="H338" s="1" t="s">
        <v>6</v>
      </c>
      <c r="I338" s="5" t="s">
        <v>8</v>
      </c>
      <c r="J338" t="s">
        <v>9</v>
      </c>
      <c r="K338" t="s">
        <v>10</v>
      </c>
      <c r="L338" s="5" t="s">
        <v>11</v>
      </c>
      <c r="M338" s="5" t="s">
        <v>12</v>
      </c>
      <c r="N338" t="s">
        <v>13</v>
      </c>
      <c r="O338" t="s">
        <v>20</v>
      </c>
      <c r="P338" t="s">
        <v>7</v>
      </c>
      <c r="Q338" s="5" t="s">
        <v>15</v>
      </c>
      <c r="R338" s="14" t="s">
        <v>18</v>
      </c>
      <c r="S338" t="s">
        <v>16</v>
      </c>
      <c r="T338" s="5" t="s">
        <v>14</v>
      </c>
      <c r="U338" s="5" t="s">
        <v>17</v>
      </c>
      <c r="V338" s="5" t="s">
        <v>19</v>
      </c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</row>
    <row r="339" spans="1:37" x14ac:dyDescent="0.25">
      <c r="A339" s="11">
        <f>Table1[[#This Row],[Milk Yield]]-J335</f>
        <v>235</v>
      </c>
      <c r="B339" t="s">
        <v>24</v>
      </c>
      <c r="C339" s="2">
        <v>1</v>
      </c>
      <c r="D339" s="12">
        <v>45552</v>
      </c>
      <c r="E339" s="2">
        <v>33</v>
      </c>
      <c r="F339" s="13">
        <v>0.33931712962962962</v>
      </c>
      <c r="G339" s="3">
        <v>0.53885416666666663</v>
      </c>
      <c r="H339" s="1">
        <v>0.19930555555555557</v>
      </c>
      <c r="I339" s="5">
        <v>678</v>
      </c>
      <c r="J339">
        <v>6515</v>
      </c>
      <c r="K339">
        <v>142</v>
      </c>
      <c r="L339" s="5">
        <v>549</v>
      </c>
      <c r="M339" s="5">
        <v>678</v>
      </c>
      <c r="N339">
        <v>68</v>
      </c>
      <c r="O339">
        <v>610</v>
      </c>
      <c r="P339" s="1">
        <v>0.23055555555555557</v>
      </c>
      <c r="Q339" s="5">
        <v>1360</v>
      </c>
      <c r="R339" s="14">
        <v>9.6999999999999993</v>
      </c>
      <c r="S339">
        <v>142</v>
      </c>
      <c r="T339" s="5">
        <v>68</v>
      </c>
      <c r="U339" s="5">
        <v>610</v>
      </c>
      <c r="V339" s="5">
        <v>0</v>
      </c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</row>
    <row r="340" spans="1:37" x14ac:dyDescent="0.25">
      <c r="A340" s="11">
        <f>Table1[[#This Row],[Milk Yield]]-J336</f>
        <v>-100</v>
      </c>
      <c r="B340" t="s">
        <v>24</v>
      </c>
      <c r="C340" s="2">
        <v>2</v>
      </c>
      <c r="D340" s="12">
        <v>45552</v>
      </c>
      <c r="E340" s="2">
        <v>33</v>
      </c>
      <c r="F340" s="13">
        <v>0.66496527777777781</v>
      </c>
      <c r="G340" s="3">
        <v>0.8638541666666667</v>
      </c>
      <c r="H340" s="1">
        <v>0.1986111111111111</v>
      </c>
      <c r="I340" s="5">
        <v>656</v>
      </c>
      <c r="J340">
        <v>5223</v>
      </c>
      <c r="K340">
        <v>137</v>
      </c>
      <c r="L340" s="5">
        <v>75</v>
      </c>
      <c r="M340" s="5">
        <v>656</v>
      </c>
      <c r="N340">
        <v>12</v>
      </c>
      <c r="O340">
        <v>644</v>
      </c>
      <c r="P340" s="1">
        <v>0.19097222222222221</v>
      </c>
      <c r="Q340" s="5">
        <v>1094</v>
      </c>
      <c r="R340" s="14">
        <v>8</v>
      </c>
      <c r="S340">
        <v>137</v>
      </c>
      <c r="T340" s="5">
        <v>12</v>
      </c>
      <c r="U340" s="5">
        <v>644</v>
      </c>
      <c r="V340" s="5">
        <v>0</v>
      </c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</row>
    <row r="341" spans="1:37" x14ac:dyDescent="0.25">
      <c r="A341" s="11">
        <f>Table1[[#This Row],[Milk Yield]]-J337</f>
        <v>-171</v>
      </c>
      <c r="B341" t="s">
        <v>24</v>
      </c>
      <c r="C341" s="2">
        <v>3</v>
      </c>
      <c r="D341" s="12">
        <v>45552</v>
      </c>
      <c r="E341" s="2">
        <v>33</v>
      </c>
      <c r="F341" s="13">
        <v>0.99796296296296294</v>
      </c>
      <c r="G341" s="3">
        <v>0.20225694444444445</v>
      </c>
      <c r="H341" s="1">
        <v>0.20416666666666666</v>
      </c>
      <c r="I341" s="5">
        <v>666</v>
      </c>
      <c r="J341">
        <v>5371</v>
      </c>
      <c r="K341">
        <v>136</v>
      </c>
      <c r="L341" s="5">
        <v>44</v>
      </c>
      <c r="M341" s="5">
        <v>666</v>
      </c>
      <c r="N341">
        <v>7</v>
      </c>
      <c r="O341">
        <v>659</v>
      </c>
      <c r="P341" s="1">
        <v>0.18194444444444444</v>
      </c>
      <c r="Q341" s="5">
        <v>1095</v>
      </c>
      <c r="R341" s="14">
        <v>8.1</v>
      </c>
      <c r="S341">
        <v>136</v>
      </c>
      <c r="T341" s="5">
        <v>7</v>
      </c>
      <c r="U341" s="5">
        <v>659</v>
      </c>
      <c r="V341" s="5">
        <v>0</v>
      </c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</row>
    <row r="342" spans="1:37" x14ac:dyDescent="0.25">
      <c r="A342" s="11" t="e">
        <f>Table1[[#This Row],[Milk Yield]]-J338</f>
        <v>#VALUE!</v>
      </c>
      <c r="B342" t="s">
        <v>0</v>
      </c>
      <c r="C342" s="2" t="s">
        <v>1</v>
      </c>
      <c r="D342" s="12" t="s">
        <v>2</v>
      </c>
      <c r="E342" s="2" t="s">
        <v>3</v>
      </c>
      <c r="F342" s="13" t="s">
        <v>4</v>
      </c>
      <c r="G342" s="3" t="s">
        <v>5</v>
      </c>
      <c r="H342" s="1" t="s">
        <v>6</v>
      </c>
      <c r="I342" s="5" t="s">
        <v>8</v>
      </c>
      <c r="J342" t="s">
        <v>9</v>
      </c>
      <c r="K342" t="s">
        <v>10</v>
      </c>
      <c r="L342" s="5" t="s">
        <v>11</v>
      </c>
      <c r="M342" s="5" t="s">
        <v>12</v>
      </c>
      <c r="N342" t="s">
        <v>13</v>
      </c>
      <c r="O342" t="s">
        <v>20</v>
      </c>
      <c r="P342" t="s">
        <v>7</v>
      </c>
      <c r="Q342" s="5" t="s">
        <v>15</v>
      </c>
      <c r="R342" s="14" t="s">
        <v>18</v>
      </c>
      <c r="S342" t="s">
        <v>16</v>
      </c>
      <c r="T342" s="5" t="s">
        <v>14</v>
      </c>
      <c r="U342" s="5" t="s">
        <v>17</v>
      </c>
      <c r="V342" s="5" t="s">
        <v>19</v>
      </c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</row>
    <row r="343" spans="1:37" x14ac:dyDescent="0.25">
      <c r="A343" s="11">
        <f>Table1[[#This Row],[Milk Yield]]-J339</f>
        <v>317</v>
      </c>
      <c r="B343" t="s">
        <v>24</v>
      </c>
      <c r="C343" s="2">
        <v>1</v>
      </c>
      <c r="D343" s="12">
        <v>45553</v>
      </c>
      <c r="E343" s="2">
        <v>35</v>
      </c>
      <c r="F343" s="13">
        <v>0.3349537037037037</v>
      </c>
      <c r="G343" s="3">
        <v>0.54420138888888892</v>
      </c>
      <c r="H343" s="1">
        <v>0.20902777777777778</v>
      </c>
      <c r="I343" s="5">
        <v>670</v>
      </c>
      <c r="J343">
        <v>6832</v>
      </c>
      <c r="K343">
        <v>133</v>
      </c>
      <c r="L343" s="5">
        <v>62</v>
      </c>
      <c r="M343" s="5">
        <v>670</v>
      </c>
      <c r="N343">
        <v>13</v>
      </c>
      <c r="O343">
        <v>657</v>
      </c>
      <c r="P343" s="1">
        <v>0.21736111111111112</v>
      </c>
      <c r="Q343" s="5">
        <v>1360</v>
      </c>
      <c r="R343" s="14">
        <v>10.199999999999999</v>
      </c>
      <c r="S343">
        <v>133</v>
      </c>
      <c r="T343" s="5">
        <v>13</v>
      </c>
      <c r="U343" s="5">
        <v>657</v>
      </c>
      <c r="V343" s="5">
        <v>0</v>
      </c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</row>
    <row r="344" spans="1:37" x14ac:dyDescent="0.25">
      <c r="A344" s="11">
        <f>Table1[[#This Row],[Milk Yield]]-J340</f>
        <v>48</v>
      </c>
      <c r="B344" t="s">
        <v>24</v>
      </c>
      <c r="C344" s="2">
        <v>2</v>
      </c>
      <c r="D344" s="12">
        <v>45553</v>
      </c>
      <c r="E344" s="2">
        <v>33</v>
      </c>
      <c r="F344" s="13">
        <v>0.6620949074074074</v>
      </c>
      <c r="G344" s="3">
        <v>0.85876157407407405</v>
      </c>
      <c r="H344" s="1">
        <v>0.19652777777777777</v>
      </c>
      <c r="I344" s="5">
        <v>665</v>
      </c>
      <c r="J344">
        <v>5271</v>
      </c>
      <c r="K344">
        <v>141</v>
      </c>
      <c r="L344" s="5">
        <v>82</v>
      </c>
      <c r="M344" s="5">
        <v>665</v>
      </c>
      <c r="N344">
        <v>13</v>
      </c>
      <c r="O344">
        <v>652</v>
      </c>
      <c r="P344" s="1">
        <v>0.19236111111111112</v>
      </c>
      <c r="Q344" s="5">
        <v>1117</v>
      </c>
      <c r="R344" s="14">
        <v>8</v>
      </c>
      <c r="S344">
        <v>141</v>
      </c>
      <c r="T344" s="5">
        <v>13</v>
      </c>
      <c r="U344" s="5">
        <v>652</v>
      </c>
      <c r="V344" s="5">
        <v>0</v>
      </c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</row>
    <row r="345" spans="1:37" x14ac:dyDescent="0.25">
      <c r="A345" s="11">
        <f>Table1[[#This Row],[Milk Yield]]-J341</f>
        <v>178</v>
      </c>
      <c r="B345" t="s">
        <v>24</v>
      </c>
      <c r="C345" s="2">
        <v>3</v>
      </c>
      <c r="D345" s="12">
        <v>45553</v>
      </c>
      <c r="E345" s="2">
        <v>33</v>
      </c>
      <c r="F345" s="13">
        <v>0.99934027777777779</v>
      </c>
      <c r="G345" s="3">
        <v>0.19476851851851851</v>
      </c>
      <c r="H345" s="1">
        <v>0.19513888888888889</v>
      </c>
      <c r="I345" s="5">
        <v>663</v>
      </c>
      <c r="J345">
        <v>5549</v>
      </c>
      <c r="K345">
        <v>141</v>
      </c>
      <c r="L345" s="5">
        <v>68</v>
      </c>
      <c r="M345" s="5">
        <v>663</v>
      </c>
      <c r="N345">
        <v>11</v>
      </c>
      <c r="O345">
        <v>652</v>
      </c>
      <c r="P345" s="1">
        <v>0.1875</v>
      </c>
      <c r="Q345" s="5">
        <v>1183</v>
      </c>
      <c r="R345" s="14">
        <v>8.4</v>
      </c>
      <c r="S345">
        <v>141</v>
      </c>
      <c r="T345" s="5">
        <v>11</v>
      </c>
      <c r="U345" s="5">
        <v>652</v>
      </c>
      <c r="V345" s="5">
        <v>0</v>
      </c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</row>
    <row r="346" spans="1:37" x14ac:dyDescent="0.25">
      <c r="A346" s="11" t="e">
        <f>Table1[[#This Row],[Milk Yield]]-J342</f>
        <v>#VALUE!</v>
      </c>
      <c r="B346" t="s">
        <v>0</v>
      </c>
      <c r="C346" s="2" t="s">
        <v>1</v>
      </c>
      <c r="D346" s="12" t="s">
        <v>2</v>
      </c>
      <c r="E346" s="2" t="s">
        <v>3</v>
      </c>
      <c r="F346" s="13" t="s">
        <v>4</v>
      </c>
      <c r="G346" s="3" t="s">
        <v>5</v>
      </c>
      <c r="H346" s="1" t="s">
        <v>6</v>
      </c>
      <c r="I346" s="5" t="s">
        <v>8</v>
      </c>
      <c r="J346" t="s">
        <v>9</v>
      </c>
      <c r="K346" t="s">
        <v>10</v>
      </c>
      <c r="L346" s="5" t="s">
        <v>11</v>
      </c>
      <c r="M346" s="5" t="s">
        <v>12</v>
      </c>
      <c r="N346" t="s">
        <v>13</v>
      </c>
      <c r="O346" t="s">
        <v>20</v>
      </c>
      <c r="P346" t="s">
        <v>7</v>
      </c>
      <c r="Q346" s="5" t="s">
        <v>15</v>
      </c>
      <c r="R346" s="14" t="s">
        <v>18</v>
      </c>
      <c r="S346" t="s">
        <v>16</v>
      </c>
      <c r="T346" s="5" t="s">
        <v>14</v>
      </c>
      <c r="U346" s="5" t="s">
        <v>17</v>
      </c>
      <c r="V346" s="5" t="s">
        <v>19</v>
      </c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</row>
    <row r="347" spans="1:37" x14ac:dyDescent="0.25">
      <c r="A347" s="11">
        <f>Table1[[#This Row],[Milk Yield]]-J343</f>
        <v>45</v>
      </c>
      <c r="B347" t="s">
        <v>24</v>
      </c>
      <c r="C347" s="2">
        <v>1</v>
      </c>
      <c r="D347" s="12">
        <v>45554</v>
      </c>
      <c r="E347" s="2">
        <v>34</v>
      </c>
      <c r="F347" s="13">
        <v>0.33539351851851851</v>
      </c>
      <c r="G347" s="3">
        <v>0.55851851851851853</v>
      </c>
      <c r="H347" s="1">
        <v>0.22291666666666668</v>
      </c>
      <c r="I347" s="5">
        <v>705</v>
      </c>
      <c r="J347">
        <v>6877</v>
      </c>
      <c r="K347">
        <v>132</v>
      </c>
      <c r="L347" s="5">
        <v>443</v>
      </c>
      <c r="M347" s="5">
        <v>701</v>
      </c>
      <c r="N347">
        <v>59</v>
      </c>
      <c r="O347">
        <v>642</v>
      </c>
      <c r="P347" s="1">
        <v>0.2298611111111111</v>
      </c>
      <c r="Q347" s="5">
        <v>1284</v>
      </c>
      <c r="R347" s="14">
        <v>9.9</v>
      </c>
      <c r="S347">
        <v>131</v>
      </c>
      <c r="T347" s="5">
        <v>59</v>
      </c>
      <c r="U347" s="5">
        <v>642</v>
      </c>
      <c r="V347" s="5">
        <v>0</v>
      </c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</row>
    <row r="348" spans="1:37" x14ac:dyDescent="0.25">
      <c r="A348" s="11">
        <f>Table1[[#This Row],[Milk Yield]]-J344</f>
        <v>366</v>
      </c>
      <c r="B348" t="s">
        <v>24</v>
      </c>
      <c r="C348" s="2">
        <v>2</v>
      </c>
      <c r="D348" s="12">
        <v>45554</v>
      </c>
      <c r="E348" s="2">
        <v>32</v>
      </c>
      <c r="F348" s="13">
        <v>0.68396990740740737</v>
      </c>
      <c r="G348" s="3">
        <v>0.8874305555555555</v>
      </c>
      <c r="H348" s="1">
        <v>0.20277777777777778</v>
      </c>
      <c r="I348" s="5">
        <v>672</v>
      </c>
      <c r="J348">
        <v>5637</v>
      </c>
      <c r="K348">
        <v>138</v>
      </c>
      <c r="L348" s="5">
        <v>153</v>
      </c>
      <c r="M348" s="5">
        <v>672</v>
      </c>
      <c r="N348">
        <v>25</v>
      </c>
      <c r="O348">
        <v>647</v>
      </c>
      <c r="P348" s="1">
        <v>0.19027777777777777</v>
      </c>
      <c r="Q348" s="5">
        <v>1154</v>
      </c>
      <c r="R348" s="14">
        <v>8.4</v>
      </c>
      <c r="S348">
        <v>138</v>
      </c>
      <c r="T348" s="5">
        <v>25</v>
      </c>
      <c r="U348" s="5">
        <v>647</v>
      </c>
      <c r="V348" s="5">
        <v>0</v>
      </c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</row>
    <row r="349" spans="1:37" x14ac:dyDescent="0.25">
      <c r="A349" s="11">
        <f>Table1[[#This Row],[Milk Yield]]-J345</f>
        <v>-247</v>
      </c>
      <c r="B349" t="s">
        <v>24</v>
      </c>
      <c r="C349" s="2">
        <v>3</v>
      </c>
      <c r="D349" s="12">
        <v>45554</v>
      </c>
      <c r="E349" s="2">
        <v>34</v>
      </c>
      <c r="F349" s="13">
        <v>3.0787037037037037E-3</v>
      </c>
      <c r="G349" s="3">
        <v>0.19562499999999999</v>
      </c>
      <c r="H349" s="1">
        <v>0.19236111111111112</v>
      </c>
      <c r="I349" s="5">
        <v>658</v>
      </c>
      <c r="J349">
        <v>5302</v>
      </c>
      <c r="K349">
        <v>142</v>
      </c>
      <c r="L349" s="5">
        <v>52</v>
      </c>
      <c r="M349" s="5">
        <v>658</v>
      </c>
      <c r="N349">
        <v>11</v>
      </c>
      <c r="O349">
        <v>647</v>
      </c>
      <c r="P349" s="1">
        <v>0.18333333333333332</v>
      </c>
      <c r="Q349" s="5">
        <v>1147</v>
      </c>
      <c r="R349" s="14">
        <v>8.1</v>
      </c>
      <c r="S349">
        <v>142</v>
      </c>
      <c r="T349" s="5">
        <v>11</v>
      </c>
      <c r="U349" s="5">
        <v>647</v>
      </c>
      <c r="V349" s="5">
        <v>0</v>
      </c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</row>
    <row r="350" spans="1:37" x14ac:dyDescent="0.25">
      <c r="A350" s="11" t="e">
        <f>Table1[[#This Row],[Milk Yield]]-J346</f>
        <v>#VALUE!</v>
      </c>
      <c r="B350" t="s">
        <v>0</v>
      </c>
      <c r="C350" s="2" t="s">
        <v>1</v>
      </c>
      <c r="D350" s="12" t="s">
        <v>2</v>
      </c>
      <c r="E350" s="2" t="s">
        <v>3</v>
      </c>
      <c r="F350" s="13" t="s">
        <v>4</v>
      </c>
      <c r="G350" s="3" t="s">
        <v>5</v>
      </c>
      <c r="H350" s="1" t="s">
        <v>6</v>
      </c>
      <c r="I350" s="5" t="s">
        <v>8</v>
      </c>
      <c r="J350" t="s">
        <v>9</v>
      </c>
      <c r="K350" t="s">
        <v>10</v>
      </c>
      <c r="L350" s="5" t="s">
        <v>11</v>
      </c>
      <c r="M350" s="5" t="s">
        <v>12</v>
      </c>
      <c r="N350" t="s">
        <v>13</v>
      </c>
      <c r="O350" t="s">
        <v>20</v>
      </c>
      <c r="P350" t="s">
        <v>7</v>
      </c>
      <c r="Q350" s="5" t="s">
        <v>15</v>
      </c>
      <c r="R350" s="14" t="s">
        <v>18</v>
      </c>
      <c r="S350" t="s">
        <v>16</v>
      </c>
      <c r="T350" s="5" t="s">
        <v>14</v>
      </c>
      <c r="U350" s="5" t="s">
        <v>17</v>
      </c>
      <c r="V350" s="5" t="s">
        <v>19</v>
      </c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</row>
    <row r="351" spans="1:37" x14ac:dyDescent="0.25">
      <c r="A351" s="11">
        <f>Table1[[#This Row],[Milk Yield]]-J347</f>
        <v>-71</v>
      </c>
      <c r="B351" t="s">
        <v>24</v>
      </c>
      <c r="C351" s="2">
        <v>1</v>
      </c>
      <c r="D351" s="12">
        <v>45555</v>
      </c>
      <c r="E351" s="2">
        <v>36</v>
      </c>
      <c r="F351" s="13">
        <v>0.33333333333333331</v>
      </c>
      <c r="G351" s="3">
        <v>0.5506712962962963</v>
      </c>
      <c r="H351" s="1">
        <v>0.21666666666666667</v>
      </c>
      <c r="I351" s="5">
        <v>689</v>
      </c>
      <c r="J351">
        <v>6806</v>
      </c>
      <c r="K351">
        <v>132</v>
      </c>
      <c r="L351" s="5">
        <v>352</v>
      </c>
      <c r="M351" s="5">
        <v>689</v>
      </c>
      <c r="N351">
        <v>54</v>
      </c>
      <c r="O351">
        <v>635</v>
      </c>
      <c r="P351" s="1">
        <v>0.22013888888888888</v>
      </c>
      <c r="Q351" s="5">
        <v>1305</v>
      </c>
      <c r="R351" s="14">
        <v>9.9</v>
      </c>
      <c r="S351">
        <v>132</v>
      </c>
      <c r="T351" s="5">
        <v>54</v>
      </c>
      <c r="U351" s="5">
        <v>635</v>
      </c>
      <c r="V351" s="5">
        <v>0</v>
      </c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</row>
    <row r="352" spans="1:37" x14ac:dyDescent="0.25">
      <c r="A352" s="11">
        <f>Table1[[#This Row],[Milk Yield]]-J348</f>
        <v>-269</v>
      </c>
      <c r="B352" t="s">
        <v>24</v>
      </c>
      <c r="C352" s="2">
        <v>2</v>
      </c>
      <c r="D352" s="12">
        <v>45555</v>
      </c>
      <c r="E352" s="2">
        <v>36</v>
      </c>
      <c r="F352" s="13">
        <v>0.67644675925925923</v>
      </c>
      <c r="G352" s="3">
        <v>0.86759259259259258</v>
      </c>
      <c r="H352" s="1">
        <v>0.19097222222222221</v>
      </c>
      <c r="I352" s="5">
        <v>704</v>
      </c>
      <c r="J352">
        <v>5368</v>
      </c>
      <c r="K352">
        <v>153</v>
      </c>
      <c r="L352" s="5">
        <v>324</v>
      </c>
      <c r="M352" s="5">
        <v>704</v>
      </c>
      <c r="N352">
        <v>49</v>
      </c>
      <c r="O352">
        <v>655</v>
      </c>
      <c r="P352" s="1">
        <v>0.20347222222222222</v>
      </c>
      <c r="Q352" s="5">
        <v>1170</v>
      </c>
      <c r="R352" s="14">
        <v>7.7</v>
      </c>
      <c r="S352">
        <v>153</v>
      </c>
      <c r="T352" s="5">
        <v>49</v>
      </c>
      <c r="U352" s="5">
        <v>655</v>
      </c>
      <c r="V352" s="5">
        <v>0</v>
      </c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</row>
    <row r="353" spans="1:37" x14ac:dyDescent="0.25">
      <c r="A353" s="11">
        <f>Table1[[#This Row],[Milk Yield]]-J349</f>
        <v>172</v>
      </c>
      <c r="B353" t="s">
        <v>24</v>
      </c>
      <c r="C353" s="2">
        <v>3</v>
      </c>
      <c r="D353" s="12">
        <v>45555</v>
      </c>
      <c r="E353" s="2">
        <v>36</v>
      </c>
      <c r="F353" s="13">
        <v>3.0902777777777777E-3</v>
      </c>
      <c r="G353" s="3">
        <v>0.19690972222222222</v>
      </c>
      <c r="H353" s="1">
        <v>0.19375000000000001</v>
      </c>
      <c r="I353" s="5">
        <v>676</v>
      </c>
      <c r="J353">
        <v>5474</v>
      </c>
      <c r="K353">
        <v>145</v>
      </c>
      <c r="L353" s="5">
        <v>102</v>
      </c>
      <c r="M353" s="5">
        <v>676</v>
      </c>
      <c r="N353">
        <v>18</v>
      </c>
      <c r="O353">
        <v>658</v>
      </c>
      <c r="P353" s="1">
        <v>0.18333333333333332</v>
      </c>
      <c r="Q353" s="5">
        <v>1177</v>
      </c>
      <c r="R353" s="14">
        <v>8.1</v>
      </c>
      <c r="S353">
        <v>145</v>
      </c>
      <c r="T353" s="5">
        <v>18</v>
      </c>
      <c r="U353" s="5">
        <v>658</v>
      </c>
      <c r="V353" s="5">
        <v>0</v>
      </c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</row>
    <row r="354" spans="1:37" x14ac:dyDescent="0.25">
      <c r="A354" s="11" t="e">
        <f>Table1[[#This Row],[Milk Yield]]-J350</f>
        <v>#VALUE!</v>
      </c>
      <c r="B354" t="s">
        <v>0</v>
      </c>
      <c r="C354" s="2" t="s">
        <v>1</v>
      </c>
      <c r="D354" s="12" t="s">
        <v>2</v>
      </c>
      <c r="E354" s="2" t="s">
        <v>3</v>
      </c>
      <c r="F354" s="13" t="s">
        <v>4</v>
      </c>
      <c r="G354" s="3" t="s">
        <v>5</v>
      </c>
      <c r="H354" s="1" t="s">
        <v>6</v>
      </c>
      <c r="I354" s="5" t="s">
        <v>8</v>
      </c>
      <c r="J354" t="s">
        <v>9</v>
      </c>
      <c r="K354" t="s">
        <v>10</v>
      </c>
      <c r="L354" s="5" t="s">
        <v>11</v>
      </c>
      <c r="M354" s="5" t="s">
        <v>12</v>
      </c>
      <c r="N354" t="s">
        <v>13</v>
      </c>
      <c r="O354" t="s">
        <v>20</v>
      </c>
      <c r="P354" t="s">
        <v>7</v>
      </c>
      <c r="Q354" s="5" t="s">
        <v>15</v>
      </c>
      <c r="R354" s="14" t="s">
        <v>18</v>
      </c>
      <c r="S354" t="s">
        <v>16</v>
      </c>
      <c r="T354" s="5" t="s">
        <v>14</v>
      </c>
      <c r="U354" s="5" t="s">
        <v>17</v>
      </c>
      <c r="V354" s="5" t="s">
        <v>19</v>
      </c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</row>
    <row r="355" spans="1:37" x14ac:dyDescent="0.25">
      <c r="A355" s="11">
        <f>Table1[[#This Row],[Milk Yield]]-J351</f>
        <v>-318</v>
      </c>
      <c r="B355" t="s">
        <v>24</v>
      </c>
      <c r="C355" s="2">
        <v>1</v>
      </c>
      <c r="D355" s="12">
        <v>45556</v>
      </c>
      <c r="E355" s="2">
        <v>32</v>
      </c>
      <c r="F355" s="13">
        <v>0.35106481481481483</v>
      </c>
      <c r="G355" s="3">
        <v>0.53696759259259264</v>
      </c>
      <c r="H355" s="1">
        <v>0.18541666666666667</v>
      </c>
      <c r="I355" s="5">
        <v>679</v>
      </c>
      <c r="J355">
        <v>6488</v>
      </c>
      <c r="K355">
        <v>152</v>
      </c>
      <c r="L355" s="5">
        <v>79</v>
      </c>
      <c r="M355" s="5">
        <v>679</v>
      </c>
      <c r="N355">
        <v>17</v>
      </c>
      <c r="O355">
        <v>662</v>
      </c>
      <c r="P355" s="1">
        <v>0.21597222222222223</v>
      </c>
      <c r="Q355" s="5">
        <v>1454</v>
      </c>
      <c r="R355" s="14">
        <v>9.6</v>
      </c>
      <c r="S355">
        <v>152</v>
      </c>
      <c r="T355" s="5">
        <v>17</v>
      </c>
      <c r="U355" s="5">
        <v>662</v>
      </c>
      <c r="V355" s="5">
        <v>0</v>
      </c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</row>
    <row r="356" spans="1:37" x14ac:dyDescent="0.25">
      <c r="A356" s="11">
        <f>Table1[[#This Row],[Milk Yield]]-J352</f>
        <v>2</v>
      </c>
      <c r="B356" t="s">
        <v>24</v>
      </c>
      <c r="C356" s="2">
        <v>2</v>
      </c>
      <c r="D356" s="12">
        <v>45556</v>
      </c>
      <c r="E356" s="2">
        <v>35</v>
      </c>
      <c r="F356" s="13">
        <v>0.6655092592592593</v>
      </c>
      <c r="G356" s="3">
        <v>0.86839120370370371</v>
      </c>
      <c r="H356" s="1">
        <v>0.20277777777777778</v>
      </c>
      <c r="I356" s="5">
        <v>672</v>
      </c>
      <c r="J356">
        <v>5370</v>
      </c>
      <c r="K356">
        <v>138</v>
      </c>
      <c r="L356" s="5">
        <v>114</v>
      </c>
      <c r="M356" s="5">
        <v>672</v>
      </c>
      <c r="N356">
        <v>17</v>
      </c>
      <c r="O356">
        <v>655</v>
      </c>
      <c r="P356" s="1">
        <v>0.19166666666666668</v>
      </c>
      <c r="Q356" s="5">
        <v>1103</v>
      </c>
      <c r="R356" s="14">
        <v>8</v>
      </c>
      <c r="S356">
        <v>138</v>
      </c>
      <c r="T356" s="5">
        <v>17</v>
      </c>
      <c r="U356" s="5">
        <v>655</v>
      </c>
      <c r="V356" s="5">
        <v>0</v>
      </c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</row>
    <row r="357" spans="1:37" x14ac:dyDescent="0.25">
      <c r="A357" s="11">
        <f>Table1[[#This Row],[Milk Yield]]-J353</f>
        <v>8</v>
      </c>
      <c r="B357" t="s">
        <v>24</v>
      </c>
      <c r="C357" s="2">
        <v>3</v>
      </c>
      <c r="D357" s="12">
        <v>45556</v>
      </c>
      <c r="E357" s="2">
        <v>32</v>
      </c>
      <c r="F357" s="13">
        <v>2.1990740740740742E-3</v>
      </c>
      <c r="G357" s="3">
        <v>0.19150462962962964</v>
      </c>
      <c r="H357" s="1">
        <v>0.18888888888888888</v>
      </c>
      <c r="I357" s="5">
        <v>655</v>
      </c>
      <c r="J357">
        <v>5482</v>
      </c>
      <c r="K357">
        <v>144</v>
      </c>
      <c r="L357" s="5">
        <v>79</v>
      </c>
      <c r="M357" s="5">
        <v>655</v>
      </c>
      <c r="N357">
        <v>11</v>
      </c>
      <c r="O357">
        <v>644</v>
      </c>
      <c r="P357" s="1">
        <v>0.18472222222222223</v>
      </c>
      <c r="Q357" s="5">
        <v>1207</v>
      </c>
      <c r="R357" s="14">
        <v>8.4</v>
      </c>
      <c r="S357">
        <v>144</v>
      </c>
      <c r="T357" s="5">
        <v>11</v>
      </c>
      <c r="U357" s="5">
        <v>644</v>
      </c>
      <c r="V357" s="5">
        <v>0</v>
      </c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</row>
    <row r="358" spans="1:37" x14ac:dyDescent="0.25">
      <c r="A358" s="11" t="e">
        <f>Table1[[#This Row],[Milk Yield]]-J354</f>
        <v>#VALUE!</v>
      </c>
      <c r="B358" t="s">
        <v>0</v>
      </c>
      <c r="C358" s="2" t="s">
        <v>1</v>
      </c>
      <c r="D358" s="12" t="s">
        <v>2</v>
      </c>
      <c r="E358" s="2" t="s">
        <v>3</v>
      </c>
      <c r="F358" s="13" t="s">
        <v>4</v>
      </c>
      <c r="G358" s="3" t="s">
        <v>5</v>
      </c>
      <c r="H358" s="1" t="s">
        <v>6</v>
      </c>
      <c r="I358" s="5" t="s">
        <v>8</v>
      </c>
      <c r="J358" t="s">
        <v>9</v>
      </c>
      <c r="K358" t="s">
        <v>10</v>
      </c>
      <c r="L358" s="5" t="s">
        <v>11</v>
      </c>
      <c r="M358" s="5" t="s">
        <v>12</v>
      </c>
      <c r="N358" t="s">
        <v>13</v>
      </c>
      <c r="O358" t="s">
        <v>20</v>
      </c>
      <c r="P358" t="s">
        <v>7</v>
      </c>
      <c r="Q358" s="5" t="s">
        <v>15</v>
      </c>
      <c r="R358" s="14" t="s">
        <v>18</v>
      </c>
      <c r="S358" t="s">
        <v>16</v>
      </c>
      <c r="T358" s="5" t="s">
        <v>14</v>
      </c>
      <c r="U358" s="5" t="s">
        <v>17</v>
      </c>
      <c r="V358" s="5" t="s">
        <v>19</v>
      </c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</row>
    <row r="359" spans="1:37" x14ac:dyDescent="0.25">
      <c r="A359" s="11">
        <f>Table1[[#This Row],[Milk Yield]]-J355</f>
        <v>280</v>
      </c>
      <c r="B359" t="s">
        <v>24</v>
      </c>
      <c r="C359" s="2">
        <v>1</v>
      </c>
      <c r="D359" s="12">
        <v>45557</v>
      </c>
      <c r="E359" s="2">
        <v>34</v>
      </c>
      <c r="F359" s="13">
        <v>0.3411689814814815</v>
      </c>
      <c r="G359" s="3">
        <v>0.57050925925925922</v>
      </c>
      <c r="H359" s="1">
        <v>0.22916666666666666</v>
      </c>
      <c r="I359" s="5">
        <v>669</v>
      </c>
      <c r="J359">
        <v>6768</v>
      </c>
      <c r="K359">
        <v>122</v>
      </c>
      <c r="L359" s="5">
        <v>87</v>
      </c>
      <c r="M359" s="5">
        <v>669</v>
      </c>
      <c r="N359">
        <v>9</v>
      </c>
      <c r="O359">
        <v>660</v>
      </c>
      <c r="P359" s="1">
        <v>0.20555555555555555</v>
      </c>
      <c r="Q359" s="5">
        <v>1230</v>
      </c>
      <c r="R359" s="14">
        <v>10.199999999999999</v>
      </c>
      <c r="S359">
        <v>122</v>
      </c>
      <c r="T359" s="5">
        <v>9</v>
      </c>
      <c r="U359" s="5">
        <v>660</v>
      </c>
      <c r="V359" s="5">
        <v>0</v>
      </c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</row>
    <row r="360" spans="1:37" x14ac:dyDescent="0.25">
      <c r="A360" s="11">
        <f>Table1[[#This Row],[Milk Yield]]-J356</f>
        <v>-177</v>
      </c>
      <c r="B360" t="s">
        <v>24</v>
      </c>
      <c r="C360" s="2">
        <v>2</v>
      </c>
      <c r="D360" s="12">
        <v>45557</v>
      </c>
      <c r="E360" s="2">
        <v>33</v>
      </c>
      <c r="F360" s="13">
        <v>0.66788194444444449</v>
      </c>
      <c r="G360" s="3">
        <v>0.86693287037037037</v>
      </c>
      <c r="H360" s="1">
        <v>0.1986111111111111</v>
      </c>
      <c r="I360" s="5">
        <v>665</v>
      </c>
      <c r="J360">
        <v>5193</v>
      </c>
      <c r="K360">
        <v>139</v>
      </c>
      <c r="L360" s="5">
        <v>54</v>
      </c>
      <c r="M360" s="5">
        <v>665</v>
      </c>
      <c r="N360">
        <v>8</v>
      </c>
      <c r="O360">
        <v>657</v>
      </c>
      <c r="P360" s="1">
        <v>0.18472222222222223</v>
      </c>
      <c r="Q360" s="5">
        <v>1087</v>
      </c>
      <c r="R360" s="14">
        <v>7.9</v>
      </c>
      <c r="S360">
        <v>139</v>
      </c>
      <c r="T360" s="5">
        <v>8</v>
      </c>
      <c r="U360" s="5">
        <v>659</v>
      </c>
      <c r="V360" s="5">
        <v>2</v>
      </c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</row>
    <row r="361" spans="1:37" x14ac:dyDescent="0.25">
      <c r="A361" s="11">
        <f>Table1[[#This Row],[Milk Yield]]-J357</f>
        <v>144</v>
      </c>
      <c r="B361" t="s">
        <v>24</v>
      </c>
      <c r="C361" s="2">
        <v>3</v>
      </c>
      <c r="D361" s="12">
        <v>45557</v>
      </c>
      <c r="E361" s="2">
        <v>33</v>
      </c>
      <c r="F361" s="13">
        <v>3.5879629629629629E-4</v>
      </c>
      <c r="G361" s="3">
        <v>0.2066550925925926</v>
      </c>
      <c r="H361" s="1">
        <v>0.20624999999999999</v>
      </c>
      <c r="I361" s="5">
        <v>657</v>
      </c>
      <c r="J361">
        <v>5626</v>
      </c>
      <c r="K361">
        <v>133</v>
      </c>
      <c r="L361" s="5">
        <v>51</v>
      </c>
      <c r="M361" s="5">
        <v>657</v>
      </c>
      <c r="N361">
        <v>10</v>
      </c>
      <c r="O361">
        <v>647</v>
      </c>
      <c r="P361" s="1">
        <v>0.18541666666666667</v>
      </c>
      <c r="Q361" s="5">
        <v>1136</v>
      </c>
      <c r="R361" s="14">
        <v>8.6</v>
      </c>
      <c r="S361">
        <v>133</v>
      </c>
      <c r="T361" s="5">
        <v>10</v>
      </c>
      <c r="U361" s="5">
        <v>647</v>
      </c>
      <c r="V361" s="5">
        <v>0</v>
      </c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</row>
    <row r="362" spans="1:37" x14ac:dyDescent="0.25">
      <c r="A362" s="11" t="e">
        <f>Table1[[#This Row],[Milk Yield]]-J358</f>
        <v>#VALUE!</v>
      </c>
      <c r="B362" t="s">
        <v>26</v>
      </c>
      <c r="C362" s="2" t="s">
        <v>27</v>
      </c>
      <c r="D362" s="12" t="s">
        <v>28</v>
      </c>
      <c r="E362" s="2" t="s">
        <v>29</v>
      </c>
      <c r="F362" s="13" t="s">
        <v>30</v>
      </c>
      <c r="G362" s="3" t="s">
        <v>31</v>
      </c>
      <c r="H362" s="1" t="s">
        <v>32</v>
      </c>
      <c r="I362" s="5" t="s">
        <v>33</v>
      </c>
      <c r="J362" t="s">
        <v>34</v>
      </c>
      <c r="K362" t="s">
        <v>35</v>
      </c>
      <c r="L362" s="5" t="s">
        <v>36</v>
      </c>
      <c r="M362" s="5" t="s">
        <v>37</v>
      </c>
      <c r="N362" t="s">
        <v>38</v>
      </c>
      <c r="O362" t="s">
        <v>39</v>
      </c>
      <c r="P362" t="s">
        <v>40</v>
      </c>
      <c r="Q362" s="5" t="s">
        <v>41</v>
      </c>
      <c r="R362" s="14" t="s">
        <v>42</v>
      </c>
      <c r="S362" t="s">
        <v>43</v>
      </c>
      <c r="T362" s="5" t="s">
        <v>44</v>
      </c>
      <c r="U362" s="5" t="s">
        <v>45</v>
      </c>
      <c r="V362" s="5" t="s">
        <v>46</v>
      </c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</row>
    <row r="363" spans="1:37" x14ac:dyDescent="0.25">
      <c r="A363" s="11">
        <f>Table1[[#This Row],[Milk Yield]]-J359</f>
        <v>-382</v>
      </c>
      <c r="B363" t="s">
        <v>24</v>
      </c>
      <c r="C363" s="2">
        <v>1</v>
      </c>
      <c r="D363" s="12">
        <v>45558</v>
      </c>
      <c r="E363" s="2">
        <v>33</v>
      </c>
      <c r="F363" s="13">
        <v>0.33681712962962962</v>
      </c>
      <c r="G363" s="3">
        <v>0.55855324074074075</v>
      </c>
      <c r="H363" s="1">
        <v>0.22152777777777777</v>
      </c>
      <c r="I363" s="5">
        <v>680</v>
      </c>
      <c r="J363">
        <v>6386</v>
      </c>
      <c r="K363">
        <v>128</v>
      </c>
      <c r="L363" s="5">
        <v>168</v>
      </c>
      <c r="M363" s="5">
        <v>680</v>
      </c>
      <c r="N363">
        <v>22</v>
      </c>
      <c r="O363">
        <v>658</v>
      </c>
      <c r="P363" s="1">
        <v>0.2076388888888889</v>
      </c>
      <c r="Q363" s="5">
        <v>1200</v>
      </c>
      <c r="R363" s="14">
        <v>9.4</v>
      </c>
      <c r="S363">
        <v>128</v>
      </c>
      <c r="T363" s="5">
        <v>22</v>
      </c>
      <c r="U363" s="5">
        <v>658</v>
      </c>
      <c r="V363" s="5">
        <v>0</v>
      </c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</row>
    <row r="364" spans="1:37" x14ac:dyDescent="0.25">
      <c r="A364" s="11">
        <f>Table1[[#This Row],[Milk Yield]]-J360</f>
        <v>257</v>
      </c>
      <c r="B364" t="s">
        <v>24</v>
      </c>
      <c r="C364" s="2">
        <v>2</v>
      </c>
      <c r="D364" s="12">
        <v>45558</v>
      </c>
      <c r="E364" s="2">
        <v>33</v>
      </c>
      <c r="F364" s="13">
        <v>0.66722222222222227</v>
      </c>
      <c r="G364" s="3">
        <v>0.86019675925925931</v>
      </c>
      <c r="H364" s="1">
        <v>0.19236111111111112</v>
      </c>
      <c r="I364" s="5">
        <v>670</v>
      </c>
      <c r="J364">
        <v>5450</v>
      </c>
      <c r="K364">
        <v>145</v>
      </c>
      <c r="L364" s="5">
        <v>79</v>
      </c>
      <c r="M364" s="5">
        <v>670</v>
      </c>
      <c r="N364">
        <v>13</v>
      </c>
      <c r="O364">
        <v>657</v>
      </c>
      <c r="P364" s="1">
        <v>0.1986111111111111</v>
      </c>
      <c r="Q364" s="5">
        <v>1177</v>
      </c>
      <c r="R364" s="14">
        <v>8.1999999999999993</v>
      </c>
      <c r="S364">
        <v>145</v>
      </c>
      <c r="T364" s="5">
        <v>13</v>
      </c>
      <c r="U364" s="5">
        <v>657</v>
      </c>
      <c r="V364" s="5">
        <v>0</v>
      </c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</row>
    <row r="365" spans="1:37" x14ac:dyDescent="0.25">
      <c r="A365" s="11">
        <f>Table1[[#This Row],[Milk Yield]]-J361</f>
        <v>195</v>
      </c>
      <c r="B365" t="s">
        <v>24</v>
      </c>
      <c r="C365" s="2">
        <v>3</v>
      </c>
      <c r="D365" s="12">
        <v>45558</v>
      </c>
      <c r="E365" s="2">
        <v>34</v>
      </c>
      <c r="F365" s="13">
        <v>2.6157407407407405E-3</v>
      </c>
      <c r="G365" s="3">
        <v>0.23011574074074073</v>
      </c>
      <c r="H365" s="1">
        <v>0.22708333333333333</v>
      </c>
      <c r="I365" s="5">
        <v>663</v>
      </c>
      <c r="J365">
        <v>5821</v>
      </c>
      <c r="K365">
        <v>121</v>
      </c>
      <c r="L365" s="5">
        <v>24</v>
      </c>
      <c r="M365" s="5">
        <v>663</v>
      </c>
      <c r="N365">
        <v>9</v>
      </c>
      <c r="O365">
        <v>654</v>
      </c>
      <c r="P365" s="1">
        <v>0.20902777777777778</v>
      </c>
      <c r="Q365" s="5">
        <v>1066</v>
      </c>
      <c r="R365" s="14">
        <v>8.8000000000000007</v>
      </c>
      <c r="S365">
        <v>121</v>
      </c>
      <c r="T365" s="5">
        <v>9</v>
      </c>
      <c r="U365" s="5">
        <v>654</v>
      </c>
      <c r="V365" s="5">
        <v>0</v>
      </c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</row>
    <row r="366" spans="1:37" x14ac:dyDescent="0.25">
      <c r="A366" s="11" t="e">
        <f>Table1[[#This Row],[Milk Yield]]-J362</f>
        <v>#VALUE!</v>
      </c>
      <c r="B366" t="s">
        <v>0</v>
      </c>
      <c r="C366" s="2" t="s">
        <v>1</v>
      </c>
      <c r="D366" s="12" t="s">
        <v>2</v>
      </c>
      <c r="E366" s="2" t="s">
        <v>3</v>
      </c>
      <c r="F366" s="13" t="s">
        <v>4</v>
      </c>
      <c r="G366" s="3" t="s">
        <v>5</v>
      </c>
      <c r="H366" s="1" t="s">
        <v>6</v>
      </c>
      <c r="I366" s="5" t="s">
        <v>8</v>
      </c>
      <c r="J366" t="s">
        <v>9</v>
      </c>
      <c r="K366" t="s">
        <v>10</v>
      </c>
      <c r="L366" s="5" t="s">
        <v>11</v>
      </c>
      <c r="M366" s="5" t="s">
        <v>12</v>
      </c>
      <c r="N366" t="s">
        <v>13</v>
      </c>
      <c r="O366" t="s">
        <v>20</v>
      </c>
      <c r="P366" t="s">
        <v>7</v>
      </c>
      <c r="Q366" s="5" t="s">
        <v>15</v>
      </c>
      <c r="R366" s="14" t="s">
        <v>18</v>
      </c>
      <c r="S366" t="s">
        <v>16</v>
      </c>
      <c r="T366" s="5" t="s">
        <v>14</v>
      </c>
      <c r="U366" s="5" t="s">
        <v>17</v>
      </c>
      <c r="V366" s="5" t="s">
        <v>19</v>
      </c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</row>
    <row r="367" spans="1:37" x14ac:dyDescent="0.25">
      <c r="A367" s="11">
        <f>Table1[[#This Row],[Milk Yield]]-J363</f>
        <v>48</v>
      </c>
      <c r="B367" t="s">
        <v>24</v>
      </c>
      <c r="C367" s="2">
        <v>1</v>
      </c>
      <c r="D367" s="12">
        <v>45559</v>
      </c>
      <c r="E367" s="2">
        <v>32</v>
      </c>
      <c r="F367" s="13">
        <v>0.3414814814814815</v>
      </c>
      <c r="G367" s="3">
        <v>0.58112268518518517</v>
      </c>
      <c r="H367" s="1">
        <v>0.23958333333333334</v>
      </c>
      <c r="I367" s="5">
        <v>677</v>
      </c>
      <c r="J367">
        <v>6434</v>
      </c>
      <c r="K367">
        <v>118</v>
      </c>
      <c r="L367" s="5">
        <v>65</v>
      </c>
      <c r="M367" s="5">
        <v>677</v>
      </c>
      <c r="N367">
        <v>9</v>
      </c>
      <c r="O367">
        <v>668</v>
      </c>
      <c r="P367" s="1">
        <v>0.20624999999999999</v>
      </c>
      <c r="Q367" s="5">
        <v>1119</v>
      </c>
      <c r="R367" s="14">
        <v>9.6</v>
      </c>
      <c r="S367">
        <v>118</v>
      </c>
      <c r="T367" s="5">
        <v>9</v>
      </c>
      <c r="U367" s="5">
        <v>668</v>
      </c>
      <c r="V367" s="5">
        <v>0</v>
      </c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</row>
    <row r="368" spans="1:37" x14ac:dyDescent="0.25">
      <c r="A368" s="11">
        <f>Table1[[#This Row],[Milk Yield]]-J364</f>
        <v>-218</v>
      </c>
      <c r="B368" t="s">
        <v>24</v>
      </c>
      <c r="C368" s="2">
        <v>2</v>
      </c>
      <c r="D368" s="12">
        <v>45559</v>
      </c>
      <c r="E368" s="2">
        <v>32</v>
      </c>
      <c r="F368" s="13">
        <v>0.66671296296296301</v>
      </c>
      <c r="G368" s="3">
        <v>0.86861111111111111</v>
      </c>
      <c r="H368" s="1">
        <v>0.2013888888888889</v>
      </c>
      <c r="I368" s="5">
        <v>667</v>
      </c>
      <c r="J368">
        <v>5232</v>
      </c>
      <c r="K368">
        <v>138</v>
      </c>
      <c r="L368" s="5">
        <v>53</v>
      </c>
      <c r="M368" s="5">
        <v>667</v>
      </c>
      <c r="N368">
        <v>9</v>
      </c>
      <c r="O368">
        <v>658</v>
      </c>
      <c r="P368" s="1">
        <v>0.18472222222222223</v>
      </c>
      <c r="Q368" s="5">
        <v>1080</v>
      </c>
      <c r="R368" s="14">
        <v>7.9</v>
      </c>
      <c r="S368">
        <v>138</v>
      </c>
      <c r="T368" s="5">
        <v>9</v>
      </c>
      <c r="U368" s="5">
        <v>658</v>
      </c>
      <c r="V368" s="5">
        <v>0</v>
      </c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</row>
    <row r="369" spans="1:37" x14ac:dyDescent="0.25">
      <c r="A369" s="11">
        <f>Table1[[#This Row],[Milk Yield]]-J365</f>
        <v>-115</v>
      </c>
      <c r="B369" t="s">
        <v>24</v>
      </c>
      <c r="C369" s="2">
        <v>3</v>
      </c>
      <c r="D369" s="12">
        <v>45559</v>
      </c>
      <c r="E369" s="2">
        <v>35</v>
      </c>
      <c r="F369" s="13">
        <v>0.99944444444444447</v>
      </c>
      <c r="G369" s="3">
        <v>0.22726851851851851</v>
      </c>
      <c r="H369" s="1">
        <v>0.22777777777777777</v>
      </c>
      <c r="I369" s="5">
        <v>690</v>
      </c>
      <c r="J369">
        <v>5706</v>
      </c>
      <c r="K369">
        <v>126</v>
      </c>
      <c r="L369" s="5">
        <v>183</v>
      </c>
      <c r="M369" s="5">
        <v>690</v>
      </c>
      <c r="N369">
        <v>30</v>
      </c>
      <c r="O369">
        <v>660</v>
      </c>
      <c r="P369" s="1">
        <v>0.20833333333333334</v>
      </c>
      <c r="Q369" s="5">
        <v>1044</v>
      </c>
      <c r="R369" s="14">
        <v>8.3000000000000007</v>
      </c>
      <c r="S369">
        <v>126</v>
      </c>
      <c r="T369" s="5">
        <v>30</v>
      </c>
      <c r="U369" s="5">
        <v>660</v>
      </c>
      <c r="V369" s="5">
        <v>0</v>
      </c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</row>
    <row r="370" spans="1:37" x14ac:dyDescent="0.25">
      <c r="A370" s="11" t="e">
        <f>Table1[[#This Row],[Milk Yield]]-J366</f>
        <v>#VALUE!</v>
      </c>
      <c r="B370" t="s">
        <v>0</v>
      </c>
      <c r="C370" s="2" t="s">
        <v>1</v>
      </c>
      <c r="D370" s="12" t="s">
        <v>2</v>
      </c>
      <c r="E370" s="2" t="s">
        <v>3</v>
      </c>
      <c r="F370" s="13" t="s">
        <v>4</v>
      </c>
      <c r="G370" s="3" t="s">
        <v>5</v>
      </c>
      <c r="H370" s="1" t="s">
        <v>6</v>
      </c>
      <c r="I370" s="5" t="s">
        <v>8</v>
      </c>
      <c r="J370" t="s">
        <v>9</v>
      </c>
      <c r="K370" t="s">
        <v>10</v>
      </c>
      <c r="L370" s="5" t="s">
        <v>11</v>
      </c>
      <c r="M370" s="5" t="s">
        <v>12</v>
      </c>
      <c r="N370" t="s">
        <v>13</v>
      </c>
      <c r="O370" t="s">
        <v>20</v>
      </c>
      <c r="P370" t="s">
        <v>7</v>
      </c>
      <c r="Q370" s="5" t="s">
        <v>15</v>
      </c>
      <c r="R370" s="14" t="s">
        <v>18</v>
      </c>
      <c r="S370" t="s">
        <v>16</v>
      </c>
      <c r="T370" s="5" t="s">
        <v>14</v>
      </c>
      <c r="U370" s="5" t="s">
        <v>17</v>
      </c>
      <c r="V370" s="5" t="s">
        <v>19</v>
      </c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</row>
    <row r="371" spans="1:37" x14ac:dyDescent="0.25">
      <c r="A371" s="11">
        <f>Table1[[#This Row],[Milk Yield]]-J367</f>
        <v>68</v>
      </c>
      <c r="B371" t="s">
        <v>24</v>
      </c>
      <c r="C371" s="2">
        <v>1</v>
      </c>
      <c r="D371" s="12">
        <v>45560</v>
      </c>
      <c r="E371" s="2">
        <v>32</v>
      </c>
      <c r="F371" s="13">
        <v>0.3396527777777778</v>
      </c>
      <c r="G371" s="3">
        <v>0.56741898148148151</v>
      </c>
      <c r="H371" s="1">
        <v>0.22708333333333333</v>
      </c>
      <c r="I371" s="5">
        <v>679</v>
      </c>
      <c r="J371">
        <v>6502</v>
      </c>
      <c r="K371">
        <v>124</v>
      </c>
      <c r="L371" s="5">
        <v>202</v>
      </c>
      <c r="M371" s="5">
        <v>679</v>
      </c>
      <c r="N371">
        <v>31</v>
      </c>
      <c r="O371">
        <v>648</v>
      </c>
      <c r="P371" s="1">
        <v>0.21319444444444444</v>
      </c>
      <c r="Q371" s="5">
        <v>1189</v>
      </c>
      <c r="R371" s="14">
        <v>9.6</v>
      </c>
      <c r="S371">
        <v>124</v>
      </c>
      <c r="T371" s="5">
        <v>31</v>
      </c>
      <c r="U371" s="5">
        <v>646</v>
      </c>
      <c r="V371" s="5">
        <v>0</v>
      </c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</row>
    <row r="372" spans="1:37" x14ac:dyDescent="0.25">
      <c r="A372" s="11">
        <f>Table1[[#This Row],[Milk Yield]]-J368</f>
        <v>333</v>
      </c>
      <c r="B372" t="s">
        <v>24</v>
      </c>
      <c r="C372" s="2">
        <v>2</v>
      </c>
      <c r="D372" s="12">
        <v>45560</v>
      </c>
      <c r="E372" s="2">
        <v>34</v>
      </c>
      <c r="F372" s="13">
        <v>0.67715277777777783</v>
      </c>
      <c r="G372" s="3">
        <v>0.89520833333333338</v>
      </c>
      <c r="H372" s="1">
        <v>0.21805555555555556</v>
      </c>
      <c r="I372" s="5">
        <v>671</v>
      </c>
      <c r="J372">
        <v>5565</v>
      </c>
      <c r="K372">
        <v>128</v>
      </c>
      <c r="L372" s="5">
        <v>774</v>
      </c>
      <c r="M372" s="5">
        <v>671</v>
      </c>
      <c r="N372">
        <v>95</v>
      </c>
      <c r="O372">
        <v>576</v>
      </c>
      <c r="P372" s="1">
        <v>0.21388888888888888</v>
      </c>
      <c r="Q372" s="5">
        <v>1063</v>
      </c>
      <c r="R372" s="14">
        <v>8.3000000000000007</v>
      </c>
      <c r="S372">
        <v>128</v>
      </c>
      <c r="T372" s="5">
        <v>95</v>
      </c>
      <c r="U372" s="5">
        <v>576</v>
      </c>
      <c r="V372" s="5">
        <v>1</v>
      </c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</row>
    <row r="373" spans="1:37" x14ac:dyDescent="0.25">
      <c r="A373" s="11">
        <f>Table1[[#This Row],[Milk Yield]]-J369</f>
        <v>-148</v>
      </c>
      <c r="B373" t="s">
        <v>24</v>
      </c>
      <c r="C373" s="2">
        <v>3</v>
      </c>
      <c r="D373" s="12">
        <v>45560</v>
      </c>
      <c r="E373" s="2">
        <v>34</v>
      </c>
      <c r="F373" s="13">
        <v>0.99984953703703705</v>
      </c>
      <c r="G373" s="3">
        <v>0.21796296296296297</v>
      </c>
      <c r="H373" s="1">
        <v>0.21805555555555556</v>
      </c>
      <c r="I373" s="5">
        <v>676</v>
      </c>
      <c r="J373">
        <v>5558</v>
      </c>
      <c r="K373">
        <v>129</v>
      </c>
      <c r="L373" s="5">
        <v>82</v>
      </c>
      <c r="M373" s="5">
        <v>676</v>
      </c>
      <c r="N373">
        <v>11</v>
      </c>
      <c r="O373">
        <v>665</v>
      </c>
      <c r="P373" s="1">
        <v>0.2</v>
      </c>
      <c r="Q373" s="5">
        <v>1062</v>
      </c>
      <c r="R373" s="14">
        <v>8.3000000000000007</v>
      </c>
      <c r="S373">
        <v>129</v>
      </c>
      <c r="T373" s="5">
        <v>11</v>
      </c>
      <c r="U373" s="5">
        <v>666</v>
      </c>
      <c r="V373" s="5">
        <v>1</v>
      </c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</row>
    <row r="374" spans="1:37" x14ac:dyDescent="0.25">
      <c r="A374" s="11" t="e">
        <f>Table1[[#This Row],[Milk Yield]]-J370</f>
        <v>#VALUE!</v>
      </c>
      <c r="B374" t="s">
        <v>0</v>
      </c>
      <c r="C374" s="2" t="s">
        <v>1</v>
      </c>
      <c r="D374" s="12" t="s">
        <v>2</v>
      </c>
      <c r="E374" s="2" t="s">
        <v>3</v>
      </c>
      <c r="F374" s="13" t="s">
        <v>4</v>
      </c>
      <c r="G374" s="3" t="s">
        <v>5</v>
      </c>
      <c r="H374" s="1" t="s">
        <v>6</v>
      </c>
      <c r="I374" s="5" t="s">
        <v>8</v>
      </c>
      <c r="J374" t="s">
        <v>9</v>
      </c>
      <c r="K374" t="s">
        <v>10</v>
      </c>
      <c r="L374" s="5" t="s">
        <v>11</v>
      </c>
      <c r="M374" s="5" t="s">
        <v>12</v>
      </c>
      <c r="N374" t="s">
        <v>13</v>
      </c>
      <c r="O374" t="s">
        <v>20</v>
      </c>
      <c r="P374" t="s">
        <v>7</v>
      </c>
      <c r="Q374" s="5" t="s">
        <v>15</v>
      </c>
      <c r="R374" s="14" t="s">
        <v>18</v>
      </c>
      <c r="S374" t="s">
        <v>16</v>
      </c>
      <c r="T374" s="5" t="s">
        <v>14</v>
      </c>
      <c r="U374" s="5" t="s">
        <v>17</v>
      </c>
      <c r="V374" s="5" t="s">
        <v>19</v>
      </c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</row>
    <row r="375" spans="1:37" x14ac:dyDescent="0.25">
      <c r="A375" s="11">
        <f>Table1[[#This Row],[Milk Yield]]-J371</f>
        <v>289</v>
      </c>
      <c r="B375" t="s">
        <v>24</v>
      </c>
      <c r="C375" s="2">
        <v>1</v>
      </c>
      <c r="D375" s="12">
        <v>45561</v>
      </c>
      <c r="E375" s="2">
        <v>35</v>
      </c>
      <c r="F375" s="13">
        <v>0.33543981481481483</v>
      </c>
      <c r="G375" s="3">
        <v>0.55604166666666666</v>
      </c>
      <c r="H375" s="1">
        <v>0.22013888888888888</v>
      </c>
      <c r="I375" s="5">
        <v>675</v>
      </c>
      <c r="J375">
        <v>6791</v>
      </c>
      <c r="K375">
        <v>127</v>
      </c>
      <c r="L375" s="5">
        <v>298</v>
      </c>
      <c r="M375" s="5">
        <v>675</v>
      </c>
      <c r="N375">
        <v>36</v>
      </c>
      <c r="O375">
        <v>639</v>
      </c>
      <c r="P375" s="1">
        <v>0.21180555555555555</v>
      </c>
      <c r="Q375" s="5">
        <v>1283</v>
      </c>
      <c r="R375" s="14">
        <v>10.1</v>
      </c>
      <c r="S375">
        <v>127</v>
      </c>
      <c r="T375" s="5">
        <v>36</v>
      </c>
      <c r="U375" s="5">
        <v>641</v>
      </c>
      <c r="V375" s="5">
        <v>2</v>
      </c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</row>
    <row r="376" spans="1:37" x14ac:dyDescent="0.25">
      <c r="A376" s="11">
        <f>Table1[[#This Row],[Milk Yield]]-J372</f>
        <v>385</v>
      </c>
      <c r="B376" t="s">
        <v>24</v>
      </c>
      <c r="C376" s="2">
        <v>2</v>
      </c>
      <c r="D376" s="12">
        <v>45561</v>
      </c>
      <c r="E376" s="2">
        <v>36</v>
      </c>
      <c r="F376" s="13">
        <v>0.65892361111111108</v>
      </c>
      <c r="G376" s="3">
        <v>0.88983796296296291</v>
      </c>
      <c r="H376" s="1">
        <v>0.23055555555555557</v>
      </c>
      <c r="I376" s="5">
        <v>659</v>
      </c>
      <c r="J376">
        <v>5950</v>
      </c>
      <c r="K376">
        <v>119</v>
      </c>
      <c r="L376" s="5">
        <v>1557</v>
      </c>
      <c r="M376" s="5">
        <v>659</v>
      </c>
      <c r="N376">
        <v>114</v>
      </c>
      <c r="O376">
        <v>545</v>
      </c>
      <c r="P376" s="1">
        <v>0.23333333333333334</v>
      </c>
      <c r="Q376" s="5">
        <v>1074</v>
      </c>
      <c r="R376" s="14">
        <v>9.1</v>
      </c>
      <c r="S376">
        <v>119</v>
      </c>
      <c r="T376" s="5">
        <v>114</v>
      </c>
      <c r="U376" s="5">
        <v>546</v>
      </c>
      <c r="V376" s="5">
        <v>1</v>
      </c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</row>
    <row r="377" spans="1:37" x14ac:dyDescent="0.25">
      <c r="A377" s="11">
        <f>Table1[[#This Row],[Milk Yield]]-J373</f>
        <v>237</v>
      </c>
      <c r="B377" t="s">
        <v>24</v>
      </c>
      <c r="C377" s="2">
        <v>3</v>
      </c>
      <c r="D377" s="12">
        <v>45561</v>
      </c>
      <c r="E377" s="2">
        <v>37</v>
      </c>
      <c r="F377" s="13">
        <v>0.99879629629629629</v>
      </c>
      <c r="G377" s="3">
        <v>0.2121875</v>
      </c>
      <c r="H377" s="1">
        <v>0.21319444444444444</v>
      </c>
      <c r="I377" s="5">
        <v>709</v>
      </c>
      <c r="J377">
        <v>5795</v>
      </c>
      <c r="K377">
        <v>138</v>
      </c>
      <c r="L377" s="5">
        <v>292</v>
      </c>
      <c r="M377" s="5">
        <v>709</v>
      </c>
      <c r="N377">
        <v>42</v>
      </c>
      <c r="O377">
        <v>667</v>
      </c>
      <c r="P377" s="1">
        <v>0.21319444444444444</v>
      </c>
      <c r="Q377" s="5">
        <v>1132</v>
      </c>
      <c r="R377" s="14">
        <v>8.1999999999999993</v>
      </c>
      <c r="S377">
        <v>138</v>
      </c>
      <c r="T377" s="5">
        <v>42</v>
      </c>
      <c r="U377" s="5">
        <v>668</v>
      </c>
      <c r="V377" s="5">
        <v>1</v>
      </c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</row>
    <row r="378" spans="1:37" x14ac:dyDescent="0.25">
      <c r="A378" s="11" t="e">
        <f>Table1[[#This Row],[Milk Yield]]-J374</f>
        <v>#VALUE!</v>
      </c>
      <c r="B378" t="s">
        <v>0</v>
      </c>
      <c r="C378" s="2" t="s">
        <v>1</v>
      </c>
      <c r="D378" s="12" t="s">
        <v>2</v>
      </c>
      <c r="E378" s="2" t="s">
        <v>3</v>
      </c>
      <c r="F378" s="13" t="s">
        <v>4</v>
      </c>
      <c r="G378" s="3" t="s">
        <v>5</v>
      </c>
      <c r="H378" s="1" t="s">
        <v>6</v>
      </c>
      <c r="I378" s="5" t="s">
        <v>8</v>
      </c>
      <c r="J378" t="s">
        <v>9</v>
      </c>
      <c r="K378" t="s">
        <v>10</v>
      </c>
      <c r="L378" s="5" t="s">
        <v>11</v>
      </c>
      <c r="M378" s="5" t="s">
        <v>12</v>
      </c>
      <c r="N378" t="s">
        <v>13</v>
      </c>
      <c r="O378" t="s">
        <v>20</v>
      </c>
      <c r="P378" t="s">
        <v>7</v>
      </c>
      <c r="Q378" s="5" t="s">
        <v>15</v>
      </c>
      <c r="R378" s="14" t="s">
        <v>18</v>
      </c>
      <c r="S378" t="s">
        <v>16</v>
      </c>
      <c r="T378" s="5" t="s">
        <v>14</v>
      </c>
      <c r="U378" s="5" t="s">
        <v>17</v>
      </c>
      <c r="V378" s="5" t="s">
        <v>19</v>
      </c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</row>
    <row r="379" spans="1:37" x14ac:dyDescent="0.25">
      <c r="A379" s="11">
        <f>Table1[[#This Row],[Milk Yield]]-J375</f>
        <v>-46</v>
      </c>
      <c r="B379" t="s">
        <v>24</v>
      </c>
      <c r="C379" s="2">
        <v>1</v>
      </c>
      <c r="D379" s="12">
        <v>45562</v>
      </c>
      <c r="E379" s="2">
        <v>36</v>
      </c>
      <c r="F379" s="13">
        <v>0.35517361111111112</v>
      </c>
      <c r="G379" s="3">
        <v>0.58049768518518519</v>
      </c>
      <c r="H379" s="1">
        <v>0.22500000000000001</v>
      </c>
      <c r="I379" s="5">
        <v>684</v>
      </c>
      <c r="J379">
        <v>6745</v>
      </c>
      <c r="K379">
        <v>126</v>
      </c>
      <c r="L379" s="5">
        <v>231</v>
      </c>
      <c r="M379" s="5">
        <v>684</v>
      </c>
      <c r="N379">
        <v>31</v>
      </c>
      <c r="O379">
        <v>653</v>
      </c>
      <c r="P379" s="1">
        <v>0.21805555555555556</v>
      </c>
      <c r="Q379" s="5">
        <v>1247</v>
      </c>
      <c r="R379" s="14">
        <v>9.9</v>
      </c>
      <c r="S379">
        <v>126</v>
      </c>
      <c r="T379" s="5">
        <v>31</v>
      </c>
      <c r="U379" s="5">
        <v>653</v>
      </c>
      <c r="V379" s="5">
        <v>1</v>
      </c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</row>
    <row r="380" spans="1:37" x14ac:dyDescent="0.25">
      <c r="A380" s="11">
        <f>Table1[[#This Row],[Milk Yield]]-J376</f>
        <v>-396</v>
      </c>
      <c r="B380" t="s">
        <v>24</v>
      </c>
      <c r="C380" s="2">
        <v>2</v>
      </c>
      <c r="D380" s="12">
        <v>45562</v>
      </c>
      <c r="E380" s="2">
        <v>32</v>
      </c>
      <c r="F380" s="13">
        <v>0.66540509259259262</v>
      </c>
      <c r="G380" s="3">
        <v>0.88782407407407404</v>
      </c>
      <c r="H380" s="1">
        <v>0.22222222222222221</v>
      </c>
      <c r="I380" s="5">
        <v>678</v>
      </c>
      <c r="J380">
        <v>5554</v>
      </c>
      <c r="K380">
        <v>127</v>
      </c>
      <c r="L380" s="5">
        <v>1131</v>
      </c>
      <c r="M380" s="5">
        <v>678</v>
      </c>
      <c r="N380">
        <v>141</v>
      </c>
      <c r="O380">
        <v>537</v>
      </c>
      <c r="P380" s="1">
        <v>0.22777777777777777</v>
      </c>
      <c r="Q380" s="5">
        <v>1041</v>
      </c>
      <c r="R380" s="14">
        <v>8.1999999999999993</v>
      </c>
      <c r="S380">
        <v>127</v>
      </c>
      <c r="T380" s="5">
        <v>141</v>
      </c>
      <c r="U380" s="5">
        <v>538</v>
      </c>
      <c r="V380" s="5">
        <v>1</v>
      </c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</row>
    <row r="381" spans="1:37" x14ac:dyDescent="0.25">
      <c r="A381" s="11">
        <f>Table1[[#This Row],[Milk Yield]]-J377</f>
        <v>-178</v>
      </c>
      <c r="B381" t="s">
        <v>24</v>
      </c>
      <c r="C381" s="2">
        <v>3</v>
      </c>
      <c r="D381" s="12">
        <v>45562</v>
      </c>
      <c r="E381" s="2">
        <v>34</v>
      </c>
      <c r="F381" s="13">
        <v>7.9861111111111116E-4</v>
      </c>
      <c r="G381" s="3">
        <v>0.21815972222222221</v>
      </c>
      <c r="H381" s="1">
        <v>0.21736111111111112</v>
      </c>
      <c r="I381" s="5">
        <v>677</v>
      </c>
      <c r="J381">
        <v>5617</v>
      </c>
      <c r="K381">
        <v>130</v>
      </c>
      <c r="L381" s="5">
        <v>41</v>
      </c>
      <c r="M381" s="5">
        <v>677</v>
      </c>
      <c r="N381">
        <v>9</v>
      </c>
      <c r="O381">
        <v>668</v>
      </c>
      <c r="P381" s="1">
        <v>0.19513888888888889</v>
      </c>
      <c r="Q381" s="5">
        <v>1077</v>
      </c>
      <c r="R381" s="14">
        <v>8.3000000000000007</v>
      </c>
      <c r="S381">
        <v>130</v>
      </c>
      <c r="T381" s="5">
        <v>9</v>
      </c>
      <c r="U381" s="5">
        <v>669</v>
      </c>
      <c r="V381" s="5">
        <v>1</v>
      </c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</row>
    <row r="382" spans="1:37" x14ac:dyDescent="0.25">
      <c r="A382" s="11" t="e">
        <f>Table1[[#This Row],[Milk Yield]]-J378</f>
        <v>#VALUE!</v>
      </c>
      <c r="B382" t="s">
        <v>0</v>
      </c>
      <c r="C382" s="2" t="s">
        <v>1</v>
      </c>
      <c r="D382" s="12" t="s">
        <v>2</v>
      </c>
      <c r="E382" s="2" t="s">
        <v>3</v>
      </c>
      <c r="F382" s="13" t="s">
        <v>4</v>
      </c>
      <c r="G382" s="3" t="s">
        <v>5</v>
      </c>
      <c r="H382" s="1" t="s">
        <v>6</v>
      </c>
      <c r="I382" s="5" t="s">
        <v>8</v>
      </c>
      <c r="J382" t="s">
        <v>9</v>
      </c>
      <c r="K382" t="s">
        <v>10</v>
      </c>
      <c r="L382" s="5" t="s">
        <v>11</v>
      </c>
      <c r="M382" s="5" t="s">
        <v>12</v>
      </c>
      <c r="N382" t="s">
        <v>13</v>
      </c>
      <c r="O382" t="s">
        <v>20</v>
      </c>
      <c r="P382" t="s">
        <v>7</v>
      </c>
      <c r="Q382" s="5" t="s">
        <v>15</v>
      </c>
      <c r="R382" s="14" t="s">
        <v>18</v>
      </c>
      <c r="S382" t="s">
        <v>16</v>
      </c>
      <c r="T382" s="5" t="s">
        <v>14</v>
      </c>
      <c r="U382" s="5" t="s">
        <v>17</v>
      </c>
      <c r="V382" s="5" t="s">
        <v>19</v>
      </c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</row>
    <row r="383" spans="1:37" x14ac:dyDescent="0.25">
      <c r="A383" s="11">
        <f>Table1[[#This Row],[Milk Yield]]-J379</f>
        <v>-77</v>
      </c>
      <c r="B383" t="s">
        <v>24</v>
      </c>
      <c r="C383" s="2">
        <v>1</v>
      </c>
      <c r="D383" s="12">
        <v>45563</v>
      </c>
      <c r="E383" s="2">
        <v>35</v>
      </c>
      <c r="F383" s="13">
        <v>0.33373842592592595</v>
      </c>
      <c r="G383" s="3">
        <v>0.56405092592592587</v>
      </c>
      <c r="H383" s="1">
        <v>0.2298611111111111</v>
      </c>
      <c r="I383" s="5">
        <v>684</v>
      </c>
      <c r="J383">
        <v>6668</v>
      </c>
      <c r="K383">
        <v>124</v>
      </c>
      <c r="L383" s="5">
        <v>118</v>
      </c>
      <c r="M383" s="5">
        <v>684</v>
      </c>
      <c r="N383">
        <v>15</v>
      </c>
      <c r="O383">
        <v>669</v>
      </c>
      <c r="P383" s="1">
        <v>0.21388888888888888</v>
      </c>
      <c r="Q383" s="5">
        <v>1206</v>
      </c>
      <c r="R383" s="14">
        <v>9.8000000000000007</v>
      </c>
      <c r="S383">
        <v>124</v>
      </c>
      <c r="T383" s="5">
        <v>15</v>
      </c>
      <c r="U383" s="5">
        <v>670</v>
      </c>
      <c r="V383" s="5">
        <v>1</v>
      </c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</row>
    <row r="384" spans="1:37" x14ac:dyDescent="0.25">
      <c r="A384" s="11">
        <f>Table1[[#This Row],[Milk Yield]]-J380</f>
        <v>882</v>
      </c>
      <c r="B384" t="s">
        <v>24</v>
      </c>
      <c r="C384" s="2">
        <v>2</v>
      </c>
      <c r="D384" s="12">
        <v>45563</v>
      </c>
      <c r="E384" s="2">
        <v>35</v>
      </c>
      <c r="F384" s="13">
        <v>0.66912037037037042</v>
      </c>
      <c r="G384" s="3">
        <v>0.90550925925925929</v>
      </c>
      <c r="H384" s="1">
        <v>0.2361111111111111</v>
      </c>
      <c r="I384" s="5">
        <v>621</v>
      </c>
      <c r="J384">
        <v>6436</v>
      </c>
      <c r="K384">
        <v>109</v>
      </c>
      <c r="L384" s="5">
        <v>698</v>
      </c>
      <c r="M384" s="5">
        <v>621</v>
      </c>
      <c r="N384">
        <v>68</v>
      </c>
      <c r="O384">
        <v>553</v>
      </c>
      <c r="P384" s="1">
        <v>0.22638888888888889</v>
      </c>
      <c r="Q384" s="5">
        <v>1134</v>
      </c>
      <c r="R384" s="14">
        <v>10.4</v>
      </c>
      <c r="S384">
        <v>109</v>
      </c>
      <c r="T384" s="5">
        <v>68</v>
      </c>
      <c r="U384" s="5">
        <v>549</v>
      </c>
      <c r="V384" s="5">
        <v>1</v>
      </c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</row>
    <row r="385" spans="1:37" x14ac:dyDescent="0.25">
      <c r="A385" s="11">
        <f>Table1[[#This Row],[Milk Yield]]-J381</f>
        <v>-9</v>
      </c>
      <c r="B385" t="s">
        <v>24</v>
      </c>
      <c r="C385" s="2">
        <v>3</v>
      </c>
      <c r="D385" s="12">
        <v>45563</v>
      </c>
      <c r="E385" s="2">
        <v>33</v>
      </c>
      <c r="F385" s="13">
        <v>2.673611111111111E-3</v>
      </c>
      <c r="G385" s="3">
        <v>0.21112268518518518</v>
      </c>
      <c r="H385" s="1">
        <v>0.20833333333333334</v>
      </c>
      <c r="I385" s="5">
        <v>678</v>
      </c>
      <c r="J385">
        <v>5608</v>
      </c>
      <c r="K385">
        <v>136</v>
      </c>
      <c r="L385" s="5">
        <v>156</v>
      </c>
      <c r="M385" s="5">
        <v>678</v>
      </c>
      <c r="N385">
        <v>25</v>
      </c>
      <c r="O385">
        <v>653</v>
      </c>
      <c r="P385" s="1">
        <v>0.19236111111111112</v>
      </c>
      <c r="Q385" s="5">
        <v>1121</v>
      </c>
      <c r="R385" s="14">
        <v>8.3000000000000007</v>
      </c>
      <c r="S385">
        <v>136</v>
      </c>
      <c r="T385" s="5">
        <v>25</v>
      </c>
      <c r="U385" s="5">
        <v>654</v>
      </c>
      <c r="V385" s="5">
        <v>1</v>
      </c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</row>
    <row r="386" spans="1:37" x14ac:dyDescent="0.25">
      <c r="A386" s="11" t="e">
        <f>Table1[[#This Row],[Milk Yield]]-J382</f>
        <v>#VALUE!</v>
      </c>
      <c r="B386" t="s">
        <v>0</v>
      </c>
      <c r="C386" s="2" t="s">
        <v>1</v>
      </c>
      <c r="D386" s="12" t="s">
        <v>2</v>
      </c>
      <c r="E386" s="2" t="s">
        <v>3</v>
      </c>
      <c r="F386" s="13" t="s">
        <v>4</v>
      </c>
      <c r="G386" s="3" t="s">
        <v>5</v>
      </c>
      <c r="H386" s="1" t="s">
        <v>6</v>
      </c>
      <c r="I386" s="5" t="s">
        <v>8</v>
      </c>
      <c r="J386" t="s">
        <v>9</v>
      </c>
      <c r="K386" t="s">
        <v>10</v>
      </c>
      <c r="L386" s="5" t="s">
        <v>11</v>
      </c>
      <c r="M386" s="5" t="s">
        <v>12</v>
      </c>
      <c r="N386" t="s">
        <v>13</v>
      </c>
      <c r="O386" t="s">
        <v>20</v>
      </c>
      <c r="P386" t="s">
        <v>7</v>
      </c>
      <c r="Q386" s="5" t="s">
        <v>15</v>
      </c>
      <c r="R386" s="14" t="s">
        <v>18</v>
      </c>
      <c r="S386" t="s">
        <v>16</v>
      </c>
      <c r="T386" s="5" t="s">
        <v>14</v>
      </c>
      <c r="U386" s="5" t="s">
        <v>17</v>
      </c>
      <c r="V386" s="5" t="s">
        <v>19</v>
      </c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</row>
    <row r="387" spans="1:37" x14ac:dyDescent="0.25">
      <c r="A387" s="11">
        <f>Table1[[#This Row],[Milk Yield]]-J383</f>
        <v>58</v>
      </c>
      <c r="B387" t="s">
        <v>24</v>
      </c>
      <c r="C387" s="2">
        <v>1</v>
      </c>
      <c r="D387" s="12">
        <v>45564</v>
      </c>
      <c r="E387" s="2">
        <v>42</v>
      </c>
      <c r="F387" s="13">
        <v>0.33842592592592591</v>
      </c>
      <c r="G387" s="3">
        <v>0.5690856481481481</v>
      </c>
      <c r="H387" s="1">
        <v>0.23055555555555557</v>
      </c>
      <c r="I387" s="5">
        <v>752</v>
      </c>
      <c r="J387">
        <v>6726</v>
      </c>
      <c r="K387">
        <v>136</v>
      </c>
      <c r="L387" s="5">
        <v>727</v>
      </c>
      <c r="M387" s="5">
        <v>751</v>
      </c>
      <c r="N387">
        <v>84</v>
      </c>
      <c r="O387">
        <v>667</v>
      </c>
      <c r="P387" s="1">
        <v>0.23333333333333334</v>
      </c>
      <c r="Q387" s="5">
        <v>1215</v>
      </c>
      <c r="R387" s="14">
        <v>9</v>
      </c>
      <c r="S387">
        <v>136</v>
      </c>
      <c r="T387" s="5">
        <v>84</v>
      </c>
      <c r="U387" s="5">
        <v>668</v>
      </c>
      <c r="V387" s="5">
        <v>1</v>
      </c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</row>
    <row r="388" spans="1:37" x14ac:dyDescent="0.25">
      <c r="A388" s="11">
        <f>Table1[[#This Row],[Milk Yield]]-J384</f>
        <v>-476</v>
      </c>
      <c r="B388" t="s">
        <v>24</v>
      </c>
      <c r="C388" s="2">
        <v>2</v>
      </c>
      <c r="D388" s="12">
        <v>45564</v>
      </c>
      <c r="E388" s="2">
        <v>38</v>
      </c>
      <c r="F388" s="13">
        <v>0.6672569444444445</v>
      </c>
      <c r="G388" s="3">
        <v>0.91429398148148144</v>
      </c>
      <c r="H388" s="1">
        <v>0.24652777777777779</v>
      </c>
      <c r="I388" s="5">
        <v>678</v>
      </c>
      <c r="J388">
        <v>5960</v>
      </c>
      <c r="K388">
        <v>114</v>
      </c>
      <c r="L388" s="5">
        <v>948</v>
      </c>
      <c r="M388" s="5">
        <v>678</v>
      </c>
      <c r="N388">
        <v>119</v>
      </c>
      <c r="O388">
        <v>559</v>
      </c>
      <c r="P388" s="1">
        <v>0.2298611111111111</v>
      </c>
      <c r="Q388" s="5">
        <v>1005</v>
      </c>
      <c r="R388" s="14">
        <v>8.8000000000000007</v>
      </c>
      <c r="S388">
        <v>114</v>
      </c>
      <c r="T388" s="5">
        <v>119</v>
      </c>
      <c r="U388" s="5">
        <v>559</v>
      </c>
      <c r="V388" s="5">
        <v>0</v>
      </c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</row>
    <row r="389" spans="1:37" x14ac:dyDescent="0.25">
      <c r="A389" s="11">
        <f>Table1[[#This Row],[Milk Yield]]-J385</f>
        <v>97</v>
      </c>
      <c r="B389" t="s">
        <v>24</v>
      </c>
      <c r="C389" s="2">
        <v>3</v>
      </c>
      <c r="D389" s="12">
        <v>45564</v>
      </c>
      <c r="E389" s="2">
        <v>35</v>
      </c>
      <c r="F389" s="13">
        <v>4.3287037037037035E-3</v>
      </c>
      <c r="G389" s="3">
        <v>0.24765046296296298</v>
      </c>
      <c r="H389" s="1">
        <v>0.24305555555555555</v>
      </c>
      <c r="I389" s="5">
        <v>683</v>
      </c>
      <c r="J389">
        <v>5705</v>
      </c>
      <c r="K389">
        <v>117</v>
      </c>
      <c r="L389" s="5">
        <v>106</v>
      </c>
      <c r="M389" s="5">
        <v>683</v>
      </c>
      <c r="N389">
        <v>14</v>
      </c>
      <c r="O389">
        <v>669</v>
      </c>
      <c r="P389" s="1">
        <v>0.20277777777777778</v>
      </c>
      <c r="Q389" s="5">
        <v>977</v>
      </c>
      <c r="R389" s="14">
        <v>8.4</v>
      </c>
      <c r="S389">
        <v>117</v>
      </c>
      <c r="T389" s="5">
        <v>14</v>
      </c>
      <c r="U389" s="5">
        <v>669</v>
      </c>
      <c r="V389" s="5">
        <v>0</v>
      </c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</row>
    <row r="390" spans="1:37" x14ac:dyDescent="0.25">
      <c r="A390" s="11" t="e">
        <f>Table1[[#This Row],[Milk Yield]]-J386</f>
        <v>#VALUE!</v>
      </c>
      <c r="B390" t="s">
        <v>0</v>
      </c>
      <c r="C390" s="2" t="s">
        <v>1</v>
      </c>
      <c r="D390" s="12" t="s">
        <v>2</v>
      </c>
      <c r="E390" s="2" t="s">
        <v>3</v>
      </c>
      <c r="F390" s="13" t="s">
        <v>4</v>
      </c>
      <c r="G390" s="3" t="s">
        <v>5</v>
      </c>
      <c r="H390" s="1" t="s">
        <v>6</v>
      </c>
      <c r="I390" s="5" t="s">
        <v>8</v>
      </c>
      <c r="J390" t="s">
        <v>9</v>
      </c>
      <c r="K390" t="s">
        <v>10</v>
      </c>
      <c r="L390" s="5" t="s">
        <v>11</v>
      </c>
      <c r="M390" s="5" t="s">
        <v>12</v>
      </c>
      <c r="N390" t="s">
        <v>13</v>
      </c>
      <c r="O390" t="s">
        <v>20</v>
      </c>
      <c r="P390" t="s">
        <v>7</v>
      </c>
      <c r="Q390" s="5" t="s">
        <v>15</v>
      </c>
      <c r="R390" s="14" t="s">
        <v>18</v>
      </c>
      <c r="S390" t="s">
        <v>16</v>
      </c>
      <c r="T390" s="5" t="s">
        <v>14</v>
      </c>
      <c r="U390" s="5" t="s">
        <v>17</v>
      </c>
      <c r="V390" s="5" t="s">
        <v>19</v>
      </c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</row>
    <row r="391" spans="1:37" x14ac:dyDescent="0.25">
      <c r="A391" s="11">
        <f>Table1[[#This Row],[Milk Yield]]-J387</f>
        <v>-431</v>
      </c>
      <c r="B391" t="s">
        <v>24</v>
      </c>
      <c r="C391" s="2">
        <v>1</v>
      </c>
      <c r="D391" s="12">
        <v>45565</v>
      </c>
      <c r="E391" s="2">
        <v>33</v>
      </c>
      <c r="F391" s="13">
        <v>0.33561342592592591</v>
      </c>
      <c r="G391" s="3">
        <v>0.55210648148148145</v>
      </c>
      <c r="H391" s="1">
        <v>0.21597222222222223</v>
      </c>
      <c r="I391" s="5">
        <v>677</v>
      </c>
      <c r="J391">
        <v>6295</v>
      </c>
      <c r="K391">
        <v>130</v>
      </c>
      <c r="L391" s="5">
        <v>579</v>
      </c>
      <c r="M391" s="5">
        <v>677</v>
      </c>
      <c r="N391">
        <v>59</v>
      </c>
      <c r="O391">
        <v>618</v>
      </c>
      <c r="P391" s="1">
        <v>0.21527777777777779</v>
      </c>
      <c r="Q391" s="5">
        <v>1212</v>
      </c>
      <c r="R391" s="14">
        <v>9.3000000000000007</v>
      </c>
      <c r="S391">
        <v>130</v>
      </c>
      <c r="T391" s="5">
        <v>59</v>
      </c>
      <c r="U391" s="5">
        <v>617</v>
      </c>
      <c r="V391" s="5">
        <v>0</v>
      </c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</row>
    <row r="392" spans="1:37" x14ac:dyDescent="0.25">
      <c r="A392" s="11">
        <f>Table1[[#This Row],[Milk Yield]]-J388</f>
        <v>-81</v>
      </c>
      <c r="B392" t="s">
        <v>24</v>
      </c>
      <c r="C392" s="2">
        <v>2</v>
      </c>
      <c r="D392" s="12">
        <v>45565</v>
      </c>
      <c r="E392" s="2">
        <v>38</v>
      </c>
      <c r="F392" s="13">
        <v>0.66681712962962958</v>
      </c>
      <c r="G392" s="3">
        <v>0.89478009259259261</v>
      </c>
      <c r="H392" s="1">
        <v>0.22777777777777777</v>
      </c>
      <c r="I392" s="5">
        <v>690</v>
      </c>
      <c r="J392">
        <v>5879</v>
      </c>
      <c r="K392">
        <v>126</v>
      </c>
      <c r="L392" s="5">
        <v>1028</v>
      </c>
      <c r="M392" s="5">
        <v>690</v>
      </c>
      <c r="N392">
        <v>80</v>
      </c>
      <c r="O392">
        <v>610</v>
      </c>
      <c r="P392" s="1">
        <v>0.22291666666666668</v>
      </c>
      <c r="Q392" s="5">
        <v>1075</v>
      </c>
      <c r="R392" s="14">
        <v>8.6</v>
      </c>
      <c r="S392">
        <v>126</v>
      </c>
      <c r="T392" s="5">
        <v>80</v>
      </c>
      <c r="U392" s="5">
        <v>610</v>
      </c>
      <c r="V392" s="5">
        <v>0</v>
      </c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</row>
    <row r="393" spans="1:37" x14ac:dyDescent="0.25">
      <c r="A393" s="11">
        <f>Table1[[#This Row],[Milk Yield]]-J389</f>
        <v>-170</v>
      </c>
      <c r="B393" t="s">
        <v>24</v>
      </c>
      <c r="C393" s="2">
        <v>3</v>
      </c>
      <c r="D393" s="12">
        <v>45565</v>
      </c>
      <c r="E393" s="2">
        <v>39</v>
      </c>
      <c r="F393" s="13">
        <v>6.8287037037037036E-4</v>
      </c>
      <c r="G393" s="3">
        <v>0.22513888888888889</v>
      </c>
      <c r="H393" s="1">
        <v>0.22430555555555556</v>
      </c>
      <c r="I393" s="5">
        <v>694</v>
      </c>
      <c r="J393">
        <v>5535</v>
      </c>
      <c r="K393">
        <v>129</v>
      </c>
      <c r="L393" s="5">
        <v>138</v>
      </c>
      <c r="M393" s="5">
        <v>694</v>
      </c>
      <c r="N393">
        <v>27</v>
      </c>
      <c r="O393">
        <v>667</v>
      </c>
      <c r="P393" s="1">
        <v>0.19444444444444445</v>
      </c>
      <c r="Q393" s="5">
        <v>1028</v>
      </c>
      <c r="R393" s="14">
        <v>8</v>
      </c>
      <c r="S393">
        <v>129</v>
      </c>
      <c r="T393" s="5">
        <v>27</v>
      </c>
      <c r="U393" s="5">
        <v>667</v>
      </c>
      <c r="V393" s="5">
        <v>0</v>
      </c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</row>
    <row r="394" spans="1:37" x14ac:dyDescent="0.25">
      <c r="A394" s="11" t="e">
        <f>Table1[[#This Row],[Milk Yield]]-J390</f>
        <v>#VALUE!</v>
      </c>
      <c r="B394" t="s">
        <v>0</v>
      </c>
      <c r="C394" s="2" t="s">
        <v>1</v>
      </c>
      <c r="D394" s="12" t="s">
        <v>2</v>
      </c>
      <c r="E394" s="2" t="s">
        <v>3</v>
      </c>
      <c r="F394" s="13" t="s">
        <v>4</v>
      </c>
      <c r="G394" s="3" t="s">
        <v>5</v>
      </c>
      <c r="H394" s="1" t="s">
        <v>6</v>
      </c>
      <c r="I394" s="5" t="s">
        <v>8</v>
      </c>
      <c r="J394" t="s">
        <v>9</v>
      </c>
      <c r="K394" t="s">
        <v>10</v>
      </c>
      <c r="L394" s="5" t="s">
        <v>11</v>
      </c>
      <c r="M394" s="5" t="s">
        <v>12</v>
      </c>
      <c r="N394" t="s">
        <v>13</v>
      </c>
      <c r="O394" t="s">
        <v>20</v>
      </c>
      <c r="P394" t="s">
        <v>7</v>
      </c>
      <c r="Q394" s="5" t="s">
        <v>15</v>
      </c>
      <c r="R394" s="14" t="s">
        <v>18</v>
      </c>
      <c r="S394" t="s">
        <v>16</v>
      </c>
      <c r="T394" s="5" t="s">
        <v>14</v>
      </c>
      <c r="U394" s="5" t="s">
        <v>17</v>
      </c>
      <c r="V394" s="5" t="s">
        <v>19</v>
      </c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</row>
    <row r="395" spans="1:37" x14ac:dyDescent="0.25">
      <c r="A395" s="11">
        <f>Table1[[#This Row],[Milk Yield]]-J391</f>
        <v>-259</v>
      </c>
      <c r="B395" t="s">
        <v>24</v>
      </c>
      <c r="C395" s="2">
        <v>1</v>
      </c>
      <c r="D395" s="12">
        <v>45566</v>
      </c>
      <c r="E395" s="2">
        <v>32</v>
      </c>
      <c r="F395" s="13">
        <v>0.33815972222222224</v>
      </c>
      <c r="G395" s="3">
        <v>0.53049768518518514</v>
      </c>
      <c r="H395" s="1">
        <v>0.19166666666666668</v>
      </c>
      <c r="I395" s="5">
        <v>671</v>
      </c>
      <c r="J395">
        <v>6036</v>
      </c>
      <c r="K395">
        <v>145</v>
      </c>
      <c r="L395" s="5">
        <v>149</v>
      </c>
      <c r="M395" s="5">
        <v>671</v>
      </c>
      <c r="N395">
        <v>21</v>
      </c>
      <c r="O395">
        <v>650</v>
      </c>
      <c r="P395" s="1">
        <v>0.19583333333333333</v>
      </c>
      <c r="Q395" s="5">
        <v>1308</v>
      </c>
      <c r="R395" s="14">
        <v>9</v>
      </c>
      <c r="S395">
        <v>145</v>
      </c>
      <c r="T395" s="5">
        <v>21</v>
      </c>
      <c r="U395" s="5">
        <v>650</v>
      </c>
      <c r="V395" s="5">
        <v>0</v>
      </c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</row>
    <row r="396" spans="1:37" x14ac:dyDescent="0.25">
      <c r="A396" s="11">
        <f>Table1[[#This Row],[Milk Yield]]-J392</f>
        <v>211</v>
      </c>
      <c r="B396" t="s">
        <v>24</v>
      </c>
      <c r="C396" s="2">
        <v>2</v>
      </c>
      <c r="D396" s="12">
        <v>45566</v>
      </c>
      <c r="E396" s="2">
        <v>38</v>
      </c>
      <c r="F396" s="13">
        <v>0.67983796296296295</v>
      </c>
      <c r="G396" s="3">
        <v>0.90833333333333333</v>
      </c>
      <c r="H396" s="1">
        <v>0.22847222222222222</v>
      </c>
      <c r="I396" s="5">
        <v>682</v>
      </c>
      <c r="J396">
        <v>6090</v>
      </c>
      <c r="K396">
        <v>124</v>
      </c>
      <c r="L396" s="5">
        <v>117</v>
      </c>
      <c r="M396" s="5">
        <v>682</v>
      </c>
      <c r="N396">
        <v>17</v>
      </c>
      <c r="O396">
        <v>665</v>
      </c>
      <c r="P396" s="1">
        <v>0.18888888888888888</v>
      </c>
      <c r="Q396" s="5">
        <v>1111</v>
      </c>
      <c r="R396" s="14">
        <v>9</v>
      </c>
      <c r="S396">
        <v>124</v>
      </c>
      <c r="T396" s="5">
        <v>17</v>
      </c>
      <c r="U396" s="5">
        <v>665</v>
      </c>
      <c r="V396" s="5">
        <v>0</v>
      </c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</row>
    <row r="397" spans="1:37" x14ac:dyDescent="0.25">
      <c r="A397" s="11">
        <f>Table1[[#This Row],[Milk Yield]]-J393</f>
        <v>-219</v>
      </c>
      <c r="B397" t="s">
        <v>24</v>
      </c>
      <c r="C397" s="2">
        <v>3</v>
      </c>
      <c r="D397" s="12">
        <v>45566</v>
      </c>
      <c r="E397" s="2">
        <v>38</v>
      </c>
      <c r="F397" s="13">
        <v>0.99949074074074074</v>
      </c>
      <c r="G397" s="3">
        <v>0.2207175925925926</v>
      </c>
      <c r="H397" s="1">
        <v>0.22083333333333333</v>
      </c>
      <c r="I397" s="5">
        <v>680</v>
      </c>
      <c r="J397">
        <v>5316</v>
      </c>
      <c r="K397">
        <v>128</v>
      </c>
      <c r="L397" s="5">
        <v>105</v>
      </c>
      <c r="M397" s="5">
        <v>680</v>
      </c>
      <c r="N397">
        <v>15</v>
      </c>
      <c r="O397">
        <v>665</v>
      </c>
      <c r="P397" s="1">
        <v>0.2</v>
      </c>
      <c r="Q397" s="5">
        <v>1001</v>
      </c>
      <c r="R397" s="14">
        <v>7.9</v>
      </c>
      <c r="S397">
        <v>128</v>
      </c>
      <c r="T397" s="5">
        <v>15</v>
      </c>
      <c r="U397" s="5">
        <v>665</v>
      </c>
      <c r="V397" s="5">
        <v>0</v>
      </c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</row>
    <row r="398" spans="1:37" x14ac:dyDescent="0.25">
      <c r="A398" s="11" t="e">
        <f>Table1[[#This Row],[Milk Yield]]-J394</f>
        <v>#VALUE!</v>
      </c>
      <c r="B398" t="s">
        <v>0</v>
      </c>
      <c r="C398" s="2" t="s">
        <v>1</v>
      </c>
      <c r="D398" s="12" t="s">
        <v>2</v>
      </c>
      <c r="E398" s="2" t="s">
        <v>3</v>
      </c>
      <c r="F398" s="13" t="s">
        <v>4</v>
      </c>
      <c r="G398" s="3" t="s">
        <v>5</v>
      </c>
      <c r="H398" s="1" t="s">
        <v>6</v>
      </c>
      <c r="I398" s="5" t="s">
        <v>8</v>
      </c>
      <c r="J398" t="s">
        <v>9</v>
      </c>
      <c r="K398" t="s">
        <v>10</v>
      </c>
      <c r="L398" s="5" t="s">
        <v>11</v>
      </c>
      <c r="M398" s="5" t="s">
        <v>12</v>
      </c>
      <c r="N398" t="s">
        <v>13</v>
      </c>
      <c r="O398" t="s">
        <v>20</v>
      </c>
      <c r="P398" t="s">
        <v>7</v>
      </c>
      <c r="Q398" s="5" t="s">
        <v>15</v>
      </c>
      <c r="R398" s="14" t="s">
        <v>18</v>
      </c>
      <c r="S398" t="s">
        <v>16</v>
      </c>
      <c r="T398" s="5" t="s">
        <v>14</v>
      </c>
      <c r="U398" s="5" t="s">
        <v>17</v>
      </c>
      <c r="V398" s="5" t="s">
        <v>19</v>
      </c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</row>
    <row r="399" spans="1:37" x14ac:dyDescent="0.25">
      <c r="A399" s="11">
        <f>Table1[[#This Row],[Milk Yield]]-J395</f>
        <v>349</v>
      </c>
      <c r="B399" t="s">
        <v>24</v>
      </c>
      <c r="C399" s="2">
        <v>1</v>
      </c>
      <c r="D399" s="12">
        <v>45567</v>
      </c>
      <c r="E399" s="2">
        <v>34</v>
      </c>
      <c r="F399" s="13">
        <v>0.33717592592592593</v>
      </c>
      <c r="G399" s="3">
        <v>0.56260416666666668</v>
      </c>
      <c r="H399" s="1">
        <v>0.22500000000000001</v>
      </c>
      <c r="I399" s="5">
        <v>686</v>
      </c>
      <c r="J399">
        <v>6385</v>
      </c>
      <c r="K399">
        <v>127</v>
      </c>
      <c r="L399" s="5">
        <v>184</v>
      </c>
      <c r="M399" s="5">
        <v>686</v>
      </c>
      <c r="N399">
        <v>26</v>
      </c>
      <c r="O399">
        <v>660</v>
      </c>
      <c r="P399" s="1">
        <v>0.20694444444444443</v>
      </c>
      <c r="Q399" s="5">
        <v>1180</v>
      </c>
      <c r="R399" s="14">
        <v>9.4</v>
      </c>
      <c r="S399">
        <v>127</v>
      </c>
      <c r="T399" s="5">
        <v>26</v>
      </c>
      <c r="U399" s="5">
        <v>661</v>
      </c>
      <c r="V399" s="5">
        <v>1</v>
      </c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</row>
    <row r="400" spans="1:37" x14ac:dyDescent="0.25">
      <c r="A400" s="11">
        <f>Table1[[#This Row],[Milk Yield]]-J396</f>
        <v>-473</v>
      </c>
      <c r="B400" t="s">
        <v>24</v>
      </c>
      <c r="C400" s="2">
        <v>2</v>
      </c>
      <c r="D400" s="12">
        <v>45567</v>
      </c>
      <c r="E400" s="2">
        <v>40</v>
      </c>
      <c r="F400" s="13">
        <v>0.66652777777777783</v>
      </c>
      <c r="G400" s="3">
        <v>0.90509259259259256</v>
      </c>
      <c r="H400" s="1">
        <v>0.23819444444444443</v>
      </c>
      <c r="I400" s="5">
        <v>712</v>
      </c>
      <c r="J400">
        <v>5617</v>
      </c>
      <c r="K400">
        <v>124</v>
      </c>
      <c r="L400" s="5">
        <v>269</v>
      </c>
      <c r="M400" s="5">
        <v>712</v>
      </c>
      <c r="N400">
        <v>39</v>
      </c>
      <c r="O400">
        <v>673</v>
      </c>
      <c r="P400" s="1">
        <v>0.18958333333333333</v>
      </c>
      <c r="Q400" s="5">
        <v>981</v>
      </c>
      <c r="R400" s="14">
        <v>7.9</v>
      </c>
      <c r="S400">
        <v>124</v>
      </c>
      <c r="T400" s="5">
        <v>39</v>
      </c>
      <c r="U400" s="5">
        <v>674</v>
      </c>
      <c r="V400" s="5">
        <v>1</v>
      </c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</row>
    <row r="401" spans="1:37" x14ac:dyDescent="0.25">
      <c r="A401" s="11">
        <f>Table1[[#This Row],[Milk Yield]]-J397</f>
        <v>413</v>
      </c>
      <c r="B401" t="s">
        <v>24</v>
      </c>
      <c r="C401" s="2">
        <v>3</v>
      </c>
      <c r="D401" s="12">
        <v>45567</v>
      </c>
      <c r="E401" s="2">
        <v>37</v>
      </c>
      <c r="F401" s="13">
        <v>4.2824074074074075E-4</v>
      </c>
      <c r="G401" s="3">
        <v>0.23707175925925925</v>
      </c>
      <c r="H401" s="1">
        <v>0.2361111111111111</v>
      </c>
      <c r="I401" s="5">
        <v>678</v>
      </c>
      <c r="J401">
        <v>5729</v>
      </c>
      <c r="K401">
        <v>119</v>
      </c>
      <c r="L401" s="5">
        <v>81</v>
      </c>
      <c r="M401" s="5">
        <v>678</v>
      </c>
      <c r="N401">
        <v>16</v>
      </c>
      <c r="O401">
        <v>662</v>
      </c>
      <c r="P401" s="1">
        <v>0.21249999999999999</v>
      </c>
      <c r="Q401" s="5">
        <v>1009</v>
      </c>
      <c r="R401" s="14">
        <v>8.5</v>
      </c>
      <c r="S401">
        <v>119</v>
      </c>
      <c r="T401" s="5">
        <v>16</v>
      </c>
      <c r="U401" s="5">
        <v>663</v>
      </c>
      <c r="V401" s="5">
        <v>1</v>
      </c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</row>
    <row r="402" spans="1:37" x14ac:dyDescent="0.25">
      <c r="A402" s="11" t="e">
        <f>Table1[[#This Row],[Milk Yield]]-J398</f>
        <v>#VALUE!</v>
      </c>
      <c r="B402" t="s">
        <v>0</v>
      </c>
      <c r="C402" s="2" t="s">
        <v>1</v>
      </c>
      <c r="D402" s="12" t="s">
        <v>2</v>
      </c>
      <c r="E402" s="2" t="s">
        <v>3</v>
      </c>
      <c r="F402" s="13" t="s">
        <v>4</v>
      </c>
      <c r="G402" s="3" t="s">
        <v>5</v>
      </c>
      <c r="H402" s="1" t="s">
        <v>6</v>
      </c>
      <c r="I402" s="5" t="s">
        <v>8</v>
      </c>
      <c r="J402" t="s">
        <v>9</v>
      </c>
      <c r="K402" t="s">
        <v>10</v>
      </c>
      <c r="L402" s="5" t="s">
        <v>11</v>
      </c>
      <c r="M402" s="5" t="s">
        <v>12</v>
      </c>
      <c r="N402" t="s">
        <v>13</v>
      </c>
      <c r="O402" t="s">
        <v>20</v>
      </c>
      <c r="P402" t="s">
        <v>7</v>
      </c>
      <c r="Q402" s="5" t="s">
        <v>15</v>
      </c>
      <c r="R402" s="14" t="s">
        <v>18</v>
      </c>
      <c r="S402" t="s">
        <v>16</v>
      </c>
      <c r="T402" s="5" t="s">
        <v>14</v>
      </c>
      <c r="U402" s="5" t="s">
        <v>17</v>
      </c>
      <c r="V402" s="5" t="s">
        <v>19</v>
      </c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</row>
    <row r="403" spans="1:37" x14ac:dyDescent="0.25">
      <c r="A403" s="11">
        <f>Table1[[#This Row],[Milk Yield]]-J399</f>
        <v>-329</v>
      </c>
      <c r="B403" t="s">
        <v>24</v>
      </c>
      <c r="C403" s="2">
        <v>1</v>
      </c>
      <c r="D403" s="12">
        <v>45568</v>
      </c>
      <c r="E403" s="2">
        <v>37</v>
      </c>
      <c r="F403" s="13">
        <v>0.34021990740740743</v>
      </c>
      <c r="G403" s="3">
        <v>0.54989583333333336</v>
      </c>
      <c r="H403" s="1">
        <v>0.20902777777777778</v>
      </c>
      <c r="I403" s="5">
        <v>681</v>
      </c>
      <c r="J403">
        <v>6056</v>
      </c>
      <c r="K403">
        <v>135</v>
      </c>
      <c r="L403" s="5">
        <v>130</v>
      </c>
      <c r="M403" s="5">
        <v>681</v>
      </c>
      <c r="N403">
        <v>19</v>
      </c>
      <c r="O403">
        <v>662</v>
      </c>
      <c r="P403" s="1">
        <v>0.21666666666666667</v>
      </c>
      <c r="Q403" s="5">
        <v>1204</v>
      </c>
      <c r="R403" s="14">
        <v>8.9</v>
      </c>
      <c r="S403">
        <v>135</v>
      </c>
      <c r="T403" s="5">
        <v>19</v>
      </c>
      <c r="U403" s="5">
        <v>663</v>
      </c>
      <c r="V403" s="5">
        <v>2</v>
      </c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</row>
    <row r="404" spans="1:37" x14ac:dyDescent="0.25">
      <c r="A404" s="11">
        <f>Table1[[#This Row],[Milk Yield]]-J400</f>
        <v>118</v>
      </c>
      <c r="B404" t="s">
        <v>24</v>
      </c>
      <c r="C404" s="2">
        <v>2</v>
      </c>
      <c r="D404" s="12">
        <v>45568</v>
      </c>
      <c r="E404" s="2">
        <v>38</v>
      </c>
      <c r="F404" s="13">
        <v>0.66681712962962958</v>
      </c>
      <c r="G404" s="3">
        <v>0.91199074074074071</v>
      </c>
      <c r="H404" s="1">
        <v>0.24513888888888888</v>
      </c>
      <c r="I404" s="5">
        <v>700</v>
      </c>
      <c r="J404">
        <v>5735</v>
      </c>
      <c r="K404">
        <v>119</v>
      </c>
      <c r="L404" s="5">
        <v>109</v>
      </c>
      <c r="M404" s="5">
        <v>700</v>
      </c>
      <c r="N404">
        <v>16</v>
      </c>
      <c r="O404">
        <v>684</v>
      </c>
      <c r="P404" s="1">
        <v>0.19097222222222221</v>
      </c>
      <c r="Q404" s="5">
        <v>975</v>
      </c>
      <c r="R404" s="14">
        <v>8.1999999999999993</v>
      </c>
      <c r="S404">
        <v>119</v>
      </c>
      <c r="T404" s="5">
        <v>16</v>
      </c>
      <c r="U404" s="5">
        <v>685</v>
      </c>
      <c r="V404" s="5">
        <v>1</v>
      </c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</row>
    <row r="405" spans="1:37" x14ac:dyDescent="0.25">
      <c r="A405" s="11">
        <f>Table1[[#This Row],[Milk Yield]]-J401</f>
        <v>-347</v>
      </c>
      <c r="B405" t="s">
        <v>24</v>
      </c>
      <c r="C405" s="2">
        <v>3</v>
      </c>
      <c r="D405" s="12">
        <v>45568</v>
      </c>
      <c r="E405" s="2">
        <v>36</v>
      </c>
      <c r="F405" s="13">
        <v>1.6203703703703703E-3</v>
      </c>
      <c r="G405" s="3">
        <v>0.24414351851851851</v>
      </c>
      <c r="H405" s="1">
        <v>0.24236111111111111</v>
      </c>
      <c r="I405" s="5">
        <v>680</v>
      </c>
      <c r="J405">
        <v>5382</v>
      </c>
      <c r="K405">
        <v>117</v>
      </c>
      <c r="L405" s="5">
        <v>69</v>
      </c>
      <c r="M405" s="5">
        <v>680</v>
      </c>
      <c r="N405">
        <v>11</v>
      </c>
      <c r="O405">
        <v>669</v>
      </c>
      <c r="P405" s="1">
        <v>0.2076388888888889</v>
      </c>
      <c r="Q405" s="5">
        <v>925</v>
      </c>
      <c r="R405" s="14">
        <v>8</v>
      </c>
      <c r="S405">
        <v>117</v>
      </c>
      <c r="T405" s="5">
        <v>11</v>
      </c>
      <c r="U405" s="5">
        <v>670</v>
      </c>
      <c r="V405" s="5">
        <v>1</v>
      </c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</row>
    <row r="406" spans="1:37" x14ac:dyDescent="0.25">
      <c r="A406" s="11" t="e">
        <f>Table1[[#This Row],[Milk Yield]]-J402</f>
        <v>#VALUE!</v>
      </c>
      <c r="B406" t="s">
        <v>0</v>
      </c>
      <c r="C406" s="2" t="s">
        <v>1</v>
      </c>
      <c r="D406" s="12" t="s">
        <v>2</v>
      </c>
      <c r="E406" s="2" t="s">
        <v>3</v>
      </c>
      <c r="F406" s="13" t="s">
        <v>4</v>
      </c>
      <c r="G406" s="3" t="s">
        <v>5</v>
      </c>
      <c r="H406" s="1" t="s">
        <v>6</v>
      </c>
      <c r="I406" s="5" t="s">
        <v>8</v>
      </c>
      <c r="J406" t="s">
        <v>9</v>
      </c>
      <c r="K406" t="s">
        <v>10</v>
      </c>
      <c r="L406" s="5" t="s">
        <v>11</v>
      </c>
      <c r="M406" s="5" t="s">
        <v>12</v>
      </c>
      <c r="N406" t="s">
        <v>13</v>
      </c>
      <c r="O406" t="s">
        <v>20</v>
      </c>
      <c r="P406" t="s">
        <v>7</v>
      </c>
      <c r="Q406" s="5" t="s">
        <v>15</v>
      </c>
      <c r="R406" s="14" t="s">
        <v>18</v>
      </c>
      <c r="S406" t="s">
        <v>16</v>
      </c>
      <c r="T406" s="5" t="s">
        <v>14</v>
      </c>
      <c r="U406" s="5" t="s">
        <v>17</v>
      </c>
      <c r="V406" s="5" t="s">
        <v>19</v>
      </c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</row>
    <row r="407" spans="1:37" x14ac:dyDescent="0.25">
      <c r="A407" s="11">
        <f>Table1[[#This Row],[Milk Yield]]-J403</f>
        <v>-245</v>
      </c>
      <c r="B407" t="s">
        <v>24</v>
      </c>
      <c r="C407" s="2">
        <v>1</v>
      </c>
      <c r="D407" s="12">
        <v>45569</v>
      </c>
      <c r="E407" s="2">
        <v>35</v>
      </c>
      <c r="F407" s="13">
        <v>0.33834490740740741</v>
      </c>
      <c r="G407" s="3">
        <v>0.57196759259259256</v>
      </c>
      <c r="H407" s="1">
        <v>0.23333333333333334</v>
      </c>
      <c r="I407" s="5">
        <v>679</v>
      </c>
      <c r="J407">
        <v>5811</v>
      </c>
      <c r="K407">
        <v>121</v>
      </c>
      <c r="L407" s="5">
        <v>89</v>
      </c>
      <c r="M407" s="5">
        <v>679</v>
      </c>
      <c r="N407">
        <v>14</v>
      </c>
      <c r="O407">
        <v>665</v>
      </c>
      <c r="P407" s="1">
        <v>0.20416666666666666</v>
      </c>
      <c r="Q407" s="5">
        <v>1036</v>
      </c>
      <c r="R407" s="14">
        <v>8.6</v>
      </c>
      <c r="S407">
        <v>121</v>
      </c>
      <c r="T407" s="5">
        <v>14</v>
      </c>
      <c r="U407" s="5">
        <v>666</v>
      </c>
      <c r="V407" s="5">
        <v>1</v>
      </c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</row>
    <row r="408" spans="1:37" x14ac:dyDescent="0.25">
      <c r="A408" s="11">
        <f>Table1[[#This Row],[Milk Yield]]-J404</f>
        <v>-6</v>
      </c>
      <c r="B408" t="s">
        <v>24</v>
      </c>
      <c r="C408" s="2">
        <v>2</v>
      </c>
      <c r="D408" s="12">
        <v>45569</v>
      </c>
      <c r="E408" s="2">
        <v>36</v>
      </c>
      <c r="F408" s="13">
        <v>0.66626157407407405</v>
      </c>
      <c r="G408" s="3">
        <v>0.90402777777777776</v>
      </c>
      <c r="H408" s="1">
        <v>0.23749999999999999</v>
      </c>
      <c r="I408" s="5">
        <v>684</v>
      </c>
      <c r="J408">
        <v>5729</v>
      </c>
      <c r="K408">
        <v>120</v>
      </c>
      <c r="L408" s="5">
        <v>137</v>
      </c>
      <c r="M408" s="5">
        <v>684</v>
      </c>
      <c r="N408">
        <v>20</v>
      </c>
      <c r="O408">
        <v>664</v>
      </c>
      <c r="P408" s="1">
        <v>0.18402777777777779</v>
      </c>
      <c r="Q408" s="5">
        <v>1004</v>
      </c>
      <c r="R408" s="14">
        <v>8.4</v>
      </c>
      <c r="S408">
        <v>120</v>
      </c>
      <c r="T408" s="5">
        <v>20</v>
      </c>
      <c r="U408" s="5">
        <v>665</v>
      </c>
      <c r="V408" s="5">
        <v>1</v>
      </c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</row>
    <row r="409" spans="1:37" x14ac:dyDescent="0.25">
      <c r="A409" s="11">
        <f>Table1[[#This Row],[Milk Yield]]-J405</f>
        <v>-103</v>
      </c>
      <c r="B409" t="s">
        <v>24</v>
      </c>
      <c r="C409" s="2">
        <v>3</v>
      </c>
      <c r="D409" s="12">
        <v>45569</v>
      </c>
      <c r="E409" s="2">
        <v>34</v>
      </c>
      <c r="F409" s="13">
        <v>1.8402777777777777E-3</v>
      </c>
      <c r="G409" s="3">
        <v>0.2038773148148148</v>
      </c>
      <c r="H409" s="1">
        <v>0.2013888888888889</v>
      </c>
      <c r="I409" s="5">
        <v>673</v>
      </c>
      <c r="J409">
        <v>5279</v>
      </c>
      <c r="K409">
        <v>139</v>
      </c>
      <c r="L409" s="5">
        <v>38</v>
      </c>
      <c r="M409" s="5">
        <v>673</v>
      </c>
      <c r="N409">
        <v>8</v>
      </c>
      <c r="O409">
        <v>665</v>
      </c>
      <c r="P409" s="1">
        <v>0.18263888888888888</v>
      </c>
      <c r="Q409" s="5">
        <v>1089</v>
      </c>
      <c r="R409" s="14">
        <v>7.9</v>
      </c>
      <c r="S409">
        <v>139</v>
      </c>
      <c r="T409" s="5">
        <v>8</v>
      </c>
      <c r="U409" s="5">
        <v>666</v>
      </c>
      <c r="V409" s="5">
        <v>1</v>
      </c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</row>
    <row r="410" spans="1:37" x14ac:dyDescent="0.25">
      <c r="A410" s="11" t="e">
        <f>Table1[[#This Row],[Milk Yield]]-J406</f>
        <v>#VALUE!</v>
      </c>
      <c r="B410" t="s">
        <v>0</v>
      </c>
      <c r="C410" s="2" t="s">
        <v>1</v>
      </c>
      <c r="D410" s="12" t="s">
        <v>2</v>
      </c>
      <c r="E410" s="2" t="s">
        <v>3</v>
      </c>
      <c r="F410" s="13" t="s">
        <v>4</v>
      </c>
      <c r="G410" s="3" t="s">
        <v>5</v>
      </c>
      <c r="H410" s="1" t="s">
        <v>6</v>
      </c>
      <c r="I410" s="5" t="s">
        <v>8</v>
      </c>
      <c r="J410" t="s">
        <v>9</v>
      </c>
      <c r="K410" t="s">
        <v>10</v>
      </c>
      <c r="L410" s="5" t="s">
        <v>11</v>
      </c>
      <c r="M410" s="5" t="s">
        <v>12</v>
      </c>
      <c r="N410" t="s">
        <v>13</v>
      </c>
      <c r="O410" t="s">
        <v>20</v>
      </c>
      <c r="P410" t="s">
        <v>7</v>
      </c>
      <c r="Q410" s="5" t="s">
        <v>15</v>
      </c>
      <c r="R410" s="14" t="s">
        <v>18</v>
      </c>
      <c r="S410" t="s">
        <v>16</v>
      </c>
      <c r="T410" s="5" t="s">
        <v>14</v>
      </c>
      <c r="U410" s="5" t="s">
        <v>17</v>
      </c>
      <c r="V410" s="5" t="s">
        <v>19</v>
      </c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</row>
    <row r="411" spans="1:37" x14ac:dyDescent="0.25">
      <c r="A411" s="11">
        <f>Table1[[#This Row],[Milk Yield]]-J407</f>
        <v>-20</v>
      </c>
      <c r="B411" t="s">
        <v>24</v>
      </c>
      <c r="C411" s="2">
        <v>1</v>
      </c>
      <c r="D411" s="12">
        <v>45570</v>
      </c>
      <c r="E411" s="2">
        <v>21</v>
      </c>
      <c r="F411" s="13">
        <v>0.33781250000000002</v>
      </c>
      <c r="G411" s="3">
        <v>0.53998842592592589</v>
      </c>
      <c r="H411" s="1">
        <v>0.20208333333333334</v>
      </c>
      <c r="I411" s="5">
        <v>703</v>
      </c>
      <c r="J411">
        <v>5791</v>
      </c>
      <c r="K411">
        <v>145</v>
      </c>
      <c r="L411" s="5">
        <v>269</v>
      </c>
      <c r="M411" s="5">
        <v>679</v>
      </c>
      <c r="N411">
        <v>44</v>
      </c>
      <c r="O411">
        <v>635</v>
      </c>
      <c r="P411" s="1">
        <v>0.21041666666666667</v>
      </c>
      <c r="Q411" s="5">
        <v>1194</v>
      </c>
      <c r="R411" s="14">
        <v>8.6</v>
      </c>
      <c r="S411">
        <v>140</v>
      </c>
      <c r="T411" s="5">
        <v>44</v>
      </c>
      <c r="U411" s="5">
        <v>634</v>
      </c>
      <c r="V411" s="5">
        <v>0</v>
      </c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</row>
    <row r="412" spans="1:37" x14ac:dyDescent="0.25">
      <c r="A412" s="11">
        <f>Table1[[#This Row],[Milk Yield]]-J408</f>
        <v>-191</v>
      </c>
      <c r="B412" t="s">
        <v>24</v>
      </c>
      <c r="C412" s="2">
        <v>2</v>
      </c>
      <c r="D412" s="12">
        <v>45570</v>
      </c>
      <c r="E412" s="2">
        <v>37</v>
      </c>
      <c r="F412" s="13">
        <v>0.66598379629629634</v>
      </c>
      <c r="G412" s="3">
        <v>0.89287037037037043</v>
      </c>
      <c r="H412" s="1">
        <v>0.22638888888888889</v>
      </c>
      <c r="I412" s="5">
        <v>672</v>
      </c>
      <c r="J412">
        <v>5538</v>
      </c>
      <c r="K412">
        <v>123</v>
      </c>
      <c r="L412" s="5">
        <v>86</v>
      </c>
      <c r="M412" s="5">
        <v>672</v>
      </c>
      <c r="N412">
        <v>15</v>
      </c>
      <c r="O412">
        <v>657</v>
      </c>
      <c r="P412" s="1">
        <v>0.18194444444444444</v>
      </c>
      <c r="Q412" s="5">
        <v>1017</v>
      </c>
      <c r="R412" s="14">
        <v>8.3000000000000007</v>
      </c>
      <c r="S412">
        <v>123</v>
      </c>
      <c r="T412" s="5">
        <v>15</v>
      </c>
      <c r="U412" s="5">
        <v>658</v>
      </c>
      <c r="V412" s="5">
        <v>1</v>
      </c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</row>
    <row r="413" spans="1:37" x14ac:dyDescent="0.25">
      <c r="A413" s="11">
        <f>Table1[[#This Row],[Milk Yield]]-J409</f>
        <v>434</v>
      </c>
      <c r="B413" t="s">
        <v>24</v>
      </c>
      <c r="C413" s="2">
        <v>3</v>
      </c>
      <c r="D413" s="12">
        <v>45570</v>
      </c>
      <c r="E413" s="2">
        <v>34</v>
      </c>
      <c r="F413" s="13">
        <v>3.1712962962962962E-3</v>
      </c>
      <c r="G413" s="3">
        <v>0.23938657407407407</v>
      </c>
      <c r="H413" s="1">
        <v>0.2361111111111111</v>
      </c>
      <c r="I413" s="5">
        <v>675</v>
      </c>
      <c r="J413">
        <v>5713</v>
      </c>
      <c r="K413">
        <v>119</v>
      </c>
      <c r="L413" s="5">
        <v>57</v>
      </c>
      <c r="M413" s="5">
        <v>675</v>
      </c>
      <c r="N413">
        <v>10</v>
      </c>
      <c r="O413">
        <v>665</v>
      </c>
      <c r="P413" s="1">
        <v>0.20208333333333334</v>
      </c>
      <c r="Q413" s="5">
        <v>1008</v>
      </c>
      <c r="R413" s="14">
        <v>8.5</v>
      </c>
      <c r="S413">
        <v>119</v>
      </c>
      <c r="T413" s="5">
        <v>10</v>
      </c>
      <c r="U413" s="5">
        <v>666</v>
      </c>
      <c r="V413" s="5">
        <v>1</v>
      </c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</row>
    <row r="414" spans="1:37" x14ac:dyDescent="0.25">
      <c r="A414" s="11" t="e">
        <f>Table1[[#This Row],[Milk Yield]]-J410</f>
        <v>#VALUE!</v>
      </c>
      <c r="B414" t="s">
        <v>0</v>
      </c>
      <c r="C414" s="2" t="s">
        <v>1</v>
      </c>
      <c r="D414" s="12" t="s">
        <v>2</v>
      </c>
      <c r="E414" s="2" t="s">
        <v>3</v>
      </c>
      <c r="F414" s="13" t="s">
        <v>4</v>
      </c>
      <c r="G414" s="3" t="s">
        <v>5</v>
      </c>
      <c r="H414" s="1" t="s">
        <v>6</v>
      </c>
      <c r="I414" s="5" t="s">
        <v>8</v>
      </c>
      <c r="J414" t="s">
        <v>9</v>
      </c>
      <c r="K414" t="s">
        <v>10</v>
      </c>
      <c r="L414" s="5" t="s">
        <v>11</v>
      </c>
      <c r="M414" s="5" t="s">
        <v>12</v>
      </c>
      <c r="N414" t="s">
        <v>13</v>
      </c>
      <c r="O414" t="s">
        <v>20</v>
      </c>
      <c r="P414" t="s">
        <v>7</v>
      </c>
      <c r="Q414" s="5" t="s">
        <v>15</v>
      </c>
      <c r="R414" s="14" t="s">
        <v>18</v>
      </c>
      <c r="S414" t="s">
        <v>16</v>
      </c>
      <c r="T414" s="5" t="s">
        <v>14</v>
      </c>
      <c r="U414" s="5" t="s">
        <v>17</v>
      </c>
      <c r="V414" s="5" t="s">
        <v>19</v>
      </c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</row>
    <row r="415" spans="1:37" x14ac:dyDescent="0.25">
      <c r="A415" s="11">
        <f>Table1[[#This Row],[Milk Yield]]-J411</f>
        <v>462</v>
      </c>
      <c r="B415" t="s">
        <v>24</v>
      </c>
      <c r="C415" s="2">
        <v>1</v>
      </c>
      <c r="D415" s="12">
        <v>45571</v>
      </c>
      <c r="E415" s="2">
        <v>35</v>
      </c>
      <c r="F415" s="13">
        <v>0.33133101851851854</v>
      </c>
      <c r="G415" s="3">
        <v>0.54758101851851848</v>
      </c>
      <c r="H415" s="1">
        <v>0.21597222222222223</v>
      </c>
      <c r="I415" s="5">
        <v>697</v>
      </c>
      <c r="J415">
        <v>6253</v>
      </c>
      <c r="K415">
        <v>134</v>
      </c>
      <c r="L415" s="5">
        <v>453</v>
      </c>
      <c r="M415" s="5">
        <v>697</v>
      </c>
      <c r="N415">
        <v>46</v>
      </c>
      <c r="O415">
        <v>651</v>
      </c>
      <c r="P415" s="1">
        <v>0.20972222222222223</v>
      </c>
      <c r="Q415" s="5">
        <v>1205</v>
      </c>
      <c r="R415" s="14">
        <v>9</v>
      </c>
      <c r="S415">
        <v>134</v>
      </c>
      <c r="T415" s="5">
        <v>46</v>
      </c>
      <c r="U415" s="5">
        <v>652</v>
      </c>
      <c r="V415" s="5">
        <v>1</v>
      </c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</row>
    <row r="416" spans="1:37" x14ac:dyDescent="0.25">
      <c r="A416" s="11">
        <f>Table1[[#This Row],[Milk Yield]]-J412</f>
        <v>-31</v>
      </c>
      <c r="B416" t="s">
        <v>24</v>
      </c>
      <c r="C416" s="2">
        <v>2</v>
      </c>
      <c r="D416" s="12">
        <v>45571</v>
      </c>
      <c r="E416" s="2">
        <v>40</v>
      </c>
      <c r="F416" s="13">
        <v>0.66519675925925925</v>
      </c>
      <c r="G416" s="3">
        <v>0.90856481481481477</v>
      </c>
      <c r="H416" s="1">
        <v>0.24305555555555555</v>
      </c>
      <c r="I416" s="5">
        <v>679</v>
      </c>
      <c r="J416">
        <v>5507</v>
      </c>
      <c r="K416">
        <v>116</v>
      </c>
      <c r="L416" s="5">
        <v>136</v>
      </c>
      <c r="M416" s="5">
        <v>679</v>
      </c>
      <c r="N416">
        <v>18</v>
      </c>
      <c r="O416">
        <v>661</v>
      </c>
      <c r="P416" s="1">
        <v>0.17569444444444443</v>
      </c>
      <c r="Q416" s="5">
        <v>943</v>
      </c>
      <c r="R416" s="14">
        <v>8.1999999999999993</v>
      </c>
      <c r="S416">
        <v>116</v>
      </c>
      <c r="T416" s="5">
        <v>18</v>
      </c>
      <c r="U416" s="5">
        <v>663</v>
      </c>
      <c r="V416" s="5">
        <v>2</v>
      </c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</row>
    <row r="417" spans="1:37" x14ac:dyDescent="0.25">
      <c r="A417" s="11">
        <f>Table1[[#This Row],[Milk Yield]]-J413</f>
        <v>-71</v>
      </c>
      <c r="B417" t="s">
        <v>24</v>
      </c>
      <c r="C417" s="2">
        <v>3</v>
      </c>
      <c r="D417" s="12">
        <v>45571</v>
      </c>
      <c r="E417" s="2">
        <v>36</v>
      </c>
      <c r="F417" s="13">
        <v>5.5555555555555556E-4</v>
      </c>
      <c r="G417" s="3">
        <v>0.2333449074074074</v>
      </c>
      <c r="H417" s="1">
        <v>0.2326388888888889</v>
      </c>
      <c r="I417" s="5">
        <v>676</v>
      </c>
      <c r="J417">
        <v>5642</v>
      </c>
      <c r="K417">
        <v>121</v>
      </c>
      <c r="L417" s="5">
        <v>105</v>
      </c>
      <c r="M417" s="5">
        <v>676</v>
      </c>
      <c r="N417">
        <v>16</v>
      </c>
      <c r="O417">
        <v>660</v>
      </c>
      <c r="P417" s="1">
        <v>0.20347222222222222</v>
      </c>
      <c r="Q417" s="5">
        <v>1010</v>
      </c>
      <c r="R417" s="14">
        <v>8.4</v>
      </c>
      <c r="S417">
        <v>121</v>
      </c>
      <c r="T417" s="5">
        <v>16</v>
      </c>
      <c r="U417" s="5">
        <v>661</v>
      </c>
      <c r="V417" s="5">
        <v>1</v>
      </c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</row>
    <row r="418" spans="1:37" x14ac:dyDescent="0.25">
      <c r="A418" s="11" t="e">
        <f>Table1[[#This Row],[Milk Yield]]-J414</f>
        <v>#VALUE!</v>
      </c>
      <c r="B418" t="s">
        <v>0</v>
      </c>
      <c r="C418" s="2" t="s">
        <v>1</v>
      </c>
      <c r="D418" s="12" t="s">
        <v>2</v>
      </c>
      <c r="E418" s="2" t="s">
        <v>3</v>
      </c>
      <c r="F418" s="13" t="s">
        <v>4</v>
      </c>
      <c r="G418" s="3" t="s">
        <v>5</v>
      </c>
      <c r="H418" s="1" t="s">
        <v>6</v>
      </c>
      <c r="I418" s="5" t="s">
        <v>8</v>
      </c>
      <c r="J418" t="s">
        <v>9</v>
      </c>
      <c r="K418" t="s">
        <v>10</v>
      </c>
      <c r="L418" s="5" t="s">
        <v>11</v>
      </c>
      <c r="M418" s="5" t="s">
        <v>12</v>
      </c>
      <c r="N418" t="s">
        <v>13</v>
      </c>
      <c r="O418" t="s">
        <v>20</v>
      </c>
      <c r="P418" t="s">
        <v>7</v>
      </c>
      <c r="Q418" s="5" t="s">
        <v>15</v>
      </c>
      <c r="R418" s="14" t="s">
        <v>18</v>
      </c>
      <c r="S418" t="s">
        <v>16</v>
      </c>
      <c r="T418" s="5" t="s">
        <v>14</v>
      </c>
      <c r="U418" s="5" t="s">
        <v>17</v>
      </c>
      <c r="V418" s="5" t="s">
        <v>19</v>
      </c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</row>
    <row r="419" spans="1:37" x14ac:dyDescent="0.25">
      <c r="A419" s="11">
        <f>Table1[[#This Row],[Milk Yield]]-J415</f>
        <v>203</v>
      </c>
      <c r="B419" t="s">
        <v>24</v>
      </c>
      <c r="C419" s="2">
        <v>1</v>
      </c>
      <c r="D419" s="12">
        <v>45572</v>
      </c>
      <c r="E419" s="2">
        <v>36</v>
      </c>
      <c r="F419" s="13">
        <v>0.3347222222222222</v>
      </c>
      <c r="G419" s="3">
        <v>0.56288194444444439</v>
      </c>
      <c r="H419" s="1">
        <v>0.22777777777777777</v>
      </c>
      <c r="I419" s="5">
        <v>681</v>
      </c>
      <c r="J419">
        <v>6456</v>
      </c>
      <c r="K419">
        <v>124</v>
      </c>
      <c r="L419" s="5">
        <v>569</v>
      </c>
      <c r="M419" s="5">
        <v>681</v>
      </c>
      <c r="N419">
        <v>42</v>
      </c>
      <c r="O419">
        <v>639</v>
      </c>
      <c r="P419" s="1">
        <v>0.21180555555555555</v>
      </c>
      <c r="Q419" s="5">
        <v>1179</v>
      </c>
      <c r="R419" s="14">
        <v>9.5</v>
      </c>
      <c r="S419">
        <v>124</v>
      </c>
      <c r="T419" s="5">
        <v>42</v>
      </c>
      <c r="U419" s="5">
        <v>638</v>
      </c>
      <c r="V419" s="5">
        <v>0</v>
      </c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</row>
    <row r="420" spans="1:37" x14ac:dyDescent="0.25">
      <c r="A420" s="11">
        <f>Table1[[#This Row],[Milk Yield]]-J416</f>
        <v>171</v>
      </c>
      <c r="B420" t="s">
        <v>24</v>
      </c>
      <c r="C420" s="2">
        <v>2</v>
      </c>
      <c r="D420" s="12">
        <v>45572</v>
      </c>
      <c r="E420" s="2">
        <v>42</v>
      </c>
      <c r="F420" s="13">
        <v>0.66715277777777782</v>
      </c>
      <c r="G420" s="3">
        <v>0.89244212962962965</v>
      </c>
      <c r="H420" s="1">
        <v>0.22500000000000001</v>
      </c>
      <c r="I420" s="5">
        <v>691</v>
      </c>
      <c r="J420">
        <v>5678</v>
      </c>
      <c r="K420">
        <v>128</v>
      </c>
      <c r="L420" s="5">
        <v>214</v>
      </c>
      <c r="M420" s="5">
        <v>691</v>
      </c>
      <c r="N420">
        <v>32</v>
      </c>
      <c r="O420">
        <v>659</v>
      </c>
      <c r="P420" s="1">
        <v>0.1986111111111111</v>
      </c>
      <c r="Q420" s="5">
        <v>1050</v>
      </c>
      <c r="R420" s="14">
        <v>8.3000000000000007</v>
      </c>
      <c r="S420">
        <v>128</v>
      </c>
      <c r="T420" s="5">
        <v>32</v>
      </c>
      <c r="U420" s="5">
        <v>660</v>
      </c>
      <c r="V420" s="5">
        <v>1</v>
      </c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</row>
    <row r="421" spans="1:37" x14ac:dyDescent="0.25">
      <c r="A421" s="11">
        <f>Table1[[#This Row],[Milk Yield]]-J417</f>
        <v>-676</v>
      </c>
      <c r="B421" t="s">
        <v>24</v>
      </c>
      <c r="C421" s="2">
        <v>3</v>
      </c>
      <c r="D421" s="12">
        <v>45572</v>
      </c>
      <c r="E421" s="2">
        <v>35</v>
      </c>
      <c r="F421" s="13">
        <v>1.1574074074074073E-5</v>
      </c>
      <c r="G421" s="3">
        <v>0.20366898148148149</v>
      </c>
      <c r="H421" s="1">
        <v>0.20347222222222222</v>
      </c>
      <c r="I421" s="5">
        <v>664</v>
      </c>
      <c r="J421">
        <v>4966</v>
      </c>
      <c r="K421">
        <v>136</v>
      </c>
      <c r="L421" s="5">
        <v>60</v>
      </c>
      <c r="M421" s="5">
        <v>664</v>
      </c>
      <c r="N421">
        <v>10</v>
      </c>
      <c r="O421">
        <v>654</v>
      </c>
      <c r="P421" s="1">
        <v>0.18333333333333332</v>
      </c>
      <c r="Q421" s="5">
        <v>1016</v>
      </c>
      <c r="R421" s="14">
        <v>7.5</v>
      </c>
      <c r="S421">
        <v>136</v>
      </c>
      <c r="T421" s="5">
        <v>10</v>
      </c>
      <c r="U421" s="5">
        <v>655</v>
      </c>
      <c r="V421" s="5">
        <v>1</v>
      </c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</row>
    <row r="422" spans="1:37" x14ac:dyDescent="0.25">
      <c r="A422" s="11" t="e">
        <f>Table1[[#This Row],[Milk Yield]]-J418</f>
        <v>#VALUE!</v>
      </c>
      <c r="B422" t="s">
        <v>0</v>
      </c>
      <c r="C422" s="2" t="s">
        <v>1</v>
      </c>
      <c r="D422" s="12" t="s">
        <v>2</v>
      </c>
      <c r="E422" s="2" t="s">
        <v>3</v>
      </c>
      <c r="F422" s="13" t="s">
        <v>4</v>
      </c>
      <c r="G422" s="3" t="s">
        <v>5</v>
      </c>
      <c r="H422" s="1" t="s">
        <v>6</v>
      </c>
      <c r="I422" s="5" t="s">
        <v>8</v>
      </c>
      <c r="J422" t="s">
        <v>9</v>
      </c>
      <c r="K422" t="s">
        <v>10</v>
      </c>
      <c r="L422" s="5" t="s">
        <v>11</v>
      </c>
      <c r="M422" s="5" t="s">
        <v>12</v>
      </c>
      <c r="N422" t="s">
        <v>13</v>
      </c>
      <c r="O422" t="s">
        <v>20</v>
      </c>
      <c r="P422" t="s">
        <v>7</v>
      </c>
      <c r="Q422" s="5" t="s">
        <v>15</v>
      </c>
      <c r="R422" s="14" t="s">
        <v>18</v>
      </c>
      <c r="S422" t="s">
        <v>16</v>
      </c>
      <c r="T422" s="5" t="s">
        <v>14</v>
      </c>
      <c r="U422" s="5" t="s">
        <v>17</v>
      </c>
      <c r="V422" s="5" t="s">
        <v>19</v>
      </c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</row>
    <row r="423" spans="1:37" x14ac:dyDescent="0.25">
      <c r="A423" s="11">
        <f>Table1[[#This Row],[Milk Yield]]-J419</f>
        <v>-331</v>
      </c>
      <c r="B423" t="s">
        <v>24</v>
      </c>
      <c r="C423" s="2">
        <v>1</v>
      </c>
      <c r="D423" s="12">
        <v>45573</v>
      </c>
      <c r="E423" s="2">
        <v>36</v>
      </c>
      <c r="F423" s="13">
        <v>0.33940972222222221</v>
      </c>
      <c r="G423" s="3">
        <v>0.58364583333333331</v>
      </c>
      <c r="H423" s="1">
        <v>0.24374999999999999</v>
      </c>
      <c r="I423" s="5">
        <v>678</v>
      </c>
      <c r="J423">
        <v>6125</v>
      </c>
      <c r="K423">
        <v>116</v>
      </c>
      <c r="L423" s="5">
        <v>91</v>
      </c>
      <c r="M423" s="5">
        <v>677</v>
      </c>
      <c r="N423">
        <v>10</v>
      </c>
      <c r="O423">
        <v>667</v>
      </c>
      <c r="P423" s="1">
        <v>0.22291666666666668</v>
      </c>
      <c r="Q423" s="5">
        <v>1189</v>
      </c>
      <c r="R423" s="14">
        <v>9.0472673559822745</v>
      </c>
      <c r="S423">
        <v>115</v>
      </c>
      <c r="T423" s="5">
        <v>10</v>
      </c>
      <c r="U423" s="5">
        <v>667</v>
      </c>
      <c r="V423" s="5">
        <v>1</v>
      </c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</row>
    <row r="424" spans="1:37" x14ac:dyDescent="0.25">
      <c r="A424" s="11">
        <f>Table1[[#This Row],[Milk Yield]]-J420</f>
        <v>-44</v>
      </c>
      <c r="B424" t="s">
        <v>24</v>
      </c>
      <c r="C424" s="2">
        <v>2</v>
      </c>
      <c r="D424" s="12">
        <v>45573</v>
      </c>
      <c r="E424" s="2">
        <v>41</v>
      </c>
      <c r="F424" s="13">
        <v>0.66706018518518517</v>
      </c>
      <c r="G424" s="3">
        <v>0.94019675925925927</v>
      </c>
      <c r="H424" s="1">
        <v>0.27291666666666664</v>
      </c>
      <c r="I424" s="5">
        <v>720</v>
      </c>
      <c r="J424">
        <v>5634</v>
      </c>
      <c r="K424">
        <v>110</v>
      </c>
      <c r="L424" s="5">
        <v>3259</v>
      </c>
      <c r="M424" s="5">
        <v>720</v>
      </c>
      <c r="N424">
        <v>133</v>
      </c>
      <c r="O424">
        <v>587</v>
      </c>
      <c r="P424" s="1">
        <v>0.24166666666666667</v>
      </c>
      <c r="Q424" s="5">
        <v>1366</v>
      </c>
      <c r="R424" s="14">
        <v>7.8250000000000002</v>
      </c>
      <c r="S424">
        <v>110</v>
      </c>
      <c r="T424" s="5">
        <v>133</v>
      </c>
      <c r="U424" s="5">
        <v>587</v>
      </c>
      <c r="V424" s="5">
        <v>0</v>
      </c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</row>
    <row r="425" spans="1:37" x14ac:dyDescent="0.25">
      <c r="A425" s="11">
        <f>Table1[[#This Row],[Milk Yield]]-J421</f>
        <v>485</v>
      </c>
      <c r="B425" t="s">
        <v>24</v>
      </c>
      <c r="C425" s="2">
        <v>3</v>
      </c>
      <c r="D425" s="12">
        <v>45573</v>
      </c>
      <c r="E425" s="2">
        <v>35</v>
      </c>
      <c r="F425" s="13">
        <v>0.99968749999999995</v>
      </c>
      <c r="G425" s="3">
        <v>0.18922453703703704</v>
      </c>
      <c r="H425" s="1">
        <v>0.18888888888888888</v>
      </c>
      <c r="I425" s="5">
        <v>626</v>
      </c>
      <c r="J425">
        <v>5451</v>
      </c>
      <c r="K425">
        <v>138</v>
      </c>
      <c r="L425" s="5">
        <v>9424</v>
      </c>
      <c r="M425" s="5">
        <v>626</v>
      </c>
      <c r="N425">
        <v>269</v>
      </c>
      <c r="O425">
        <v>357</v>
      </c>
      <c r="P425" s="1">
        <v>0.25694444444444442</v>
      </c>
      <c r="Q425" s="5">
        <v>2635</v>
      </c>
      <c r="R425" s="14">
        <v>8.7076677316293924</v>
      </c>
      <c r="S425">
        <v>138</v>
      </c>
      <c r="T425" s="5">
        <v>269</v>
      </c>
      <c r="U425" s="5">
        <v>357</v>
      </c>
      <c r="V425" s="5">
        <v>0</v>
      </c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</row>
    <row r="426" spans="1:37" x14ac:dyDescent="0.25">
      <c r="A426" s="11" t="e">
        <f>Table1[[#This Row],[Milk Yield]]-J422</f>
        <v>#VALUE!</v>
      </c>
      <c r="B426" t="s">
        <v>0</v>
      </c>
      <c r="C426" s="2" t="s">
        <v>1</v>
      </c>
      <c r="D426" s="12" t="s">
        <v>2</v>
      </c>
      <c r="E426" s="2" t="s">
        <v>3</v>
      </c>
      <c r="F426" s="13" t="s">
        <v>4</v>
      </c>
      <c r="G426" s="3" t="s">
        <v>5</v>
      </c>
      <c r="H426" s="1" t="s">
        <v>6</v>
      </c>
      <c r="I426" s="5" t="s">
        <v>8</v>
      </c>
      <c r="J426" t="s">
        <v>9</v>
      </c>
      <c r="K426" t="s">
        <v>10</v>
      </c>
      <c r="L426" s="5" t="s">
        <v>11</v>
      </c>
      <c r="M426" s="5" t="s">
        <v>12</v>
      </c>
      <c r="N426" t="s">
        <v>13</v>
      </c>
      <c r="O426" t="s">
        <v>20</v>
      </c>
      <c r="P426" t="s">
        <v>7</v>
      </c>
      <c r="Q426" s="5" t="s">
        <v>15</v>
      </c>
      <c r="R426" s="14" t="s">
        <v>18</v>
      </c>
      <c r="S426" t="s">
        <v>16</v>
      </c>
      <c r="T426" s="5" t="s">
        <v>14</v>
      </c>
      <c r="U426" s="5" t="s">
        <v>17</v>
      </c>
      <c r="V426" s="5" t="s">
        <v>19</v>
      </c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</row>
    <row r="427" spans="1:37" x14ac:dyDescent="0.25">
      <c r="A427" s="11">
        <f>Table1[[#This Row],[Milk Yield]]-J423</f>
        <v>497</v>
      </c>
      <c r="B427" t="s">
        <v>24</v>
      </c>
      <c r="C427" s="2">
        <v>1</v>
      </c>
      <c r="D427" s="12">
        <v>45574</v>
      </c>
      <c r="E427" s="2">
        <v>39</v>
      </c>
      <c r="F427" s="13">
        <v>0.33777777777777779</v>
      </c>
      <c r="G427" s="3">
        <v>0.57261574074074073</v>
      </c>
      <c r="H427" s="1">
        <v>0.23472222222222222</v>
      </c>
      <c r="I427" s="5">
        <v>676</v>
      </c>
      <c r="J427">
        <v>6622</v>
      </c>
      <c r="K427">
        <v>149</v>
      </c>
      <c r="L427" s="5">
        <v>254</v>
      </c>
      <c r="M427" s="5">
        <v>696</v>
      </c>
      <c r="N427">
        <v>29</v>
      </c>
      <c r="O427">
        <v>463</v>
      </c>
      <c r="P427" s="1">
        <v>0.21190972222222224</v>
      </c>
      <c r="Q427" s="5">
        <v>1171</v>
      </c>
      <c r="R427" s="14">
        <f>J427/I427</f>
        <v>9.7958579881656807</v>
      </c>
      <c r="S427">
        <v>123</v>
      </c>
      <c r="T427" s="5">
        <v>29</v>
      </c>
      <c r="U427" s="5">
        <v>653</v>
      </c>
      <c r="V427" s="5">
        <v>1</v>
      </c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</row>
    <row r="428" spans="1:37" x14ac:dyDescent="0.25">
      <c r="A428" s="11">
        <f>Table1[[#This Row],[Milk Yield]]-J424</f>
        <v>255</v>
      </c>
      <c r="B428" t="s">
        <v>24</v>
      </c>
      <c r="C428" s="2">
        <v>2</v>
      </c>
      <c r="D428" s="12">
        <v>45574</v>
      </c>
      <c r="E428" s="2">
        <v>39</v>
      </c>
      <c r="F428" s="13">
        <v>0.67037037037037039</v>
      </c>
      <c r="G428" s="3">
        <v>0.93140046296296297</v>
      </c>
      <c r="H428" s="1">
        <v>0.26041666666666669</v>
      </c>
      <c r="I428" s="5">
        <v>684</v>
      </c>
      <c r="J428">
        <v>5889</v>
      </c>
      <c r="K428">
        <v>109</v>
      </c>
      <c r="L428" s="5">
        <v>102</v>
      </c>
      <c r="M428" s="5">
        <v>684</v>
      </c>
      <c r="N428">
        <v>16</v>
      </c>
      <c r="O428">
        <v>668</v>
      </c>
      <c r="P428" s="1">
        <v>0.21458333333333332</v>
      </c>
      <c r="Q428" s="5">
        <v>940</v>
      </c>
      <c r="R428" s="14">
        <v>8.6999999999999993</v>
      </c>
      <c r="S428">
        <v>109</v>
      </c>
      <c r="T428" s="5">
        <v>16</v>
      </c>
      <c r="U428" s="5">
        <v>669</v>
      </c>
      <c r="V428" s="5">
        <v>1</v>
      </c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</row>
    <row r="429" spans="1:37" x14ac:dyDescent="0.25">
      <c r="A429" s="11">
        <f>Table1[[#This Row],[Milk Yield]]-J425</f>
        <v>-689</v>
      </c>
      <c r="B429" t="s">
        <v>24</v>
      </c>
      <c r="C429" s="2">
        <v>3</v>
      </c>
      <c r="D429" s="12">
        <v>45574</v>
      </c>
      <c r="E429" s="2">
        <v>34</v>
      </c>
      <c r="F429" s="13">
        <v>0.99996527777777777</v>
      </c>
      <c r="G429" s="3">
        <v>0.21138888888888888</v>
      </c>
      <c r="H429" s="1">
        <v>0.21111111111111111</v>
      </c>
      <c r="I429" s="5">
        <v>650</v>
      </c>
      <c r="J429">
        <v>4762</v>
      </c>
      <c r="K429">
        <v>128</v>
      </c>
      <c r="L429" s="5">
        <v>98</v>
      </c>
      <c r="M429" s="5">
        <v>650</v>
      </c>
      <c r="N429">
        <v>19</v>
      </c>
      <c r="O429">
        <v>631</v>
      </c>
      <c r="P429" s="1">
        <v>0.18680555555555556</v>
      </c>
      <c r="Q429" s="5">
        <v>938</v>
      </c>
      <c r="R429" s="14">
        <v>7.4</v>
      </c>
      <c r="S429">
        <v>128</v>
      </c>
      <c r="T429" s="5">
        <v>19</v>
      </c>
      <c r="U429" s="5">
        <v>632</v>
      </c>
      <c r="V429" s="5">
        <v>1</v>
      </c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</row>
    <row r="430" spans="1:37" x14ac:dyDescent="0.25">
      <c r="A430" s="11" t="e">
        <f>Table1[[#This Row],[Milk Yield]]-J426</f>
        <v>#VALUE!</v>
      </c>
      <c r="B430" t="s">
        <v>0</v>
      </c>
      <c r="C430" s="2" t="s">
        <v>1</v>
      </c>
      <c r="D430" s="12" t="s">
        <v>2</v>
      </c>
      <c r="E430" s="2" t="s">
        <v>3</v>
      </c>
      <c r="F430" s="13" t="s">
        <v>4</v>
      </c>
      <c r="G430" s="3" t="s">
        <v>5</v>
      </c>
      <c r="H430" s="1" t="s">
        <v>6</v>
      </c>
      <c r="I430" s="5" t="s">
        <v>8</v>
      </c>
      <c r="J430" t="s">
        <v>9</v>
      </c>
      <c r="K430" t="s">
        <v>10</v>
      </c>
      <c r="L430" s="5" t="s">
        <v>11</v>
      </c>
      <c r="M430" s="5" t="s">
        <v>12</v>
      </c>
      <c r="N430" t="s">
        <v>13</v>
      </c>
      <c r="O430" t="s">
        <v>20</v>
      </c>
      <c r="P430" t="s">
        <v>7</v>
      </c>
      <c r="Q430" s="5" t="s">
        <v>15</v>
      </c>
      <c r="R430" s="14" t="s">
        <v>18</v>
      </c>
      <c r="S430" t="s">
        <v>16</v>
      </c>
      <c r="T430" s="5" t="s">
        <v>14</v>
      </c>
      <c r="U430" s="5" t="s">
        <v>17</v>
      </c>
      <c r="V430" s="5" t="s">
        <v>19</v>
      </c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</row>
    <row r="431" spans="1:37" x14ac:dyDescent="0.25">
      <c r="A431" s="11">
        <f>Table1[[#This Row],[Milk Yield]]-J427</f>
        <v>-574</v>
      </c>
      <c r="B431" t="s">
        <v>24</v>
      </c>
      <c r="C431" s="2">
        <v>1</v>
      </c>
      <c r="D431" s="12">
        <v>45575</v>
      </c>
      <c r="E431" s="2">
        <v>33</v>
      </c>
      <c r="F431" s="13">
        <v>0.34028935185185183</v>
      </c>
      <c r="G431" s="3">
        <v>0.5470949074074074</v>
      </c>
      <c r="H431" s="1">
        <v>0.20624999999999999</v>
      </c>
      <c r="I431" s="5">
        <v>675</v>
      </c>
      <c r="J431">
        <v>6048</v>
      </c>
      <c r="K431">
        <v>136</v>
      </c>
      <c r="L431" s="5">
        <v>93</v>
      </c>
      <c r="M431" s="5">
        <v>675</v>
      </c>
      <c r="N431">
        <v>12</v>
      </c>
      <c r="O431">
        <v>663</v>
      </c>
      <c r="P431" s="1">
        <v>0.19652777777777777</v>
      </c>
      <c r="Q431" s="5">
        <v>1219</v>
      </c>
      <c r="R431" s="14">
        <v>9</v>
      </c>
      <c r="S431">
        <v>136</v>
      </c>
      <c r="T431" s="5">
        <v>12</v>
      </c>
      <c r="U431" s="5">
        <v>664</v>
      </c>
      <c r="V431" s="5">
        <v>1</v>
      </c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</row>
    <row r="432" spans="1:37" x14ac:dyDescent="0.25">
      <c r="A432" s="11">
        <f>Table1[[#This Row],[Milk Yield]]-J428</f>
        <v>442</v>
      </c>
      <c r="B432" t="s">
        <v>24</v>
      </c>
      <c r="C432" s="2">
        <v>2</v>
      </c>
      <c r="D432" s="12">
        <v>45575</v>
      </c>
      <c r="E432" s="2">
        <v>39</v>
      </c>
      <c r="F432" s="13">
        <v>0.67013888888888884</v>
      </c>
      <c r="G432" s="3">
        <v>0.93368055555555551</v>
      </c>
      <c r="H432" s="1">
        <v>0.26319444444444445</v>
      </c>
      <c r="I432" s="5">
        <v>689</v>
      </c>
      <c r="J432">
        <v>6331</v>
      </c>
      <c r="K432">
        <v>109</v>
      </c>
      <c r="L432" s="5">
        <v>221</v>
      </c>
      <c r="M432" s="5">
        <v>689</v>
      </c>
      <c r="N432">
        <v>54</v>
      </c>
      <c r="O432">
        <v>635</v>
      </c>
      <c r="P432" s="1">
        <v>0.20972222222222223</v>
      </c>
      <c r="Q432" s="5">
        <v>1001</v>
      </c>
      <c r="R432" s="14">
        <v>9.1999999999999993</v>
      </c>
      <c r="S432">
        <v>109</v>
      </c>
      <c r="T432" s="5">
        <v>54</v>
      </c>
      <c r="U432" s="5">
        <v>636</v>
      </c>
      <c r="V432" s="5">
        <v>1</v>
      </c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</row>
    <row r="433" spans="1:37" x14ac:dyDescent="0.25">
      <c r="A433" s="11">
        <f>Table1[[#This Row],[Milk Yield]]-J429</f>
        <v>158</v>
      </c>
      <c r="B433" t="s">
        <v>24</v>
      </c>
      <c r="C433" s="2">
        <v>3</v>
      </c>
      <c r="D433" s="12">
        <v>45575</v>
      </c>
      <c r="E433" s="2">
        <v>37</v>
      </c>
      <c r="F433" s="13">
        <v>0.99956018518518519</v>
      </c>
      <c r="G433" s="3">
        <v>0.23690972222222223</v>
      </c>
      <c r="H433" s="1">
        <v>0.23680555555555555</v>
      </c>
      <c r="I433" s="5">
        <v>641</v>
      </c>
      <c r="J433">
        <v>4920</v>
      </c>
      <c r="K433">
        <v>113</v>
      </c>
      <c r="L433" s="5">
        <v>104</v>
      </c>
      <c r="M433" s="5">
        <v>641</v>
      </c>
      <c r="N433">
        <v>14</v>
      </c>
      <c r="O433">
        <v>627</v>
      </c>
      <c r="P433" s="1">
        <v>0.19722222222222222</v>
      </c>
      <c r="Q433" s="5">
        <v>864</v>
      </c>
      <c r="R433" s="14">
        <v>7.7</v>
      </c>
      <c r="S433">
        <v>113</v>
      </c>
      <c r="T433" s="5">
        <v>14</v>
      </c>
      <c r="U433" s="5">
        <v>628</v>
      </c>
      <c r="V433" s="5">
        <v>1</v>
      </c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</row>
    <row r="434" spans="1:37" x14ac:dyDescent="0.25">
      <c r="A434" s="11" t="e">
        <f>Table1[[#This Row],[Milk Yield]]-J430</f>
        <v>#VALUE!</v>
      </c>
      <c r="B434" t="s">
        <v>0</v>
      </c>
      <c r="C434" s="2" t="s">
        <v>1</v>
      </c>
      <c r="D434" s="12" t="s">
        <v>2</v>
      </c>
      <c r="E434" s="2" t="s">
        <v>3</v>
      </c>
      <c r="F434" s="13" t="s">
        <v>4</v>
      </c>
      <c r="G434" s="3" t="s">
        <v>5</v>
      </c>
      <c r="H434" s="1" t="s">
        <v>6</v>
      </c>
      <c r="I434" s="5" t="s">
        <v>8</v>
      </c>
      <c r="J434" t="s">
        <v>9</v>
      </c>
      <c r="K434" t="s">
        <v>10</v>
      </c>
      <c r="L434" s="5" t="s">
        <v>11</v>
      </c>
      <c r="M434" s="5" t="s">
        <v>12</v>
      </c>
      <c r="N434" t="s">
        <v>13</v>
      </c>
      <c r="O434" t="s">
        <v>20</v>
      </c>
      <c r="P434" t="s">
        <v>7</v>
      </c>
      <c r="Q434" s="5" t="s">
        <v>15</v>
      </c>
      <c r="R434" s="14" t="s">
        <v>18</v>
      </c>
      <c r="S434" t="s">
        <v>16</v>
      </c>
      <c r="T434" s="5" t="s">
        <v>14</v>
      </c>
      <c r="U434" s="5" t="s">
        <v>17</v>
      </c>
      <c r="V434" s="5" t="s">
        <v>19</v>
      </c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</row>
    <row r="435" spans="1:37" x14ac:dyDescent="0.25">
      <c r="A435" s="11">
        <f>Table1[[#This Row],[Milk Yield]]-J431</f>
        <v>200</v>
      </c>
      <c r="B435" t="s">
        <v>24</v>
      </c>
      <c r="C435" s="2">
        <v>1</v>
      </c>
      <c r="D435" s="12">
        <v>45576</v>
      </c>
      <c r="E435" s="2">
        <v>34</v>
      </c>
      <c r="F435" s="13">
        <v>0.33224537037037039</v>
      </c>
      <c r="G435" s="3">
        <v>0.56207175925925923</v>
      </c>
      <c r="H435" s="1">
        <v>0.22916666666666666</v>
      </c>
      <c r="I435" s="5">
        <v>664</v>
      </c>
      <c r="J435">
        <v>6248</v>
      </c>
      <c r="K435">
        <v>120</v>
      </c>
      <c r="L435" s="5">
        <v>340</v>
      </c>
      <c r="M435" s="5">
        <v>664</v>
      </c>
      <c r="N435">
        <v>29</v>
      </c>
      <c r="O435">
        <v>635</v>
      </c>
      <c r="P435" s="1">
        <v>0.21805555555555556</v>
      </c>
      <c r="Q435" s="5">
        <v>1133</v>
      </c>
      <c r="R435" s="14">
        <v>9.5</v>
      </c>
      <c r="S435">
        <v>120</v>
      </c>
      <c r="T435" s="5">
        <v>29</v>
      </c>
      <c r="U435" s="5">
        <v>636</v>
      </c>
      <c r="V435" s="5">
        <v>1</v>
      </c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</row>
    <row r="436" spans="1:37" x14ac:dyDescent="0.25">
      <c r="A436" s="11">
        <f>Table1[[#This Row],[Milk Yield]]-J432</f>
        <v>-547</v>
      </c>
      <c r="B436" t="s">
        <v>24</v>
      </c>
      <c r="C436" s="2">
        <v>2</v>
      </c>
      <c r="D436" s="12">
        <v>45576</v>
      </c>
      <c r="E436" s="2">
        <v>40</v>
      </c>
      <c r="F436" s="13">
        <v>0.66443287037037035</v>
      </c>
      <c r="G436" s="3">
        <v>0.91487268518518516</v>
      </c>
      <c r="H436" s="1">
        <v>0.25</v>
      </c>
      <c r="I436" s="5">
        <v>668</v>
      </c>
      <c r="J436">
        <v>5784</v>
      </c>
      <c r="K436">
        <v>111</v>
      </c>
      <c r="L436" s="5">
        <v>720</v>
      </c>
      <c r="M436" s="5">
        <v>668</v>
      </c>
      <c r="N436">
        <v>108</v>
      </c>
      <c r="O436">
        <v>560</v>
      </c>
      <c r="P436" s="1">
        <v>0.22847222222222222</v>
      </c>
      <c r="Q436" s="5">
        <v>962</v>
      </c>
      <c r="R436" s="14">
        <v>8.6999999999999993</v>
      </c>
      <c r="S436">
        <v>111</v>
      </c>
      <c r="T436" s="5">
        <v>108</v>
      </c>
      <c r="U436" s="5">
        <v>561</v>
      </c>
      <c r="V436" s="5">
        <v>1</v>
      </c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</row>
    <row r="437" spans="1:37" x14ac:dyDescent="0.25">
      <c r="A437" s="11">
        <f>Table1[[#This Row],[Milk Yield]]-J433</f>
        <v>-31</v>
      </c>
      <c r="B437" t="s">
        <v>24</v>
      </c>
      <c r="C437" s="2">
        <v>3</v>
      </c>
      <c r="D437" s="12">
        <v>45576</v>
      </c>
      <c r="E437" s="2">
        <v>34</v>
      </c>
      <c r="F437" s="13">
        <v>0.99709490740740736</v>
      </c>
      <c r="G437" s="3">
        <v>0.21746527777777777</v>
      </c>
      <c r="H437" s="1">
        <v>0.22013888888888888</v>
      </c>
      <c r="I437" s="5">
        <v>660</v>
      </c>
      <c r="J437">
        <v>4889</v>
      </c>
      <c r="K437">
        <v>125</v>
      </c>
      <c r="L437" s="5">
        <v>97</v>
      </c>
      <c r="M437" s="5">
        <v>660</v>
      </c>
      <c r="N437">
        <v>14</v>
      </c>
      <c r="O437">
        <v>646</v>
      </c>
      <c r="P437" s="1">
        <v>0.19166666666666668</v>
      </c>
      <c r="Q437" s="5">
        <v>924</v>
      </c>
      <c r="R437" s="14">
        <v>7.5</v>
      </c>
      <c r="S437">
        <v>125</v>
      </c>
      <c r="T437" s="5">
        <v>14</v>
      </c>
      <c r="U437" s="5">
        <v>647</v>
      </c>
      <c r="V437" s="5">
        <v>1</v>
      </c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</row>
    <row r="438" spans="1:37" x14ac:dyDescent="0.25">
      <c r="A438" s="11" t="e">
        <f>Table1[[#This Row],[Milk Yield]]-J434</f>
        <v>#VALUE!</v>
      </c>
      <c r="B438" t="s">
        <v>0</v>
      </c>
      <c r="C438" s="2" t="s">
        <v>1</v>
      </c>
      <c r="D438" s="12" t="s">
        <v>2</v>
      </c>
      <c r="E438" s="2" t="s">
        <v>3</v>
      </c>
      <c r="F438" s="13" t="s">
        <v>4</v>
      </c>
      <c r="G438" s="3" t="s">
        <v>5</v>
      </c>
      <c r="H438" s="1" t="s">
        <v>6</v>
      </c>
      <c r="I438" s="5" t="s">
        <v>8</v>
      </c>
      <c r="J438" t="s">
        <v>9</v>
      </c>
      <c r="K438" t="s">
        <v>10</v>
      </c>
      <c r="L438" s="5" t="s">
        <v>11</v>
      </c>
      <c r="M438" s="5" t="s">
        <v>12</v>
      </c>
      <c r="N438" t="s">
        <v>13</v>
      </c>
      <c r="O438" t="s">
        <v>20</v>
      </c>
      <c r="P438" s="1" t="s">
        <v>7</v>
      </c>
      <c r="Q438" s="5" t="s">
        <v>15</v>
      </c>
      <c r="R438" s="14" t="s">
        <v>18</v>
      </c>
      <c r="S438" t="s">
        <v>16</v>
      </c>
      <c r="T438" s="5" t="s">
        <v>14</v>
      </c>
      <c r="U438" s="5" t="s">
        <v>17</v>
      </c>
      <c r="V438" s="5" t="s">
        <v>19</v>
      </c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</row>
    <row r="439" spans="1:37" x14ac:dyDescent="0.25">
      <c r="A439" s="11">
        <f>Table1[[#This Row],[Milk Yield]]-J435</f>
        <v>228</v>
      </c>
      <c r="B439" t="s">
        <v>24</v>
      </c>
      <c r="C439" s="2">
        <v>1</v>
      </c>
      <c r="D439" s="12">
        <v>45577</v>
      </c>
      <c r="E439" s="2">
        <v>35</v>
      </c>
      <c r="F439" s="13">
        <v>0.33516203703703706</v>
      </c>
      <c r="G439" s="3">
        <v>0.54221064814814812</v>
      </c>
      <c r="H439" s="1">
        <v>0.20694444444444443</v>
      </c>
      <c r="I439" s="5">
        <v>656</v>
      </c>
      <c r="J439">
        <v>6476</v>
      </c>
      <c r="K439">
        <v>132</v>
      </c>
      <c r="L439" s="5">
        <v>53</v>
      </c>
      <c r="M439" s="5">
        <v>656</v>
      </c>
      <c r="N439">
        <v>8</v>
      </c>
      <c r="O439">
        <v>648</v>
      </c>
      <c r="P439" s="1">
        <v>0.19583333333333333</v>
      </c>
      <c r="Q439" s="5">
        <v>1303</v>
      </c>
      <c r="R439" s="14">
        <v>9.9</v>
      </c>
      <c r="S439">
        <v>132</v>
      </c>
      <c r="T439" s="5">
        <v>8</v>
      </c>
      <c r="U439" s="5">
        <v>650</v>
      </c>
      <c r="V439" s="5">
        <v>2</v>
      </c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</row>
    <row r="440" spans="1:37" x14ac:dyDescent="0.25">
      <c r="A440" s="11">
        <f>Table1[[#This Row],[Milk Yield]]-J436</f>
        <v>-277</v>
      </c>
      <c r="B440" t="s">
        <v>24</v>
      </c>
      <c r="C440" s="2">
        <v>2</v>
      </c>
      <c r="D440" s="12">
        <v>45577</v>
      </c>
      <c r="E440" s="2">
        <v>40</v>
      </c>
      <c r="F440" s="13">
        <v>0.6700694444444445</v>
      </c>
      <c r="G440" s="3">
        <v>0.92344907407407406</v>
      </c>
      <c r="H440" s="1">
        <v>0.25277777777777777</v>
      </c>
      <c r="I440" s="5">
        <v>686</v>
      </c>
      <c r="J440">
        <v>5507</v>
      </c>
      <c r="K440">
        <v>125</v>
      </c>
      <c r="L440" s="5">
        <v>1830</v>
      </c>
      <c r="M440" s="5">
        <v>762</v>
      </c>
      <c r="N440">
        <v>197</v>
      </c>
      <c r="O440">
        <v>565</v>
      </c>
      <c r="P440" s="1">
        <v>0.24583333333333332</v>
      </c>
      <c r="Q440" s="5">
        <v>1053</v>
      </c>
      <c r="R440" s="14">
        <v>8.0276967930029155</v>
      </c>
      <c r="S440">
        <v>125</v>
      </c>
      <c r="T440" s="5">
        <v>197</v>
      </c>
      <c r="U440" s="5">
        <v>565</v>
      </c>
      <c r="V440" s="5">
        <v>0</v>
      </c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</row>
    <row r="441" spans="1:37" x14ac:dyDescent="0.25">
      <c r="A441" s="11">
        <f>Table1[[#This Row],[Milk Yield]]-J437</f>
        <v>552</v>
      </c>
      <c r="B441" t="s">
        <v>24</v>
      </c>
      <c r="C441" s="2">
        <v>3</v>
      </c>
      <c r="D441" s="12">
        <v>45577</v>
      </c>
      <c r="E441" s="2">
        <v>35</v>
      </c>
      <c r="F441" s="13">
        <v>0.99557870370370372</v>
      </c>
      <c r="G441" s="3">
        <v>0.24843750000000001</v>
      </c>
      <c r="H441" s="1">
        <v>0.25277777777777777</v>
      </c>
      <c r="I441" s="5">
        <v>653</v>
      </c>
      <c r="J441">
        <v>5441</v>
      </c>
      <c r="K441">
        <v>108</v>
      </c>
      <c r="L441" s="5">
        <v>204</v>
      </c>
      <c r="M441" s="5">
        <v>653</v>
      </c>
      <c r="N441">
        <v>34</v>
      </c>
      <c r="O441">
        <v>619</v>
      </c>
      <c r="P441" s="1">
        <v>0.19791666666666666</v>
      </c>
      <c r="Q441" s="5">
        <v>897</v>
      </c>
      <c r="R441" s="14">
        <v>8.4</v>
      </c>
      <c r="S441">
        <v>108</v>
      </c>
      <c r="T441" s="5">
        <v>34</v>
      </c>
      <c r="U441" s="5">
        <v>619</v>
      </c>
      <c r="V441" s="5">
        <v>0</v>
      </c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</row>
    <row r="442" spans="1:37" x14ac:dyDescent="0.25">
      <c r="A442" s="11" t="e">
        <f>Table1[[#This Row],[Milk Yield]]-J438</f>
        <v>#VALUE!</v>
      </c>
      <c r="B442" t="s">
        <v>0</v>
      </c>
      <c r="C442" s="2" t="s">
        <v>1</v>
      </c>
      <c r="D442" s="12" t="s">
        <v>2</v>
      </c>
      <c r="E442" s="2" t="s">
        <v>3</v>
      </c>
      <c r="F442" s="13" t="s">
        <v>4</v>
      </c>
      <c r="G442" s="3" t="s">
        <v>5</v>
      </c>
      <c r="H442" s="1" t="s">
        <v>6</v>
      </c>
      <c r="I442" s="5" t="s">
        <v>8</v>
      </c>
      <c r="J442" t="s">
        <v>9</v>
      </c>
      <c r="K442" t="s">
        <v>10</v>
      </c>
      <c r="L442" s="5" t="s">
        <v>11</v>
      </c>
      <c r="M442" s="5" t="s">
        <v>12</v>
      </c>
      <c r="N442" t="s">
        <v>13</v>
      </c>
      <c r="O442" t="s">
        <v>20</v>
      </c>
      <c r="P442" t="s">
        <v>7</v>
      </c>
      <c r="Q442" s="5" t="s">
        <v>15</v>
      </c>
      <c r="R442" s="14" t="s">
        <v>18</v>
      </c>
      <c r="S442" t="s">
        <v>16</v>
      </c>
      <c r="T442" s="5" t="s">
        <v>14</v>
      </c>
      <c r="U442" s="5" t="s">
        <v>17</v>
      </c>
      <c r="V442" s="5" t="s">
        <v>19</v>
      </c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</row>
    <row r="443" spans="1:37" x14ac:dyDescent="0.25">
      <c r="A443" s="11">
        <f>Table1[[#This Row],[Milk Yield]]-J439</f>
        <v>-989</v>
      </c>
      <c r="B443" t="s">
        <v>24</v>
      </c>
      <c r="C443" s="2">
        <v>1</v>
      </c>
      <c r="D443" s="12">
        <v>45578</v>
      </c>
      <c r="E443" s="2">
        <v>33</v>
      </c>
      <c r="F443" s="13">
        <v>0.33936342592592594</v>
      </c>
      <c r="G443" s="3">
        <v>0.5384606481481482</v>
      </c>
      <c r="H443" s="1">
        <v>0.1986111111111111</v>
      </c>
      <c r="I443" s="5">
        <v>636</v>
      </c>
      <c r="J443">
        <v>5487</v>
      </c>
      <c r="K443">
        <v>133</v>
      </c>
      <c r="L443" s="5">
        <v>49</v>
      </c>
      <c r="M443" s="5">
        <v>636</v>
      </c>
      <c r="N443">
        <v>9</v>
      </c>
      <c r="O443">
        <v>627</v>
      </c>
      <c r="P443" s="1">
        <v>0.18055555555555555</v>
      </c>
      <c r="Q443" s="5">
        <v>1148</v>
      </c>
      <c r="R443" s="14">
        <v>8.6999999999999993</v>
      </c>
      <c r="S443">
        <v>133</v>
      </c>
      <c r="T443" s="5">
        <v>9</v>
      </c>
      <c r="U443" s="5">
        <v>627</v>
      </c>
      <c r="V443" s="5">
        <v>0</v>
      </c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</row>
    <row r="444" spans="1:37" x14ac:dyDescent="0.25">
      <c r="A444" s="11">
        <f>Table1[[#This Row],[Milk Yield]]-J440</f>
        <v>866</v>
      </c>
      <c r="B444" t="s">
        <v>24</v>
      </c>
      <c r="C444" s="2">
        <v>2</v>
      </c>
      <c r="D444" s="12">
        <v>45578</v>
      </c>
      <c r="E444" s="2">
        <v>46</v>
      </c>
      <c r="F444" s="13">
        <v>0.67122685185185182</v>
      </c>
      <c r="G444" s="3">
        <v>0.9259722222222222</v>
      </c>
      <c r="H444" s="1">
        <v>0.25416666666666665</v>
      </c>
      <c r="I444" s="5">
        <v>723</v>
      </c>
      <c r="J444">
        <v>6373</v>
      </c>
      <c r="K444">
        <v>118</v>
      </c>
      <c r="L444" s="5">
        <v>691</v>
      </c>
      <c r="M444" s="5">
        <v>723</v>
      </c>
      <c r="N444">
        <v>105</v>
      </c>
      <c r="O444">
        <v>618</v>
      </c>
      <c r="P444" s="1">
        <v>0.23125000000000001</v>
      </c>
      <c r="Q444" s="5">
        <v>1042</v>
      </c>
      <c r="R444" s="14">
        <v>8.9</v>
      </c>
      <c r="S444">
        <v>118</v>
      </c>
      <c r="T444" s="5">
        <v>105</v>
      </c>
      <c r="U444" s="5">
        <v>616</v>
      </c>
      <c r="V444" s="5">
        <v>0</v>
      </c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</row>
    <row r="445" spans="1:37" x14ac:dyDescent="0.25">
      <c r="A445" s="11">
        <f>Table1[[#This Row],[Milk Yield]]-J441</f>
        <v>-159</v>
      </c>
      <c r="B445" t="s">
        <v>24</v>
      </c>
      <c r="C445" s="2">
        <v>3</v>
      </c>
      <c r="D445" s="12">
        <v>45578</v>
      </c>
      <c r="E445" s="2">
        <v>37</v>
      </c>
      <c r="F445" s="13">
        <v>1.25E-3</v>
      </c>
      <c r="G445" s="3">
        <v>0.2446875</v>
      </c>
      <c r="H445" s="1">
        <v>0.24305555555555555</v>
      </c>
      <c r="I445" s="5">
        <v>664</v>
      </c>
      <c r="J445">
        <v>5282</v>
      </c>
      <c r="K445">
        <v>114</v>
      </c>
      <c r="L445" s="5">
        <v>108</v>
      </c>
      <c r="M445" s="5">
        <v>664</v>
      </c>
      <c r="N445">
        <v>14</v>
      </c>
      <c r="O445">
        <v>650</v>
      </c>
      <c r="P445" s="1">
        <v>0.19375000000000001</v>
      </c>
      <c r="Q445" s="5">
        <v>904</v>
      </c>
      <c r="R445" s="14">
        <v>8</v>
      </c>
      <c r="S445">
        <v>114</v>
      </c>
      <c r="T445" s="5">
        <v>14</v>
      </c>
      <c r="U445" s="5">
        <v>649</v>
      </c>
      <c r="V445" s="5">
        <v>0</v>
      </c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</row>
    <row r="446" spans="1:37" x14ac:dyDescent="0.25">
      <c r="A446" s="11" t="e">
        <f>Table1[[#This Row],[Milk Yield]]-J442</f>
        <v>#VALUE!</v>
      </c>
      <c r="B446" t="s">
        <v>0</v>
      </c>
      <c r="C446" s="2" t="s">
        <v>1</v>
      </c>
      <c r="D446" s="12" t="s">
        <v>2</v>
      </c>
      <c r="E446" s="2" t="s">
        <v>3</v>
      </c>
      <c r="F446" s="13" t="s">
        <v>4</v>
      </c>
      <c r="G446" s="3" t="s">
        <v>5</v>
      </c>
      <c r="H446" s="1" t="s">
        <v>6</v>
      </c>
      <c r="I446" s="5" t="s">
        <v>8</v>
      </c>
      <c r="J446" t="s">
        <v>9</v>
      </c>
      <c r="K446" t="s">
        <v>10</v>
      </c>
      <c r="L446" s="5" t="s">
        <v>11</v>
      </c>
      <c r="M446" s="5" t="s">
        <v>12</v>
      </c>
      <c r="N446" t="s">
        <v>13</v>
      </c>
      <c r="O446" t="s">
        <v>20</v>
      </c>
      <c r="P446" t="s">
        <v>7</v>
      </c>
      <c r="Q446" s="5" t="s">
        <v>15</v>
      </c>
      <c r="R446" s="14" t="s">
        <v>18</v>
      </c>
      <c r="S446" t="s">
        <v>16</v>
      </c>
      <c r="T446" s="5" t="s">
        <v>14</v>
      </c>
      <c r="U446" s="5" t="s">
        <v>17</v>
      </c>
      <c r="V446" s="5" t="s">
        <v>19</v>
      </c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</row>
    <row r="447" spans="1:37" x14ac:dyDescent="0.25">
      <c r="A447" s="11">
        <f>Table1[[#This Row],[Milk Yield]]-J443</f>
        <v>216</v>
      </c>
      <c r="B447" t="s">
        <v>24</v>
      </c>
      <c r="C447" s="2">
        <v>1</v>
      </c>
      <c r="D447" s="12">
        <v>45579</v>
      </c>
      <c r="E447" s="2">
        <v>34</v>
      </c>
      <c r="F447" s="13">
        <v>0.35214120370370372</v>
      </c>
      <c r="G447" s="3">
        <v>0.54694444444444446</v>
      </c>
      <c r="H447" s="1">
        <v>0.19444444444444445</v>
      </c>
      <c r="I447" s="5">
        <v>676</v>
      </c>
      <c r="J447">
        <v>5703</v>
      </c>
      <c r="K447">
        <v>145</v>
      </c>
      <c r="L447" s="5">
        <v>89</v>
      </c>
      <c r="M447" s="5">
        <v>676</v>
      </c>
      <c r="N447">
        <v>13</v>
      </c>
      <c r="O447">
        <v>663</v>
      </c>
      <c r="P447" s="1">
        <v>0.19444444444444445</v>
      </c>
      <c r="Q447" s="5">
        <v>1220</v>
      </c>
      <c r="R447" s="14">
        <v>8.5</v>
      </c>
      <c r="S447">
        <v>145</v>
      </c>
      <c r="T447" s="5">
        <v>13</v>
      </c>
      <c r="U447" s="5">
        <v>664</v>
      </c>
      <c r="V447" s="5">
        <v>1</v>
      </c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</row>
    <row r="448" spans="1:37" x14ac:dyDescent="0.25">
      <c r="A448" s="11">
        <f>Table1[[#This Row],[Milk Yield]]-J444</f>
        <v>-802</v>
      </c>
      <c r="B448" t="s">
        <v>24</v>
      </c>
      <c r="C448" s="2">
        <v>2</v>
      </c>
      <c r="D448" s="12">
        <v>45579</v>
      </c>
      <c r="E448" s="2">
        <v>36</v>
      </c>
      <c r="F448" s="13">
        <v>0.66782407407407407</v>
      </c>
      <c r="G448" s="3">
        <v>0.89621527777777776</v>
      </c>
      <c r="H448" s="1">
        <v>0.22777777777777777</v>
      </c>
      <c r="I448" s="5">
        <v>657</v>
      </c>
      <c r="J448">
        <v>5571</v>
      </c>
      <c r="K448">
        <v>120</v>
      </c>
      <c r="L448" s="5">
        <v>127</v>
      </c>
      <c r="M448" s="5">
        <v>657</v>
      </c>
      <c r="N448">
        <v>22</v>
      </c>
      <c r="O448">
        <v>635</v>
      </c>
      <c r="P448" s="1">
        <v>0.19236111111111112</v>
      </c>
      <c r="Q448" s="5">
        <v>1016</v>
      </c>
      <c r="R448" s="14">
        <v>8.5</v>
      </c>
      <c r="S448">
        <v>120</v>
      </c>
      <c r="T448" s="5">
        <v>22</v>
      </c>
      <c r="U448" s="5">
        <v>616</v>
      </c>
      <c r="V448" s="5">
        <v>1</v>
      </c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</row>
    <row r="449" spans="1:37" x14ac:dyDescent="0.25">
      <c r="A449" s="11">
        <f>Table1[[#This Row],[Milk Yield]]-J445</f>
        <v>415</v>
      </c>
      <c r="B449" t="s">
        <v>24</v>
      </c>
      <c r="C449" s="2">
        <v>3</v>
      </c>
      <c r="D449" s="12">
        <v>45579</v>
      </c>
      <c r="E449" s="2">
        <v>35</v>
      </c>
      <c r="F449" s="13">
        <v>3.6111111111111109E-3</v>
      </c>
      <c r="G449" s="3">
        <v>0.23997685185185186</v>
      </c>
      <c r="H449" s="1">
        <v>0.2361111111111111</v>
      </c>
      <c r="I449" s="5">
        <v>661</v>
      </c>
      <c r="J449">
        <v>5697</v>
      </c>
      <c r="K449">
        <v>117</v>
      </c>
      <c r="L449" s="5">
        <v>77</v>
      </c>
      <c r="M449" s="5">
        <v>661</v>
      </c>
      <c r="N449">
        <v>12</v>
      </c>
      <c r="O449">
        <v>649</v>
      </c>
      <c r="P449" s="1">
        <v>0.19027777777777777</v>
      </c>
      <c r="Q449" s="5">
        <v>1004</v>
      </c>
      <c r="R449" s="14">
        <v>8.6999999999999993</v>
      </c>
      <c r="S449">
        <v>117</v>
      </c>
      <c r="T449" s="5">
        <v>12</v>
      </c>
      <c r="U449" s="5">
        <v>641</v>
      </c>
      <c r="V449" s="5">
        <v>1</v>
      </c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</row>
    <row r="450" spans="1:37" x14ac:dyDescent="0.25">
      <c r="A450" s="11" t="e">
        <f>Table1[[#This Row],[Milk Yield]]-J446</f>
        <v>#VALUE!</v>
      </c>
      <c r="B450" t="s">
        <v>0</v>
      </c>
      <c r="C450" s="2" t="s">
        <v>1</v>
      </c>
      <c r="D450" s="12" t="s">
        <v>2</v>
      </c>
      <c r="E450" s="2" t="s">
        <v>3</v>
      </c>
      <c r="F450" s="13" t="s">
        <v>4</v>
      </c>
      <c r="G450" s="3" t="s">
        <v>5</v>
      </c>
      <c r="H450" s="1" t="s">
        <v>6</v>
      </c>
      <c r="I450" s="5" t="s">
        <v>8</v>
      </c>
      <c r="J450" t="s">
        <v>9</v>
      </c>
      <c r="K450" t="s">
        <v>10</v>
      </c>
      <c r="L450" s="5" t="s">
        <v>11</v>
      </c>
      <c r="M450" s="5" t="s">
        <v>12</v>
      </c>
      <c r="N450" t="s">
        <v>13</v>
      </c>
      <c r="O450" t="s">
        <v>20</v>
      </c>
      <c r="P450" t="s">
        <v>7</v>
      </c>
      <c r="Q450" s="5" t="s">
        <v>15</v>
      </c>
      <c r="R450" s="14" t="s">
        <v>18</v>
      </c>
      <c r="S450" t="s">
        <v>16</v>
      </c>
      <c r="T450" s="5" t="s">
        <v>14</v>
      </c>
      <c r="U450" s="5" t="s">
        <v>17</v>
      </c>
      <c r="V450" s="5" t="s">
        <v>19</v>
      </c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</row>
    <row r="451" spans="1:37" x14ac:dyDescent="0.25">
      <c r="A451" s="11">
        <f>Table1[[#This Row],[Milk Yield]]-J447</f>
        <v>342</v>
      </c>
      <c r="B451" t="s">
        <v>24</v>
      </c>
      <c r="C451" s="2">
        <v>1</v>
      </c>
      <c r="D451" s="12">
        <v>45580</v>
      </c>
      <c r="E451" s="2">
        <v>34</v>
      </c>
      <c r="F451" s="13">
        <v>0.34194444444444444</v>
      </c>
      <c r="G451" s="3">
        <v>0.59778935185185189</v>
      </c>
      <c r="H451" s="1">
        <v>0.25555555555555554</v>
      </c>
      <c r="I451" s="5">
        <v>675</v>
      </c>
      <c r="J451">
        <v>6045</v>
      </c>
      <c r="K451">
        <v>110</v>
      </c>
      <c r="L451" s="5">
        <v>104</v>
      </c>
      <c r="M451" s="5">
        <v>675</v>
      </c>
      <c r="N451">
        <v>14</v>
      </c>
      <c r="O451">
        <v>661</v>
      </c>
      <c r="P451" s="1">
        <v>0.21388888888888888</v>
      </c>
      <c r="Q451" s="5">
        <v>984</v>
      </c>
      <c r="R451" s="14">
        <v>9</v>
      </c>
      <c r="S451">
        <v>110</v>
      </c>
      <c r="T451" s="5">
        <v>14</v>
      </c>
      <c r="U451" s="5">
        <v>656</v>
      </c>
      <c r="V451" s="5">
        <v>0</v>
      </c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</row>
    <row r="452" spans="1:37" x14ac:dyDescent="0.25">
      <c r="A452" s="11">
        <f>Table1[[#This Row],[Milk Yield]]-J448</f>
        <v>260</v>
      </c>
      <c r="B452" t="s">
        <v>24</v>
      </c>
      <c r="C452" s="2">
        <v>2</v>
      </c>
      <c r="D452" s="12">
        <v>45580</v>
      </c>
      <c r="E452" s="2">
        <v>35</v>
      </c>
      <c r="F452" s="13">
        <v>0.67060185185185184</v>
      </c>
      <c r="G452" s="3">
        <v>0.94194444444444447</v>
      </c>
      <c r="H452" s="1">
        <v>0.27083333333333331</v>
      </c>
      <c r="I452" s="5">
        <v>678</v>
      </c>
      <c r="J452">
        <v>5831</v>
      </c>
      <c r="K452">
        <v>104</v>
      </c>
      <c r="L452" s="5">
        <v>187</v>
      </c>
      <c r="M452" s="5">
        <v>678</v>
      </c>
      <c r="N452">
        <v>25</v>
      </c>
      <c r="O452">
        <v>653</v>
      </c>
      <c r="P452" s="1">
        <v>0.19444444444444445</v>
      </c>
      <c r="Q452" s="5">
        <v>895</v>
      </c>
      <c r="R452" s="14">
        <v>8.6999999999999993</v>
      </c>
      <c r="S452">
        <v>104</v>
      </c>
      <c r="T452" s="5">
        <v>25</v>
      </c>
      <c r="U452" s="5">
        <v>654</v>
      </c>
      <c r="V452" s="5">
        <v>1</v>
      </c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</row>
    <row r="453" spans="1:37" x14ac:dyDescent="0.25">
      <c r="A453" s="11">
        <f>Table1[[#This Row],[Milk Yield]]-J449</f>
        <v>-829</v>
      </c>
      <c r="B453" t="s">
        <v>24</v>
      </c>
      <c r="C453" s="2">
        <v>3</v>
      </c>
      <c r="D453" s="12">
        <v>45580</v>
      </c>
      <c r="E453" s="2">
        <v>39</v>
      </c>
      <c r="F453" s="13">
        <v>4.1087962962962962E-3</v>
      </c>
      <c r="G453" s="3">
        <v>0.24822916666666667</v>
      </c>
      <c r="H453" s="1">
        <v>0.24374999999999999</v>
      </c>
      <c r="I453" s="5">
        <v>670</v>
      </c>
      <c r="J453">
        <v>4868</v>
      </c>
      <c r="K453">
        <v>114</v>
      </c>
      <c r="L453" s="5">
        <v>112</v>
      </c>
      <c r="M453" s="5">
        <v>670</v>
      </c>
      <c r="N453">
        <v>25</v>
      </c>
      <c r="O453">
        <v>645</v>
      </c>
      <c r="P453" s="1">
        <v>0.1875</v>
      </c>
      <c r="Q453" s="5">
        <v>831</v>
      </c>
      <c r="R453" s="14">
        <v>7.3</v>
      </c>
      <c r="S453">
        <v>114</v>
      </c>
      <c r="T453" s="5">
        <v>25</v>
      </c>
      <c r="U453" s="5">
        <v>645</v>
      </c>
      <c r="V453" s="5">
        <v>0</v>
      </c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</row>
    <row r="454" spans="1:37" x14ac:dyDescent="0.25">
      <c r="A454" s="11" t="e">
        <f>Table1[[#This Row],[Milk Yield]]-J450</f>
        <v>#VALUE!</v>
      </c>
      <c r="B454" t="s">
        <v>0</v>
      </c>
      <c r="C454" s="2" t="s">
        <v>1</v>
      </c>
      <c r="D454" s="12" t="s">
        <v>2</v>
      </c>
      <c r="E454" s="2" t="s">
        <v>3</v>
      </c>
      <c r="F454" s="13" t="s">
        <v>4</v>
      </c>
      <c r="G454" s="3" t="s">
        <v>5</v>
      </c>
      <c r="H454" s="1" t="s">
        <v>6</v>
      </c>
      <c r="I454" s="5" t="s">
        <v>8</v>
      </c>
      <c r="J454" t="s">
        <v>9</v>
      </c>
      <c r="K454" t="s">
        <v>10</v>
      </c>
      <c r="L454" s="5" t="s">
        <v>11</v>
      </c>
      <c r="M454" s="5" t="s">
        <v>12</v>
      </c>
      <c r="N454" t="s">
        <v>13</v>
      </c>
      <c r="O454" t="s">
        <v>20</v>
      </c>
      <c r="P454" t="s">
        <v>7</v>
      </c>
      <c r="Q454" s="5" t="s">
        <v>15</v>
      </c>
      <c r="R454" s="14" t="s">
        <v>18</v>
      </c>
      <c r="S454" t="s">
        <v>16</v>
      </c>
      <c r="T454" s="5" t="s">
        <v>14</v>
      </c>
      <c r="U454" s="5" t="s">
        <v>17</v>
      </c>
      <c r="V454" s="5" t="s">
        <v>19</v>
      </c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</row>
    <row r="455" spans="1:37" x14ac:dyDescent="0.25">
      <c r="A455" s="11">
        <f>Table1[[#This Row],[Milk Yield]]-J451</f>
        <v>-764</v>
      </c>
      <c r="B455" t="s">
        <v>24</v>
      </c>
      <c r="C455" s="2">
        <v>1</v>
      </c>
      <c r="D455" s="12">
        <v>45581</v>
      </c>
      <c r="F455" s="13">
        <v>0.33680555555555558</v>
      </c>
      <c r="G455" s="3">
        <v>0.52916666666666667</v>
      </c>
      <c r="H455" s="1">
        <v>0.19305555555555556</v>
      </c>
      <c r="I455" s="5">
        <v>692</v>
      </c>
      <c r="J455">
        <v>5281</v>
      </c>
      <c r="L455" s="5"/>
      <c r="M455" s="5">
        <v>692</v>
      </c>
      <c r="Q455" s="5"/>
      <c r="R455" s="14">
        <v>7.63</v>
      </c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</row>
    <row r="456" spans="1:37" x14ac:dyDescent="0.25">
      <c r="A456" s="11">
        <f>Table1[[#This Row],[Milk Yield]]-J452</f>
        <v>332</v>
      </c>
      <c r="B456" t="s">
        <v>24</v>
      </c>
      <c r="C456" s="2">
        <v>2</v>
      </c>
      <c r="D456" s="12">
        <v>45581</v>
      </c>
      <c r="F456" s="13">
        <v>0.67013888888888884</v>
      </c>
      <c r="G456" s="3">
        <v>0.9291666666666667</v>
      </c>
      <c r="H456" s="1">
        <v>0.19722222222222222</v>
      </c>
      <c r="I456" s="5">
        <v>696</v>
      </c>
      <c r="J456">
        <v>6163</v>
      </c>
      <c r="L456" s="5"/>
      <c r="M456" s="5">
        <v>696</v>
      </c>
      <c r="Q456" s="5"/>
      <c r="R456" s="14">
        <v>8.85</v>
      </c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</row>
    <row r="457" spans="1:37" x14ac:dyDescent="0.25">
      <c r="A457" s="11">
        <f>Table1[[#This Row],[Milk Yield]]-J453</f>
        <v>569</v>
      </c>
      <c r="B457" t="s">
        <v>24</v>
      </c>
      <c r="C457" s="2">
        <v>3</v>
      </c>
      <c r="D457" s="12">
        <v>45581</v>
      </c>
      <c r="F457" s="13">
        <v>0.99791666666666667</v>
      </c>
      <c r="G457" s="3">
        <v>0.2388888888888889</v>
      </c>
      <c r="H457" s="1">
        <v>0.1875</v>
      </c>
      <c r="I457" s="5">
        <v>678</v>
      </c>
      <c r="J457">
        <v>5437</v>
      </c>
      <c r="L457" s="5"/>
      <c r="M457" s="5">
        <v>678</v>
      </c>
      <c r="Q457" s="5"/>
      <c r="R457" s="14">
        <v>8.01</v>
      </c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</row>
    <row r="458" spans="1:37" x14ac:dyDescent="0.25">
      <c r="A458" s="11" t="e">
        <f>Table1[[#This Row],[Milk Yield]]-J454</f>
        <v>#VALUE!</v>
      </c>
      <c r="B458" t="s">
        <v>0</v>
      </c>
      <c r="C458" s="2" t="s">
        <v>1</v>
      </c>
      <c r="D458" s="12" t="s">
        <v>2</v>
      </c>
      <c r="E458" s="2" t="s">
        <v>3</v>
      </c>
      <c r="F458" s="13" t="s">
        <v>4</v>
      </c>
      <c r="G458" s="3" t="s">
        <v>5</v>
      </c>
      <c r="H458" s="1" t="s">
        <v>6</v>
      </c>
      <c r="I458" s="5" t="s">
        <v>8</v>
      </c>
      <c r="J458" t="s">
        <v>9</v>
      </c>
      <c r="K458" t="s">
        <v>10</v>
      </c>
      <c r="L458" s="5" t="s">
        <v>11</v>
      </c>
      <c r="M458" s="5" t="s">
        <v>12</v>
      </c>
      <c r="N458" t="s">
        <v>13</v>
      </c>
      <c r="O458" t="s">
        <v>20</v>
      </c>
      <c r="P458" t="s">
        <v>7</v>
      </c>
      <c r="Q458" s="5" t="s">
        <v>15</v>
      </c>
      <c r="R458" s="14" t="s">
        <v>18</v>
      </c>
      <c r="S458" t="s">
        <v>16</v>
      </c>
      <c r="T458" s="5" t="s">
        <v>14</v>
      </c>
      <c r="U458" s="5" t="s">
        <v>17</v>
      </c>
      <c r="V458" s="5" t="s">
        <v>19</v>
      </c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</row>
    <row r="459" spans="1:37" x14ac:dyDescent="0.25">
      <c r="A459" s="11">
        <f>Table1[[#This Row],[Milk Yield]]-J455</f>
        <v>797</v>
      </c>
      <c r="B459" t="s">
        <v>24</v>
      </c>
      <c r="C459" s="2">
        <v>1</v>
      </c>
      <c r="D459" s="12">
        <v>45582</v>
      </c>
      <c r="E459" s="2">
        <v>34</v>
      </c>
      <c r="F459" s="13">
        <v>0.34155092592592595</v>
      </c>
      <c r="G459" s="3">
        <v>0.58810185185185182</v>
      </c>
      <c r="H459" s="1">
        <v>0.24652777777777779</v>
      </c>
      <c r="I459" s="5">
        <v>673</v>
      </c>
      <c r="J459">
        <v>6078</v>
      </c>
      <c r="K459">
        <v>155</v>
      </c>
      <c r="L459" s="5">
        <v>149</v>
      </c>
      <c r="M459" s="5">
        <v>673</v>
      </c>
      <c r="N459">
        <v>18</v>
      </c>
      <c r="O459">
        <v>655</v>
      </c>
      <c r="P459" s="1">
        <v>0.21111111111111111</v>
      </c>
      <c r="Q459" s="5">
        <v>1027</v>
      </c>
      <c r="R459" s="14">
        <v>9.1</v>
      </c>
      <c r="S459">
        <v>114</v>
      </c>
      <c r="T459" s="5">
        <v>18</v>
      </c>
      <c r="U459" s="5">
        <v>653</v>
      </c>
      <c r="V459" s="5">
        <v>0</v>
      </c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</row>
    <row r="460" spans="1:37" x14ac:dyDescent="0.25">
      <c r="A460" s="11">
        <f>Table1[[#This Row],[Milk Yield]]-J456</f>
        <v>-712</v>
      </c>
      <c r="B460" t="s">
        <v>24</v>
      </c>
      <c r="C460" s="2">
        <v>2</v>
      </c>
      <c r="D460" s="12">
        <v>45582</v>
      </c>
      <c r="E460" s="2">
        <v>36</v>
      </c>
      <c r="F460" s="13">
        <v>0.67023148148148148</v>
      </c>
      <c r="G460" s="3">
        <v>0.94684027777777779</v>
      </c>
      <c r="H460" s="1">
        <v>0.27638888888888891</v>
      </c>
      <c r="I460" s="5">
        <v>689</v>
      </c>
      <c r="J460">
        <v>5451</v>
      </c>
      <c r="K460">
        <v>104</v>
      </c>
      <c r="L460" s="5">
        <v>66</v>
      </c>
      <c r="M460" s="5">
        <v>689</v>
      </c>
      <c r="N460">
        <v>15</v>
      </c>
      <c r="O460">
        <v>674</v>
      </c>
      <c r="P460" s="1">
        <v>0.18819444444444444</v>
      </c>
      <c r="Q460" s="5">
        <v>821</v>
      </c>
      <c r="R460" s="14">
        <v>8</v>
      </c>
      <c r="S460">
        <v>104</v>
      </c>
      <c r="T460" s="5">
        <v>15</v>
      </c>
      <c r="U460" s="5">
        <v>675</v>
      </c>
      <c r="V460" s="5">
        <v>1</v>
      </c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</row>
    <row r="461" spans="1:37" x14ac:dyDescent="0.25">
      <c r="A461" s="11">
        <f>Table1[[#This Row],[Milk Yield]]-J457</f>
        <v>42</v>
      </c>
      <c r="B461" t="s">
        <v>24</v>
      </c>
      <c r="C461" s="2">
        <v>3</v>
      </c>
      <c r="D461" s="12">
        <v>45582</v>
      </c>
      <c r="E461" s="2">
        <v>37</v>
      </c>
      <c r="F461" s="13">
        <v>4.31712962962963E-3</v>
      </c>
      <c r="G461" s="3">
        <v>0.26718750000000002</v>
      </c>
      <c r="H461" s="1">
        <v>0.26250000000000001</v>
      </c>
      <c r="I461" s="5">
        <v>669</v>
      </c>
      <c r="J461">
        <v>5479</v>
      </c>
      <c r="K461">
        <v>106</v>
      </c>
      <c r="L461" s="5">
        <v>107</v>
      </c>
      <c r="M461" s="5">
        <v>669</v>
      </c>
      <c r="N461">
        <v>16</v>
      </c>
      <c r="O461">
        <v>653</v>
      </c>
      <c r="P461" s="1">
        <v>0.1875</v>
      </c>
      <c r="Q461" s="5">
        <v>869</v>
      </c>
      <c r="R461" s="14">
        <v>8.1999999999999993</v>
      </c>
      <c r="S461">
        <v>106</v>
      </c>
      <c r="T461" s="5">
        <v>16</v>
      </c>
      <c r="U461" s="5">
        <v>653</v>
      </c>
      <c r="V461" s="5">
        <v>0</v>
      </c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</row>
    <row r="462" spans="1:37" x14ac:dyDescent="0.25">
      <c r="A462" s="11" t="e">
        <f>Table1[[#This Row],[Milk Yield]]-J458</f>
        <v>#VALUE!</v>
      </c>
      <c r="B462" t="s">
        <v>0</v>
      </c>
      <c r="C462" s="2" t="s">
        <v>1</v>
      </c>
      <c r="D462" s="12" t="s">
        <v>2</v>
      </c>
      <c r="E462" s="2" t="s">
        <v>3</v>
      </c>
      <c r="F462" s="13" t="s">
        <v>4</v>
      </c>
      <c r="G462" s="3" t="s">
        <v>5</v>
      </c>
      <c r="H462" s="1" t="s">
        <v>6</v>
      </c>
      <c r="I462" s="5" t="s">
        <v>8</v>
      </c>
      <c r="J462" t="s">
        <v>9</v>
      </c>
      <c r="K462" t="s">
        <v>10</v>
      </c>
      <c r="L462" s="5" t="s">
        <v>11</v>
      </c>
      <c r="M462" s="5" t="s">
        <v>12</v>
      </c>
      <c r="N462" t="s">
        <v>13</v>
      </c>
      <c r="O462" t="s">
        <v>20</v>
      </c>
      <c r="P462" t="s">
        <v>7</v>
      </c>
      <c r="Q462" s="5" t="s">
        <v>15</v>
      </c>
      <c r="R462" s="14" t="s">
        <v>18</v>
      </c>
      <c r="S462" t="s">
        <v>16</v>
      </c>
      <c r="T462" s="5" t="s">
        <v>14</v>
      </c>
      <c r="U462" s="5" t="s">
        <v>17</v>
      </c>
      <c r="V462" s="5" t="s">
        <v>19</v>
      </c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</row>
    <row r="463" spans="1:37" x14ac:dyDescent="0.25">
      <c r="A463" s="11">
        <f>Table1[[#This Row],[Milk Yield]]-J459</f>
        <v>-622</v>
      </c>
      <c r="B463" t="s">
        <v>24</v>
      </c>
      <c r="C463" s="2">
        <v>1</v>
      </c>
      <c r="D463" s="12">
        <v>45583</v>
      </c>
      <c r="E463" s="2">
        <v>34</v>
      </c>
      <c r="F463" s="13">
        <v>0.34121527777777777</v>
      </c>
      <c r="G463" s="3">
        <v>0.54880787037037038</v>
      </c>
      <c r="H463" s="1">
        <v>0.20694444444444443</v>
      </c>
      <c r="I463" s="5">
        <v>664</v>
      </c>
      <c r="J463">
        <v>5456</v>
      </c>
      <c r="K463">
        <v>133</v>
      </c>
      <c r="L463" s="5">
        <v>115</v>
      </c>
      <c r="M463" s="5">
        <v>664</v>
      </c>
      <c r="N463">
        <v>15</v>
      </c>
      <c r="O463">
        <v>649</v>
      </c>
      <c r="P463" s="1">
        <v>0.18611111111111112</v>
      </c>
      <c r="Q463" s="5">
        <v>1095</v>
      </c>
      <c r="R463" s="14">
        <v>8.3000000000000007</v>
      </c>
      <c r="S463">
        <v>133</v>
      </c>
      <c r="T463" s="5">
        <v>15</v>
      </c>
      <c r="U463" s="5">
        <v>650</v>
      </c>
      <c r="V463" s="5">
        <v>1</v>
      </c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</row>
    <row r="464" spans="1:37" x14ac:dyDescent="0.25">
      <c r="A464" s="11">
        <f>Table1[[#This Row],[Milk Yield]]-J460</f>
        <v>439</v>
      </c>
      <c r="B464" t="s">
        <v>24</v>
      </c>
      <c r="C464" s="2">
        <v>2</v>
      </c>
      <c r="D464" s="12">
        <v>45583</v>
      </c>
      <c r="E464" s="2">
        <v>37</v>
      </c>
      <c r="F464" s="13">
        <v>0.67276620370370366</v>
      </c>
      <c r="G464" s="3">
        <v>0.94035879629629626</v>
      </c>
      <c r="H464" s="1">
        <v>0.2673611111111111</v>
      </c>
      <c r="I464" s="5">
        <v>673</v>
      </c>
      <c r="J464">
        <v>5890</v>
      </c>
      <c r="K464">
        <v>105</v>
      </c>
      <c r="L464" s="5">
        <v>62</v>
      </c>
      <c r="M464" s="5">
        <v>673</v>
      </c>
      <c r="N464">
        <v>12</v>
      </c>
      <c r="O464">
        <v>661</v>
      </c>
      <c r="P464" s="1">
        <v>0.18888888888888888</v>
      </c>
      <c r="Q464" s="5">
        <v>917</v>
      </c>
      <c r="R464" s="14">
        <v>8.8000000000000007</v>
      </c>
      <c r="S464">
        <v>105</v>
      </c>
      <c r="T464" s="5">
        <v>12</v>
      </c>
      <c r="U464" s="5">
        <v>662</v>
      </c>
      <c r="V464" s="5">
        <v>1</v>
      </c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</row>
    <row r="465" spans="1:37" x14ac:dyDescent="0.25">
      <c r="A465" s="11">
        <f>Table1[[#This Row],[Milk Yield]]-J461</f>
        <v>-82</v>
      </c>
      <c r="B465" t="s">
        <v>24</v>
      </c>
      <c r="C465" s="2">
        <v>3</v>
      </c>
      <c r="D465" s="12">
        <v>45583</v>
      </c>
      <c r="E465" s="2">
        <v>34</v>
      </c>
      <c r="F465" s="13">
        <v>4.3981481481481481E-4</v>
      </c>
      <c r="G465" s="3">
        <v>0.2507523148148148</v>
      </c>
      <c r="H465" s="1">
        <v>0.25</v>
      </c>
      <c r="I465" s="5">
        <v>658</v>
      </c>
      <c r="J465">
        <v>5397</v>
      </c>
      <c r="K465">
        <v>110</v>
      </c>
      <c r="L465" s="5">
        <v>278</v>
      </c>
      <c r="M465" s="5">
        <v>658</v>
      </c>
      <c r="N465">
        <v>37</v>
      </c>
      <c r="O465">
        <v>621</v>
      </c>
      <c r="P465" s="1">
        <v>0.19583333333333333</v>
      </c>
      <c r="Q465" s="5">
        <v>898</v>
      </c>
      <c r="R465" s="14">
        <v>8.3000000000000007</v>
      </c>
      <c r="S465">
        <v>110</v>
      </c>
      <c r="T465" s="5">
        <v>37</v>
      </c>
      <c r="U465" s="5">
        <v>621</v>
      </c>
      <c r="V465" s="5">
        <v>0</v>
      </c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</row>
    <row r="466" spans="1:37" x14ac:dyDescent="0.25">
      <c r="A466" s="11" t="e">
        <f>Table1[[#This Row],[Milk Yield]]-J462</f>
        <v>#VALUE!</v>
      </c>
      <c r="B466" t="s">
        <v>26</v>
      </c>
      <c r="C466" s="2" t="s">
        <v>27</v>
      </c>
      <c r="D466" s="12" t="s">
        <v>28</v>
      </c>
      <c r="E466" s="2" t="s">
        <v>29</v>
      </c>
      <c r="F466" s="13" t="s">
        <v>30</v>
      </c>
      <c r="G466" s="3" t="s">
        <v>31</v>
      </c>
      <c r="H466" s="1" t="s">
        <v>32</v>
      </c>
      <c r="I466" s="5" t="s">
        <v>33</v>
      </c>
      <c r="J466" t="s">
        <v>34</v>
      </c>
      <c r="K466" t="s">
        <v>35</v>
      </c>
      <c r="L466" s="5" t="s">
        <v>36</v>
      </c>
      <c r="M466" s="5" t="s">
        <v>37</v>
      </c>
      <c r="N466" t="s">
        <v>38</v>
      </c>
      <c r="O466" t="s">
        <v>39</v>
      </c>
      <c r="P466" t="s">
        <v>40</v>
      </c>
      <c r="Q466" s="5" t="s">
        <v>41</v>
      </c>
      <c r="R466" s="14" t="s">
        <v>42</v>
      </c>
      <c r="S466" t="s">
        <v>43</v>
      </c>
      <c r="T466" s="5" t="s">
        <v>44</v>
      </c>
      <c r="U466" s="5" t="s">
        <v>45</v>
      </c>
      <c r="V466" s="5" t="s">
        <v>46</v>
      </c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</row>
    <row r="467" spans="1:37" x14ac:dyDescent="0.25">
      <c r="A467" s="11">
        <f>Table1[[#This Row],[Milk Yield]]-J463</f>
        <v>345</v>
      </c>
      <c r="B467" t="s">
        <v>24</v>
      </c>
      <c r="C467" s="2">
        <v>1</v>
      </c>
      <c r="D467" s="12">
        <v>45584</v>
      </c>
      <c r="E467" s="2">
        <v>34</v>
      </c>
      <c r="F467" s="13">
        <v>0.33961805555555558</v>
      </c>
      <c r="G467" s="3">
        <v>0.55865740740740744</v>
      </c>
      <c r="H467" s="1">
        <v>0.21875</v>
      </c>
      <c r="I467" s="5">
        <v>684</v>
      </c>
      <c r="J467">
        <v>5801</v>
      </c>
      <c r="K467">
        <v>130</v>
      </c>
      <c r="L467" s="5">
        <v>183</v>
      </c>
      <c r="M467" s="5">
        <v>683</v>
      </c>
      <c r="N467">
        <v>27</v>
      </c>
      <c r="O467">
        <v>656</v>
      </c>
      <c r="P467" s="1">
        <v>0.19930555555555557</v>
      </c>
      <c r="Q467" s="5">
        <v>1104</v>
      </c>
      <c r="R467" s="14">
        <v>8.5</v>
      </c>
      <c r="S467">
        <v>130</v>
      </c>
      <c r="T467" s="5">
        <v>27</v>
      </c>
      <c r="U467" s="5">
        <v>655</v>
      </c>
      <c r="V467" s="5">
        <v>0</v>
      </c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</row>
    <row r="468" spans="1:37" x14ac:dyDescent="0.25">
      <c r="A468" s="11">
        <f>Table1[[#This Row],[Milk Yield]]-J464</f>
        <v>13</v>
      </c>
      <c r="B468" t="s">
        <v>24</v>
      </c>
      <c r="C468" s="2">
        <v>2</v>
      </c>
      <c r="D468" s="12">
        <v>45584</v>
      </c>
      <c r="E468" s="2">
        <v>36</v>
      </c>
      <c r="F468" s="13">
        <v>0.66745370370370372</v>
      </c>
      <c r="G468" s="3">
        <v>0.94217592592592592</v>
      </c>
      <c r="H468" s="1">
        <v>0.27430555555555558</v>
      </c>
      <c r="I468" s="5">
        <v>666</v>
      </c>
      <c r="J468">
        <v>5903</v>
      </c>
      <c r="K468">
        <v>101</v>
      </c>
      <c r="L468" s="5">
        <v>61</v>
      </c>
      <c r="M468" s="5">
        <v>666</v>
      </c>
      <c r="N468">
        <v>9</v>
      </c>
      <c r="O468">
        <v>657</v>
      </c>
      <c r="P468" s="1">
        <v>0.19097222222222221</v>
      </c>
      <c r="Q468" s="5">
        <v>895</v>
      </c>
      <c r="R468" s="14">
        <v>8.9</v>
      </c>
      <c r="S468">
        <v>101</v>
      </c>
      <c r="T468" s="5">
        <v>9</v>
      </c>
      <c r="U468" s="5">
        <v>658</v>
      </c>
      <c r="V468" s="5">
        <v>1</v>
      </c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</row>
    <row r="469" spans="1:37" x14ac:dyDescent="0.25">
      <c r="A469" s="11">
        <f>Table1[[#This Row],[Milk Yield]]-J465</f>
        <v>-153</v>
      </c>
      <c r="B469" t="s">
        <v>24</v>
      </c>
      <c r="C469" s="2">
        <v>3</v>
      </c>
      <c r="D469" s="12">
        <v>45584</v>
      </c>
      <c r="E469" s="2">
        <v>36</v>
      </c>
      <c r="F469" s="13">
        <v>3.7037037037037038E-3</v>
      </c>
      <c r="G469" s="3">
        <v>0.25186342592592592</v>
      </c>
      <c r="H469" s="1">
        <v>0.24791666666666667</v>
      </c>
      <c r="I469" s="5">
        <v>677</v>
      </c>
      <c r="J469">
        <v>5244</v>
      </c>
      <c r="K469">
        <v>114</v>
      </c>
      <c r="L469" s="5">
        <v>75</v>
      </c>
      <c r="M469" s="5">
        <v>677</v>
      </c>
      <c r="N469">
        <v>13</v>
      </c>
      <c r="O469">
        <v>664</v>
      </c>
      <c r="P469" s="1">
        <v>0.18333333333333332</v>
      </c>
      <c r="Q469" s="5">
        <v>880</v>
      </c>
      <c r="R469" s="14">
        <v>7.8</v>
      </c>
      <c r="S469">
        <v>114</v>
      </c>
      <c r="T469" s="5">
        <v>13</v>
      </c>
      <c r="U469" s="5">
        <v>666</v>
      </c>
      <c r="V469" s="5">
        <v>2</v>
      </c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</row>
    <row r="470" spans="1:37" x14ac:dyDescent="0.25">
      <c r="A470" s="11" t="e">
        <f>Table1[[#This Row],[Milk Yield]]-J466</f>
        <v>#VALUE!</v>
      </c>
      <c r="B470" t="s">
        <v>0</v>
      </c>
      <c r="C470" s="2" t="s">
        <v>1</v>
      </c>
      <c r="D470" s="12" t="s">
        <v>2</v>
      </c>
      <c r="E470" s="2" t="s">
        <v>3</v>
      </c>
      <c r="F470" s="13" t="s">
        <v>4</v>
      </c>
      <c r="G470" s="3" t="s">
        <v>5</v>
      </c>
      <c r="H470" s="1" t="s">
        <v>6</v>
      </c>
      <c r="I470" s="5" t="s">
        <v>8</v>
      </c>
      <c r="J470" t="s">
        <v>9</v>
      </c>
      <c r="K470" t="s">
        <v>10</v>
      </c>
      <c r="L470" s="5" t="s">
        <v>11</v>
      </c>
      <c r="M470" s="5" t="s">
        <v>12</v>
      </c>
      <c r="N470" t="s">
        <v>13</v>
      </c>
      <c r="O470" t="s">
        <v>20</v>
      </c>
      <c r="P470" t="s">
        <v>7</v>
      </c>
      <c r="Q470" s="5" t="s">
        <v>15</v>
      </c>
      <c r="R470" s="14" t="s">
        <v>18</v>
      </c>
      <c r="S470" t="s">
        <v>16</v>
      </c>
      <c r="T470" s="5" t="s">
        <v>14</v>
      </c>
      <c r="U470" s="5" t="s">
        <v>17</v>
      </c>
      <c r="V470" s="5" t="s">
        <v>19</v>
      </c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</row>
    <row r="471" spans="1:37" x14ac:dyDescent="0.25">
      <c r="A471" s="11">
        <f>Table1[[#This Row],[Milk Yield]]-J467</f>
        <v>162</v>
      </c>
      <c r="B471" t="s">
        <v>24</v>
      </c>
      <c r="C471" s="2">
        <v>1</v>
      </c>
      <c r="D471" s="12">
        <v>45585</v>
      </c>
      <c r="E471" s="2">
        <v>36</v>
      </c>
      <c r="F471" s="13">
        <v>0.33443287037037039</v>
      </c>
      <c r="G471" s="3">
        <v>0.54362268518518519</v>
      </c>
      <c r="H471" s="1">
        <v>0.20902777777777778</v>
      </c>
      <c r="I471" s="5">
        <v>675</v>
      </c>
      <c r="J471">
        <v>5963</v>
      </c>
      <c r="K471">
        <v>134</v>
      </c>
      <c r="L471" s="5">
        <v>136</v>
      </c>
      <c r="M471" s="5">
        <v>673</v>
      </c>
      <c r="N471">
        <v>22</v>
      </c>
      <c r="O471">
        <v>651</v>
      </c>
      <c r="P471" s="1">
        <v>0.2013888888888889</v>
      </c>
      <c r="Q471" s="5">
        <v>1188</v>
      </c>
      <c r="R471" s="14">
        <v>8.9</v>
      </c>
      <c r="S471">
        <v>134</v>
      </c>
      <c r="T471" s="5">
        <v>22</v>
      </c>
      <c r="U471" s="5">
        <v>653</v>
      </c>
      <c r="V471" s="5">
        <v>2</v>
      </c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</row>
    <row r="472" spans="1:37" x14ac:dyDescent="0.25">
      <c r="A472" s="11">
        <f>Table1[[#This Row],[Milk Yield]]-J468</f>
        <v>-100</v>
      </c>
      <c r="B472" t="s">
        <v>24</v>
      </c>
      <c r="C472" s="2">
        <v>2</v>
      </c>
      <c r="D472" s="12">
        <v>45585</v>
      </c>
      <c r="E472" s="2">
        <v>34</v>
      </c>
      <c r="F472" s="13">
        <v>0.66908564814814819</v>
      </c>
      <c r="G472" s="3">
        <v>0.932037037037037</v>
      </c>
      <c r="H472" s="1">
        <v>0.26250000000000001</v>
      </c>
      <c r="I472" s="5">
        <v>666</v>
      </c>
      <c r="J472">
        <v>5803</v>
      </c>
      <c r="K472">
        <v>106</v>
      </c>
      <c r="L472" s="5">
        <v>107</v>
      </c>
      <c r="M472" s="5">
        <v>666</v>
      </c>
      <c r="N472">
        <v>19</v>
      </c>
      <c r="O472">
        <v>647</v>
      </c>
      <c r="P472" s="1">
        <v>0.19236111111111112</v>
      </c>
      <c r="Q472" s="5">
        <v>920</v>
      </c>
      <c r="R472" s="14">
        <v>8.8000000000000007</v>
      </c>
      <c r="S472">
        <v>106</v>
      </c>
      <c r="T472" s="5">
        <v>19</v>
      </c>
      <c r="U472" s="5">
        <v>649</v>
      </c>
      <c r="V472" s="5">
        <v>2</v>
      </c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</row>
    <row r="473" spans="1:37" x14ac:dyDescent="0.25">
      <c r="A473" s="11">
        <f>Table1[[#This Row],[Milk Yield]]-J469</f>
        <v>497</v>
      </c>
      <c r="B473" t="s">
        <v>24</v>
      </c>
      <c r="C473" s="2">
        <v>3</v>
      </c>
      <c r="D473" s="12">
        <v>45585</v>
      </c>
      <c r="E473" s="2">
        <v>34</v>
      </c>
      <c r="F473" s="13">
        <v>9.618055555555555E-3</v>
      </c>
      <c r="G473" s="3">
        <v>0.28858796296296296</v>
      </c>
      <c r="H473" s="1">
        <v>0.27847222222222223</v>
      </c>
      <c r="I473" s="5">
        <v>673</v>
      </c>
      <c r="J473">
        <v>5741</v>
      </c>
      <c r="K473">
        <v>101</v>
      </c>
      <c r="L473" s="5">
        <v>70</v>
      </c>
      <c r="M473" s="5">
        <v>673</v>
      </c>
      <c r="N473">
        <v>10</v>
      </c>
      <c r="O473">
        <v>663</v>
      </c>
      <c r="P473" s="1">
        <v>0.19097222222222221</v>
      </c>
      <c r="Q473" s="5">
        <v>858</v>
      </c>
      <c r="R473" s="14">
        <v>8.6</v>
      </c>
      <c r="S473">
        <v>101</v>
      </c>
      <c r="T473" s="5">
        <v>10</v>
      </c>
      <c r="U473" s="5">
        <v>664</v>
      </c>
      <c r="V473" s="5">
        <v>1</v>
      </c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</row>
    <row r="474" spans="1:37" x14ac:dyDescent="0.25">
      <c r="A474" s="11" t="e">
        <f>Table1[[#This Row],[Milk Yield]]-J470</f>
        <v>#VALUE!</v>
      </c>
      <c r="B474" t="s">
        <v>0</v>
      </c>
      <c r="C474" s="2" t="s">
        <v>1</v>
      </c>
      <c r="D474" s="12" t="s">
        <v>2</v>
      </c>
      <c r="E474" s="2" t="s">
        <v>3</v>
      </c>
      <c r="F474" s="13" t="s">
        <v>4</v>
      </c>
      <c r="G474" s="3" t="s">
        <v>5</v>
      </c>
      <c r="H474" s="1" t="s">
        <v>6</v>
      </c>
      <c r="I474" s="5" t="s">
        <v>8</v>
      </c>
      <c r="J474" t="s">
        <v>9</v>
      </c>
      <c r="K474" t="s">
        <v>10</v>
      </c>
      <c r="L474" s="5" t="s">
        <v>11</v>
      </c>
      <c r="M474" s="5" t="s">
        <v>12</v>
      </c>
      <c r="N474" t="s">
        <v>13</v>
      </c>
      <c r="O474" t="s">
        <v>20</v>
      </c>
      <c r="P474" t="s">
        <v>7</v>
      </c>
      <c r="Q474" s="5" t="s">
        <v>15</v>
      </c>
      <c r="R474" s="14" t="s">
        <v>18</v>
      </c>
      <c r="S474" t="s">
        <v>16</v>
      </c>
      <c r="T474" s="5" t="s">
        <v>14</v>
      </c>
      <c r="U474" s="5" t="s">
        <v>17</v>
      </c>
      <c r="V474" s="5" t="s">
        <v>19</v>
      </c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</row>
    <row r="475" spans="1:37" x14ac:dyDescent="0.25">
      <c r="A475" s="11">
        <f>Table1[[#This Row],[Milk Yield]]-J471</f>
        <v>-70</v>
      </c>
      <c r="B475" t="s">
        <v>24</v>
      </c>
      <c r="C475" s="2">
        <v>1</v>
      </c>
      <c r="D475" s="12">
        <v>45586</v>
      </c>
      <c r="E475" s="2">
        <v>35</v>
      </c>
      <c r="F475" s="13">
        <v>0.37158564814814815</v>
      </c>
      <c r="G475" s="3">
        <v>0.59528935185185183</v>
      </c>
      <c r="H475" s="1">
        <v>0.22361111111111112</v>
      </c>
      <c r="I475" s="5">
        <v>648</v>
      </c>
      <c r="J475">
        <v>5893</v>
      </c>
      <c r="K475">
        <v>121</v>
      </c>
      <c r="L475" s="5">
        <v>59</v>
      </c>
      <c r="M475" s="5">
        <v>648</v>
      </c>
      <c r="N475">
        <v>8</v>
      </c>
      <c r="O475">
        <v>640</v>
      </c>
      <c r="P475" s="1">
        <v>0.19583333333333333</v>
      </c>
      <c r="Q475" s="5">
        <v>1098</v>
      </c>
      <c r="R475" s="14">
        <v>9.1</v>
      </c>
      <c r="S475">
        <v>121</v>
      </c>
      <c r="T475" s="5">
        <v>8</v>
      </c>
      <c r="U475" s="5">
        <v>639</v>
      </c>
      <c r="V475" s="5">
        <v>0</v>
      </c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</row>
    <row r="476" spans="1:37" x14ac:dyDescent="0.25">
      <c r="A476" s="11">
        <f>Table1[[#This Row],[Milk Yield]]-J472</f>
        <v>-484</v>
      </c>
      <c r="B476" t="s">
        <v>24</v>
      </c>
      <c r="C476" s="2">
        <v>2</v>
      </c>
      <c r="D476" s="12">
        <v>45586</v>
      </c>
      <c r="E476" s="2">
        <v>34</v>
      </c>
      <c r="F476" s="13">
        <v>0.68184027777777778</v>
      </c>
      <c r="G476" s="3">
        <v>0.94423611111111116</v>
      </c>
      <c r="H476" s="1">
        <v>0.26180555555555557</v>
      </c>
      <c r="I476" s="5">
        <v>662</v>
      </c>
      <c r="J476">
        <v>5319</v>
      </c>
      <c r="K476">
        <v>105</v>
      </c>
      <c r="L476" s="5">
        <v>61</v>
      </c>
      <c r="M476" s="5">
        <v>662</v>
      </c>
      <c r="N476">
        <v>10</v>
      </c>
      <c r="O476">
        <v>652</v>
      </c>
      <c r="P476" s="1">
        <v>0.17847222222222223</v>
      </c>
      <c r="Q476" s="5">
        <v>845</v>
      </c>
      <c r="R476" s="14">
        <v>8.1</v>
      </c>
      <c r="S476">
        <v>105</v>
      </c>
      <c r="T476" s="5">
        <v>10</v>
      </c>
      <c r="U476" s="5">
        <v>653</v>
      </c>
      <c r="V476" s="5">
        <v>1</v>
      </c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</row>
    <row r="477" spans="1:37" x14ac:dyDescent="0.25">
      <c r="A477" s="11">
        <f>Table1[[#This Row],[Milk Yield]]-J473</f>
        <v>-545</v>
      </c>
      <c r="B477" t="s">
        <v>24</v>
      </c>
      <c r="C477" s="2">
        <v>3</v>
      </c>
      <c r="D477" s="12">
        <v>45586</v>
      </c>
      <c r="E477" s="2">
        <v>36</v>
      </c>
      <c r="F477" s="13">
        <v>9.9421296296296289E-3</v>
      </c>
      <c r="G477" s="3">
        <v>0.23376157407407408</v>
      </c>
      <c r="H477" s="1">
        <v>0.22361111111111112</v>
      </c>
      <c r="I477" s="5">
        <v>679</v>
      </c>
      <c r="J477">
        <v>5196</v>
      </c>
      <c r="K477">
        <v>126</v>
      </c>
      <c r="L477" s="5">
        <v>89</v>
      </c>
      <c r="M477" s="5">
        <v>679</v>
      </c>
      <c r="N477">
        <v>16</v>
      </c>
      <c r="O477">
        <v>663</v>
      </c>
      <c r="P477" s="1">
        <v>0.18472222222222223</v>
      </c>
      <c r="Q477" s="5">
        <v>967</v>
      </c>
      <c r="R477" s="14">
        <v>7.7</v>
      </c>
      <c r="S477">
        <v>126</v>
      </c>
      <c r="T477" s="5">
        <v>16</v>
      </c>
      <c r="U477" s="5">
        <v>664</v>
      </c>
      <c r="V477" s="5">
        <v>1</v>
      </c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</row>
    <row r="478" spans="1:37" x14ac:dyDescent="0.25">
      <c r="A478" s="11" t="e">
        <f>Table1[[#This Row],[Milk Yield]]-J474</f>
        <v>#VALUE!</v>
      </c>
      <c r="B478" t="s">
        <v>0</v>
      </c>
      <c r="C478" s="2" t="s">
        <v>1</v>
      </c>
      <c r="D478" s="12" t="s">
        <v>2</v>
      </c>
      <c r="E478" s="2" t="s">
        <v>3</v>
      </c>
      <c r="F478" s="13" t="s">
        <v>4</v>
      </c>
      <c r="G478" s="3" t="s">
        <v>5</v>
      </c>
      <c r="H478" s="1" t="s">
        <v>6</v>
      </c>
      <c r="I478" s="5" t="s">
        <v>8</v>
      </c>
      <c r="J478" t="s">
        <v>9</v>
      </c>
      <c r="K478" t="s">
        <v>10</v>
      </c>
      <c r="L478" s="5" t="s">
        <v>11</v>
      </c>
      <c r="M478" s="5" t="s">
        <v>12</v>
      </c>
      <c r="N478" t="s">
        <v>13</v>
      </c>
      <c r="O478" t="s">
        <v>20</v>
      </c>
      <c r="P478" t="s">
        <v>7</v>
      </c>
      <c r="Q478" s="5" t="s">
        <v>15</v>
      </c>
      <c r="R478" s="14" t="s">
        <v>18</v>
      </c>
      <c r="S478" t="s">
        <v>16</v>
      </c>
      <c r="T478" s="5" t="s">
        <v>14</v>
      </c>
      <c r="U478" s="5" t="s">
        <v>17</v>
      </c>
      <c r="V478" s="5" t="s">
        <v>19</v>
      </c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</row>
    <row r="479" spans="1:37" x14ac:dyDescent="0.25">
      <c r="A479" s="11">
        <f>Table1[[#This Row],[Milk Yield]]-J475</f>
        <v>25</v>
      </c>
      <c r="B479" t="s">
        <v>24</v>
      </c>
      <c r="C479" s="2">
        <v>1</v>
      </c>
      <c r="D479" s="12">
        <v>45587</v>
      </c>
      <c r="E479" s="2">
        <v>31</v>
      </c>
      <c r="F479" s="13">
        <v>0.34583333333333333</v>
      </c>
      <c r="G479" s="3">
        <v>0.55835648148148154</v>
      </c>
      <c r="H479" s="1">
        <v>0.21249999999999999</v>
      </c>
      <c r="I479" s="5">
        <v>661</v>
      </c>
      <c r="J479">
        <v>5918</v>
      </c>
      <c r="K479">
        <v>130</v>
      </c>
      <c r="L479" s="5">
        <v>32</v>
      </c>
      <c r="M479" s="5">
        <v>661</v>
      </c>
      <c r="N479">
        <v>6</v>
      </c>
      <c r="O479">
        <v>655</v>
      </c>
      <c r="P479" s="1">
        <v>0.19930555555555557</v>
      </c>
      <c r="Q479" s="5">
        <v>1160</v>
      </c>
      <c r="R479" s="14">
        <v>9</v>
      </c>
      <c r="S479">
        <v>130</v>
      </c>
      <c r="T479" s="5">
        <v>6</v>
      </c>
      <c r="U479" s="5">
        <v>654</v>
      </c>
      <c r="V479" s="5">
        <v>0</v>
      </c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</row>
    <row r="480" spans="1:37" x14ac:dyDescent="0.25">
      <c r="A480" s="11">
        <f>Table1[[#This Row],[Milk Yield]]-J476</f>
        <v>463</v>
      </c>
      <c r="B480" t="s">
        <v>24</v>
      </c>
      <c r="C480" s="2">
        <v>2</v>
      </c>
      <c r="D480" s="12">
        <v>45587</v>
      </c>
      <c r="E480" s="2">
        <v>34</v>
      </c>
      <c r="F480" s="13">
        <v>0.67336805555555557</v>
      </c>
      <c r="G480" s="3">
        <v>0.92932870370370368</v>
      </c>
      <c r="H480" s="1">
        <v>0.25555555555555554</v>
      </c>
      <c r="I480" s="5">
        <v>670</v>
      </c>
      <c r="J480">
        <v>5782</v>
      </c>
      <c r="K480">
        <v>109</v>
      </c>
      <c r="L480" s="5">
        <v>81</v>
      </c>
      <c r="M480" s="5">
        <v>670</v>
      </c>
      <c r="N480">
        <v>10</v>
      </c>
      <c r="O480">
        <v>660</v>
      </c>
      <c r="P480" s="1">
        <v>0.18194444444444444</v>
      </c>
      <c r="Q480" s="5">
        <v>941</v>
      </c>
      <c r="R480" s="14">
        <v>8.6999999999999993</v>
      </c>
      <c r="S480">
        <v>109</v>
      </c>
      <c r="T480" s="5">
        <v>10</v>
      </c>
      <c r="U480" s="5">
        <v>661</v>
      </c>
      <c r="V480" s="5">
        <v>1</v>
      </c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</row>
    <row r="481" spans="1:37" x14ac:dyDescent="0.25">
      <c r="A481" s="11">
        <f>Table1[[#This Row],[Milk Yield]]-J477</f>
        <v>270</v>
      </c>
      <c r="B481" t="s">
        <v>24</v>
      </c>
      <c r="C481" s="2">
        <v>3</v>
      </c>
      <c r="D481" s="12">
        <v>45587</v>
      </c>
      <c r="E481" s="2">
        <v>36</v>
      </c>
      <c r="F481" s="13">
        <v>0.99430555555555555</v>
      </c>
      <c r="G481" s="3">
        <v>0.26656249999999998</v>
      </c>
      <c r="H481" s="1">
        <v>0.2722222222222222</v>
      </c>
      <c r="I481" s="5">
        <v>642</v>
      </c>
      <c r="J481">
        <v>5466</v>
      </c>
      <c r="K481">
        <v>98</v>
      </c>
      <c r="L481" s="5">
        <v>82</v>
      </c>
      <c r="M481" s="5">
        <v>642</v>
      </c>
      <c r="N481">
        <v>11</v>
      </c>
      <c r="O481">
        <v>631</v>
      </c>
      <c r="P481" s="1">
        <v>0.19027777777777777</v>
      </c>
      <c r="Q481" s="5">
        <v>837</v>
      </c>
      <c r="R481" s="14">
        <v>8.6</v>
      </c>
      <c r="S481">
        <v>98</v>
      </c>
      <c r="T481" s="5">
        <v>11</v>
      </c>
      <c r="U481" s="5">
        <v>632</v>
      </c>
      <c r="V481" s="5">
        <v>1</v>
      </c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</row>
    <row r="482" spans="1:37" x14ac:dyDescent="0.25">
      <c r="A482" s="11" t="e">
        <f>Table1[[#This Row],[Milk Yield]]-J478</f>
        <v>#VALUE!</v>
      </c>
      <c r="B482" t="s">
        <v>0</v>
      </c>
      <c r="C482" s="2" t="s">
        <v>1</v>
      </c>
      <c r="D482" s="12" t="s">
        <v>2</v>
      </c>
      <c r="E482" s="2" t="s">
        <v>3</v>
      </c>
      <c r="F482" s="13" t="s">
        <v>4</v>
      </c>
      <c r="G482" s="3" t="s">
        <v>5</v>
      </c>
      <c r="H482" s="1" t="s">
        <v>6</v>
      </c>
      <c r="I482" s="5" t="s">
        <v>8</v>
      </c>
      <c r="J482" t="s">
        <v>9</v>
      </c>
      <c r="K482" t="s">
        <v>10</v>
      </c>
      <c r="L482" s="5" t="s">
        <v>11</v>
      </c>
      <c r="M482" s="5" t="s">
        <v>12</v>
      </c>
      <c r="N482" t="s">
        <v>13</v>
      </c>
      <c r="O482" t="s">
        <v>20</v>
      </c>
      <c r="P482" t="s">
        <v>7</v>
      </c>
      <c r="Q482" s="5" t="s">
        <v>15</v>
      </c>
      <c r="R482" s="14" t="s">
        <v>18</v>
      </c>
      <c r="S482" t="s">
        <v>16</v>
      </c>
      <c r="T482" s="5" t="s">
        <v>14</v>
      </c>
      <c r="U482" s="5" t="s">
        <v>17</v>
      </c>
      <c r="V482" s="5" t="s">
        <v>19</v>
      </c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</row>
    <row r="483" spans="1:37" x14ac:dyDescent="0.25">
      <c r="A483" s="11">
        <f>Table1[[#This Row],[Milk Yield]]-J479</f>
        <v>180</v>
      </c>
      <c r="B483" t="s">
        <v>24</v>
      </c>
      <c r="C483" s="2">
        <v>1</v>
      </c>
      <c r="D483" s="12">
        <v>45588</v>
      </c>
      <c r="E483" s="2">
        <v>34</v>
      </c>
      <c r="F483" s="13">
        <v>0.34054398148148146</v>
      </c>
      <c r="G483" s="3">
        <v>0.59813657407407406</v>
      </c>
      <c r="H483" s="1">
        <v>0.25694444444444442</v>
      </c>
      <c r="I483" s="5">
        <v>677</v>
      </c>
      <c r="J483">
        <v>6098</v>
      </c>
      <c r="K483">
        <v>110</v>
      </c>
      <c r="L483" s="5">
        <v>37</v>
      </c>
      <c r="M483" s="5">
        <v>677</v>
      </c>
      <c r="N483">
        <v>6</v>
      </c>
      <c r="O483">
        <v>671</v>
      </c>
      <c r="P483" s="1">
        <v>0.20694444444444443</v>
      </c>
      <c r="Q483" s="5">
        <v>986</v>
      </c>
      <c r="R483" s="14">
        <v>9.1</v>
      </c>
      <c r="S483">
        <v>110</v>
      </c>
      <c r="T483" s="5">
        <v>6</v>
      </c>
      <c r="U483" s="5">
        <v>669</v>
      </c>
      <c r="V483" s="5">
        <v>0</v>
      </c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</row>
    <row r="484" spans="1:37" x14ac:dyDescent="0.25">
      <c r="A484" s="11">
        <f>Table1[[#This Row],[Milk Yield]]-J480</f>
        <v>-246</v>
      </c>
      <c r="B484" t="s">
        <v>24</v>
      </c>
      <c r="C484" s="2">
        <v>2</v>
      </c>
      <c r="D484" s="12">
        <v>45588</v>
      </c>
      <c r="E484" s="2">
        <v>36</v>
      </c>
      <c r="F484" s="13">
        <v>0.68136574074074074</v>
      </c>
      <c r="G484" s="3">
        <v>0.91674768518518523</v>
      </c>
      <c r="H484" s="1">
        <v>0.23472222222222222</v>
      </c>
      <c r="I484" s="5">
        <v>667</v>
      </c>
      <c r="J484">
        <v>5536</v>
      </c>
      <c r="K484">
        <v>118</v>
      </c>
      <c r="L484" s="5">
        <v>91</v>
      </c>
      <c r="M484" s="5">
        <v>667</v>
      </c>
      <c r="N484">
        <v>17</v>
      </c>
      <c r="O484">
        <v>650</v>
      </c>
      <c r="P484" s="1">
        <v>0.18541666666666667</v>
      </c>
      <c r="Q484" s="5">
        <v>980</v>
      </c>
      <c r="R484" s="14">
        <v>8.4</v>
      </c>
      <c r="S484">
        <v>118</v>
      </c>
      <c r="T484" s="5">
        <v>17</v>
      </c>
      <c r="U484" s="5">
        <v>651</v>
      </c>
      <c r="V484" s="5">
        <v>1</v>
      </c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</row>
    <row r="485" spans="1:37" x14ac:dyDescent="0.25">
      <c r="A485" s="11">
        <f>Table1[[#This Row],[Milk Yield]]-J481</f>
        <v>-58</v>
      </c>
      <c r="B485" t="s">
        <v>24</v>
      </c>
      <c r="C485" s="2">
        <v>3</v>
      </c>
      <c r="D485" s="12">
        <v>45588</v>
      </c>
      <c r="E485" s="2">
        <v>37</v>
      </c>
      <c r="F485" s="13">
        <v>6.4583333333333333E-3</v>
      </c>
      <c r="G485" s="3">
        <v>0.24287037037037038</v>
      </c>
      <c r="H485" s="1">
        <v>0.2361111111111111</v>
      </c>
      <c r="I485" s="5">
        <v>680</v>
      </c>
      <c r="J485">
        <v>5408</v>
      </c>
      <c r="K485">
        <v>120</v>
      </c>
      <c r="L485" s="5">
        <v>239</v>
      </c>
      <c r="M485" s="5">
        <v>680</v>
      </c>
      <c r="N485">
        <v>38</v>
      </c>
      <c r="O485">
        <v>642</v>
      </c>
      <c r="P485" s="1">
        <v>0.19513888888888889</v>
      </c>
      <c r="Q485" s="5">
        <v>953</v>
      </c>
      <c r="R485" s="14">
        <v>8</v>
      </c>
      <c r="S485">
        <v>120</v>
      </c>
      <c r="T485" s="5">
        <v>38</v>
      </c>
      <c r="U485" s="5">
        <v>643</v>
      </c>
      <c r="V485" s="5">
        <v>1</v>
      </c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</row>
    <row r="486" spans="1:37" x14ac:dyDescent="0.25">
      <c r="A486" s="11" t="e">
        <f>Table1[[#This Row],[Milk Yield]]-J482</f>
        <v>#VALUE!</v>
      </c>
      <c r="B486" t="s">
        <v>0</v>
      </c>
      <c r="C486" s="2" t="s">
        <v>1</v>
      </c>
      <c r="D486" s="12" t="s">
        <v>2</v>
      </c>
      <c r="E486" s="2" t="s">
        <v>3</v>
      </c>
      <c r="F486" s="13" t="s">
        <v>4</v>
      </c>
      <c r="G486" s="3" t="s">
        <v>5</v>
      </c>
      <c r="H486" s="1" t="s">
        <v>6</v>
      </c>
      <c r="I486" s="5" t="s">
        <v>8</v>
      </c>
      <c r="J486" t="s">
        <v>9</v>
      </c>
      <c r="K486" t="s">
        <v>10</v>
      </c>
      <c r="L486" s="5" t="s">
        <v>11</v>
      </c>
      <c r="M486" s="5" t="s">
        <v>12</v>
      </c>
      <c r="N486" t="s">
        <v>13</v>
      </c>
      <c r="O486" t="s">
        <v>20</v>
      </c>
      <c r="P486" t="s">
        <v>7</v>
      </c>
      <c r="Q486" s="5" t="s">
        <v>15</v>
      </c>
      <c r="R486" s="14" t="s">
        <v>18</v>
      </c>
      <c r="S486" t="s">
        <v>16</v>
      </c>
      <c r="T486" s="5" t="s">
        <v>14</v>
      </c>
      <c r="U486" s="5" t="s">
        <v>17</v>
      </c>
      <c r="V486" s="5" t="s">
        <v>19</v>
      </c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</row>
    <row r="487" spans="1:37" x14ac:dyDescent="0.25">
      <c r="A487" s="11">
        <f>Table1[[#This Row],[Milk Yield]]-J483</f>
        <v>63</v>
      </c>
      <c r="B487" t="s">
        <v>24</v>
      </c>
      <c r="C487" s="2">
        <v>1</v>
      </c>
      <c r="D487" s="12">
        <v>45589</v>
      </c>
      <c r="E487" s="2">
        <v>37</v>
      </c>
      <c r="F487" s="13">
        <v>0.34331018518518519</v>
      </c>
      <c r="G487" s="3">
        <v>0.60517361111111112</v>
      </c>
      <c r="H487" s="1">
        <v>0.26180555555555557</v>
      </c>
      <c r="I487" s="5">
        <v>680</v>
      </c>
      <c r="J487">
        <v>6161</v>
      </c>
      <c r="K487">
        <v>108</v>
      </c>
      <c r="L487" s="5">
        <v>67</v>
      </c>
      <c r="M487" s="5">
        <v>680</v>
      </c>
      <c r="N487">
        <v>10</v>
      </c>
      <c r="O487">
        <v>670</v>
      </c>
      <c r="P487" s="1">
        <v>0.21111111111111111</v>
      </c>
      <c r="Q487" s="5">
        <v>980</v>
      </c>
      <c r="R487" s="14">
        <v>9.1</v>
      </c>
      <c r="S487">
        <v>108</v>
      </c>
      <c r="T487" s="5">
        <v>10</v>
      </c>
      <c r="U487" s="5">
        <v>668</v>
      </c>
      <c r="V487" s="5">
        <v>1</v>
      </c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</row>
    <row r="488" spans="1:37" x14ac:dyDescent="0.25">
      <c r="A488" s="11">
        <f>Table1[[#This Row],[Milk Yield]]-J484</f>
        <v>-173</v>
      </c>
      <c r="B488" t="s">
        <v>24</v>
      </c>
      <c r="C488" s="2">
        <v>2</v>
      </c>
      <c r="D488" s="12">
        <v>45589</v>
      </c>
      <c r="E488" s="2">
        <v>37</v>
      </c>
      <c r="F488" s="13">
        <v>0.6743865740740741</v>
      </c>
      <c r="G488" s="3">
        <v>0.9166319444444444</v>
      </c>
      <c r="H488" s="1">
        <v>0.24166666666666667</v>
      </c>
      <c r="I488" s="5">
        <v>679</v>
      </c>
      <c r="J488">
        <v>5363</v>
      </c>
      <c r="K488">
        <v>117</v>
      </c>
      <c r="L488" s="5">
        <v>145</v>
      </c>
      <c r="M488" s="5">
        <v>679</v>
      </c>
      <c r="N488">
        <v>27</v>
      </c>
      <c r="O488">
        <v>652</v>
      </c>
      <c r="P488" s="1">
        <v>0.18958333333333333</v>
      </c>
      <c r="Q488" s="5">
        <v>922</v>
      </c>
      <c r="R488" s="14">
        <v>7.9</v>
      </c>
      <c r="S488">
        <v>117</v>
      </c>
      <c r="T488" s="5">
        <v>27</v>
      </c>
      <c r="U488" s="5">
        <v>653</v>
      </c>
      <c r="V488" s="5">
        <v>1</v>
      </c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</row>
    <row r="489" spans="1:37" x14ac:dyDescent="0.25">
      <c r="A489" s="11">
        <f>Table1[[#This Row],[Milk Yield]]-J485</f>
        <v>-125</v>
      </c>
      <c r="B489" t="s">
        <v>24</v>
      </c>
      <c r="C489" s="2">
        <v>3</v>
      </c>
      <c r="D489" s="12">
        <v>45589</v>
      </c>
      <c r="E489" s="2">
        <v>39</v>
      </c>
      <c r="F489" s="13">
        <v>3.8888888888888888E-3</v>
      </c>
      <c r="G489" s="3">
        <v>0.2754050925925926</v>
      </c>
      <c r="H489" s="1">
        <v>0.27152777777777776</v>
      </c>
      <c r="I489" s="5">
        <v>667</v>
      </c>
      <c r="J489">
        <v>5283</v>
      </c>
      <c r="K489">
        <v>102</v>
      </c>
      <c r="L489" s="5">
        <v>80</v>
      </c>
      <c r="M489" s="5">
        <v>667</v>
      </c>
      <c r="N489">
        <v>15</v>
      </c>
      <c r="O489">
        <v>652</v>
      </c>
      <c r="P489" s="1">
        <v>0.18819444444444444</v>
      </c>
      <c r="Q489" s="5">
        <v>811</v>
      </c>
      <c r="R489" s="14">
        <v>8</v>
      </c>
      <c r="S489">
        <v>102</v>
      </c>
      <c r="T489" s="5">
        <v>15</v>
      </c>
      <c r="U489" s="5">
        <v>653</v>
      </c>
      <c r="V489" s="5">
        <v>1</v>
      </c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</row>
    <row r="490" spans="1:37" x14ac:dyDescent="0.25">
      <c r="A490" s="11" t="e">
        <f>Table1[[#This Row],[Milk Yield]]-J486</f>
        <v>#VALUE!</v>
      </c>
      <c r="B490" t="s">
        <v>0</v>
      </c>
      <c r="C490" s="2" t="s">
        <v>1</v>
      </c>
      <c r="D490" s="12" t="s">
        <v>2</v>
      </c>
      <c r="E490" s="2" t="s">
        <v>3</v>
      </c>
      <c r="F490" s="13" t="s">
        <v>4</v>
      </c>
      <c r="G490" s="3" t="s">
        <v>5</v>
      </c>
      <c r="H490" s="1" t="s">
        <v>6</v>
      </c>
      <c r="I490" s="5" t="s">
        <v>8</v>
      </c>
      <c r="J490" t="s">
        <v>9</v>
      </c>
      <c r="K490" t="s">
        <v>10</v>
      </c>
      <c r="L490" s="5" t="s">
        <v>11</v>
      </c>
      <c r="M490" s="5" t="s">
        <v>12</v>
      </c>
      <c r="N490" t="s">
        <v>13</v>
      </c>
      <c r="O490" t="s">
        <v>20</v>
      </c>
      <c r="P490" t="s">
        <v>7</v>
      </c>
      <c r="Q490" s="5" t="s">
        <v>15</v>
      </c>
      <c r="R490" s="14" t="s">
        <v>18</v>
      </c>
      <c r="S490" t="s">
        <v>16</v>
      </c>
      <c r="T490" s="5" t="s">
        <v>14</v>
      </c>
      <c r="U490" s="5" t="s">
        <v>17</v>
      </c>
      <c r="V490" s="5" t="s">
        <v>19</v>
      </c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</row>
    <row r="491" spans="1:37" x14ac:dyDescent="0.25">
      <c r="A491" s="11">
        <f>Table1[[#This Row],[Milk Yield]]-J487</f>
        <v>-4</v>
      </c>
      <c r="B491" t="s">
        <v>24</v>
      </c>
      <c r="C491" s="2">
        <v>1</v>
      </c>
      <c r="D491" s="12">
        <v>45590</v>
      </c>
      <c r="E491" s="2">
        <v>35</v>
      </c>
      <c r="F491" s="13">
        <v>0.34824074074074074</v>
      </c>
      <c r="G491" s="3">
        <v>0.6021643518518518</v>
      </c>
      <c r="H491" s="1">
        <v>0.25347222222222221</v>
      </c>
      <c r="I491" s="5">
        <v>676</v>
      </c>
      <c r="J491">
        <v>6157</v>
      </c>
      <c r="K491">
        <v>111</v>
      </c>
      <c r="L491" s="5">
        <v>59</v>
      </c>
      <c r="M491" s="5">
        <v>676</v>
      </c>
      <c r="N491">
        <v>8</v>
      </c>
      <c r="O491">
        <v>668</v>
      </c>
      <c r="P491" s="1">
        <v>0.2</v>
      </c>
      <c r="Q491" s="5">
        <v>1010</v>
      </c>
      <c r="R491" s="14">
        <v>9.1999999999999993</v>
      </c>
      <c r="S491">
        <v>111</v>
      </c>
      <c r="T491" s="5">
        <v>8</v>
      </c>
      <c r="U491" s="5">
        <v>670</v>
      </c>
      <c r="V491" s="5">
        <v>2</v>
      </c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</row>
    <row r="492" spans="1:37" x14ac:dyDescent="0.25">
      <c r="A492" s="11">
        <f>Table1[[#This Row],[Milk Yield]]-J488</f>
        <v>134</v>
      </c>
      <c r="B492" t="s">
        <v>24</v>
      </c>
      <c r="C492" s="2">
        <v>2</v>
      </c>
      <c r="D492" s="12">
        <v>45590</v>
      </c>
      <c r="E492" s="2">
        <v>36</v>
      </c>
      <c r="F492" s="13">
        <v>0.67581018518518521</v>
      </c>
      <c r="G492" s="3">
        <v>0.91414351851851849</v>
      </c>
      <c r="H492" s="1">
        <v>0.23819444444444443</v>
      </c>
      <c r="I492" s="5">
        <v>672</v>
      </c>
      <c r="J492">
        <v>5497</v>
      </c>
      <c r="K492">
        <v>117</v>
      </c>
      <c r="L492" s="5">
        <v>85</v>
      </c>
      <c r="M492" s="5">
        <v>672</v>
      </c>
      <c r="N492">
        <v>15</v>
      </c>
      <c r="O492">
        <v>657</v>
      </c>
      <c r="P492" s="1">
        <v>0.18888888888888888</v>
      </c>
      <c r="Q492" s="5">
        <v>961</v>
      </c>
      <c r="R492" s="14">
        <v>8.1999999999999993</v>
      </c>
      <c r="S492">
        <v>117</v>
      </c>
      <c r="T492" s="5">
        <v>15</v>
      </c>
      <c r="U492" s="5">
        <v>659</v>
      </c>
      <c r="V492" s="5">
        <v>2</v>
      </c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</row>
    <row r="493" spans="1:37" x14ac:dyDescent="0.25">
      <c r="A493" s="11">
        <f>Table1[[#This Row],[Milk Yield]]-J489</f>
        <v>445</v>
      </c>
      <c r="B493" t="s">
        <v>24</v>
      </c>
      <c r="C493" s="2">
        <v>3</v>
      </c>
      <c r="D493" s="12">
        <v>45590</v>
      </c>
      <c r="E493" s="2">
        <v>35</v>
      </c>
      <c r="F493" s="13">
        <v>6.6087962962962966E-3</v>
      </c>
      <c r="G493" s="3">
        <v>0.28530092592592593</v>
      </c>
      <c r="H493" s="1">
        <v>0.27847222222222223</v>
      </c>
      <c r="I493" s="5">
        <v>668</v>
      </c>
      <c r="J493">
        <v>5728</v>
      </c>
      <c r="K493">
        <v>100</v>
      </c>
      <c r="L493" s="5">
        <v>114</v>
      </c>
      <c r="M493" s="5">
        <v>668</v>
      </c>
      <c r="N493">
        <v>15</v>
      </c>
      <c r="O493">
        <v>653</v>
      </c>
      <c r="P493" s="1">
        <v>0.19722222222222222</v>
      </c>
      <c r="Q493" s="5">
        <v>856</v>
      </c>
      <c r="R493" s="14">
        <v>8.6</v>
      </c>
      <c r="S493">
        <v>100</v>
      </c>
      <c r="T493" s="5">
        <v>15</v>
      </c>
      <c r="U493" s="5">
        <v>655</v>
      </c>
      <c r="V493" s="5">
        <v>2</v>
      </c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</row>
    <row r="494" spans="1:37" x14ac:dyDescent="0.25">
      <c r="A494" s="11" t="e">
        <f>Table1[[#This Row],[Milk Yield]]-J490</f>
        <v>#VALUE!</v>
      </c>
      <c r="B494" t="s">
        <v>0</v>
      </c>
      <c r="C494" s="2" t="s">
        <v>1</v>
      </c>
      <c r="D494" s="12" t="s">
        <v>2</v>
      </c>
      <c r="E494" s="2" t="s">
        <v>3</v>
      </c>
      <c r="F494" s="13" t="s">
        <v>4</v>
      </c>
      <c r="G494" s="3" t="s">
        <v>5</v>
      </c>
      <c r="H494" s="1" t="s">
        <v>6</v>
      </c>
      <c r="I494" s="5" t="s">
        <v>8</v>
      </c>
      <c r="J494" t="s">
        <v>9</v>
      </c>
      <c r="K494" t="s">
        <v>10</v>
      </c>
      <c r="L494" s="5" t="s">
        <v>11</v>
      </c>
      <c r="M494" s="5" t="s">
        <v>12</v>
      </c>
      <c r="N494" t="s">
        <v>13</v>
      </c>
      <c r="O494" t="s">
        <v>20</v>
      </c>
      <c r="P494" t="s">
        <v>7</v>
      </c>
      <c r="Q494" s="5" t="s">
        <v>15</v>
      </c>
      <c r="R494" s="14" t="s">
        <v>18</v>
      </c>
      <c r="S494" t="s">
        <v>16</v>
      </c>
      <c r="T494" s="5" t="s">
        <v>14</v>
      </c>
      <c r="U494" s="5" t="s">
        <v>17</v>
      </c>
      <c r="V494" s="5" t="s">
        <v>19</v>
      </c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</row>
    <row r="495" spans="1:37" x14ac:dyDescent="0.25">
      <c r="A495" s="11">
        <f>Table1[[#This Row],[Milk Yield]]-J491</f>
        <v>-345</v>
      </c>
      <c r="B495" t="s">
        <v>24</v>
      </c>
      <c r="C495" s="2">
        <v>1</v>
      </c>
      <c r="D495" s="12">
        <v>45591</v>
      </c>
      <c r="E495" s="2">
        <v>36</v>
      </c>
      <c r="F495" s="13">
        <v>0.34358796296296296</v>
      </c>
      <c r="G495" s="3">
        <v>0.5825231481481481</v>
      </c>
      <c r="H495" s="1">
        <v>0.2388888888888889</v>
      </c>
      <c r="I495" s="5">
        <v>661</v>
      </c>
      <c r="J495">
        <v>5812</v>
      </c>
      <c r="K495">
        <v>115</v>
      </c>
      <c r="L495" s="5">
        <v>109</v>
      </c>
      <c r="M495" s="5">
        <v>661</v>
      </c>
      <c r="N495">
        <v>16</v>
      </c>
      <c r="O495">
        <v>645</v>
      </c>
      <c r="P495" s="1">
        <v>0.20624999999999999</v>
      </c>
      <c r="Q495" s="5">
        <v>1013</v>
      </c>
      <c r="R495" s="14">
        <v>8.8000000000000007</v>
      </c>
      <c r="S495">
        <v>115</v>
      </c>
      <c r="T495" s="5">
        <v>16</v>
      </c>
      <c r="U495" s="5">
        <v>646</v>
      </c>
      <c r="V495" s="5">
        <v>2</v>
      </c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</row>
    <row r="496" spans="1:37" x14ac:dyDescent="0.25">
      <c r="A496" s="11">
        <f>Table1[[#This Row],[Milk Yield]]-J492</f>
        <v>157</v>
      </c>
      <c r="B496" t="s">
        <v>24</v>
      </c>
      <c r="C496" s="2">
        <v>2</v>
      </c>
      <c r="D496" s="12">
        <v>45591</v>
      </c>
      <c r="E496" s="2">
        <v>38</v>
      </c>
      <c r="F496" s="13">
        <v>0.68418981481481478</v>
      </c>
      <c r="G496" s="3">
        <v>0.95413194444444449</v>
      </c>
      <c r="H496" s="1">
        <v>0.26944444444444443</v>
      </c>
      <c r="I496" s="5">
        <v>660</v>
      </c>
      <c r="J496">
        <v>5654</v>
      </c>
      <c r="K496">
        <v>102</v>
      </c>
      <c r="L496" s="5">
        <v>125</v>
      </c>
      <c r="M496" s="5">
        <v>660</v>
      </c>
      <c r="N496">
        <v>21</v>
      </c>
      <c r="O496">
        <v>639</v>
      </c>
      <c r="P496" s="1">
        <v>0.19305555555555556</v>
      </c>
      <c r="Q496" s="5">
        <v>873</v>
      </c>
      <c r="R496" s="14">
        <v>8.6</v>
      </c>
      <c r="S496">
        <v>102</v>
      </c>
      <c r="T496" s="5">
        <v>21</v>
      </c>
      <c r="U496" s="5">
        <v>641</v>
      </c>
      <c r="V496" s="5">
        <v>2</v>
      </c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</row>
    <row r="497" spans="1:37" x14ac:dyDescent="0.25">
      <c r="A497" s="11">
        <f>Table1[[#This Row],[Milk Yield]]-J493</f>
        <v>-733</v>
      </c>
      <c r="B497" t="s">
        <v>24</v>
      </c>
      <c r="C497" s="2">
        <v>3</v>
      </c>
      <c r="D497" s="12">
        <v>45591</v>
      </c>
      <c r="E497" s="2">
        <v>38</v>
      </c>
      <c r="F497" s="13">
        <v>1.1909722222222223E-2</v>
      </c>
      <c r="G497" s="3">
        <v>0.27173611111111112</v>
      </c>
      <c r="H497" s="1">
        <v>0.25972222222222224</v>
      </c>
      <c r="I497" s="5">
        <v>670</v>
      </c>
      <c r="J497">
        <v>4995</v>
      </c>
      <c r="K497">
        <v>107</v>
      </c>
      <c r="L497" s="5">
        <v>171</v>
      </c>
      <c r="M497" s="5">
        <v>670</v>
      </c>
      <c r="N497">
        <v>30</v>
      </c>
      <c r="O497">
        <v>640</v>
      </c>
      <c r="P497" s="1">
        <v>0.19027777777777777</v>
      </c>
      <c r="Q497" s="5">
        <v>801</v>
      </c>
      <c r="R497" s="14">
        <v>7.5</v>
      </c>
      <c r="S497">
        <v>107</v>
      </c>
      <c r="T497" s="5">
        <v>30</v>
      </c>
      <c r="U497" s="5">
        <v>642</v>
      </c>
      <c r="V497" s="5">
        <v>2</v>
      </c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</row>
    <row r="498" spans="1:37" x14ac:dyDescent="0.25">
      <c r="A498" s="11" t="e">
        <f>Table1[[#This Row],[Milk Yield]]-J494</f>
        <v>#VALUE!</v>
      </c>
      <c r="B498" t="s">
        <v>0</v>
      </c>
      <c r="C498" s="2" t="s">
        <v>1</v>
      </c>
      <c r="D498" s="12" t="s">
        <v>2</v>
      </c>
      <c r="E498" s="2" t="s">
        <v>3</v>
      </c>
      <c r="F498" s="13" t="s">
        <v>4</v>
      </c>
      <c r="G498" s="3" t="s">
        <v>5</v>
      </c>
      <c r="H498" s="1" t="s">
        <v>6</v>
      </c>
      <c r="I498" s="5" t="s">
        <v>8</v>
      </c>
      <c r="J498" t="s">
        <v>9</v>
      </c>
      <c r="K498" t="s">
        <v>10</v>
      </c>
      <c r="L498" s="5" t="s">
        <v>11</v>
      </c>
      <c r="M498" s="5" t="s">
        <v>12</v>
      </c>
      <c r="N498" t="s">
        <v>13</v>
      </c>
      <c r="O498" t="s">
        <v>20</v>
      </c>
      <c r="P498" t="s">
        <v>7</v>
      </c>
      <c r="Q498" s="5" t="s">
        <v>15</v>
      </c>
      <c r="R498" s="14" t="s">
        <v>18</v>
      </c>
      <c r="S498" t="s">
        <v>16</v>
      </c>
      <c r="T498" s="5" t="s">
        <v>14</v>
      </c>
      <c r="U498" s="5" t="s">
        <v>17</v>
      </c>
      <c r="V498" s="5" t="s">
        <v>19</v>
      </c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</row>
    <row r="499" spans="1:37" x14ac:dyDescent="0.25">
      <c r="A499" s="11">
        <f>Table1[[#This Row],[Milk Yield]]-J495</f>
        <v>124</v>
      </c>
      <c r="B499" t="s">
        <v>24</v>
      </c>
      <c r="C499" s="2">
        <v>1</v>
      </c>
      <c r="D499" s="12">
        <v>45592</v>
      </c>
      <c r="E499" s="2">
        <v>36</v>
      </c>
      <c r="F499" s="13">
        <v>0.33782407407407405</v>
      </c>
      <c r="G499" s="3">
        <v>0.59512731481481485</v>
      </c>
      <c r="H499" s="1">
        <v>0.25694444444444442</v>
      </c>
      <c r="I499" s="5">
        <v>660</v>
      </c>
      <c r="J499">
        <v>5936</v>
      </c>
      <c r="K499">
        <v>107</v>
      </c>
      <c r="L499" s="5">
        <v>107</v>
      </c>
      <c r="M499" s="5">
        <v>660</v>
      </c>
      <c r="N499">
        <v>15</v>
      </c>
      <c r="O499">
        <v>645</v>
      </c>
      <c r="P499" s="1">
        <v>0.20624999999999999</v>
      </c>
      <c r="Q499" s="5">
        <v>961</v>
      </c>
      <c r="R499" s="14">
        <v>9</v>
      </c>
      <c r="S499">
        <v>107</v>
      </c>
      <c r="T499" s="5">
        <v>15</v>
      </c>
      <c r="U499" s="5">
        <v>647</v>
      </c>
      <c r="V499" s="5">
        <v>2</v>
      </c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</row>
    <row r="500" spans="1:37" x14ac:dyDescent="0.25">
      <c r="A500" s="11">
        <f>Table1[[#This Row],[Milk Yield]]-J496</f>
        <v>-626</v>
      </c>
      <c r="B500" t="s">
        <v>24</v>
      </c>
      <c r="C500" s="2">
        <v>2</v>
      </c>
      <c r="D500" s="12">
        <v>45592</v>
      </c>
      <c r="E500" s="2">
        <v>37</v>
      </c>
      <c r="F500" s="13">
        <v>0.677337962962963</v>
      </c>
      <c r="G500" s="3">
        <v>0.93614583333333334</v>
      </c>
      <c r="H500" s="1">
        <v>0.25833333333333336</v>
      </c>
      <c r="I500" s="5">
        <v>676</v>
      </c>
      <c r="J500">
        <v>5028</v>
      </c>
      <c r="K500">
        <v>109</v>
      </c>
      <c r="L500" s="5">
        <v>86</v>
      </c>
      <c r="M500" s="5">
        <v>676</v>
      </c>
      <c r="N500">
        <v>16</v>
      </c>
      <c r="O500">
        <v>660</v>
      </c>
      <c r="P500" s="1">
        <v>0.18263888888888888</v>
      </c>
      <c r="Q500" s="5">
        <v>810</v>
      </c>
      <c r="R500" s="14">
        <v>7.5</v>
      </c>
      <c r="S500">
        <v>109</v>
      </c>
      <c r="T500" s="5">
        <v>16</v>
      </c>
      <c r="U500" s="5">
        <v>662</v>
      </c>
      <c r="V500" s="5">
        <v>2</v>
      </c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</row>
    <row r="501" spans="1:37" x14ac:dyDescent="0.25">
      <c r="A501" s="11">
        <f>Table1[[#This Row],[Milk Yield]]-J497</f>
        <v>-43</v>
      </c>
      <c r="B501" t="s">
        <v>24</v>
      </c>
      <c r="C501" s="2">
        <v>3</v>
      </c>
      <c r="D501" s="12">
        <v>45592</v>
      </c>
      <c r="E501" s="2">
        <v>38</v>
      </c>
      <c r="F501" s="13">
        <v>3.9120370370370368E-3</v>
      </c>
      <c r="G501" s="3">
        <v>0.23881944444444445</v>
      </c>
      <c r="H501" s="1">
        <v>0.23472222222222222</v>
      </c>
      <c r="I501" s="5">
        <v>653</v>
      </c>
      <c r="J501">
        <v>4952</v>
      </c>
      <c r="K501">
        <v>116</v>
      </c>
      <c r="L501" s="5">
        <v>153</v>
      </c>
      <c r="M501" s="5">
        <v>653</v>
      </c>
      <c r="N501">
        <v>23</v>
      </c>
      <c r="O501">
        <v>630</v>
      </c>
      <c r="P501" s="1">
        <v>0.18958333333333333</v>
      </c>
      <c r="Q501" s="5">
        <v>878</v>
      </c>
      <c r="R501" s="14">
        <v>7.6</v>
      </c>
      <c r="S501">
        <v>116</v>
      </c>
      <c r="T501" s="5">
        <v>23</v>
      </c>
      <c r="U501" s="5">
        <v>632</v>
      </c>
      <c r="V501" s="5">
        <v>2</v>
      </c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</row>
    <row r="502" spans="1:37" x14ac:dyDescent="0.25">
      <c r="A502" s="11" t="e">
        <f>Table1[[#This Row],[Milk Yield]]-J498</f>
        <v>#VALUE!</v>
      </c>
      <c r="B502" t="s">
        <v>0</v>
      </c>
      <c r="C502" s="2" t="s">
        <v>1</v>
      </c>
      <c r="D502" s="12" t="s">
        <v>2</v>
      </c>
      <c r="E502" s="2" t="s">
        <v>3</v>
      </c>
      <c r="F502" s="13" t="s">
        <v>4</v>
      </c>
      <c r="G502" s="3" t="s">
        <v>5</v>
      </c>
      <c r="H502" s="1" t="s">
        <v>6</v>
      </c>
      <c r="I502" s="5" t="s">
        <v>8</v>
      </c>
      <c r="J502" t="s">
        <v>9</v>
      </c>
      <c r="K502" t="s">
        <v>10</v>
      </c>
      <c r="L502" s="5" t="s">
        <v>11</v>
      </c>
      <c r="M502" s="5" t="s">
        <v>12</v>
      </c>
      <c r="N502" t="s">
        <v>13</v>
      </c>
      <c r="O502" t="s">
        <v>20</v>
      </c>
      <c r="P502" t="s">
        <v>7</v>
      </c>
      <c r="Q502" s="5" t="s">
        <v>15</v>
      </c>
      <c r="R502" s="14" t="s">
        <v>18</v>
      </c>
      <c r="S502" t="s">
        <v>16</v>
      </c>
      <c r="T502" s="5" t="s">
        <v>14</v>
      </c>
      <c r="U502" s="5" t="s">
        <v>17</v>
      </c>
      <c r="V502" s="5" t="s">
        <v>19</v>
      </c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</row>
    <row r="503" spans="1:37" x14ac:dyDescent="0.25">
      <c r="A503" s="11">
        <f>Table1[[#This Row],[Milk Yield]]-J499</f>
        <v>-113</v>
      </c>
      <c r="B503" t="s">
        <v>24</v>
      </c>
      <c r="C503" s="2">
        <v>1</v>
      </c>
      <c r="D503" s="12">
        <v>45593</v>
      </c>
      <c r="E503" s="2">
        <v>36</v>
      </c>
      <c r="F503" s="13">
        <v>0.3420138888888889</v>
      </c>
      <c r="G503" s="3">
        <v>0.60318287037037033</v>
      </c>
      <c r="H503" s="1">
        <v>0.26111111111111113</v>
      </c>
      <c r="I503" s="5">
        <v>692</v>
      </c>
      <c r="J503">
        <v>5823</v>
      </c>
      <c r="K503">
        <v>110</v>
      </c>
      <c r="L503" s="5">
        <v>170</v>
      </c>
      <c r="M503" s="5">
        <v>692</v>
      </c>
      <c r="N503">
        <v>23</v>
      </c>
      <c r="O503">
        <v>669</v>
      </c>
      <c r="P503" s="1">
        <v>0.20208333333333334</v>
      </c>
      <c r="Q503" s="5">
        <v>929</v>
      </c>
      <c r="R503" s="14">
        <v>8.5</v>
      </c>
      <c r="S503">
        <v>110</v>
      </c>
      <c r="T503" s="5">
        <v>23</v>
      </c>
      <c r="U503" s="5">
        <v>669</v>
      </c>
      <c r="V503" s="5">
        <v>2</v>
      </c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</row>
    <row r="504" spans="1:37" x14ac:dyDescent="0.25">
      <c r="A504" s="11">
        <f>Table1[[#This Row],[Milk Yield]]-J500</f>
        <v>-371</v>
      </c>
      <c r="B504" t="s">
        <v>24</v>
      </c>
      <c r="C504" s="2">
        <v>2</v>
      </c>
      <c r="D504" s="12">
        <v>45593</v>
      </c>
      <c r="E504" s="2">
        <v>34</v>
      </c>
      <c r="F504" s="13">
        <v>0.6731597222222222</v>
      </c>
      <c r="G504" s="3">
        <v>0.87356481481481485</v>
      </c>
      <c r="H504" s="1">
        <v>0.2</v>
      </c>
      <c r="I504" s="5">
        <v>599</v>
      </c>
      <c r="J504">
        <v>4657</v>
      </c>
      <c r="K504">
        <v>125</v>
      </c>
      <c r="L504" s="5">
        <v>127</v>
      </c>
      <c r="M504" s="5">
        <v>599</v>
      </c>
      <c r="N504">
        <v>21</v>
      </c>
      <c r="O504">
        <v>578</v>
      </c>
      <c r="P504" s="1">
        <v>0.1986111111111111</v>
      </c>
      <c r="Q504" s="5">
        <v>968</v>
      </c>
      <c r="R504" s="14">
        <v>7.8</v>
      </c>
      <c r="S504">
        <v>125</v>
      </c>
      <c r="T504" s="5">
        <v>21</v>
      </c>
      <c r="U504" s="5">
        <v>579</v>
      </c>
      <c r="V504" s="5">
        <v>1</v>
      </c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</row>
    <row r="505" spans="1:37" x14ac:dyDescent="0.25">
      <c r="A505" s="11">
        <f>Table1[[#This Row],[Milk Yield]]-J501</f>
        <v>1515</v>
      </c>
      <c r="B505" t="s">
        <v>24</v>
      </c>
      <c r="C505" s="2">
        <v>3</v>
      </c>
      <c r="D505" s="12">
        <v>45593</v>
      </c>
      <c r="E505" s="2">
        <v>37</v>
      </c>
      <c r="F505" s="13">
        <v>2.7893518518518519E-3</v>
      </c>
      <c r="G505" s="3">
        <v>0.26915509259259257</v>
      </c>
      <c r="H505" s="1">
        <v>0.26597222222222222</v>
      </c>
      <c r="I505" s="5">
        <v>667</v>
      </c>
      <c r="J505">
        <v>6467</v>
      </c>
      <c r="K505">
        <v>104</v>
      </c>
      <c r="L505" s="5">
        <v>80</v>
      </c>
      <c r="M505" s="5">
        <v>667</v>
      </c>
      <c r="N505">
        <v>11</v>
      </c>
      <c r="O505">
        <v>656</v>
      </c>
      <c r="P505" s="1">
        <v>0.21180555555555555</v>
      </c>
      <c r="Q505" s="5">
        <v>1012</v>
      </c>
      <c r="R505" s="14">
        <v>9.6999999999999993</v>
      </c>
      <c r="S505">
        <v>104</v>
      </c>
      <c r="T505" s="5">
        <v>11</v>
      </c>
      <c r="U505" s="5">
        <v>658</v>
      </c>
      <c r="V505" s="5">
        <v>2</v>
      </c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</row>
    <row r="506" spans="1:37" x14ac:dyDescent="0.25">
      <c r="A506" s="11" t="e">
        <f>Table1[[#This Row],[Milk Yield]]-J502</f>
        <v>#VALUE!</v>
      </c>
      <c r="B506" t="s">
        <v>0</v>
      </c>
      <c r="C506" s="2" t="s">
        <v>1</v>
      </c>
      <c r="D506" s="12" t="s">
        <v>2</v>
      </c>
      <c r="E506" s="2" t="s">
        <v>3</v>
      </c>
      <c r="F506" s="13" t="s">
        <v>4</v>
      </c>
      <c r="G506" s="3" t="s">
        <v>5</v>
      </c>
      <c r="H506" s="1" t="s">
        <v>6</v>
      </c>
      <c r="I506" s="5" t="s">
        <v>8</v>
      </c>
      <c r="J506" t="s">
        <v>9</v>
      </c>
      <c r="K506" t="s">
        <v>10</v>
      </c>
      <c r="L506" s="5" t="s">
        <v>11</v>
      </c>
      <c r="M506" s="5" t="s">
        <v>12</v>
      </c>
      <c r="N506" t="s">
        <v>13</v>
      </c>
      <c r="O506" t="s">
        <v>20</v>
      </c>
      <c r="P506" t="s">
        <v>7</v>
      </c>
      <c r="Q506" s="5" t="s">
        <v>15</v>
      </c>
      <c r="R506" s="14" t="s">
        <v>18</v>
      </c>
      <c r="S506" t="s">
        <v>16</v>
      </c>
      <c r="T506" s="5" t="s">
        <v>14</v>
      </c>
      <c r="U506" s="5" t="s">
        <v>17</v>
      </c>
      <c r="V506" s="5" t="s">
        <v>19</v>
      </c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</row>
    <row r="507" spans="1:37" x14ac:dyDescent="0.25">
      <c r="A507" s="11">
        <f>Table1[[#This Row],[Milk Yield]]-J503</f>
        <v>-480</v>
      </c>
      <c r="B507" t="s">
        <v>24</v>
      </c>
      <c r="C507" s="2">
        <v>1</v>
      </c>
      <c r="D507" s="12">
        <v>45594</v>
      </c>
      <c r="E507" s="2">
        <v>34</v>
      </c>
      <c r="F507" s="13">
        <v>0.34225694444444443</v>
      </c>
      <c r="G507" s="3">
        <v>0.59745370370370365</v>
      </c>
      <c r="H507" s="1">
        <v>0.25486111111111109</v>
      </c>
      <c r="I507" s="5">
        <v>672</v>
      </c>
      <c r="J507">
        <v>5343</v>
      </c>
      <c r="K507">
        <v>110</v>
      </c>
      <c r="L507" s="5">
        <v>102</v>
      </c>
      <c r="M507" s="5">
        <v>672</v>
      </c>
      <c r="N507">
        <v>12</v>
      </c>
      <c r="O507">
        <v>660</v>
      </c>
      <c r="P507" s="1">
        <v>0.18958333333333333</v>
      </c>
      <c r="Q507" s="5">
        <v>872</v>
      </c>
      <c r="R507" s="14">
        <v>8</v>
      </c>
      <c r="S507">
        <v>110</v>
      </c>
      <c r="T507" s="5">
        <v>12</v>
      </c>
      <c r="U507" s="5">
        <v>661</v>
      </c>
      <c r="V507" s="5">
        <v>2</v>
      </c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</row>
    <row r="508" spans="1:37" x14ac:dyDescent="0.25">
      <c r="A508" s="11">
        <f>Table1[[#This Row],[Milk Yield]]-J504</f>
        <v>-222</v>
      </c>
      <c r="B508" t="s">
        <v>24</v>
      </c>
      <c r="C508" s="2">
        <v>2</v>
      </c>
      <c r="D508" s="12">
        <v>45594</v>
      </c>
      <c r="E508" s="2">
        <v>34</v>
      </c>
      <c r="F508" s="13">
        <v>0.67423611111111115</v>
      </c>
      <c r="G508" s="3">
        <v>0.89496527777777779</v>
      </c>
      <c r="H508" s="1">
        <v>0.22013888888888888</v>
      </c>
      <c r="I508" s="5">
        <v>593</v>
      </c>
      <c r="J508">
        <v>4435</v>
      </c>
      <c r="K508">
        <v>112</v>
      </c>
      <c r="L508" s="5">
        <v>112</v>
      </c>
      <c r="M508" s="5">
        <v>593</v>
      </c>
      <c r="N508">
        <v>20</v>
      </c>
      <c r="O508">
        <v>573</v>
      </c>
      <c r="P508" s="1">
        <v>0.18680555555555556</v>
      </c>
      <c r="Q508" s="5">
        <v>837</v>
      </c>
      <c r="R508" s="14">
        <v>7.5</v>
      </c>
      <c r="S508">
        <v>112</v>
      </c>
      <c r="T508" s="5">
        <v>20</v>
      </c>
      <c r="U508" s="5">
        <v>575</v>
      </c>
      <c r="V508" s="5">
        <v>2</v>
      </c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</row>
    <row r="509" spans="1:37" x14ac:dyDescent="0.25">
      <c r="A509" s="11">
        <f>Table1[[#This Row],[Milk Yield]]-J505</f>
        <v>-308</v>
      </c>
      <c r="B509" t="s">
        <v>24</v>
      </c>
      <c r="C509" s="2">
        <v>3</v>
      </c>
      <c r="D509" s="12">
        <v>45594</v>
      </c>
      <c r="E509" s="2">
        <v>36</v>
      </c>
      <c r="F509" s="13">
        <v>2.3611111111111111E-3</v>
      </c>
      <c r="G509" s="3">
        <v>0.26201388888888888</v>
      </c>
      <c r="H509" s="1">
        <v>0.2590277777777778</v>
      </c>
      <c r="I509" s="5">
        <v>674</v>
      </c>
      <c r="J509">
        <v>6159</v>
      </c>
      <c r="K509">
        <v>108</v>
      </c>
      <c r="L509" s="5">
        <v>73</v>
      </c>
      <c r="M509" s="5">
        <v>674</v>
      </c>
      <c r="N509">
        <v>10</v>
      </c>
      <c r="O509">
        <v>664</v>
      </c>
      <c r="P509" s="1">
        <v>0.20416666666666666</v>
      </c>
      <c r="Q509" s="5">
        <v>988</v>
      </c>
      <c r="R509" s="14">
        <v>9.1999999999999993</v>
      </c>
      <c r="S509">
        <v>108</v>
      </c>
      <c r="T509" s="5">
        <v>10</v>
      </c>
      <c r="U509" s="5">
        <v>666</v>
      </c>
      <c r="V509" s="5">
        <v>2</v>
      </c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</row>
    <row r="510" spans="1:37" x14ac:dyDescent="0.25">
      <c r="A510" s="11" t="e">
        <f>Table1[[#This Row],[Milk Yield]]-J506</f>
        <v>#VALUE!</v>
      </c>
      <c r="B510" t="s">
        <v>0</v>
      </c>
      <c r="C510" s="2" t="s">
        <v>1</v>
      </c>
      <c r="D510" s="12" t="s">
        <v>2</v>
      </c>
      <c r="E510" s="2" t="s">
        <v>3</v>
      </c>
      <c r="F510" s="13" t="s">
        <v>4</v>
      </c>
      <c r="G510" s="3" t="s">
        <v>5</v>
      </c>
      <c r="H510" s="1" t="s">
        <v>6</v>
      </c>
      <c r="I510" s="5" t="s">
        <v>8</v>
      </c>
      <c r="J510" t="s">
        <v>9</v>
      </c>
      <c r="K510" t="s">
        <v>10</v>
      </c>
      <c r="L510" s="5" t="s">
        <v>11</v>
      </c>
      <c r="M510" s="5" t="s">
        <v>12</v>
      </c>
      <c r="N510" t="s">
        <v>13</v>
      </c>
      <c r="O510" t="s">
        <v>20</v>
      </c>
      <c r="P510" t="s">
        <v>7</v>
      </c>
      <c r="Q510" s="5" t="s">
        <v>15</v>
      </c>
      <c r="R510" s="14" t="s">
        <v>18</v>
      </c>
      <c r="S510" t="s">
        <v>16</v>
      </c>
      <c r="T510" s="5" t="s">
        <v>14</v>
      </c>
      <c r="U510" s="5" t="s">
        <v>17</v>
      </c>
      <c r="V510" s="5" t="s">
        <v>19</v>
      </c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</row>
    <row r="511" spans="1:37" x14ac:dyDescent="0.25">
      <c r="A511" s="11">
        <f>Table1[[#This Row],[Milk Yield]]-J507</f>
        <v>196</v>
      </c>
      <c r="B511" t="s">
        <v>24</v>
      </c>
      <c r="C511" s="2">
        <v>1</v>
      </c>
      <c r="D511" s="12">
        <v>45595</v>
      </c>
      <c r="E511" s="2">
        <v>35</v>
      </c>
      <c r="F511" s="13">
        <v>0.34005787037037039</v>
      </c>
      <c r="G511" s="3">
        <v>0.61629629629629634</v>
      </c>
      <c r="H511" s="1">
        <v>0.27569444444444446</v>
      </c>
      <c r="I511" s="5">
        <v>678</v>
      </c>
      <c r="J511">
        <v>5539</v>
      </c>
      <c r="K511">
        <v>102</v>
      </c>
      <c r="L511" s="5">
        <v>169</v>
      </c>
      <c r="M511" s="5">
        <v>678</v>
      </c>
      <c r="N511">
        <v>23</v>
      </c>
      <c r="O511">
        <v>655</v>
      </c>
      <c r="P511" s="1">
        <v>0.19930555555555557</v>
      </c>
      <c r="Q511" s="5">
        <v>836</v>
      </c>
      <c r="R511" s="14">
        <v>8.1999999999999993</v>
      </c>
      <c r="S511">
        <v>102</v>
      </c>
      <c r="T511" s="5">
        <v>23</v>
      </c>
      <c r="U511" s="5">
        <v>652</v>
      </c>
      <c r="V511" s="5">
        <v>0</v>
      </c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</row>
    <row r="512" spans="1:37" x14ac:dyDescent="0.25">
      <c r="A512" s="11">
        <f>Table1[[#This Row],[Milk Yield]]-J508</f>
        <v>275</v>
      </c>
      <c r="B512" t="s">
        <v>24</v>
      </c>
      <c r="C512" s="2">
        <v>2</v>
      </c>
      <c r="D512" s="12">
        <v>45595</v>
      </c>
      <c r="E512" s="2">
        <v>35</v>
      </c>
      <c r="F512" s="13">
        <v>0.67616898148148152</v>
      </c>
      <c r="G512" s="3">
        <v>0.87946759259259255</v>
      </c>
      <c r="H512" s="1">
        <v>0.20277777777777778</v>
      </c>
      <c r="I512" s="5">
        <v>622</v>
      </c>
      <c r="J512">
        <v>4710</v>
      </c>
      <c r="K512">
        <v>127</v>
      </c>
      <c r="L512" s="5">
        <v>159</v>
      </c>
      <c r="M512" s="5">
        <v>622</v>
      </c>
      <c r="N512">
        <v>31</v>
      </c>
      <c r="O512">
        <v>591</v>
      </c>
      <c r="P512" s="1">
        <v>0.18958333333333333</v>
      </c>
      <c r="Q512" s="5">
        <v>965</v>
      </c>
      <c r="R512" s="14">
        <v>7.6</v>
      </c>
      <c r="S512">
        <v>127</v>
      </c>
      <c r="T512" s="5">
        <v>31</v>
      </c>
      <c r="U512" s="5">
        <v>594</v>
      </c>
      <c r="V512" s="5">
        <v>3</v>
      </c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</row>
    <row r="513" spans="1:37" x14ac:dyDescent="0.25">
      <c r="A513" s="11">
        <f>Table1[[#This Row],[Milk Yield]]-J509</f>
        <v>362</v>
      </c>
      <c r="B513" t="s">
        <v>24</v>
      </c>
      <c r="C513" s="2">
        <v>3</v>
      </c>
      <c r="D513" s="12">
        <v>45595</v>
      </c>
      <c r="E513" s="2">
        <v>32</v>
      </c>
      <c r="F513" s="13">
        <v>3.0439814814814813E-3</v>
      </c>
      <c r="G513" s="3">
        <v>0.26306712962962964</v>
      </c>
      <c r="H513" s="1">
        <v>0.25972222222222224</v>
      </c>
      <c r="I513" s="5">
        <v>673</v>
      </c>
      <c r="J513">
        <v>6521</v>
      </c>
      <c r="K513">
        <v>108</v>
      </c>
      <c r="L513" s="5">
        <v>153</v>
      </c>
      <c r="M513" s="5">
        <v>673</v>
      </c>
      <c r="N513">
        <v>18</v>
      </c>
      <c r="O513">
        <v>655</v>
      </c>
      <c r="P513" s="1">
        <v>0.20972222222222223</v>
      </c>
      <c r="Q513" s="5">
        <v>1045</v>
      </c>
      <c r="R513" s="14">
        <v>9.6999999999999993</v>
      </c>
      <c r="S513">
        <v>108</v>
      </c>
      <c r="T513" s="5">
        <v>18</v>
      </c>
      <c r="U513" s="5">
        <v>658</v>
      </c>
      <c r="V513" s="5">
        <v>3</v>
      </c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</row>
    <row r="514" spans="1:37" x14ac:dyDescent="0.25">
      <c r="A514" s="11" t="e">
        <f>Table1[[#This Row],[Milk Yield]]-J510</f>
        <v>#VALUE!</v>
      </c>
      <c r="B514" t="s">
        <v>0</v>
      </c>
      <c r="C514" s="2" t="s">
        <v>1</v>
      </c>
      <c r="D514" s="12" t="s">
        <v>2</v>
      </c>
      <c r="E514" s="2" t="s">
        <v>3</v>
      </c>
      <c r="F514" s="13" t="s">
        <v>4</v>
      </c>
      <c r="G514" s="3" t="s">
        <v>5</v>
      </c>
      <c r="H514" s="1" t="s">
        <v>6</v>
      </c>
      <c r="I514" s="5" t="s">
        <v>8</v>
      </c>
      <c r="J514" t="s">
        <v>9</v>
      </c>
      <c r="K514" t="s">
        <v>10</v>
      </c>
      <c r="L514" s="5" t="s">
        <v>11</v>
      </c>
      <c r="M514" s="5" t="s">
        <v>12</v>
      </c>
      <c r="N514" t="s">
        <v>13</v>
      </c>
      <c r="O514" t="s">
        <v>20</v>
      </c>
      <c r="P514" t="s">
        <v>7</v>
      </c>
      <c r="Q514" s="5" t="s">
        <v>15</v>
      </c>
      <c r="R514" s="14" t="s">
        <v>18</v>
      </c>
      <c r="S514" t="s">
        <v>16</v>
      </c>
      <c r="T514" s="5" t="s">
        <v>14</v>
      </c>
      <c r="U514" s="5" t="s">
        <v>17</v>
      </c>
      <c r="V514" s="5" t="s">
        <v>19</v>
      </c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</row>
    <row r="515" spans="1:37" x14ac:dyDescent="0.25">
      <c r="A515" s="11">
        <f>Table1[[#This Row],[Milk Yield]]-J511</f>
        <v>-327</v>
      </c>
      <c r="B515" t="s">
        <v>24</v>
      </c>
      <c r="C515" s="2">
        <v>1</v>
      </c>
      <c r="D515" s="12">
        <v>45596</v>
      </c>
      <c r="E515" s="2">
        <v>34</v>
      </c>
      <c r="F515" s="13">
        <v>0.3384375</v>
      </c>
      <c r="G515" s="3">
        <v>0.56179398148148152</v>
      </c>
      <c r="H515" s="1">
        <v>0.22291666666666668</v>
      </c>
      <c r="I515" s="5">
        <v>671</v>
      </c>
      <c r="J515">
        <v>5212</v>
      </c>
      <c r="K515">
        <v>125</v>
      </c>
      <c r="L515" s="5">
        <v>122</v>
      </c>
      <c r="M515" s="5">
        <v>670</v>
      </c>
      <c r="N515">
        <v>16</v>
      </c>
      <c r="O515">
        <v>654</v>
      </c>
      <c r="P515" s="1">
        <v>0.1875</v>
      </c>
      <c r="Q515" s="5">
        <v>972</v>
      </c>
      <c r="R515" s="14">
        <v>7.8</v>
      </c>
      <c r="S515">
        <v>125</v>
      </c>
      <c r="T515" s="5">
        <v>16</v>
      </c>
      <c r="U515" s="5">
        <v>657</v>
      </c>
      <c r="V515" s="5">
        <v>3</v>
      </c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</row>
    <row r="516" spans="1:37" x14ac:dyDescent="0.25">
      <c r="A516" s="11">
        <f>Table1[[#This Row],[Milk Yield]]-J512</f>
        <v>409</v>
      </c>
      <c r="B516" t="s">
        <v>24</v>
      </c>
      <c r="C516" s="2">
        <v>2</v>
      </c>
      <c r="D516" s="12">
        <v>45596</v>
      </c>
      <c r="E516" s="2">
        <v>35</v>
      </c>
      <c r="F516" s="13">
        <v>0.67163194444444441</v>
      </c>
      <c r="G516" s="3">
        <v>0.88605324074074077</v>
      </c>
      <c r="H516" s="1">
        <v>0.21388888888888888</v>
      </c>
      <c r="I516" s="5">
        <v>634</v>
      </c>
      <c r="J516">
        <v>5119</v>
      </c>
      <c r="K516">
        <v>123</v>
      </c>
      <c r="L516" s="5">
        <v>171</v>
      </c>
      <c r="M516" s="5">
        <v>634</v>
      </c>
      <c r="N516">
        <v>38</v>
      </c>
      <c r="O516">
        <v>596</v>
      </c>
      <c r="P516" s="1">
        <v>0.19791666666666666</v>
      </c>
      <c r="Q516" s="5">
        <v>995</v>
      </c>
      <c r="R516" s="14">
        <v>8.1</v>
      </c>
      <c r="S516">
        <v>123</v>
      </c>
      <c r="T516" s="5">
        <v>38</v>
      </c>
      <c r="U516" s="5">
        <v>600</v>
      </c>
      <c r="V516" s="5">
        <v>4</v>
      </c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</row>
    <row r="517" spans="1:37" x14ac:dyDescent="0.25">
      <c r="A517" s="11">
        <f>Table1[[#This Row],[Milk Yield]]-J513</f>
        <v>95</v>
      </c>
      <c r="B517" t="s">
        <v>24</v>
      </c>
      <c r="C517" s="2">
        <v>3</v>
      </c>
      <c r="D517" s="12">
        <v>45596</v>
      </c>
      <c r="E517" s="2">
        <v>38</v>
      </c>
      <c r="F517" s="13">
        <v>4.4675925925925924E-3</v>
      </c>
      <c r="G517" s="3">
        <v>0.25930555555555557</v>
      </c>
      <c r="H517" s="1">
        <v>0.25416666666666665</v>
      </c>
      <c r="I517" s="5">
        <v>668</v>
      </c>
      <c r="J517">
        <v>6616</v>
      </c>
      <c r="K517">
        <v>109</v>
      </c>
      <c r="L517" s="5">
        <v>183</v>
      </c>
      <c r="M517" s="5">
        <v>668</v>
      </c>
      <c r="N517">
        <v>22</v>
      </c>
      <c r="O517">
        <v>646</v>
      </c>
      <c r="P517" s="1">
        <v>0.20972222222222223</v>
      </c>
      <c r="Q517" s="5">
        <v>1082</v>
      </c>
      <c r="R517" s="14">
        <v>10</v>
      </c>
      <c r="S517">
        <v>109</v>
      </c>
      <c r="T517" s="5">
        <v>22</v>
      </c>
      <c r="U517" s="5">
        <v>650</v>
      </c>
      <c r="V517" s="5">
        <v>4</v>
      </c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</row>
    <row r="518" spans="1:37" x14ac:dyDescent="0.25">
      <c r="A518" s="11" t="e">
        <f>Table1[[#This Row],[Milk Yield]]-J514</f>
        <v>#VALUE!</v>
      </c>
      <c r="B518" t="s">
        <v>0</v>
      </c>
      <c r="C518" s="2" t="s">
        <v>1</v>
      </c>
      <c r="D518" s="12" t="s">
        <v>2</v>
      </c>
      <c r="E518" s="2" t="s">
        <v>3</v>
      </c>
      <c r="F518" s="13" t="s">
        <v>4</v>
      </c>
      <c r="G518" s="3" t="s">
        <v>5</v>
      </c>
      <c r="H518" s="1" t="s">
        <v>6</v>
      </c>
      <c r="I518" s="5" t="s">
        <v>8</v>
      </c>
      <c r="J518" t="s">
        <v>9</v>
      </c>
      <c r="K518" t="s">
        <v>10</v>
      </c>
      <c r="L518" s="5" t="s">
        <v>11</v>
      </c>
      <c r="M518" s="5" t="s">
        <v>12</v>
      </c>
      <c r="N518" t="s">
        <v>13</v>
      </c>
      <c r="O518" t="s">
        <v>20</v>
      </c>
      <c r="P518" t="s">
        <v>7</v>
      </c>
      <c r="Q518" s="5" t="s">
        <v>15</v>
      </c>
      <c r="R518" s="14" t="s">
        <v>18</v>
      </c>
      <c r="S518" t="s">
        <v>16</v>
      </c>
      <c r="T518" s="5" t="s">
        <v>14</v>
      </c>
      <c r="U518" s="5" t="s">
        <v>17</v>
      </c>
      <c r="V518" s="5" t="s">
        <v>19</v>
      </c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</row>
    <row r="519" spans="1:37" x14ac:dyDescent="0.25">
      <c r="A519" s="11">
        <f>Table1[[#This Row],[Milk Yield]]-J515</f>
        <v>39</v>
      </c>
      <c r="B519" t="s">
        <v>24</v>
      </c>
      <c r="C519" s="2">
        <v>1</v>
      </c>
      <c r="D519" s="12">
        <v>45597</v>
      </c>
      <c r="E519" s="2">
        <v>33</v>
      </c>
      <c r="F519" s="13">
        <v>0.34652777777777777</v>
      </c>
      <c r="G519" s="3">
        <v>0.57576388888888885</v>
      </c>
      <c r="H519" s="1">
        <v>0.22916666666666666</v>
      </c>
      <c r="I519" s="5">
        <v>680</v>
      </c>
      <c r="J519">
        <v>5251</v>
      </c>
      <c r="K519">
        <v>124</v>
      </c>
      <c r="L519" s="5">
        <v>163</v>
      </c>
      <c r="M519" s="5">
        <v>680</v>
      </c>
      <c r="N519">
        <v>20</v>
      </c>
      <c r="O519">
        <v>660</v>
      </c>
      <c r="P519" s="1">
        <v>0.18958333333333333</v>
      </c>
      <c r="Q519" s="5">
        <v>954</v>
      </c>
      <c r="R519" s="14">
        <v>7.8</v>
      </c>
      <c r="S519">
        <v>124</v>
      </c>
      <c r="T519" s="5">
        <v>20</v>
      </c>
      <c r="U519" s="5">
        <v>664</v>
      </c>
      <c r="V519" s="5">
        <v>4</v>
      </c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</row>
    <row r="520" spans="1:37" x14ac:dyDescent="0.25">
      <c r="A520" s="11">
        <f>Table1[[#This Row],[Milk Yield]]-J516</f>
        <v>271</v>
      </c>
      <c r="B520" t="s">
        <v>24</v>
      </c>
      <c r="C520" s="2">
        <v>2</v>
      </c>
      <c r="D520" s="12">
        <v>45597</v>
      </c>
      <c r="E520" s="2">
        <v>34</v>
      </c>
      <c r="F520" s="13">
        <v>0.66965277777777776</v>
      </c>
      <c r="G520" s="3">
        <v>0.92560185185185184</v>
      </c>
      <c r="H520" s="1">
        <v>0.25555555555555554</v>
      </c>
      <c r="I520" s="5">
        <v>616</v>
      </c>
      <c r="J520">
        <v>5390</v>
      </c>
      <c r="K520">
        <v>100</v>
      </c>
      <c r="L520" s="5">
        <v>171</v>
      </c>
      <c r="M520" s="5">
        <v>616</v>
      </c>
      <c r="N520">
        <v>25</v>
      </c>
      <c r="O520">
        <v>591</v>
      </c>
      <c r="P520" s="1">
        <v>0.20277777777777778</v>
      </c>
      <c r="Q520" s="5">
        <v>877</v>
      </c>
      <c r="R520" s="14">
        <v>8.8000000000000007</v>
      </c>
      <c r="S520">
        <v>100</v>
      </c>
      <c r="T520" s="5">
        <v>25</v>
      </c>
      <c r="U520" s="5">
        <v>595</v>
      </c>
      <c r="V520" s="5">
        <v>4</v>
      </c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</row>
    <row r="521" spans="1:37" x14ac:dyDescent="0.25">
      <c r="A521" s="11">
        <f>Table1[[#This Row],[Milk Yield]]-J517</f>
        <v>-114</v>
      </c>
      <c r="B521" t="s">
        <v>24</v>
      </c>
      <c r="C521" s="2">
        <v>3</v>
      </c>
      <c r="D521" s="12">
        <v>45597</v>
      </c>
      <c r="E521" s="2">
        <v>36</v>
      </c>
      <c r="F521" s="13">
        <v>4.5717592592592589E-3</v>
      </c>
      <c r="G521" s="3">
        <v>0.26795138888888886</v>
      </c>
      <c r="H521" s="1">
        <v>0.26319444444444445</v>
      </c>
      <c r="I521" s="5">
        <v>685</v>
      </c>
      <c r="J521">
        <v>6502</v>
      </c>
      <c r="K521">
        <v>108</v>
      </c>
      <c r="L521" s="5">
        <v>129</v>
      </c>
      <c r="M521" s="5">
        <v>685</v>
      </c>
      <c r="N521">
        <v>21</v>
      </c>
      <c r="O521">
        <v>664</v>
      </c>
      <c r="P521" s="1">
        <v>0.2048611111111111</v>
      </c>
      <c r="Q521" s="5">
        <v>1029</v>
      </c>
      <c r="R521" s="14">
        <v>9.5</v>
      </c>
      <c r="S521">
        <v>108</v>
      </c>
      <c r="T521" s="5">
        <v>21</v>
      </c>
      <c r="U521" s="5">
        <v>667</v>
      </c>
      <c r="V521" s="5">
        <v>3</v>
      </c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</row>
    <row r="522" spans="1:37" x14ac:dyDescent="0.25">
      <c r="A522" s="11" t="e">
        <f>Table1[[#This Row],[Milk Yield]]-J518</f>
        <v>#VALUE!</v>
      </c>
      <c r="B522" t="s">
        <v>0</v>
      </c>
      <c r="C522" s="2" t="s">
        <v>1</v>
      </c>
      <c r="D522" s="12" t="s">
        <v>2</v>
      </c>
      <c r="E522" s="2" t="s">
        <v>3</v>
      </c>
      <c r="F522" s="13" t="s">
        <v>4</v>
      </c>
      <c r="G522" s="3" t="s">
        <v>5</v>
      </c>
      <c r="H522" s="1" t="s">
        <v>6</v>
      </c>
      <c r="I522" s="5" t="s">
        <v>8</v>
      </c>
      <c r="J522" t="s">
        <v>9</v>
      </c>
      <c r="K522" t="s">
        <v>10</v>
      </c>
      <c r="L522" s="5" t="s">
        <v>11</v>
      </c>
      <c r="M522" s="5" t="s">
        <v>12</v>
      </c>
      <c r="N522" t="s">
        <v>13</v>
      </c>
      <c r="O522" t="s">
        <v>20</v>
      </c>
      <c r="P522" t="s">
        <v>7</v>
      </c>
      <c r="Q522" s="5" t="s">
        <v>15</v>
      </c>
      <c r="R522" s="14" t="s">
        <v>18</v>
      </c>
      <c r="S522" t="s">
        <v>16</v>
      </c>
      <c r="T522" s="5" t="s">
        <v>14</v>
      </c>
      <c r="U522" s="5" t="s">
        <v>17</v>
      </c>
      <c r="V522" s="5" t="s">
        <v>19</v>
      </c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</row>
    <row r="523" spans="1:37" x14ac:dyDescent="0.25">
      <c r="A523" s="11">
        <f>Table1[[#This Row],[Milk Yield]]-J519</f>
        <v>-249</v>
      </c>
      <c r="B523" t="s">
        <v>24</v>
      </c>
      <c r="C523" s="2">
        <v>1</v>
      </c>
      <c r="D523" s="12">
        <v>45598</v>
      </c>
      <c r="E523" s="2">
        <v>34</v>
      </c>
      <c r="F523" s="13">
        <v>0.33756944444444442</v>
      </c>
      <c r="G523" s="3">
        <v>0.55715277777777783</v>
      </c>
      <c r="H523" s="1">
        <v>0.21944444444444444</v>
      </c>
      <c r="I523" s="5">
        <v>676</v>
      </c>
      <c r="J523">
        <v>5002</v>
      </c>
      <c r="K523">
        <v>128</v>
      </c>
      <c r="L523" s="5">
        <v>137</v>
      </c>
      <c r="M523" s="5">
        <v>676</v>
      </c>
      <c r="N523">
        <v>23</v>
      </c>
      <c r="O523">
        <v>653</v>
      </c>
      <c r="P523" s="1">
        <v>0.19027777777777777</v>
      </c>
      <c r="Q523" s="5">
        <v>949</v>
      </c>
      <c r="R523" s="14">
        <v>7.4</v>
      </c>
      <c r="S523">
        <v>128</v>
      </c>
      <c r="T523" s="5">
        <v>23</v>
      </c>
      <c r="U523" s="5">
        <v>660</v>
      </c>
      <c r="V523" s="5">
        <v>8</v>
      </c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</row>
    <row r="524" spans="1:37" x14ac:dyDescent="0.25">
      <c r="A524" s="11">
        <f>Table1[[#This Row],[Milk Yield]]-J520</f>
        <v>-92</v>
      </c>
      <c r="B524" t="s">
        <v>24</v>
      </c>
      <c r="C524" s="2">
        <v>2</v>
      </c>
      <c r="D524" s="12">
        <v>45598</v>
      </c>
      <c r="E524" s="2">
        <v>34</v>
      </c>
      <c r="F524" s="13">
        <v>0.67269675925925931</v>
      </c>
      <c r="G524" s="3">
        <v>0.89731481481481479</v>
      </c>
      <c r="H524" s="1">
        <v>0.22430555555555556</v>
      </c>
      <c r="I524" s="5">
        <v>612</v>
      </c>
      <c r="J524">
        <v>5298</v>
      </c>
      <c r="K524">
        <v>114</v>
      </c>
      <c r="L524" s="5">
        <v>61</v>
      </c>
      <c r="M524" s="5">
        <v>612</v>
      </c>
      <c r="N524">
        <v>10</v>
      </c>
      <c r="O524">
        <v>602</v>
      </c>
      <c r="P524" s="1">
        <v>0.19027777777777777</v>
      </c>
      <c r="Q524" s="5">
        <v>983</v>
      </c>
      <c r="R524" s="14">
        <v>8.6999999999999993</v>
      </c>
      <c r="S524">
        <v>114</v>
      </c>
      <c r="T524" s="5">
        <v>10</v>
      </c>
      <c r="U524" s="5">
        <v>603</v>
      </c>
      <c r="V524" s="5">
        <v>1</v>
      </c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</row>
    <row r="525" spans="1:37" x14ac:dyDescent="0.25">
      <c r="A525" s="11">
        <f>Table1[[#This Row],[Milk Yield]]-J521</f>
        <v>-21</v>
      </c>
      <c r="B525" t="s">
        <v>24</v>
      </c>
      <c r="C525" s="2">
        <v>3</v>
      </c>
      <c r="D525" s="12">
        <v>45598</v>
      </c>
      <c r="E525" s="2">
        <v>32</v>
      </c>
      <c r="F525" s="13">
        <v>2.8356481481481483E-3</v>
      </c>
      <c r="G525" s="3">
        <v>0.27835648148148145</v>
      </c>
      <c r="H525" s="1">
        <v>0.27500000000000002</v>
      </c>
      <c r="I525" s="5">
        <v>669</v>
      </c>
      <c r="J525">
        <v>6481</v>
      </c>
      <c r="K525">
        <v>101</v>
      </c>
      <c r="L525" s="5">
        <v>95</v>
      </c>
      <c r="M525" s="5">
        <v>669</v>
      </c>
      <c r="N525">
        <v>13</v>
      </c>
      <c r="O525">
        <v>656</v>
      </c>
      <c r="P525" s="1">
        <v>0.20347222222222222</v>
      </c>
      <c r="Q525" s="5">
        <v>980</v>
      </c>
      <c r="R525" s="14">
        <v>9.6999999999999993</v>
      </c>
      <c r="S525">
        <v>101</v>
      </c>
      <c r="T525" s="5">
        <v>13</v>
      </c>
      <c r="U525" s="5">
        <v>657</v>
      </c>
      <c r="V525" s="5">
        <v>1</v>
      </c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</row>
    <row r="526" spans="1:37" x14ac:dyDescent="0.25">
      <c r="A526" s="11" t="e">
        <f>Table1[[#This Row],[Milk Yield]]-J522</f>
        <v>#VALUE!</v>
      </c>
      <c r="B526" t="s">
        <v>0</v>
      </c>
      <c r="C526" s="2" t="s">
        <v>1</v>
      </c>
      <c r="D526" s="12" t="s">
        <v>2</v>
      </c>
      <c r="E526" s="2" t="s">
        <v>3</v>
      </c>
      <c r="F526" s="13" t="s">
        <v>4</v>
      </c>
      <c r="G526" s="3" t="s">
        <v>5</v>
      </c>
      <c r="H526" s="1" t="s">
        <v>6</v>
      </c>
      <c r="I526" s="5" t="s">
        <v>8</v>
      </c>
      <c r="J526" t="s">
        <v>9</v>
      </c>
      <c r="K526" t="s">
        <v>10</v>
      </c>
      <c r="L526" s="5" t="s">
        <v>11</v>
      </c>
      <c r="M526" s="5" t="s">
        <v>12</v>
      </c>
      <c r="N526" t="s">
        <v>13</v>
      </c>
      <c r="O526" t="s">
        <v>20</v>
      </c>
      <c r="P526" t="s">
        <v>7</v>
      </c>
      <c r="Q526" s="5" t="s">
        <v>15</v>
      </c>
      <c r="R526" s="14" t="s">
        <v>18</v>
      </c>
      <c r="S526" t="s">
        <v>16</v>
      </c>
      <c r="T526" s="5" t="s">
        <v>14</v>
      </c>
      <c r="U526" s="5" t="s">
        <v>17</v>
      </c>
      <c r="V526" s="5" t="s">
        <v>19</v>
      </c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</row>
    <row r="527" spans="1:37" x14ac:dyDescent="0.25">
      <c r="A527" s="11">
        <f>Table1[[#This Row],[Milk Yield]]-J523</f>
        <v>71</v>
      </c>
      <c r="B527" t="s">
        <v>24</v>
      </c>
      <c r="C527" s="2">
        <v>1</v>
      </c>
      <c r="D527" s="12">
        <v>45599</v>
      </c>
      <c r="E527" s="2">
        <v>34</v>
      </c>
      <c r="F527" s="13">
        <v>0.33665509259259258</v>
      </c>
      <c r="G527" s="3">
        <v>0.55074074074074075</v>
      </c>
      <c r="H527" s="1">
        <v>0.21388888888888888</v>
      </c>
      <c r="I527" s="5">
        <v>687</v>
      </c>
      <c r="J527">
        <v>5073</v>
      </c>
      <c r="K527">
        <v>134</v>
      </c>
      <c r="L527" s="5">
        <v>133</v>
      </c>
      <c r="M527" s="5">
        <v>687</v>
      </c>
      <c r="N527">
        <v>20</v>
      </c>
      <c r="O527">
        <v>667</v>
      </c>
      <c r="P527" s="1">
        <v>0.18680555555555556</v>
      </c>
      <c r="Q527" s="5">
        <v>987</v>
      </c>
      <c r="R527" s="14">
        <v>7.4</v>
      </c>
      <c r="S527">
        <v>134</v>
      </c>
      <c r="T527" s="5">
        <v>20</v>
      </c>
      <c r="U527" s="5">
        <v>671</v>
      </c>
      <c r="V527" s="5">
        <v>4</v>
      </c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</row>
    <row r="528" spans="1:37" x14ac:dyDescent="0.25">
      <c r="A528" s="11">
        <f>Table1[[#This Row],[Milk Yield]]-J524</f>
        <v>350</v>
      </c>
      <c r="B528" t="s">
        <v>24</v>
      </c>
      <c r="C528" s="2">
        <v>2</v>
      </c>
      <c r="D528" s="12">
        <v>45599</v>
      </c>
      <c r="E528" s="2">
        <v>33</v>
      </c>
      <c r="F528" s="13">
        <v>0.67524305555555553</v>
      </c>
      <c r="G528" s="3">
        <v>0.94456018518518514</v>
      </c>
      <c r="H528" s="1">
        <v>0.26874999999999999</v>
      </c>
      <c r="I528" s="5">
        <v>602</v>
      </c>
      <c r="J528">
        <v>5648</v>
      </c>
      <c r="K528">
        <v>93</v>
      </c>
      <c r="L528" s="5">
        <v>219</v>
      </c>
      <c r="M528" s="5">
        <v>602</v>
      </c>
      <c r="N528">
        <v>22</v>
      </c>
      <c r="O528">
        <v>580</v>
      </c>
      <c r="P528" s="1">
        <v>0.20624999999999999</v>
      </c>
      <c r="Q528" s="5">
        <v>874</v>
      </c>
      <c r="R528" s="14">
        <v>9.4</v>
      </c>
      <c r="S528">
        <v>93</v>
      </c>
      <c r="T528" s="5">
        <v>22</v>
      </c>
      <c r="U528" s="5">
        <v>582</v>
      </c>
      <c r="V528" s="5">
        <v>2</v>
      </c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</row>
    <row r="529" spans="1:37" x14ac:dyDescent="0.25">
      <c r="A529" s="11">
        <f>Table1[[#This Row],[Milk Yield]]-J525</f>
        <v>-11</v>
      </c>
      <c r="B529" t="s">
        <v>24</v>
      </c>
      <c r="C529" s="2">
        <v>3</v>
      </c>
      <c r="D529" s="12">
        <v>45599</v>
      </c>
      <c r="E529" s="2">
        <v>37</v>
      </c>
      <c r="F529" s="13">
        <v>1.4618055555555556E-2</v>
      </c>
      <c r="G529" s="3">
        <v>0.29056712962962961</v>
      </c>
      <c r="H529" s="1">
        <v>0.27569444444444446</v>
      </c>
      <c r="I529" s="5">
        <v>666</v>
      </c>
      <c r="J529">
        <v>6470</v>
      </c>
      <c r="K529">
        <v>101</v>
      </c>
      <c r="L529" s="5">
        <v>161</v>
      </c>
      <c r="M529" s="5">
        <v>666</v>
      </c>
      <c r="N529">
        <v>18</v>
      </c>
      <c r="O529">
        <v>648</v>
      </c>
      <c r="P529" s="1">
        <v>0.21458333333333332</v>
      </c>
      <c r="Q529" s="5">
        <v>977</v>
      </c>
      <c r="R529" s="14">
        <v>9.8000000000000007</v>
      </c>
      <c r="S529">
        <v>101</v>
      </c>
      <c r="T529" s="5">
        <v>18</v>
      </c>
      <c r="U529" s="5">
        <v>652</v>
      </c>
      <c r="V529" s="5">
        <v>4</v>
      </c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</row>
    <row r="530" spans="1:37" x14ac:dyDescent="0.25">
      <c r="A530" s="11" t="e">
        <f>Table1[[#This Row],[Milk Yield]]-J526</f>
        <v>#VALUE!</v>
      </c>
      <c r="B530" t="s">
        <v>0</v>
      </c>
      <c r="C530" s="2" t="s">
        <v>1</v>
      </c>
      <c r="D530" s="12" t="s">
        <v>2</v>
      </c>
      <c r="E530" s="2" t="s">
        <v>3</v>
      </c>
      <c r="F530" s="13" t="s">
        <v>4</v>
      </c>
      <c r="G530" s="3" t="s">
        <v>5</v>
      </c>
      <c r="H530" s="1" t="s">
        <v>6</v>
      </c>
      <c r="I530" s="5" t="s">
        <v>8</v>
      </c>
      <c r="J530" t="s">
        <v>9</v>
      </c>
      <c r="K530" t="s">
        <v>10</v>
      </c>
      <c r="L530" s="5" t="s">
        <v>11</v>
      </c>
      <c r="M530" s="5" t="s">
        <v>12</v>
      </c>
      <c r="N530" t="s">
        <v>13</v>
      </c>
      <c r="O530" t="s">
        <v>20</v>
      </c>
      <c r="P530" t="s">
        <v>7</v>
      </c>
      <c r="Q530" s="5" t="s">
        <v>15</v>
      </c>
      <c r="R530" s="14" t="s">
        <v>18</v>
      </c>
      <c r="S530" t="s">
        <v>16</v>
      </c>
      <c r="T530" s="5" t="s">
        <v>14</v>
      </c>
      <c r="U530" s="5" t="s">
        <v>17</v>
      </c>
      <c r="V530" s="5" t="s">
        <v>19</v>
      </c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</row>
    <row r="531" spans="1:37" x14ac:dyDescent="0.25">
      <c r="A531" s="11">
        <f>Table1[[#This Row],[Milk Yield]]-J527</f>
        <v>-137</v>
      </c>
      <c r="B531" t="s">
        <v>24</v>
      </c>
      <c r="C531" s="2">
        <v>1</v>
      </c>
      <c r="D531" s="12">
        <v>45600</v>
      </c>
      <c r="E531" s="2">
        <v>32</v>
      </c>
      <c r="F531" s="13">
        <v>0.3454976851851852</v>
      </c>
      <c r="G531" s="3">
        <v>0.5602314814814815</v>
      </c>
      <c r="H531" s="1">
        <v>0.21458333333333332</v>
      </c>
      <c r="I531" s="5">
        <v>663</v>
      </c>
      <c r="J531">
        <v>4936</v>
      </c>
      <c r="K531">
        <v>129</v>
      </c>
      <c r="L531" s="5">
        <v>166</v>
      </c>
      <c r="M531" s="5">
        <v>663</v>
      </c>
      <c r="N531">
        <v>27</v>
      </c>
      <c r="O531">
        <v>636</v>
      </c>
      <c r="P531" s="1">
        <v>0.18680555555555556</v>
      </c>
      <c r="Q531" s="5">
        <v>958</v>
      </c>
      <c r="R531" s="14">
        <v>7.5</v>
      </c>
      <c r="S531">
        <v>129</v>
      </c>
      <c r="T531" s="5">
        <v>27</v>
      </c>
      <c r="U531" s="5">
        <v>640</v>
      </c>
      <c r="V531" s="5">
        <v>4</v>
      </c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</row>
    <row r="532" spans="1:37" x14ac:dyDescent="0.25">
      <c r="A532" s="11">
        <f>Table1[[#This Row],[Milk Yield]]-J528</f>
        <v>-403</v>
      </c>
      <c r="B532" t="s">
        <v>24</v>
      </c>
      <c r="C532" s="2">
        <v>2</v>
      </c>
      <c r="D532" s="12">
        <v>45600</v>
      </c>
      <c r="E532" s="2">
        <v>35</v>
      </c>
      <c r="F532" s="13">
        <v>0.66835648148148152</v>
      </c>
      <c r="G532" s="3">
        <v>0.90038194444444442</v>
      </c>
      <c r="H532" s="1">
        <v>0.23194444444444445</v>
      </c>
      <c r="I532" s="5">
        <v>624</v>
      </c>
      <c r="J532">
        <v>5245</v>
      </c>
      <c r="K532">
        <v>112</v>
      </c>
      <c r="L532" s="5">
        <v>121</v>
      </c>
      <c r="M532" s="5">
        <v>624</v>
      </c>
      <c r="N532">
        <v>19</v>
      </c>
      <c r="O532">
        <v>605</v>
      </c>
      <c r="P532" s="1">
        <v>0.2076388888888889</v>
      </c>
      <c r="Q532" s="5">
        <v>942</v>
      </c>
      <c r="R532" s="14">
        <v>8.5</v>
      </c>
      <c r="S532">
        <v>112</v>
      </c>
      <c r="T532" s="5">
        <v>19</v>
      </c>
      <c r="U532" s="5">
        <v>610</v>
      </c>
      <c r="V532" s="5">
        <v>5</v>
      </c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</row>
    <row r="533" spans="1:37" x14ac:dyDescent="0.25">
      <c r="A533" s="11">
        <f>Table1[[#This Row],[Milk Yield]]-J529</f>
        <v>-570</v>
      </c>
      <c r="B533" t="s">
        <v>24</v>
      </c>
      <c r="C533" s="2">
        <v>3</v>
      </c>
      <c r="D533" s="12">
        <v>45600</v>
      </c>
      <c r="E533" s="2">
        <v>34</v>
      </c>
      <c r="F533" s="13">
        <v>1.8865740740740742E-3</v>
      </c>
      <c r="G533" s="3">
        <v>0.25038194444444445</v>
      </c>
      <c r="H533" s="1">
        <v>0.24791666666666667</v>
      </c>
      <c r="I533" s="5">
        <v>663</v>
      </c>
      <c r="J533">
        <v>5900</v>
      </c>
      <c r="K533">
        <v>111</v>
      </c>
      <c r="L533" s="5">
        <v>166</v>
      </c>
      <c r="M533" s="5">
        <v>663</v>
      </c>
      <c r="N533">
        <v>22</v>
      </c>
      <c r="O533">
        <v>641</v>
      </c>
      <c r="P533" s="1">
        <v>0.19722222222222222</v>
      </c>
      <c r="Q533" s="5">
        <v>989</v>
      </c>
      <c r="R533" s="14">
        <v>8.9</v>
      </c>
      <c r="S533">
        <v>111</v>
      </c>
      <c r="T533" s="5">
        <v>22</v>
      </c>
      <c r="U533" s="5">
        <v>645</v>
      </c>
      <c r="V533" s="5">
        <v>5</v>
      </c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</row>
    <row r="534" spans="1:37" x14ac:dyDescent="0.25">
      <c r="A534" s="11" t="e">
        <f>Table1[[#This Row],[Milk Yield]]-J530</f>
        <v>#VALUE!</v>
      </c>
      <c r="B534" t="s">
        <v>0</v>
      </c>
      <c r="C534" s="2" t="s">
        <v>1</v>
      </c>
      <c r="D534" s="12" t="s">
        <v>2</v>
      </c>
      <c r="E534" s="2" t="s">
        <v>3</v>
      </c>
      <c r="F534" s="13" t="s">
        <v>4</v>
      </c>
      <c r="G534" s="3" t="s">
        <v>5</v>
      </c>
      <c r="H534" s="1" t="s">
        <v>6</v>
      </c>
      <c r="I534" s="5" t="s">
        <v>8</v>
      </c>
      <c r="J534" t="s">
        <v>9</v>
      </c>
      <c r="K534" t="s">
        <v>10</v>
      </c>
      <c r="L534" s="5" t="s">
        <v>11</v>
      </c>
      <c r="M534" s="5" t="s">
        <v>12</v>
      </c>
      <c r="N534" t="s">
        <v>13</v>
      </c>
      <c r="O534" t="s">
        <v>20</v>
      </c>
      <c r="P534" t="s">
        <v>7</v>
      </c>
      <c r="Q534" s="5" t="s">
        <v>15</v>
      </c>
      <c r="R534" s="14" t="s">
        <v>18</v>
      </c>
      <c r="S534" t="s">
        <v>16</v>
      </c>
      <c r="T534" s="5" t="s">
        <v>14</v>
      </c>
      <c r="U534" s="5" t="s">
        <v>17</v>
      </c>
      <c r="V534" s="5" t="s">
        <v>19</v>
      </c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</row>
    <row r="535" spans="1:37" x14ac:dyDescent="0.25">
      <c r="A535" s="11">
        <f>Table1[[#This Row],[Milk Yield]]-J531</f>
        <v>920</v>
      </c>
      <c r="B535" t="s">
        <v>24</v>
      </c>
      <c r="C535" s="2">
        <v>1</v>
      </c>
      <c r="D535" s="12">
        <v>45601</v>
      </c>
      <c r="E535" s="2">
        <v>31</v>
      </c>
      <c r="F535" s="13">
        <v>0.37089120370370371</v>
      </c>
      <c r="G535" s="3">
        <v>0.59290509259259261</v>
      </c>
      <c r="H535" s="1">
        <v>0.22152777777777777</v>
      </c>
      <c r="I535" s="5">
        <v>655</v>
      </c>
      <c r="J535">
        <v>5856</v>
      </c>
      <c r="K535">
        <v>123</v>
      </c>
      <c r="L535" s="5">
        <v>173</v>
      </c>
      <c r="M535" s="5">
        <v>655</v>
      </c>
      <c r="N535">
        <v>25</v>
      </c>
      <c r="O535">
        <v>630</v>
      </c>
      <c r="P535" s="1">
        <v>0.20624999999999999</v>
      </c>
      <c r="Q535" s="5">
        <v>1099</v>
      </c>
      <c r="R535" s="14">
        <v>9</v>
      </c>
      <c r="S535">
        <v>123</v>
      </c>
      <c r="T535" s="5">
        <v>25</v>
      </c>
      <c r="U535" s="5">
        <v>634</v>
      </c>
      <c r="V535" s="5">
        <v>5</v>
      </c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</row>
    <row r="536" spans="1:37" x14ac:dyDescent="0.25">
      <c r="A536" s="11">
        <f>Table1[[#This Row],[Milk Yield]]-J532</f>
        <v>7</v>
      </c>
      <c r="B536" t="s">
        <v>24</v>
      </c>
      <c r="C536" s="2">
        <v>2</v>
      </c>
      <c r="D536" s="12">
        <v>45601</v>
      </c>
      <c r="E536" s="2">
        <v>31</v>
      </c>
      <c r="F536" s="13">
        <v>0.67268518518518516</v>
      </c>
      <c r="G536" s="3">
        <v>0.91013888888888894</v>
      </c>
      <c r="H536" s="1">
        <v>0.23680555555555555</v>
      </c>
      <c r="I536" s="5">
        <v>607</v>
      </c>
      <c r="J536">
        <v>5252</v>
      </c>
      <c r="K536">
        <v>107</v>
      </c>
      <c r="L536" s="5">
        <v>127</v>
      </c>
      <c r="M536" s="5">
        <v>607</v>
      </c>
      <c r="N536">
        <v>25</v>
      </c>
      <c r="O536">
        <v>582</v>
      </c>
      <c r="P536" s="1">
        <v>0.21944444444444444</v>
      </c>
      <c r="Q536" s="5">
        <v>922</v>
      </c>
      <c r="R536" s="14">
        <v>8.6999999999999993</v>
      </c>
      <c r="S536">
        <v>107</v>
      </c>
      <c r="T536" s="5">
        <v>25</v>
      </c>
      <c r="U536" s="5">
        <v>586</v>
      </c>
      <c r="V536" s="5">
        <v>4</v>
      </c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</row>
    <row r="537" spans="1:37" x14ac:dyDescent="0.25">
      <c r="A537" s="11">
        <f>Table1[[#This Row],[Milk Yield]]-J533</f>
        <v>-210</v>
      </c>
      <c r="B537" t="s">
        <v>24</v>
      </c>
      <c r="C537" s="2">
        <v>3</v>
      </c>
      <c r="D537" s="12">
        <v>45601</v>
      </c>
      <c r="E537" s="2">
        <v>36</v>
      </c>
      <c r="F537" s="13">
        <v>2.3611111111111111E-3</v>
      </c>
      <c r="G537" s="3">
        <v>0.28219907407407407</v>
      </c>
      <c r="H537" s="1">
        <v>0.27916666666666667</v>
      </c>
      <c r="I537" s="5">
        <v>711</v>
      </c>
      <c r="J537">
        <v>5690</v>
      </c>
      <c r="K537">
        <v>106</v>
      </c>
      <c r="L537" s="5">
        <v>8399</v>
      </c>
      <c r="M537" s="5">
        <v>711</v>
      </c>
      <c r="N537">
        <v>401</v>
      </c>
      <c r="O537">
        <v>310</v>
      </c>
      <c r="P537" s="1">
        <v>0.33888888888888891</v>
      </c>
      <c r="Q537" s="5">
        <v>1694</v>
      </c>
      <c r="R537" s="14">
        <v>8</v>
      </c>
      <c r="S537">
        <v>106</v>
      </c>
      <c r="T537" s="5">
        <v>401</v>
      </c>
      <c r="U537" s="5">
        <v>309</v>
      </c>
      <c r="V537" s="5">
        <v>4</v>
      </c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</row>
    <row r="538" spans="1:37" x14ac:dyDescent="0.25">
      <c r="A538" s="11" t="e">
        <f>Table1[[#This Row],[Milk Yield]]-J534</f>
        <v>#VALUE!</v>
      </c>
      <c r="B538" t="s">
        <v>0</v>
      </c>
      <c r="C538" s="2" t="s">
        <v>1</v>
      </c>
      <c r="D538" s="12" t="s">
        <v>2</v>
      </c>
      <c r="E538" s="2" t="s">
        <v>3</v>
      </c>
      <c r="F538" s="13" t="s">
        <v>4</v>
      </c>
      <c r="G538" s="3" t="s">
        <v>5</v>
      </c>
      <c r="H538" s="1" t="s">
        <v>6</v>
      </c>
      <c r="I538" s="5" t="s">
        <v>8</v>
      </c>
      <c r="J538" t="s">
        <v>9</v>
      </c>
      <c r="K538" t="s">
        <v>10</v>
      </c>
      <c r="L538" s="5" t="s">
        <v>11</v>
      </c>
      <c r="M538" s="5" t="s">
        <v>12</v>
      </c>
      <c r="N538" t="s">
        <v>13</v>
      </c>
      <c r="O538" t="s">
        <v>20</v>
      </c>
      <c r="P538" t="s">
        <v>7</v>
      </c>
      <c r="Q538" s="5" t="s">
        <v>15</v>
      </c>
      <c r="R538" s="14" t="s">
        <v>18</v>
      </c>
      <c r="S538" t="s">
        <v>16</v>
      </c>
      <c r="T538" s="5" t="s">
        <v>14</v>
      </c>
      <c r="U538" s="5" t="s">
        <v>17</v>
      </c>
      <c r="V538" s="5" t="s">
        <v>19</v>
      </c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</row>
    <row r="539" spans="1:37" x14ac:dyDescent="0.25">
      <c r="A539" s="11">
        <f>Table1[[#This Row],[Milk Yield]]-J535</f>
        <v>-740</v>
      </c>
      <c r="B539" t="s">
        <v>24</v>
      </c>
      <c r="C539" s="2">
        <v>1</v>
      </c>
      <c r="D539" s="12">
        <v>45602</v>
      </c>
      <c r="E539" s="2">
        <v>33</v>
      </c>
      <c r="F539" s="13">
        <v>0.33865740740740741</v>
      </c>
      <c r="G539" s="3">
        <v>0.57370370370370372</v>
      </c>
      <c r="H539" s="1">
        <v>0.23472222222222222</v>
      </c>
      <c r="I539" s="5">
        <v>704</v>
      </c>
      <c r="J539">
        <v>5116</v>
      </c>
      <c r="K539">
        <v>125</v>
      </c>
      <c r="L539" s="5">
        <v>524</v>
      </c>
      <c r="M539" s="5">
        <v>704</v>
      </c>
      <c r="N539">
        <v>64</v>
      </c>
      <c r="O539">
        <v>640</v>
      </c>
      <c r="P539" s="1">
        <v>0.20902777777777778</v>
      </c>
      <c r="Q539" s="5">
        <v>907</v>
      </c>
      <c r="R539" s="14">
        <v>7.3</v>
      </c>
      <c r="S539">
        <v>125</v>
      </c>
      <c r="T539" s="5">
        <v>64</v>
      </c>
      <c r="U539" s="5">
        <v>645</v>
      </c>
      <c r="V539" s="5">
        <v>5</v>
      </c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</row>
    <row r="540" spans="1:37" x14ac:dyDescent="0.25">
      <c r="A540" s="11">
        <f>Table1[[#This Row],[Milk Yield]]-J536</f>
        <v>186</v>
      </c>
      <c r="B540" t="s">
        <v>24</v>
      </c>
      <c r="C540" s="2">
        <v>2</v>
      </c>
      <c r="D540" s="12">
        <v>45602</v>
      </c>
      <c r="E540" s="2">
        <v>35</v>
      </c>
      <c r="F540" s="13">
        <v>0.66674768518518523</v>
      </c>
      <c r="G540" s="3">
        <v>0.91280092592592588</v>
      </c>
      <c r="H540" s="1">
        <v>0.24583333333333332</v>
      </c>
      <c r="I540" s="5">
        <v>610</v>
      </c>
      <c r="J540">
        <v>5438</v>
      </c>
      <c r="K540">
        <v>103</v>
      </c>
      <c r="L540" s="5">
        <v>110</v>
      </c>
      <c r="M540" s="5">
        <v>610</v>
      </c>
      <c r="N540">
        <v>16</v>
      </c>
      <c r="O540">
        <v>594</v>
      </c>
      <c r="P540" s="1">
        <v>0.20555555555555555</v>
      </c>
      <c r="Q540" s="5">
        <v>921</v>
      </c>
      <c r="R540" s="14">
        <v>9</v>
      </c>
      <c r="S540">
        <v>103</v>
      </c>
      <c r="T540" s="5">
        <v>16</v>
      </c>
      <c r="U540" s="5">
        <v>598</v>
      </c>
      <c r="V540" s="5">
        <v>4</v>
      </c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</row>
    <row r="541" spans="1:37" x14ac:dyDescent="0.25">
      <c r="A541" s="11">
        <f>Table1[[#This Row],[Milk Yield]]-J537</f>
        <v>154</v>
      </c>
      <c r="B541" t="s">
        <v>24</v>
      </c>
      <c r="C541" s="2">
        <v>3</v>
      </c>
      <c r="D541" s="12">
        <v>45602</v>
      </c>
      <c r="E541" s="2">
        <v>35</v>
      </c>
      <c r="F541" s="13">
        <v>0.99807870370370366</v>
      </c>
      <c r="G541" s="3">
        <v>0.25569444444444445</v>
      </c>
      <c r="H541" s="1">
        <v>0.25694444444444442</v>
      </c>
      <c r="I541" s="5">
        <v>660</v>
      </c>
      <c r="J541">
        <v>5844</v>
      </c>
      <c r="K541">
        <v>107</v>
      </c>
      <c r="L541" s="5">
        <v>114</v>
      </c>
      <c r="M541" s="5">
        <v>660</v>
      </c>
      <c r="N541">
        <v>15</v>
      </c>
      <c r="O541">
        <v>645</v>
      </c>
      <c r="P541" s="1">
        <v>0.19791666666666666</v>
      </c>
      <c r="Q541" s="5">
        <v>945</v>
      </c>
      <c r="R541" s="14">
        <v>8.9</v>
      </c>
      <c r="S541">
        <v>107</v>
      </c>
      <c r="T541" s="5">
        <v>15</v>
      </c>
      <c r="U541" s="5">
        <v>650</v>
      </c>
      <c r="V541" s="5">
        <v>5</v>
      </c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</row>
    <row r="542" spans="1:37" x14ac:dyDescent="0.25">
      <c r="A542" s="11" t="e">
        <f>Table1[[#This Row],[Milk Yield]]-J538</f>
        <v>#VALUE!</v>
      </c>
      <c r="B542" t="s">
        <v>0</v>
      </c>
      <c r="C542" s="2" t="s">
        <v>1</v>
      </c>
      <c r="D542" s="12" t="s">
        <v>2</v>
      </c>
      <c r="E542" s="2" t="s">
        <v>3</v>
      </c>
      <c r="F542" s="13" t="s">
        <v>4</v>
      </c>
      <c r="G542" s="3" t="s">
        <v>5</v>
      </c>
      <c r="H542" s="1" t="s">
        <v>6</v>
      </c>
      <c r="I542" s="5" t="s">
        <v>8</v>
      </c>
      <c r="J542" t="s">
        <v>9</v>
      </c>
      <c r="K542" t="s">
        <v>10</v>
      </c>
      <c r="L542" s="5" t="s">
        <v>11</v>
      </c>
      <c r="M542" s="5" t="s">
        <v>12</v>
      </c>
      <c r="N542" t="s">
        <v>13</v>
      </c>
      <c r="O542" t="s">
        <v>20</v>
      </c>
      <c r="P542" t="s">
        <v>7</v>
      </c>
      <c r="Q542" s="5" t="s">
        <v>15</v>
      </c>
      <c r="R542" s="14" t="s">
        <v>18</v>
      </c>
      <c r="S542" t="s">
        <v>16</v>
      </c>
      <c r="T542" s="5" t="s">
        <v>14</v>
      </c>
      <c r="U542" s="5" t="s">
        <v>17</v>
      </c>
      <c r="V542" s="5" t="s">
        <v>19</v>
      </c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</row>
    <row r="543" spans="1:37" x14ac:dyDescent="0.25">
      <c r="A543" s="11">
        <f>Table1[[#This Row],[Milk Yield]]-J539</f>
        <v>310</v>
      </c>
      <c r="B543" t="s">
        <v>24</v>
      </c>
      <c r="C543" s="2">
        <v>1</v>
      </c>
      <c r="D543" s="12">
        <v>45603</v>
      </c>
      <c r="E543" s="2">
        <v>35</v>
      </c>
      <c r="F543" s="13">
        <v>0.32913194444444444</v>
      </c>
      <c r="G543" s="3">
        <v>0.57131944444444449</v>
      </c>
      <c r="H543" s="1">
        <v>0.24166666666666667</v>
      </c>
      <c r="I543" s="5">
        <v>681</v>
      </c>
      <c r="J543">
        <v>5426</v>
      </c>
      <c r="K543">
        <v>117</v>
      </c>
      <c r="L543" s="5">
        <v>219</v>
      </c>
      <c r="M543" s="5">
        <v>681</v>
      </c>
      <c r="N543">
        <v>36</v>
      </c>
      <c r="O543">
        <v>645</v>
      </c>
      <c r="P543" s="1">
        <v>0.1986111111111111</v>
      </c>
      <c r="Q543" s="5">
        <v>933</v>
      </c>
      <c r="R543" s="14">
        <v>8</v>
      </c>
      <c r="S543">
        <v>117</v>
      </c>
      <c r="T543" s="5">
        <v>36</v>
      </c>
      <c r="U543" s="5">
        <v>651</v>
      </c>
      <c r="V543" s="5">
        <v>6</v>
      </c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</row>
    <row r="544" spans="1:37" x14ac:dyDescent="0.25">
      <c r="A544" s="11">
        <f>Table1[[#This Row],[Milk Yield]]-J540</f>
        <v>52</v>
      </c>
      <c r="B544" t="s">
        <v>24</v>
      </c>
      <c r="C544" s="2">
        <v>2</v>
      </c>
      <c r="D544" s="12">
        <v>45603</v>
      </c>
      <c r="E544" s="2">
        <v>36</v>
      </c>
      <c r="F544" s="13">
        <v>0.66484953703703709</v>
      </c>
      <c r="G544" s="3">
        <v>0.91402777777777777</v>
      </c>
      <c r="H544" s="1">
        <v>0.24861111111111112</v>
      </c>
      <c r="I544" s="5">
        <v>622</v>
      </c>
      <c r="J544">
        <v>5490</v>
      </c>
      <c r="K544">
        <v>104</v>
      </c>
      <c r="L544" s="5">
        <v>108</v>
      </c>
      <c r="M544" s="5">
        <v>622</v>
      </c>
      <c r="N544">
        <v>24</v>
      </c>
      <c r="O544">
        <v>598</v>
      </c>
      <c r="P544" s="1">
        <v>0.21111111111111111</v>
      </c>
      <c r="Q544" s="5">
        <v>918</v>
      </c>
      <c r="R544" s="14">
        <v>8.9</v>
      </c>
      <c r="S544">
        <v>104</v>
      </c>
      <c r="T544" s="5">
        <v>24</v>
      </c>
      <c r="U544" s="5">
        <v>604</v>
      </c>
      <c r="V544" s="5">
        <v>6</v>
      </c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</row>
    <row r="545" spans="1:37" x14ac:dyDescent="0.25">
      <c r="A545" s="11">
        <f>Table1[[#This Row],[Milk Yield]]-J541</f>
        <v>39</v>
      </c>
      <c r="B545" t="s">
        <v>24</v>
      </c>
      <c r="C545" s="2">
        <v>3</v>
      </c>
      <c r="D545" s="12">
        <v>45603</v>
      </c>
      <c r="E545" s="2">
        <v>34</v>
      </c>
      <c r="F545" s="13">
        <v>0.98853009259259261</v>
      </c>
      <c r="G545" s="3">
        <v>0.24174768518518519</v>
      </c>
      <c r="H545" s="1">
        <v>0.25277777777777777</v>
      </c>
      <c r="I545" s="5">
        <v>661</v>
      </c>
      <c r="J545">
        <v>5883</v>
      </c>
      <c r="K545">
        <v>109</v>
      </c>
      <c r="L545" s="5">
        <v>287</v>
      </c>
      <c r="M545" s="5">
        <v>661</v>
      </c>
      <c r="N545">
        <v>40</v>
      </c>
      <c r="O545">
        <v>621</v>
      </c>
      <c r="P545" s="1">
        <v>0.20902777777777778</v>
      </c>
      <c r="Q545" s="5">
        <v>968</v>
      </c>
      <c r="R545" s="14">
        <v>8.9</v>
      </c>
      <c r="S545">
        <v>109</v>
      </c>
      <c r="T545" s="5">
        <v>40</v>
      </c>
      <c r="U545" s="5">
        <v>627</v>
      </c>
      <c r="V545" s="5">
        <v>6</v>
      </c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</row>
    <row r="546" spans="1:37" x14ac:dyDescent="0.25">
      <c r="A546" s="11" t="e">
        <f>Table1[[#This Row],[Milk Yield]]-J542</f>
        <v>#VALUE!</v>
      </c>
      <c r="B546" t="s">
        <v>0</v>
      </c>
      <c r="C546" s="2" t="s">
        <v>1</v>
      </c>
      <c r="D546" s="12" t="s">
        <v>2</v>
      </c>
      <c r="E546" s="2" t="s">
        <v>3</v>
      </c>
      <c r="F546" s="13" t="s">
        <v>4</v>
      </c>
      <c r="G546" s="3" t="s">
        <v>5</v>
      </c>
      <c r="H546" s="1" t="s">
        <v>6</v>
      </c>
      <c r="I546" s="5" t="s">
        <v>8</v>
      </c>
      <c r="J546" t="s">
        <v>9</v>
      </c>
      <c r="K546" t="s">
        <v>10</v>
      </c>
      <c r="L546" s="5" t="s">
        <v>11</v>
      </c>
      <c r="M546" s="5" t="s">
        <v>12</v>
      </c>
      <c r="N546" t="s">
        <v>13</v>
      </c>
      <c r="O546" t="s">
        <v>20</v>
      </c>
      <c r="P546" t="s">
        <v>7</v>
      </c>
      <c r="Q546" s="5" t="s">
        <v>15</v>
      </c>
      <c r="R546" s="14" t="s">
        <v>18</v>
      </c>
      <c r="S546" t="s">
        <v>16</v>
      </c>
      <c r="T546" s="5" t="s">
        <v>14</v>
      </c>
      <c r="U546" s="5" t="s">
        <v>17</v>
      </c>
      <c r="V546" s="5" t="s">
        <v>19</v>
      </c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</row>
    <row r="547" spans="1:37" x14ac:dyDescent="0.25">
      <c r="A547" s="11">
        <f>Table1[[#This Row],[Milk Yield]]-J543</f>
        <v>210</v>
      </c>
      <c r="B547" t="s">
        <v>24</v>
      </c>
      <c r="C547" s="2">
        <v>1</v>
      </c>
      <c r="D547" s="12">
        <v>45604</v>
      </c>
      <c r="E547" s="2">
        <v>33</v>
      </c>
      <c r="F547" s="13">
        <v>0.34113425925925928</v>
      </c>
      <c r="G547" s="3">
        <v>0.56253472222222223</v>
      </c>
      <c r="H547" s="1">
        <v>0.22083333333333333</v>
      </c>
      <c r="I547" s="5">
        <v>666</v>
      </c>
      <c r="J547">
        <v>5636</v>
      </c>
      <c r="K547">
        <v>125</v>
      </c>
      <c r="L547" s="5">
        <v>227</v>
      </c>
      <c r="M547" s="5">
        <v>666</v>
      </c>
      <c r="N547">
        <v>29</v>
      </c>
      <c r="O547">
        <v>637</v>
      </c>
      <c r="P547" s="1">
        <v>0.19930555555555557</v>
      </c>
      <c r="Q547" s="5">
        <v>1061</v>
      </c>
      <c r="R547" s="14">
        <v>8.5</v>
      </c>
      <c r="S547">
        <v>125</v>
      </c>
      <c r="T547" s="5">
        <v>29</v>
      </c>
      <c r="U547" s="5">
        <v>640</v>
      </c>
      <c r="V547" s="5">
        <v>7</v>
      </c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</row>
    <row r="548" spans="1:37" x14ac:dyDescent="0.25">
      <c r="A548" s="11">
        <f>Table1[[#This Row],[Milk Yield]]-J544</f>
        <v>97</v>
      </c>
      <c r="B548" t="s">
        <v>24</v>
      </c>
      <c r="C548" s="2">
        <v>2</v>
      </c>
      <c r="D548" s="12">
        <v>45604</v>
      </c>
      <c r="E548" s="2">
        <v>37</v>
      </c>
      <c r="F548" s="13">
        <v>0.6675578703703704</v>
      </c>
      <c r="G548" s="3">
        <v>0.90456018518518522</v>
      </c>
      <c r="H548" s="1">
        <v>0.23680555555555555</v>
      </c>
      <c r="I548" s="5">
        <v>623</v>
      </c>
      <c r="J548">
        <v>5587</v>
      </c>
      <c r="K548">
        <v>110</v>
      </c>
      <c r="L548" s="5">
        <v>118</v>
      </c>
      <c r="M548" s="5">
        <v>623</v>
      </c>
      <c r="N548">
        <v>25</v>
      </c>
      <c r="O548">
        <v>598</v>
      </c>
      <c r="P548" s="1">
        <v>0.21597222222222223</v>
      </c>
      <c r="Q548" s="5">
        <v>982</v>
      </c>
      <c r="R548" s="14">
        <v>9</v>
      </c>
      <c r="S548">
        <v>110</v>
      </c>
      <c r="T548" s="5">
        <v>25</v>
      </c>
      <c r="U548" s="5">
        <v>605</v>
      </c>
      <c r="V548" s="5">
        <v>7</v>
      </c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</row>
    <row r="549" spans="1:37" x14ac:dyDescent="0.25">
      <c r="A549" s="11">
        <f>Table1[[#This Row],[Milk Yield]]-J545</f>
        <v>-123</v>
      </c>
      <c r="B549" t="s">
        <v>24</v>
      </c>
      <c r="C549" s="2">
        <v>3</v>
      </c>
      <c r="D549" s="12">
        <v>45604</v>
      </c>
      <c r="E549" s="2">
        <v>34</v>
      </c>
      <c r="F549" s="13">
        <v>2.673611111111111E-3</v>
      </c>
      <c r="G549" s="3">
        <v>0.22578703703703704</v>
      </c>
      <c r="H549" s="1">
        <v>0.22291666666666668</v>
      </c>
      <c r="I549" s="5">
        <v>649</v>
      </c>
      <c r="J549">
        <v>5760</v>
      </c>
      <c r="K549">
        <v>121</v>
      </c>
      <c r="L549" s="5">
        <v>162</v>
      </c>
      <c r="M549" s="5">
        <v>649</v>
      </c>
      <c r="N549">
        <v>22</v>
      </c>
      <c r="O549">
        <v>627</v>
      </c>
      <c r="P549" s="1">
        <v>0.2</v>
      </c>
      <c r="Q549" s="5">
        <v>1076</v>
      </c>
      <c r="R549" s="14">
        <v>8.9</v>
      </c>
      <c r="S549">
        <v>121</v>
      </c>
      <c r="T549" s="5">
        <v>22</v>
      </c>
      <c r="U549" s="5">
        <v>634</v>
      </c>
      <c r="V549" s="5">
        <v>7</v>
      </c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</row>
    <row r="550" spans="1:37" x14ac:dyDescent="0.25">
      <c r="A550" s="11" t="e">
        <f>Table1[[#This Row],[Milk Yield]]-J546</f>
        <v>#VALUE!</v>
      </c>
      <c r="B550" t="s">
        <v>0</v>
      </c>
      <c r="C550" s="2" t="s">
        <v>1</v>
      </c>
      <c r="D550" s="12" t="s">
        <v>2</v>
      </c>
      <c r="E550" s="2" t="s">
        <v>3</v>
      </c>
      <c r="F550" s="13" t="s">
        <v>4</v>
      </c>
      <c r="G550" s="3" t="s">
        <v>5</v>
      </c>
      <c r="H550" s="1" t="s">
        <v>6</v>
      </c>
      <c r="I550" s="5" t="s">
        <v>8</v>
      </c>
      <c r="J550" t="s">
        <v>9</v>
      </c>
      <c r="K550" t="s">
        <v>10</v>
      </c>
      <c r="L550" s="5" t="s">
        <v>11</v>
      </c>
      <c r="M550" s="5" t="s">
        <v>12</v>
      </c>
      <c r="N550" t="s">
        <v>13</v>
      </c>
      <c r="O550" t="s">
        <v>20</v>
      </c>
      <c r="P550" t="s">
        <v>7</v>
      </c>
      <c r="Q550" s="5" t="s">
        <v>15</v>
      </c>
      <c r="R550" s="14" t="s">
        <v>18</v>
      </c>
      <c r="S550" t="s">
        <v>16</v>
      </c>
      <c r="T550" s="5" t="s">
        <v>14</v>
      </c>
      <c r="U550" s="5" t="s">
        <v>17</v>
      </c>
      <c r="V550" s="5" t="s">
        <v>19</v>
      </c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</row>
    <row r="551" spans="1:37" x14ac:dyDescent="0.25">
      <c r="A551" s="11">
        <f>Table1[[#This Row],[Milk Yield]]-J547</f>
        <v>14</v>
      </c>
      <c r="B551" t="s">
        <v>24</v>
      </c>
      <c r="C551" s="2">
        <v>1</v>
      </c>
      <c r="D551" s="12">
        <v>45605</v>
      </c>
      <c r="E551" s="2">
        <v>33</v>
      </c>
      <c r="F551" s="13">
        <v>0.3417824074074074</v>
      </c>
      <c r="G551" s="3">
        <v>0.55168981481481483</v>
      </c>
      <c r="H551" s="1">
        <v>0.20972222222222223</v>
      </c>
      <c r="I551" s="5">
        <v>662</v>
      </c>
      <c r="J551">
        <v>5650</v>
      </c>
      <c r="K551">
        <v>131</v>
      </c>
      <c r="L551" s="5">
        <v>202</v>
      </c>
      <c r="M551" s="5">
        <v>662</v>
      </c>
      <c r="N551">
        <v>26</v>
      </c>
      <c r="O551">
        <v>636</v>
      </c>
      <c r="P551" s="1">
        <v>0.1986111111111111</v>
      </c>
      <c r="Q551" s="5">
        <v>1122</v>
      </c>
      <c r="R551" s="14">
        <v>8.6</v>
      </c>
      <c r="S551">
        <v>131</v>
      </c>
      <c r="T551" s="5">
        <v>26</v>
      </c>
      <c r="U551" s="5">
        <v>646</v>
      </c>
      <c r="V551" s="5">
        <v>10</v>
      </c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</row>
    <row r="552" spans="1:37" x14ac:dyDescent="0.25">
      <c r="A552" s="11">
        <f>Table1[[#This Row],[Milk Yield]]-J548</f>
        <v>-46</v>
      </c>
      <c r="B552" t="s">
        <v>24</v>
      </c>
      <c r="C552" s="2">
        <v>2</v>
      </c>
      <c r="D552" s="12">
        <v>45605</v>
      </c>
      <c r="E552" s="2">
        <v>32</v>
      </c>
      <c r="F552" s="13">
        <v>0.66533564814814816</v>
      </c>
      <c r="G552" s="3">
        <v>0.91459490740740745</v>
      </c>
      <c r="H552" s="1">
        <v>0.24861111111111112</v>
      </c>
      <c r="I552" s="5">
        <v>626</v>
      </c>
      <c r="J552">
        <v>5541</v>
      </c>
      <c r="K552">
        <v>105</v>
      </c>
      <c r="L552" s="5">
        <v>128</v>
      </c>
      <c r="M552" s="5">
        <v>626</v>
      </c>
      <c r="N552">
        <v>23</v>
      </c>
      <c r="O552">
        <v>603</v>
      </c>
      <c r="P552" s="1">
        <v>0.21111111111111111</v>
      </c>
      <c r="Q552" s="5">
        <v>926</v>
      </c>
      <c r="R552" s="14">
        <v>8.9</v>
      </c>
      <c r="S552">
        <v>105</v>
      </c>
      <c r="T552" s="5">
        <v>23</v>
      </c>
      <c r="U552" s="5">
        <v>606</v>
      </c>
      <c r="V552" s="5">
        <v>3</v>
      </c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</row>
    <row r="553" spans="1:37" x14ac:dyDescent="0.25">
      <c r="A553" s="11">
        <f>Table1[[#This Row],[Milk Yield]]-J549</f>
        <v>188</v>
      </c>
      <c r="B553" t="s">
        <v>24</v>
      </c>
      <c r="C553" s="2">
        <v>3</v>
      </c>
      <c r="D553" s="12">
        <v>45605</v>
      </c>
      <c r="E553" s="2">
        <v>34</v>
      </c>
      <c r="F553" s="13">
        <v>4.3287037037037035E-3</v>
      </c>
      <c r="G553" s="3">
        <v>0.23412037037037037</v>
      </c>
      <c r="H553" s="1">
        <v>0.22916666666666666</v>
      </c>
      <c r="I553" s="5">
        <v>668</v>
      </c>
      <c r="J553">
        <v>5948</v>
      </c>
      <c r="K553">
        <v>121</v>
      </c>
      <c r="L553" s="5">
        <v>392</v>
      </c>
      <c r="M553" s="5">
        <v>668</v>
      </c>
      <c r="N553">
        <v>51</v>
      </c>
      <c r="O553">
        <v>617</v>
      </c>
      <c r="P553" s="1">
        <v>0.21111111111111111</v>
      </c>
      <c r="Q553" s="5">
        <v>1079</v>
      </c>
      <c r="R553" s="14">
        <v>9</v>
      </c>
      <c r="S553">
        <v>121</v>
      </c>
      <c r="T553" s="5">
        <v>51</v>
      </c>
      <c r="U553" s="5">
        <v>619</v>
      </c>
      <c r="V553" s="5">
        <v>2</v>
      </c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</row>
    <row r="554" spans="1:37" x14ac:dyDescent="0.25">
      <c r="A554" s="11" t="e">
        <f>Table1[[#This Row],[Milk Yield]]-J550</f>
        <v>#VALUE!</v>
      </c>
      <c r="B554" t="s">
        <v>0</v>
      </c>
      <c r="C554" s="2" t="s">
        <v>1</v>
      </c>
      <c r="D554" s="12" t="s">
        <v>2</v>
      </c>
      <c r="E554" s="2" t="s">
        <v>3</v>
      </c>
      <c r="F554" s="13" t="s">
        <v>4</v>
      </c>
      <c r="G554" s="3" t="s">
        <v>5</v>
      </c>
      <c r="H554" s="1" t="s">
        <v>6</v>
      </c>
      <c r="I554" s="5" t="s">
        <v>8</v>
      </c>
      <c r="J554" t="s">
        <v>9</v>
      </c>
      <c r="K554" t="s">
        <v>10</v>
      </c>
      <c r="L554" s="5" t="s">
        <v>11</v>
      </c>
      <c r="M554" s="5" t="s">
        <v>12</v>
      </c>
      <c r="N554" t="s">
        <v>13</v>
      </c>
      <c r="O554" t="s">
        <v>20</v>
      </c>
      <c r="P554" t="s">
        <v>7</v>
      </c>
      <c r="Q554" s="5" t="s">
        <v>15</v>
      </c>
      <c r="R554" s="14" t="s">
        <v>18</v>
      </c>
      <c r="S554" t="s">
        <v>16</v>
      </c>
      <c r="T554" s="5" t="s">
        <v>14</v>
      </c>
      <c r="U554" s="5" t="s">
        <v>17</v>
      </c>
      <c r="V554" s="5" t="s">
        <v>19</v>
      </c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</row>
    <row r="555" spans="1:37" x14ac:dyDescent="0.25">
      <c r="A555" s="11">
        <f>Table1[[#This Row],[Milk Yield]]-J551</f>
        <v>111</v>
      </c>
      <c r="B555" t="s">
        <v>24</v>
      </c>
      <c r="C555" s="2">
        <v>1</v>
      </c>
      <c r="D555" s="12">
        <v>45606</v>
      </c>
      <c r="E555" s="2">
        <v>33</v>
      </c>
      <c r="F555" s="13">
        <v>0.32877314814814818</v>
      </c>
      <c r="G555" s="3">
        <v>0.59255787037037033</v>
      </c>
      <c r="H555" s="1">
        <v>0.26319444444444445</v>
      </c>
      <c r="I555" s="5">
        <v>672</v>
      </c>
      <c r="J555">
        <v>5761</v>
      </c>
      <c r="K555">
        <v>106</v>
      </c>
      <c r="L555" s="5">
        <v>370</v>
      </c>
      <c r="M555" s="5">
        <v>672</v>
      </c>
      <c r="N555">
        <v>53</v>
      </c>
      <c r="O555">
        <v>619</v>
      </c>
      <c r="P555" s="1">
        <v>0.20833333333333334</v>
      </c>
      <c r="Q555" s="5">
        <v>910</v>
      </c>
      <c r="R555" s="14">
        <v>8.6</v>
      </c>
      <c r="S555">
        <v>106</v>
      </c>
      <c r="T555" s="5">
        <v>53</v>
      </c>
      <c r="U555" s="5">
        <v>623</v>
      </c>
      <c r="V555" s="5">
        <v>4</v>
      </c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</row>
    <row r="556" spans="1:37" x14ac:dyDescent="0.25">
      <c r="A556" s="11">
        <f>Table1[[#This Row],[Milk Yield]]-J552</f>
        <v>192</v>
      </c>
      <c r="B556" t="s">
        <v>24</v>
      </c>
      <c r="C556" s="2">
        <v>2</v>
      </c>
      <c r="D556" s="12">
        <v>45606</v>
      </c>
      <c r="E556" s="2">
        <v>32</v>
      </c>
      <c r="F556" s="13">
        <v>0.66533564814814816</v>
      </c>
      <c r="G556" s="3">
        <v>0.90626157407407404</v>
      </c>
      <c r="H556" s="1">
        <v>0.24861111111111112</v>
      </c>
      <c r="I556" s="5">
        <v>626</v>
      </c>
      <c r="J556">
        <v>5733</v>
      </c>
      <c r="K556">
        <v>105</v>
      </c>
      <c r="L556" s="5">
        <v>128</v>
      </c>
      <c r="M556" s="5">
        <v>626</v>
      </c>
      <c r="N556">
        <v>23</v>
      </c>
      <c r="O556">
        <v>603</v>
      </c>
      <c r="P556" s="1">
        <v>0.21111111111111111</v>
      </c>
      <c r="Q556" s="5">
        <v>926</v>
      </c>
      <c r="R556" s="14">
        <v>8.1</v>
      </c>
      <c r="S556">
        <v>105</v>
      </c>
      <c r="T556" s="5">
        <v>23</v>
      </c>
      <c r="U556" s="5">
        <v>606</v>
      </c>
      <c r="V556" s="5">
        <v>3</v>
      </c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</row>
    <row r="557" spans="1:37" x14ac:dyDescent="0.25">
      <c r="A557" s="11">
        <f>Table1[[#This Row],[Milk Yield]]-J553</f>
        <v>-215</v>
      </c>
      <c r="B557" t="s">
        <v>24</v>
      </c>
      <c r="C557" s="2">
        <v>3</v>
      </c>
      <c r="D557" s="12">
        <v>45606</v>
      </c>
      <c r="E557" s="2">
        <v>37</v>
      </c>
      <c r="F557" s="13">
        <v>0.67283564814814811</v>
      </c>
      <c r="G557" s="3">
        <v>0.2431712962962963</v>
      </c>
      <c r="H557" s="1">
        <v>0.2388888888888889</v>
      </c>
      <c r="I557" s="5">
        <v>705</v>
      </c>
      <c r="J557">
        <v>5733</v>
      </c>
      <c r="K557">
        <v>52</v>
      </c>
      <c r="L557" s="5">
        <v>308</v>
      </c>
      <c r="M557" s="5">
        <v>705</v>
      </c>
      <c r="N557">
        <v>44</v>
      </c>
      <c r="O557">
        <v>661</v>
      </c>
      <c r="P557" s="1">
        <v>0.22430555555555556</v>
      </c>
      <c r="Q557" s="5">
        <v>838</v>
      </c>
      <c r="R557" s="14">
        <v>8.1999999999999993</v>
      </c>
      <c r="S557">
        <v>52</v>
      </c>
      <c r="T557" s="5">
        <v>44</v>
      </c>
      <c r="U557" s="5">
        <v>666</v>
      </c>
      <c r="V557" s="5">
        <v>5</v>
      </c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</row>
    <row r="558" spans="1:37" x14ac:dyDescent="0.25">
      <c r="A558" s="11" t="e">
        <f>Table1[[#This Row],[Milk Yield]]-J554</f>
        <v>#VALUE!</v>
      </c>
      <c r="B558" t="s">
        <v>0</v>
      </c>
      <c r="C558" s="2" t="s">
        <v>1</v>
      </c>
      <c r="D558" s="12" t="s">
        <v>2</v>
      </c>
      <c r="E558" s="2" t="s">
        <v>3</v>
      </c>
      <c r="F558" s="13" t="s">
        <v>4</v>
      </c>
      <c r="G558" s="3" t="s">
        <v>5</v>
      </c>
      <c r="H558" s="1" t="s">
        <v>6</v>
      </c>
      <c r="I558" s="5" t="s">
        <v>8</v>
      </c>
      <c r="J558" t="s">
        <v>9</v>
      </c>
      <c r="K558" t="s">
        <v>10</v>
      </c>
      <c r="L558" s="5" t="s">
        <v>11</v>
      </c>
      <c r="M558" s="5" t="s">
        <v>12</v>
      </c>
      <c r="N558" t="s">
        <v>13</v>
      </c>
      <c r="O558" t="s">
        <v>20</v>
      </c>
      <c r="P558" t="s">
        <v>7</v>
      </c>
      <c r="Q558" s="5" t="s">
        <v>15</v>
      </c>
      <c r="R558" s="14" t="s">
        <v>18</v>
      </c>
      <c r="S558" t="s">
        <v>16</v>
      </c>
      <c r="T558" s="5" t="s">
        <v>14</v>
      </c>
      <c r="U558" s="5" t="s">
        <v>17</v>
      </c>
      <c r="V558" s="5" t="s">
        <v>19</v>
      </c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</row>
    <row r="559" spans="1:37" x14ac:dyDescent="0.25">
      <c r="A559" s="11">
        <f>Table1[[#This Row],[Milk Yield]]-J555</f>
        <v>475</v>
      </c>
      <c r="B559" t="s">
        <v>24</v>
      </c>
      <c r="C559" s="2">
        <v>1</v>
      </c>
      <c r="D559" s="12">
        <v>45607</v>
      </c>
      <c r="E559" s="2">
        <v>33</v>
      </c>
      <c r="F559" s="13">
        <v>0.34078703703703705</v>
      </c>
      <c r="G559" s="3">
        <v>0.57598379629629626</v>
      </c>
      <c r="H559" s="1">
        <v>0.23472222222222222</v>
      </c>
      <c r="I559" s="5">
        <v>672</v>
      </c>
      <c r="J559">
        <v>6236</v>
      </c>
      <c r="K559">
        <v>119</v>
      </c>
      <c r="L559" s="5">
        <v>207</v>
      </c>
      <c r="M559" s="5">
        <v>672</v>
      </c>
      <c r="N559">
        <v>26</v>
      </c>
      <c r="O559">
        <v>646</v>
      </c>
      <c r="P559" s="1">
        <v>0.21249999999999999</v>
      </c>
      <c r="Q559" s="5">
        <v>1105</v>
      </c>
      <c r="R559" s="14">
        <v>9.3000000000000007</v>
      </c>
      <c r="S559">
        <v>119</v>
      </c>
      <c r="T559" s="5">
        <v>26</v>
      </c>
      <c r="U559" s="5">
        <v>649</v>
      </c>
      <c r="V559" s="5">
        <v>3</v>
      </c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</row>
    <row r="560" spans="1:37" x14ac:dyDescent="0.25">
      <c r="A560" s="11">
        <f>Table1[[#This Row],[Milk Yield]]-J556</f>
        <v>-681</v>
      </c>
      <c r="B560" t="s">
        <v>24</v>
      </c>
      <c r="C560" s="2">
        <v>2</v>
      </c>
      <c r="D560" s="12">
        <v>45607</v>
      </c>
      <c r="E560" s="2">
        <v>33</v>
      </c>
      <c r="F560" s="13">
        <v>0.66894675925925928</v>
      </c>
      <c r="G560" s="3">
        <v>0.90188657407407402</v>
      </c>
      <c r="H560" s="1">
        <v>0.2326388888888889</v>
      </c>
      <c r="I560" s="5">
        <v>618</v>
      </c>
      <c r="J560">
        <v>5052</v>
      </c>
      <c r="K560">
        <v>111</v>
      </c>
      <c r="L560" s="5">
        <v>165</v>
      </c>
      <c r="M560" s="5">
        <v>618</v>
      </c>
      <c r="N560">
        <v>30</v>
      </c>
      <c r="O560">
        <v>588</v>
      </c>
      <c r="P560" s="1">
        <v>0.19444444444444445</v>
      </c>
      <c r="Q560" s="5">
        <v>904</v>
      </c>
      <c r="R560" s="14">
        <v>8.1999999999999993</v>
      </c>
      <c r="S560">
        <v>111</v>
      </c>
      <c r="T560" s="5">
        <v>30</v>
      </c>
      <c r="U560" s="5">
        <v>591</v>
      </c>
      <c r="V560" s="5">
        <v>3</v>
      </c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</row>
    <row r="561" spans="1:37" x14ac:dyDescent="0.25">
      <c r="A561" s="11">
        <f>Table1[[#This Row],[Milk Yield]]-J557</f>
        <v>613</v>
      </c>
      <c r="B561" t="s">
        <v>24</v>
      </c>
      <c r="C561" s="2">
        <v>3</v>
      </c>
      <c r="D561" s="12">
        <v>45607</v>
      </c>
      <c r="E561" s="2">
        <v>37</v>
      </c>
      <c r="F561" s="13">
        <v>4.4212962962962964E-3</v>
      </c>
      <c r="G561" s="3">
        <v>0.2630439814814815</v>
      </c>
      <c r="H561" s="1">
        <v>0.25833333333333336</v>
      </c>
      <c r="I561" s="5">
        <v>663</v>
      </c>
      <c r="J561">
        <v>6346</v>
      </c>
      <c r="K561">
        <v>107</v>
      </c>
      <c r="L561" s="5">
        <v>193</v>
      </c>
      <c r="M561" s="5">
        <v>663</v>
      </c>
      <c r="N561">
        <v>24</v>
      </c>
      <c r="O561">
        <v>639</v>
      </c>
      <c r="P561" s="1">
        <v>0.2048611111111111</v>
      </c>
      <c r="Q561" s="5">
        <v>1022</v>
      </c>
      <c r="R561" s="14">
        <v>9.6</v>
      </c>
      <c r="S561">
        <v>107</v>
      </c>
      <c r="T561" s="5">
        <v>24</v>
      </c>
      <c r="U561" s="5">
        <v>642</v>
      </c>
      <c r="V561" s="5">
        <v>3</v>
      </c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</row>
    <row r="562" spans="1:37" x14ac:dyDescent="0.25">
      <c r="A562" s="11" t="e">
        <f>Table1[[#This Row],[Milk Yield]]-J558</f>
        <v>#VALUE!</v>
      </c>
      <c r="B562" t="s">
        <v>0</v>
      </c>
      <c r="C562" s="2" t="s">
        <v>1</v>
      </c>
      <c r="D562" s="12" t="s">
        <v>2</v>
      </c>
      <c r="E562" s="2" t="s">
        <v>3</v>
      </c>
      <c r="F562" s="13" t="s">
        <v>4</v>
      </c>
      <c r="G562" s="3" t="s">
        <v>5</v>
      </c>
      <c r="H562" s="1" t="s">
        <v>6</v>
      </c>
      <c r="I562" s="5" t="s">
        <v>8</v>
      </c>
      <c r="J562" t="s">
        <v>9</v>
      </c>
      <c r="K562" t="s">
        <v>10</v>
      </c>
      <c r="L562" s="5" t="s">
        <v>11</v>
      </c>
      <c r="M562" s="5" t="s">
        <v>12</v>
      </c>
      <c r="N562" t="s">
        <v>13</v>
      </c>
      <c r="O562" t="s">
        <v>20</v>
      </c>
      <c r="P562" t="s">
        <v>7</v>
      </c>
      <c r="Q562" s="5" t="s">
        <v>15</v>
      </c>
      <c r="R562" s="14" t="s">
        <v>18</v>
      </c>
      <c r="S562" t="s">
        <v>16</v>
      </c>
      <c r="T562" s="5" t="s">
        <v>14</v>
      </c>
      <c r="U562" s="5" t="s">
        <v>17</v>
      </c>
      <c r="V562" s="5" t="s">
        <v>19</v>
      </c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</row>
    <row r="563" spans="1:37" x14ac:dyDescent="0.25">
      <c r="A563" s="11">
        <f>Table1[[#This Row],[Milk Yield]]-J559</f>
        <v>-746</v>
      </c>
      <c r="B563" t="s">
        <v>24</v>
      </c>
      <c r="C563" s="2">
        <v>1</v>
      </c>
      <c r="D563" s="12">
        <v>45608</v>
      </c>
      <c r="E563" s="2">
        <v>34</v>
      </c>
      <c r="F563" s="13">
        <v>0.33797453703703706</v>
      </c>
      <c r="G563" s="3">
        <v>0.57641203703703703</v>
      </c>
      <c r="H563" s="1">
        <v>0.23819444444444443</v>
      </c>
      <c r="I563" s="5">
        <v>672</v>
      </c>
      <c r="J563">
        <v>5490</v>
      </c>
      <c r="K563">
        <v>117</v>
      </c>
      <c r="L563" s="5">
        <v>191</v>
      </c>
      <c r="M563" s="5">
        <v>672</v>
      </c>
      <c r="N563">
        <v>31</v>
      </c>
      <c r="O563">
        <v>641</v>
      </c>
      <c r="P563" s="1">
        <v>0.1986111111111111</v>
      </c>
      <c r="Q563" s="5">
        <v>959</v>
      </c>
      <c r="R563" s="14">
        <v>8.1999999999999993</v>
      </c>
      <c r="S563">
        <v>117</v>
      </c>
      <c r="T563" s="5">
        <v>31</v>
      </c>
      <c r="U563" s="5">
        <v>642</v>
      </c>
      <c r="V563" s="5">
        <v>3</v>
      </c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</row>
    <row r="564" spans="1:37" x14ac:dyDescent="0.25">
      <c r="A564" s="11">
        <f>Table1[[#This Row],[Milk Yield]]-J560</f>
        <v>316</v>
      </c>
      <c r="B564" t="s">
        <v>24</v>
      </c>
      <c r="C564" s="2">
        <v>2</v>
      </c>
      <c r="D564" s="12">
        <v>45608</v>
      </c>
      <c r="E564" s="2">
        <v>35</v>
      </c>
      <c r="F564" s="13">
        <v>0.66776620370370365</v>
      </c>
      <c r="G564" s="3">
        <v>0.92626157407407406</v>
      </c>
      <c r="H564" s="1">
        <v>0.25833333333333336</v>
      </c>
      <c r="I564" s="5">
        <v>646</v>
      </c>
      <c r="J564">
        <v>5368</v>
      </c>
      <c r="K564">
        <v>104</v>
      </c>
      <c r="L564" s="5">
        <v>298</v>
      </c>
      <c r="M564" s="5">
        <v>646</v>
      </c>
      <c r="N564">
        <v>51</v>
      </c>
      <c r="O564">
        <v>595</v>
      </c>
      <c r="P564" s="1">
        <v>0.20833333333333334</v>
      </c>
      <c r="Q564" s="5">
        <v>865</v>
      </c>
      <c r="R564" s="14">
        <v>8.4</v>
      </c>
      <c r="S564">
        <v>104</v>
      </c>
      <c r="T564" s="5">
        <v>51</v>
      </c>
      <c r="U564" s="5">
        <v>599</v>
      </c>
      <c r="V564" s="5">
        <v>4</v>
      </c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</row>
    <row r="565" spans="1:37" x14ac:dyDescent="0.25">
      <c r="A565" s="11">
        <f>Table1[[#This Row],[Milk Yield]]-J561</f>
        <v>-404</v>
      </c>
      <c r="B565" t="s">
        <v>24</v>
      </c>
      <c r="C565" s="2">
        <v>3</v>
      </c>
      <c r="D565" s="12">
        <v>45608</v>
      </c>
      <c r="E565" s="2">
        <v>38</v>
      </c>
      <c r="F565" s="13">
        <v>0.98949074074074073</v>
      </c>
      <c r="G565" s="3">
        <v>0.25025462962962963</v>
      </c>
      <c r="H565" s="1">
        <v>0.26041666666666669</v>
      </c>
      <c r="I565" s="5">
        <v>658</v>
      </c>
      <c r="J565">
        <v>5942</v>
      </c>
      <c r="K565">
        <v>105</v>
      </c>
      <c r="L565" s="5">
        <v>224</v>
      </c>
      <c r="M565" s="5">
        <v>658</v>
      </c>
      <c r="N565">
        <v>32</v>
      </c>
      <c r="O565">
        <v>626</v>
      </c>
      <c r="P565" s="1">
        <v>0.20208333333333334</v>
      </c>
      <c r="Q565" s="5">
        <v>949</v>
      </c>
      <c r="R565" s="14">
        <v>9.1</v>
      </c>
      <c r="S565">
        <v>105</v>
      </c>
      <c r="T565" s="5">
        <v>32</v>
      </c>
      <c r="U565" s="5">
        <v>630</v>
      </c>
      <c r="V565" s="5">
        <v>4</v>
      </c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</row>
    <row r="566" spans="1:37" x14ac:dyDescent="0.25">
      <c r="A566" s="11" t="e">
        <f>Table1[[#This Row],[Milk Yield]]-J562</f>
        <v>#VALUE!</v>
      </c>
      <c r="B566" t="s">
        <v>0</v>
      </c>
      <c r="C566" s="2" t="s">
        <v>1</v>
      </c>
      <c r="D566" s="12" t="s">
        <v>2</v>
      </c>
      <c r="E566" s="2" t="s">
        <v>3</v>
      </c>
      <c r="F566" s="13" t="s">
        <v>4</v>
      </c>
      <c r="G566" s="3" t="s">
        <v>5</v>
      </c>
      <c r="H566" s="1" t="s">
        <v>6</v>
      </c>
      <c r="I566" s="5" t="s">
        <v>8</v>
      </c>
      <c r="J566" t="s">
        <v>9</v>
      </c>
      <c r="K566" t="s">
        <v>10</v>
      </c>
      <c r="L566" s="5" t="s">
        <v>11</v>
      </c>
      <c r="M566" s="5" t="s">
        <v>12</v>
      </c>
      <c r="N566" t="s">
        <v>13</v>
      </c>
      <c r="O566" t="s">
        <v>20</v>
      </c>
      <c r="P566" t="s">
        <v>7</v>
      </c>
      <c r="Q566" s="5" t="s">
        <v>15</v>
      </c>
      <c r="R566" s="14" t="s">
        <v>18</v>
      </c>
      <c r="S566" t="s">
        <v>16</v>
      </c>
      <c r="T566" s="5" t="s">
        <v>14</v>
      </c>
      <c r="U566" s="5" t="s">
        <v>17</v>
      </c>
      <c r="V566" s="5" t="s">
        <v>19</v>
      </c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</row>
    <row r="567" spans="1:37" x14ac:dyDescent="0.25">
      <c r="A567" s="11">
        <f>Table1[[#This Row],[Milk Yield]]-J563</f>
        <v>78</v>
      </c>
      <c r="B567" t="s">
        <v>24</v>
      </c>
      <c r="C567" s="2">
        <v>1</v>
      </c>
      <c r="D567" s="12">
        <v>45609</v>
      </c>
      <c r="E567" s="2">
        <v>34</v>
      </c>
      <c r="F567" s="13">
        <v>0.33833333333333332</v>
      </c>
      <c r="G567" s="3">
        <v>0.55253472222222222</v>
      </c>
      <c r="H567" s="1">
        <v>0.21388888888888888</v>
      </c>
      <c r="I567" s="5">
        <v>678</v>
      </c>
      <c r="J567">
        <v>5568</v>
      </c>
      <c r="K567">
        <v>132</v>
      </c>
      <c r="L567" s="5">
        <v>136</v>
      </c>
      <c r="M567" s="5">
        <v>678</v>
      </c>
      <c r="N567">
        <v>19</v>
      </c>
      <c r="O567">
        <v>659</v>
      </c>
      <c r="P567" s="1">
        <v>0.18888888888888888</v>
      </c>
      <c r="Q567" s="5">
        <v>1083</v>
      </c>
      <c r="R567" s="14">
        <v>8.3000000000000007</v>
      </c>
      <c r="S567">
        <v>132</v>
      </c>
      <c r="T567" s="5">
        <v>19</v>
      </c>
      <c r="U567" s="5">
        <v>659</v>
      </c>
      <c r="V567" s="5">
        <v>3</v>
      </c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</row>
    <row r="568" spans="1:37" x14ac:dyDescent="0.25">
      <c r="A568" s="11">
        <f>Table1[[#This Row],[Milk Yield]]-J564</f>
        <v>415</v>
      </c>
      <c r="B568" t="s">
        <v>24</v>
      </c>
      <c r="C568" s="2">
        <v>2</v>
      </c>
      <c r="D568" s="12">
        <v>45609</v>
      </c>
      <c r="E568" s="2">
        <v>33</v>
      </c>
      <c r="F568" s="13">
        <v>0.68532407407407403</v>
      </c>
      <c r="G568" s="3">
        <v>0.92724537037037036</v>
      </c>
      <c r="H568" s="1">
        <v>0.24166666666666667</v>
      </c>
      <c r="I568" s="5">
        <v>633</v>
      </c>
      <c r="J568">
        <v>5783</v>
      </c>
      <c r="K568">
        <v>109</v>
      </c>
      <c r="L568" s="5">
        <v>294</v>
      </c>
      <c r="M568" s="5">
        <v>633</v>
      </c>
      <c r="N568">
        <v>37</v>
      </c>
      <c r="O568">
        <v>596</v>
      </c>
      <c r="P568" s="1">
        <v>0.28055555555555556</v>
      </c>
      <c r="Q568" s="5">
        <v>996</v>
      </c>
      <c r="R568" s="14">
        <v>9.1999999999999993</v>
      </c>
      <c r="S568">
        <v>109</v>
      </c>
      <c r="T568" s="5">
        <v>37</v>
      </c>
      <c r="U568" s="5">
        <v>600</v>
      </c>
      <c r="V568" s="5">
        <v>4</v>
      </c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</row>
    <row r="569" spans="1:37" x14ac:dyDescent="0.25">
      <c r="A569" s="11">
        <f>Table1[[#This Row],[Milk Yield]]-J565</f>
        <v>80</v>
      </c>
      <c r="B569" t="s">
        <v>24</v>
      </c>
      <c r="C569" s="2">
        <v>3</v>
      </c>
      <c r="D569" s="12">
        <v>45609</v>
      </c>
      <c r="E569" s="2">
        <v>36</v>
      </c>
      <c r="F569" s="13">
        <v>2.9236111111111112E-2</v>
      </c>
      <c r="G569" s="3">
        <v>0.24449074074074073</v>
      </c>
      <c r="H569" s="1">
        <v>0.21458333333333332</v>
      </c>
      <c r="I569" s="5">
        <v>667</v>
      </c>
      <c r="J569">
        <v>6022</v>
      </c>
      <c r="K569">
        <v>129</v>
      </c>
      <c r="L569" s="5">
        <v>238</v>
      </c>
      <c r="M569" s="5">
        <v>667</v>
      </c>
      <c r="N569">
        <v>28</v>
      </c>
      <c r="O569">
        <v>639</v>
      </c>
      <c r="P569" s="1">
        <v>0.26874999999999999</v>
      </c>
      <c r="Q569" s="5">
        <v>1166</v>
      </c>
      <c r="R569" s="14">
        <v>9.1</v>
      </c>
      <c r="S569">
        <v>129</v>
      </c>
      <c r="T569" s="5">
        <v>28</v>
      </c>
      <c r="U569" s="5">
        <v>642</v>
      </c>
      <c r="V569" s="5">
        <v>3</v>
      </c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</row>
    <row r="570" spans="1:37" x14ac:dyDescent="0.25">
      <c r="A570" s="11" t="e">
        <f>Table1[[#This Row],[Milk Yield]]-J566</f>
        <v>#VALUE!</v>
      </c>
      <c r="B570" t="s">
        <v>0</v>
      </c>
      <c r="C570" s="2" t="s">
        <v>1</v>
      </c>
      <c r="D570" s="12" t="s">
        <v>2</v>
      </c>
      <c r="E570" s="2" t="s">
        <v>3</v>
      </c>
      <c r="F570" s="13" t="s">
        <v>4</v>
      </c>
      <c r="G570" s="3" t="s">
        <v>5</v>
      </c>
      <c r="H570" s="1" t="s">
        <v>6</v>
      </c>
      <c r="I570" s="5" t="s">
        <v>8</v>
      </c>
      <c r="J570" t="s">
        <v>9</v>
      </c>
      <c r="K570" t="s">
        <v>10</v>
      </c>
      <c r="L570" s="5" t="s">
        <v>11</v>
      </c>
      <c r="M570" s="5" t="s">
        <v>12</v>
      </c>
      <c r="N570" t="s">
        <v>13</v>
      </c>
      <c r="O570" t="s">
        <v>20</v>
      </c>
      <c r="P570" t="s">
        <v>7</v>
      </c>
      <c r="Q570" s="5" t="s">
        <v>15</v>
      </c>
      <c r="R570" s="14" t="s">
        <v>18</v>
      </c>
      <c r="S570" t="s">
        <v>16</v>
      </c>
      <c r="T570" s="5" t="s">
        <v>14</v>
      </c>
      <c r="U570" s="5" t="s">
        <v>17</v>
      </c>
      <c r="V570" s="5" t="s">
        <v>19</v>
      </c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</row>
    <row r="571" spans="1:37" x14ac:dyDescent="0.25">
      <c r="A571" s="11">
        <f>Table1[[#This Row],[Milk Yield]]-J567</f>
        <v>67</v>
      </c>
      <c r="B571" t="s">
        <v>24</v>
      </c>
      <c r="C571" s="2">
        <v>1</v>
      </c>
      <c r="D571" s="12">
        <v>45610</v>
      </c>
      <c r="E571" s="2">
        <v>36</v>
      </c>
      <c r="F571" s="13">
        <v>0.33936342592592594</v>
      </c>
      <c r="G571" s="3">
        <v>0.57813657407407404</v>
      </c>
      <c r="H571" s="1">
        <v>0.23819444444444443</v>
      </c>
      <c r="I571" s="5">
        <v>679</v>
      </c>
      <c r="J571">
        <v>5635</v>
      </c>
      <c r="K571">
        <v>118</v>
      </c>
      <c r="L571" s="5">
        <v>194</v>
      </c>
      <c r="M571" s="5">
        <v>679</v>
      </c>
      <c r="N571">
        <v>25</v>
      </c>
      <c r="O571">
        <v>654</v>
      </c>
      <c r="P571" s="1">
        <v>0.24236111111111111</v>
      </c>
      <c r="Q571" s="5">
        <v>983</v>
      </c>
      <c r="R571" s="14">
        <v>8.3000000000000007</v>
      </c>
      <c r="S571">
        <v>118</v>
      </c>
      <c r="T571" s="5">
        <v>25</v>
      </c>
      <c r="U571" s="5">
        <v>658</v>
      </c>
      <c r="V571" s="5">
        <v>4</v>
      </c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</row>
    <row r="572" spans="1:37" x14ac:dyDescent="0.25">
      <c r="A572" s="11">
        <f>Table1[[#This Row],[Milk Yield]]-J568</f>
        <v>-366</v>
      </c>
      <c r="B572" t="s">
        <v>24</v>
      </c>
      <c r="C572" s="2">
        <v>2</v>
      </c>
      <c r="D572" s="12">
        <v>45610</v>
      </c>
      <c r="E572" s="2">
        <v>36</v>
      </c>
      <c r="F572" s="13">
        <v>0.66140046296296295</v>
      </c>
      <c r="G572" s="3">
        <v>0.91145833333333337</v>
      </c>
      <c r="H572" s="1">
        <v>0.25</v>
      </c>
      <c r="I572" s="5">
        <v>632</v>
      </c>
      <c r="J572">
        <v>5417</v>
      </c>
      <c r="K572">
        <v>105</v>
      </c>
      <c r="L572" s="5">
        <v>186</v>
      </c>
      <c r="M572" s="5">
        <v>632</v>
      </c>
      <c r="N572">
        <v>33</v>
      </c>
      <c r="O572">
        <v>599</v>
      </c>
      <c r="P572" s="1">
        <v>0.28125</v>
      </c>
      <c r="Q572" s="5">
        <v>903</v>
      </c>
      <c r="R572" s="14">
        <v>8.6</v>
      </c>
      <c r="S572">
        <v>105</v>
      </c>
      <c r="T572" s="5">
        <v>33</v>
      </c>
      <c r="U572" s="5">
        <v>603</v>
      </c>
      <c r="V572" s="5">
        <v>4</v>
      </c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</row>
    <row r="573" spans="1:37" x14ac:dyDescent="0.25">
      <c r="A573" s="11">
        <f>Table1[[#This Row],[Milk Yield]]-J569</f>
        <v>233</v>
      </c>
      <c r="B573" t="s">
        <v>24</v>
      </c>
      <c r="C573" s="2">
        <v>3</v>
      </c>
      <c r="D573" s="12">
        <v>45610</v>
      </c>
      <c r="E573" s="2">
        <v>40</v>
      </c>
      <c r="F573" s="13">
        <v>5.5902777777777773E-3</v>
      </c>
      <c r="G573" s="3">
        <v>0.26223379629629628</v>
      </c>
      <c r="H573" s="1">
        <v>0.25624999999999998</v>
      </c>
      <c r="I573" s="5">
        <v>677</v>
      </c>
      <c r="J573">
        <v>6255</v>
      </c>
      <c r="K573">
        <v>110</v>
      </c>
      <c r="L573" s="5">
        <v>218</v>
      </c>
      <c r="M573" s="5">
        <v>677</v>
      </c>
      <c r="N573">
        <v>26</v>
      </c>
      <c r="O573">
        <v>651</v>
      </c>
      <c r="P573" s="1">
        <v>0.28472222222222221</v>
      </c>
      <c r="Q573" s="5">
        <v>1015</v>
      </c>
      <c r="R573" s="14">
        <v>9.3000000000000007</v>
      </c>
      <c r="S573">
        <v>110</v>
      </c>
      <c r="T573" s="5">
        <v>26</v>
      </c>
      <c r="U573" s="5">
        <v>655</v>
      </c>
      <c r="V573" s="5">
        <v>4</v>
      </c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</row>
    <row r="574" spans="1:37" x14ac:dyDescent="0.25">
      <c r="A574" s="11" t="e">
        <f>Table1[[#This Row],[Milk Yield]]-J570</f>
        <v>#VALUE!</v>
      </c>
      <c r="B574" t="s">
        <v>0</v>
      </c>
      <c r="C574" s="2" t="s">
        <v>1</v>
      </c>
      <c r="D574" s="12" t="s">
        <v>2</v>
      </c>
      <c r="E574" s="2" t="s">
        <v>3</v>
      </c>
      <c r="F574" s="13" t="s">
        <v>4</v>
      </c>
      <c r="G574" s="3" t="s">
        <v>5</v>
      </c>
      <c r="H574" s="1" t="s">
        <v>6</v>
      </c>
      <c r="I574" s="5" t="s">
        <v>8</v>
      </c>
      <c r="J574" t="s">
        <v>9</v>
      </c>
      <c r="K574" t="s">
        <v>10</v>
      </c>
      <c r="L574" s="5" t="s">
        <v>11</v>
      </c>
      <c r="M574" s="5" t="s">
        <v>12</v>
      </c>
      <c r="N574" t="s">
        <v>13</v>
      </c>
      <c r="O574" t="s">
        <v>20</v>
      </c>
      <c r="P574" t="s">
        <v>7</v>
      </c>
      <c r="Q574" s="5" t="s">
        <v>15</v>
      </c>
      <c r="R574" s="14" t="s">
        <v>18</v>
      </c>
      <c r="S574" t="s">
        <v>16</v>
      </c>
      <c r="T574" s="5" t="s">
        <v>14</v>
      </c>
      <c r="U574" s="5" t="s">
        <v>17</v>
      </c>
      <c r="V574" s="5" t="s">
        <v>19</v>
      </c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</row>
    <row r="575" spans="1:37" x14ac:dyDescent="0.25">
      <c r="A575" s="11">
        <f>Table1[[#This Row],[Milk Yield]]-J571</f>
        <v>30</v>
      </c>
      <c r="B575" t="s">
        <v>24</v>
      </c>
      <c r="C575" s="2">
        <v>1</v>
      </c>
      <c r="D575" s="12">
        <v>45611</v>
      </c>
      <c r="E575" s="2">
        <v>35</v>
      </c>
      <c r="F575" s="13">
        <v>0.33250000000000002</v>
      </c>
      <c r="G575" s="3">
        <v>0.56802083333333331</v>
      </c>
      <c r="H575" s="1">
        <v>0.23541666666666666</v>
      </c>
      <c r="I575" s="5">
        <v>671</v>
      </c>
      <c r="J575">
        <v>5665</v>
      </c>
      <c r="K575">
        <v>119</v>
      </c>
      <c r="L575" s="5">
        <v>174</v>
      </c>
      <c r="M575" s="5">
        <v>670</v>
      </c>
      <c r="N575">
        <v>22</v>
      </c>
      <c r="O575">
        <v>648</v>
      </c>
      <c r="P575" s="1">
        <v>0.27777777777777779</v>
      </c>
      <c r="Q575" s="5">
        <v>1002</v>
      </c>
      <c r="R575" s="14">
        <v>8.5</v>
      </c>
      <c r="S575">
        <v>119</v>
      </c>
      <c r="T575" s="5">
        <v>22</v>
      </c>
      <c r="U575" s="5">
        <v>652</v>
      </c>
      <c r="V575" s="5">
        <v>4</v>
      </c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</row>
    <row r="576" spans="1:37" x14ac:dyDescent="0.25">
      <c r="A576" s="11">
        <f>Table1[[#This Row],[Milk Yield]]-J572</f>
        <v>-463</v>
      </c>
      <c r="B576" t="s">
        <v>24</v>
      </c>
      <c r="C576" s="2">
        <v>2</v>
      </c>
      <c r="D576" s="12">
        <v>45611</v>
      </c>
      <c r="E576" s="2">
        <v>35</v>
      </c>
      <c r="F576" s="13">
        <v>0.66576388888888893</v>
      </c>
      <c r="G576" s="3">
        <v>0.87385416666666671</v>
      </c>
      <c r="H576" s="1">
        <v>0.2076388888888889</v>
      </c>
      <c r="I576" s="5">
        <v>608</v>
      </c>
      <c r="J576">
        <v>4954</v>
      </c>
      <c r="K576">
        <v>122</v>
      </c>
      <c r="L576" s="5">
        <v>207</v>
      </c>
      <c r="M576" s="5">
        <v>607</v>
      </c>
      <c r="N576">
        <v>33</v>
      </c>
      <c r="O576">
        <v>574</v>
      </c>
      <c r="P576" s="1">
        <v>0.27291666666666664</v>
      </c>
      <c r="Q576" s="5">
        <v>992</v>
      </c>
      <c r="R576" s="14">
        <v>8.1999999999999993</v>
      </c>
      <c r="S576">
        <v>122</v>
      </c>
      <c r="T576" s="5">
        <v>33</v>
      </c>
      <c r="U576" s="5">
        <v>578</v>
      </c>
      <c r="V576" s="5">
        <v>4</v>
      </c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</row>
    <row r="577" spans="1:37" x14ac:dyDescent="0.25">
      <c r="A577" s="11">
        <f>Table1[[#This Row],[Milk Yield]]-J573</f>
        <v>167</v>
      </c>
      <c r="B577" t="s">
        <v>24</v>
      </c>
      <c r="C577" s="2">
        <v>3</v>
      </c>
      <c r="D577" s="12">
        <v>45611</v>
      </c>
      <c r="E577" s="2">
        <v>39</v>
      </c>
      <c r="F577" s="13">
        <v>0.98510416666666667</v>
      </c>
      <c r="G577" s="3">
        <v>0.24741898148148148</v>
      </c>
      <c r="H577" s="1">
        <v>0.26180555555555557</v>
      </c>
      <c r="I577" s="5">
        <v>666</v>
      </c>
      <c r="J577">
        <v>6422</v>
      </c>
      <c r="K577">
        <v>106</v>
      </c>
      <c r="L577" s="5">
        <v>214</v>
      </c>
      <c r="M577" s="5">
        <v>660</v>
      </c>
      <c r="N577">
        <v>30</v>
      </c>
      <c r="O577">
        <v>630</v>
      </c>
      <c r="P577" s="1">
        <v>0.29722222222222222</v>
      </c>
      <c r="Q577" s="5">
        <v>1020</v>
      </c>
      <c r="R577" s="14">
        <v>9.8000000000000007</v>
      </c>
      <c r="S577">
        <v>105</v>
      </c>
      <c r="T577" s="5">
        <v>30</v>
      </c>
      <c r="U577" s="5">
        <v>634</v>
      </c>
      <c r="V577" s="5">
        <v>4</v>
      </c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</row>
    <row r="578" spans="1:37" x14ac:dyDescent="0.25">
      <c r="A578" s="11" t="e">
        <f>Table1[[#This Row],[Milk Yield]]-J574</f>
        <v>#VALUE!</v>
      </c>
      <c r="B578" t="s">
        <v>0</v>
      </c>
      <c r="C578" s="2" t="s">
        <v>1</v>
      </c>
      <c r="D578" s="12" t="s">
        <v>2</v>
      </c>
      <c r="E578" s="2" t="s">
        <v>3</v>
      </c>
      <c r="F578" s="13" t="s">
        <v>4</v>
      </c>
      <c r="G578" s="3" t="s">
        <v>5</v>
      </c>
      <c r="H578" s="1" t="s">
        <v>6</v>
      </c>
      <c r="I578" s="5" t="s">
        <v>8</v>
      </c>
      <c r="J578" t="s">
        <v>9</v>
      </c>
      <c r="K578" t="s">
        <v>10</v>
      </c>
      <c r="L578" s="5" t="s">
        <v>11</v>
      </c>
      <c r="M578" s="5" t="s">
        <v>12</v>
      </c>
      <c r="N578" t="s">
        <v>13</v>
      </c>
      <c r="O578" t="s">
        <v>20</v>
      </c>
      <c r="P578" t="s">
        <v>7</v>
      </c>
      <c r="Q578" s="5" t="s">
        <v>15</v>
      </c>
      <c r="R578" s="14" t="s">
        <v>18</v>
      </c>
      <c r="S578" t="s">
        <v>16</v>
      </c>
      <c r="T578" s="5" t="s">
        <v>14</v>
      </c>
      <c r="U578" s="5" t="s">
        <v>17</v>
      </c>
      <c r="V578" s="5" t="s">
        <v>19</v>
      </c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</row>
    <row r="579" spans="1:37" x14ac:dyDescent="0.25">
      <c r="A579" s="11">
        <f>Table1[[#This Row],[Milk Yield]]-J575</f>
        <v>-141</v>
      </c>
      <c r="B579" t="s">
        <v>24</v>
      </c>
      <c r="C579" s="2">
        <v>1</v>
      </c>
      <c r="D579" s="12">
        <v>45612</v>
      </c>
      <c r="E579" s="2">
        <v>35</v>
      </c>
      <c r="F579" s="13">
        <v>0.33403935185185185</v>
      </c>
      <c r="G579" s="3">
        <v>0.56054398148148143</v>
      </c>
      <c r="H579" s="1">
        <v>0.22638888888888889</v>
      </c>
      <c r="I579" s="5">
        <v>657</v>
      </c>
      <c r="J579">
        <v>5524</v>
      </c>
      <c r="K579">
        <v>121</v>
      </c>
      <c r="L579" s="5">
        <v>170</v>
      </c>
      <c r="M579" s="5">
        <v>656</v>
      </c>
      <c r="N579">
        <v>22</v>
      </c>
      <c r="O579">
        <v>634</v>
      </c>
      <c r="P579" s="1">
        <v>0.27569444444444446</v>
      </c>
      <c r="Q579" s="5">
        <v>1016</v>
      </c>
      <c r="R579" s="14">
        <v>8.5</v>
      </c>
      <c r="S579">
        <v>121</v>
      </c>
      <c r="T579" s="5">
        <v>22</v>
      </c>
      <c r="U579" s="5">
        <v>636</v>
      </c>
      <c r="V579" s="5">
        <v>4</v>
      </c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</row>
    <row r="580" spans="1:37" x14ac:dyDescent="0.25">
      <c r="A580" s="11">
        <f>Table1[[#This Row],[Milk Yield]]-J576</f>
        <v>93</v>
      </c>
      <c r="B580" t="s">
        <v>24</v>
      </c>
      <c r="C580" s="2">
        <v>2</v>
      </c>
      <c r="D580" s="12">
        <v>45612</v>
      </c>
      <c r="E580" s="2">
        <v>35</v>
      </c>
      <c r="F580" s="13">
        <v>0.66453703703703704</v>
      </c>
      <c r="G580" s="3">
        <v>0.86857638888888888</v>
      </c>
      <c r="H580" s="1">
        <v>0.20347222222222222</v>
      </c>
      <c r="I580" s="5">
        <v>613</v>
      </c>
      <c r="J580">
        <v>5047</v>
      </c>
      <c r="K580">
        <v>125</v>
      </c>
      <c r="L580" s="5">
        <v>237</v>
      </c>
      <c r="M580" s="5">
        <v>611</v>
      </c>
      <c r="N580">
        <v>37</v>
      </c>
      <c r="O580">
        <v>574</v>
      </c>
      <c r="P580" s="1">
        <v>0.27152777777777776</v>
      </c>
      <c r="Q580" s="5">
        <v>1031</v>
      </c>
      <c r="R580" s="14">
        <v>8.3000000000000007</v>
      </c>
      <c r="S580">
        <v>125</v>
      </c>
      <c r="T580" s="5">
        <v>37</v>
      </c>
      <c r="U580" s="5">
        <v>578</v>
      </c>
      <c r="V580" s="5">
        <v>4</v>
      </c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</row>
    <row r="581" spans="1:37" x14ac:dyDescent="0.25">
      <c r="A581" s="11">
        <f>Table1[[#This Row],[Milk Yield]]-J577</f>
        <v>-105</v>
      </c>
      <c r="B581" t="s">
        <v>24</v>
      </c>
      <c r="C581" s="2">
        <v>3</v>
      </c>
      <c r="D581" s="12">
        <v>45612</v>
      </c>
      <c r="E581" s="2">
        <v>37</v>
      </c>
      <c r="F581" s="13">
        <v>0.98568287037037039</v>
      </c>
      <c r="G581" s="3">
        <v>0.2512152777777778</v>
      </c>
      <c r="H581" s="1">
        <v>0.26527777777777778</v>
      </c>
      <c r="I581" s="5">
        <v>655</v>
      </c>
      <c r="J581">
        <v>6317</v>
      </c>
      <c r="K581">
        <v>103</v>
      </c>
      <c r="L581" s="5">
        <v>292</v>
      </c>
      <c r="M581" s="5">
        <v>648</v>
      </c>
      <c r="N581">
        <v>32</v>
      </c>
      <c r="O581">
        <v>616</v>
      </c>
      <c r="P581" s="1">
        <v>0.28472222222222221</v>
      </c>
      <c r="Q581" s="5">
        <v>991</v>
      </c>
      <c r="R581" s="14">
        <v>9.8000000000000007</v>
      </c>
      <c r="S581">
        <v>102</v>
      </c>
      <c r="T581" s="5">
        <v>32</v>
      </c>
      <c r="U581" s="5">
        <v>621</v>
      </c>
      <c r="V581" s="5">
        <v>5</v>
      </c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</row>
    <row r="582" spans="1:37" x14ac:dyDescent="0.25">
      <c r="A582" s="11" t="e">
        <f>Table1[[#This Row],[Milk Yield]]-J578</f>
        <v>#VALUE!</v>
      </c>
      <c r="B582" t="s">
        <v>0</v>
      </c>
      <c r="C582" s="2" t="s">
        <v>1</v>
      </c>
      <c r="D582" s="12" t="s">
        <v>2</v>
      </c>
      <c r="E582" s="2" t="s">
        <v>3</v>
      </c>
      <c r="F582" s="13" t="s">
        <v>4</v>
      </c>
      <c r="G582" s="3" t="s">
        <v>5</v>
      </c>
      <c r="H582" s="1" t="s">
        <v>6</v>
      </c>
      <c r="I582" s="5" t="s">
        <v>8</v>
      </c>
      <c r="J582" t="s">
        <v>9</v>
      </c>
      <c r="K582" t="s">
        <v>10</v>
      </c>
      <c r="L582" s="5" t="s">
        <v>11</v>
      </c>
      <c r="M582" s="5" t="s">
        <v>12</v>
      </c>
      <c r="N582" t="s">
        <v>13</v>
      </c>
      <c r="O582" t="s">
        <v>20</v>
      </c>
      <c r="P582" t="s">
        <v>7</v>
      </c>
      <c r="Q582" s="5" t="s">
        <v>15</v>
      </c>
      <c r="R582" s="14" t="s">
        <v>18</v>
      </c>
      <c r="S582" t="s">
        <v>16</v>
      </c>
      <c r="T582" s="5" t="s">
        <v>14</v>
      </c>
      <c r="U582" s="5" t="s">
        <v>17</v>
      </c>
      <c r="V582" s="5" t="s">
        <v>19</v>
      </c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</row>
    <row r="583" spans="1:37" x14ac:dyDescent="0.25">
      <c r="A583" s="11">
        <f>Table1[[#This Row],[Milk Yield]]-J579</f>
        <v>426</v>
      </c>
      <c r="B583" t="s">
        <v>24</v>
      </c>
      <c r="C583" s="2">
        <v>1</v>
      </c>
      <c r="D583" s="12">
        <v>45613</v>
      </c>
      <c r="E583" s="2">
        <v>33</v>
      </c>
      <c r="F583" s="13">
        <v>0.34495370370370371</v>
      </c>
      <c r="G583" s="3">
        <v>0.57506944444444441</v>
      </c>
      <c r="H583" s="1">
        <v>0.2298611111111111</v>
      </c>
      <c r="I583" s="5">
        <v>653</v>
      </c>
      <c r="J583">
        <v>5950</v>
      </c>
      <c r="K583">
        <v>118</v>
      </c>
      <c r="L583" s="5">
        <v>188</v>
      </c>
      <c r="M583" s="5">
        <v>653</v>
      </c>
      <c r="N583">
        <v>22</v>
      </c>
      <c r="O583">
        <v>631</v>
      </c>
      <c r="P583" s="1">
        <v>0.29930555555555555</v>
      </c>
      <c r="Q583" s="5">
        <v>1077</v>
      </c>
      <c r="R583" s="14">
        <v>9.1999999999999993</v>
      </c>
      <c r="S583">
        <v>118</v>
      </c>
      <c r="T583" s="5">
        <v>22</v>
      </c>
      <c r="U583" s="5">
        <v>636</v>
      </c>
      <c r="V583" s="5">
        <v>5</v>
      </c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</row>
    <row r="584" spans="1:37" x14ac:dyDescent="0.25">
      <c r="A584" s="11">
        <f>Table1[[#This Row],[Milk Yield]]-J580</f>
        <v>-484</v>
      </c>
      <c r="B584" t="s">
        <v>24</v>
      </c>
      <c r="C584" s="2">
        <v>2</v>
      </c>
      <c r="D584" s="12">
        <v>45613</v>
      </c>
      <c r="E584" s="2">
        <v>34</v>
      </c>
      <c r="F584" s="13">
        <v>0.67008101851851853</v>
      </c>
      <c r="G584" s="3">
        <v>0.8678703703703704</v>
      </c>
      <c r="H584" s="1">
        <v>0.19722222222222222</v>
      </c>
      <c r="I584" s="5">
        <v>609</v>
      </c>
      <c r="J584">
        <v>4563</v>
      </c>
      <c r="K584">
        <v>128</v>
      </c>
      <c r="L584" s="5">
        <v>171</v>
      </c>
      <c r="M584" s="5">
        <v>608</v>
      </c>
      <c r="N584">
        <v>28</v>
      </c>
      <c r="O584">
        <v>580</v>
      </c>
      <c r="P584" s="1">
        <v>0.24444444444444444</v>
      </c>
      <c r="Q584" s="5">
        <v>961</v>
      </c>
      <c r="R584" s="14">
        <v>7.6</v>
      </c>
      <c r="S584">
        <v>128</v>
      </c>
      <c r="T584" s="5">
        <v>28</v>
      </c>
      <c r="U584" s="5">
        <v>584</v>
      </c>
      <c r="V584" s="5">
        <v>4</v>
      </c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</row>
    <row r="585" spans="1:37" x14ac:dyDescent="0.25">
      <c r="A585" s="11">
        <f>Table1[[#This Row],[Milk Yield]]-J581</f>
        <v>266</v>
      </c>
      <c r="B585" t="s">
        <v>24</v>
      </c>
      <c r="C585" s="2">
        <v>3</v>
      </c>
      <c r="D585" s="12">
        <v>45613</v>
      </c>
      <c r="E585" s="2">
        <v>37</v>
      </c>
      <c r="F585" s="13">
        <v>9.5949074074074079E-3</v>
      </c>
      <c r="G585" s="3">
        <v>0.25653935185185184</v>
      </c>
      <c r="H585" s="1">
        <v>0.24652777777777779</v>
      </c>
      <c r="I585" s="5">
        <v>666</v>
      </c>
      <c r="J585">
        <v>6583</v>
      </c>
      <c r="K585">
        <v>112</v>
      </c>
      <c r="L585" s="5">
        <v>424</v>
      </c>
      <c r="M585" s="5">
        <v>662</v>
      </c>
      <c r="N585">
        <v>50</v>
      </c>
      <c r="O585">
        <v>612</v>
      </c>
      <c r="P585" s="1">
        <v>0.28611111111111109</v>
      </c>
      <c r="Q585" s="5">
        <v>1111</v>
      </c>
      <c r="R585" s="14">
        <v>10</v>
      </c>
      <c r="S585">
        <v>112</v>
      </c>
      <c r="T585" s="5">
        <v>50</v>
      </c>
      <c r="U585" s="5">
        <v>616</v>
      </c>
      <c r="V585" s="5">
        <v>4</v>
      </c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</row>
    <row r="586" spans="1:37" x14ac:dyDescent="0.25">
      <c r="A586" s="11" t="e">
        <f>Table1[[#This Row],[Milk Yield]]-J582</f>
        <v>#VALUE!</v>
      </c>
      <c r="B586" t="s">
        <v>0</v>
      </c>
      <c r="C586" s="2" t="s">
        <v>1</v>
      </c>
      <c r="D586" s="12" t="s">
        <v>2</v>
      </c>
      <c r="E586" s="2" t="s">
        <v>3</v>
      </c>
      <c r="F586" s="13" t="s">
        <v>4</v>
      </c>
      <c r="G586" s="3" t="s">
        <v>5</v>
      </c>
      <c r="H586" s="1" t="s">
        <v>6</v>
      </c>
      <c r="I586" s="5" t="s">
        <v>8</v>
      </c>
      <c r="J586" t="s">
        <v>9</v>
      </c>
      <c r="K586" t="s">
        <v>10</v>
      </c>
      <c r="L586" s="5" t="s">
        <v>11</v>
      </c>
      <c r="M586" s="5" t="s">
        <v>12</v>
      </c>
      <c r="N586" t="s">
        <v>13</v>
      </c>
      <c r="O586" t="s">
        <v>20</v>
      </c>
      <c r="P586" t="s">
        <v>7</v>
      </c>
      <c r="Q586" s="5" t="s">
        <v>15</v>
      </c>
      <c r="R586" s="14" t="s">
        <v>18</v>
      </c>
      <c r="S586" t="s">
        <v>16</v>
      </c>
      <c r="T586" s="5" t="s">
        <v>14</v>
      </c>
      <c r="U586" s="5" t="s">
        <v>17</v>
      </c>
      <c r="V586" s="5" t="s">
        <v>19</v>
      </c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</row>
    <row r="587" spans="1:37" x14ac:dyDescent="0.25">
      <c r="A587" s="11">
        <f>Table1[[#This Row],[Milk Yield]]-J583</f>
        <v>-469</v>
      </c>
      <c r="B587" t="s">
        <v>24</v>
      </c>
      <c r="C587" s="2">
        <v>1</v>
      </c>
      <c r="D587" s="12">
        <v>45614</v>
      </c>
      <c r="E587" s="2">
        <v>34</v>
      </c>
      <c r="F587" s="13">
        <v>0.32369212962962962</v>
      </c>
      <c r="G587" s="3">
        <v>0.59540509259259256</v>
      </c>
      <c r="H587" s="1">
        <v>0.27152777777777776</v>
      </c>
      <c r="I587" s="5">
        <v>656</v>
      </c>
      <c r="J587">
        <v>5481</v>
      </c>
      <c r="K587">
        <v>101</v>
      </c>
      <c r="L587" s="5">
        <v>217</v>
      </c>
      <c r="M587" s="5">
        <v>655</v>
      </c>
      <c r="N587">
        <v>30</v>
      </c>
      <c r="O587">
        <v>625</v>
      </c>
      <c r="P587" s="1">
        <v>0.24722222222222223</v>
      </c>
      <c r="Q587" s="5">
        <v>841</v>
      </c>
      <c r="R587" s="14">
        <v>8.4</v>
      </c>
      <c r="S587">
        <v>100</v>
      </c>
      <c r="T587" s="5">
        <v>30</v>
      </c>
      <c r="U587" s="5">
        <v>632</v>
      </c>
      <c r="V587" s="5">
        <v>8</v>
      </c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</row>
    <row r="588" spans="1:37" x14ac:dyDescent="0.25">
      <c r="A588" s="11">
        <f>Table1[[#This Row],[Milk Yield]]-J584</f>
        <v>275</v>
      </c>
      <c r="B588" t="s">
        <v>24</v>
      </c>
      <c r="C588" s="2">
        <v>2</v>
      </c>
      <c r="D588" s="12">
        <v>45614</v>
      </c>
      <c r="E588" s="2">
        <v>31</v>
      </c>
      <c r="F588" s="13">
        <v>0.66758101851851848</v>
      </c>
      <c r="G588" s="3">
        <v>0.86663194444444447</v>
      </c>
      <c r="H588" s="1">
        <v>0.1986111111111111</v>
      </c>
      <c r="I588" s="5">
        <v>592</v>
      </c>
      <c r="J588">
        <v>4838</v>
      </c>
      <c r="K588">
        <v>124</v>
      </c>
      <c r="L588" s="5">
        <v>157</v>
      </c>
      <c r="M588" s="5">
        <v>592</v>
      </c>
      <c r="N588">
        <v>22</v>
      </c>
      <c r="O588">
        <v>570</v>
      </c>
      <c r="P588" s="1">
        <v>0.2722222222222222</v>
      </c>
      <c r="Q588" s="5">
        <v>1013</v>
      </c>
      <c r="R588" s="14">
        <v>8.1999999999999993</v>
      </c>
      <c r="S588">
        <v>124</v>
      </c>
      <c r="T588" s="5">
        <v>22</v>
      </c>
      <c r="U588" s="5">
        <v>572</v>
      </c>
      <c r="V588" s="5">
        <v>2</v>
      </c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</row>
    <row r="589" spans="1:37" x14ac:dyDescent="0.25">
      <c r="A589" s="11">
        <f>Table1[[#This Row],[Milk Yield]]-J585</f>
        <v>-243</v>
      </c>
      <c r="B589" t="s">
        <v>24</v>
      </c>
      <c r="C589" s="2">
        <v>3</v>
      </c>
      <c r="D589" s="12">
        <v>45614</v>
      </c>
      <c r="E589" s="2">
        <v>39</v>
      </c>
      <c r="F589" s="13">
        <v>0.99836805555555552</v>
      </c>
      <c r="G589" s="3">
        <v>0.21747685185185187</v>
      </c>
      <c r="H589" s="1">
        <v>0.21875</v>
      </c>
      <c r="I589" s="5">
        <v>669</v>
      </c>
      <c r="J589">
        <v>6340</v>
      </c>
      <c r="K589">
        <v>127</v>
      </c>
      <c r="L589" s="5">
        <v>225</v>
      </c>
      <c r="M589" s="5">
        <v>668</v>
      </c>
      <c r="N589">
        <v>36</v>
      </c>
      <c r="O589">
        <v>632</v>
      </c>
      <c r="P589" s="1">
        <v>0.29375000000000001</v>
      </c>
      <c r="Q589" s="5">
        <v>1206</v>
      </c>
      <c r="R589" s="14">
        <v>9.5</v>
      </c>
      <c r="S589">
        <v>127</v>
      </c>
      <c r="T589" s="5">
        <v>36</v>
      </c>
      <c r="U589" s="5">
        <v>635</v>
      </c>
      <c r="V589" s="5">
        <v>3</v>
      </c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</row>
    <row r="590" spans="1:37" x14ac:dyDescent="0.25">
      <c r="A590" s="11" t="e">
        <f>Table1[[#This Row],[Milk Yield]]-J586</f>
        <v>#VALUE!</v>
      </c>
      <c r="B590" t="s">
        <v>0</v>
      </c>
      <c r="C590" s="2" t="s">
        <v>1</v>
      </c>
      <c r="D590" s="12" t="s">
        <v>2</v>
      </c>
      <c r="E590" s="2" t="s">
        <v>3</v>
      </c>
      <c r="F590" s="13" t="s">
        <v>4</v>
      </c>
      <c r="G590" s="3" t="s">
        <v>5</v>
      </c>
      <c r="H590" s="1" t="s">
        <v>6</v>
      </c>
      <c r="I590" s="5" t="s">
        <v>8</v>
      </c>
      <c r="J590" t="s">
        <v>9</v>
      </c>
      <c r="K590" t="s">
        <v>10</v>
      </c>
      <c r="L590" s="5" t="s">
        <v>11</v>
      </c>
      <c r="M590" s="5" t="s">
        <v>12</v>
      </c>
      <c r="N590" t="s">
        <v>13</v>
      </c>
      <c r="O590" t="s">
        <v>20</v>
      </c>
      <c r="P590" t="s">
        <v>7</v>
      </c>
      <c r="Q590" s="5" t="s">
        <v>15</v>
      </c>
      <c r="R590" s="14" t="s">
        <v>18</v>
      </c>
      <c r="S590" t="s">
        <v>16</v>
      </c>
      <c r="T590" s="5" t="s">
        <v>14</v>
      </c>
      <c r="U590" s="5" t="s">
        <v>17</v>
      </c>
      <c r="V590" s="5" t="s">
        <v>19</v>
      </c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</row>
    <row r="591" spans="1:37" x14ac:dyDescent="0.25">
      <c r="A591" s="11">
        <f>Table1[[#This Row],[Milk Yield]]-J587</f>
        <v>251</v>
      </c>
      <c r="B591" t="s">
        <v>24</v>
      </c>
      <c r="C591" s="2">
        <v>1</v>
      </c>
      <c r="D591" s="12">
        <v>45615</v>
      </c>
      <c r="E591" s="2">
        <v>33</v>
      </c>
      <c r="F591" s="13">
        <v>0.34226851851851853</v>
      </c>
      <c r="G591" s="3">
        <v>0.58620370370370367</v>
      </c>
      <c r="H591" s="1">
        <v>0.24374999999999999</v>
      </c>
      <c r="I591" s="5">
        <v>657</v>
      </c>
      <c r="J591">
        <v>5732</v>
      </c>
      <c r="K591">
        <v>112</v>
      </c>
      <c r="L591" s="5">
        <v>181</v>
      </c>
      <c r="M591" s="5">
        <v>657</v>
      </c>
      <c r="N591">
        <v>28</v>
      </c>
      <c r="O591">
        <v>629</v>
      </c>
      <c r="P591" s="1">
        <v>0.26874999999999999</v>
      </c>
      <c r="Q591" s="5">
        <v>979</v>
      </c>
      <c r="R591" s="14">
        <v>8.8000000000000007</v>
      </c>
      <c r="S591">
        <v>112</v>
      </c>
      <c r="T591" s="5">
        <v>28</v>
      </c>
      <c r="U591" s="5">
        <v>629</v>
      </c>
      <c r="V591" s="5">
        <v>2</v>
      </c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</row>
    <row r="592" spans="1:37" x14ac:dyDescent="0.25">
      <c r="A592" s="11">
        <f>Table1[[#This Row],[Milk Yield]]-J588</f>
        <v>334</v>
      </c>
      <c r="B592" t="s">
        <v>24</v>
      </c>
      <c r="C592" s="2">
        <v>2</v>
      </c>
      <c r="D592" s="12">
        <v>45615</v>
      </c>
      <c r="E592" s="2">
        <v>33</v>
      </c>
      <c r="F592" s="13">
        <v>0.67039351851851847</v>
      </c>
      <c r="G592" s="3">
        <v>0.86594907407407407</v>
      </c>
      <c r="H592" s="1">
        <v>0.19513888888888889</v>
      </c>
      <c r="I592" s="5">
        <v>614</v>
      </c>
      <c r="J592">
        <v>5172</v>
      </c>
      <c r="K592">
        <v>131</v>
      </c>
      <c r="L592" s="5">
        <v>270</v>
      </c>
      <c r="M592" s="5">
        <v>614</v>
      </c>
      <c r="N592">
        <v>36</v>
      </c>
      <c r="O592">
        <v>578</v>
      </c>
      <c r="P592" s="1">
        <v>0.27361111111111114</v>
      </c>
      <c r="Q592" s="5">
        <v>1102</v>
      </c>
      <c r="R592" s="14">
        <v>8.5</v>
      </c>
      <c r="S592">
        <v>131</v>
      </c>
      <c r="T592" s="5">
        <v>36</v>
      </c>
      <c r="U592" s="5">
        <v>580</v>
      </c>
      <c r="V592" s="5">
        <v>2</v>
      </c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</row>
    <row r="593" spans="1:37" x14ac:dyDescent="0.25">
      <c r="A593" s="11">
        <f>Table1[[#This Row],[Milk Yield]]-J589</f>
        <v>59</v>
      </c>
      <c r="B593" t="s">
        <v>24</v>
      </c>
      <c r="C593" s="2">
        <v>3</v>
      </c>
      <c r="D593" s="12">
        <v>45615</v>
      </c>
      <c r="E593" s="2">
        <v>37</v>
      </c>
      <c r="F593" s="13">
        <v>4.6296296296296294E-5</v>
      </c>
      <c r="G593" s="3">
        <v>0.24767361111111111</v>
      </c>
      <c r="H593" s="1">
        <v>0.24722222222222223</v>
      </c>
      <c r="I593" s="5">
        <v>675</v>
      </c>
      <c r="J593">
        <v>6399</v>
      </c>
      <c r="K593">
        <v>114</v>
      </c>
      <c r="L593" s="5">
        <v>299</v>
      </c>
      <c r="M593" s="5">
        <v>675</v>
      </c>
      <c r="N593">
        <v>38</v>
      </c>
      <c r="O593">
        <v>637</v>
      </c>
      <c r="P593" s="1">
        <v>0.27291666666666664</v>
      </c>
      <c r="Q593" s="5">
        <v>1077</v>
      </c>
      <c r="R593" s="14">
        <v>9.5</v>
      </c>
      <c r="S593">
        <v>114</v>
      </c>
      <c r="T593" s="5">
        <v>38</v>
      </c>
      <c r="U593" s="5">
        <v>640</v>
      </c>
      <c r="V593" s="5">
        <v>3</v>
      </c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</row>
    <row r="594" spans="1:37" x14ac:dyDescent="0.25">
      <c r="A594" s="11" t="e">
        <f>Table1[[#This Row],[Milk Yield]]-J590</f>
        <v>#VALUE!</v>
      </c>
      <c r="B594" t="s">
        <v>0</v>
      </c>
      <c r="C594" s="2" t="s">
        <v>1</v>
      </c>
      <c r="D594" s="12" t="s">
        <v>2</v>
      </c>
      <c r="E594" s="2" t="s">
        <v>3</v>
      </c>
      <c r="F594" s="13" t="s">
        <v>4</v>
      </c>
      <c r="G594" s="3" t="s">
        <v>5</v>
      </c>
      <c r="H594" s="1" t="s">
        <v>6</v>
      </c>
      <c r="I594" s="5" t="s">
        <v>8</v>
      </c>
      <c r="J594" t="s">
        <v>9</v>
      </c>
      <c r="K594" t="s">
        <v>10</v>
      </c>
      <c r="L594" s="5" t="s">
        <v>11</v>
      </c>
      <c r="M594" s="5" t="s">
        <v>12</v>
      </c>
      <c r="N594" t="s">
        <v>13</v>
      </c>
      <c r="O594" t="s">
        <v>20</v>
      </c>
      <c r="P594" t="s">
        <v>7</v>
      </c>
      <c r="Q594" s="5" t="s">
        <v>15</v>
      </c>
      <c r="R594" s="14" t="s">
        <v>18</v>
      </c>
      <c r="S594" t="s">
        <v>16</v>
      </c>
      <c r="T594" s="5" t="s">
        <v>14</v>
      </c>
      <c r="U594" s="5" t="s">
        <v>17</v>
      </c>
      <c r="V594" s="5" t="s">
        <v>19</v>
      </c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</row>
    <row r="595" spans="1:37" x14ac:dyDescent="0.25">
      <c r="A595" s="11">
        <f>Table1[[#This Row],[Milk Yield]]-J591</f>
        <v>-57</v>
      </c>
      <c r="B595" t="s">
        <v>24</v>
      </c>
      <c r="C595" s="2">
        <v>1</v>
      </c>
      <c r="D595" s="12">
        <v>45616</v>
      </c>
      <c r="E595" s="2">
        <v>31</v>
      </c>
      <c r="F595" s="13">
        <v>0.3371527777777778</v>
      </c>
      <c r="G595" s="3">
        <v>0.56325231481481486</v>
      </c>
      <c r="H595" s="1">
        <v>0.22569444444444445</v>
      </c>
      <c r="I595" s="5">
        <v>646</v>
      </c>
      <c r="J595">
        <v>5675</v>
      </c>
      <c r="K595">
        <v>119</v>
      </c>
      <c r="L595" s="5">
        <v>220</v>
      </c>
      <c r="M595" s="5">
        <v>645</v>
      </c>
      <c r="N595">
        <v>27</v>
      </c>
      <c r="O595">
        <v>618</v>
      </c>
      <c r="P595" s="1">
        <v>0.29652777777777778</v>
      </c>
      <c r="Q595" s="5">
        <v>1046</v>
      </c>
      <c r="R595" s="14">
        <v>8.8000000000000007</v>
      </c>
      <c r="S595">
        <v>119</v>
      </c>
      <c r="T595" s="5">
        <v>27</v>
      </c>
      <c r="U595" s="5">
        <v>620</v>
      </c>
      <c r="V595" s="5">
        <v>3</v>
      </c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</row>
    <row r="596" spans="1:37" x14ac:dyDescent="0.25">
      <c r="A596" s="11">
        <f>Table1[[#This Row],[Milk Yield]]-J592</f>
        <v>-233</v>
      </c>
      <c r="B596" t="s">
        <v>24</v>
      </c>
      <c r="C596" s="2">
        <v>2</v>
      </c>
      <c r="D596" s="12">
        <v>45616</v>
      </c>
      <c r="E596" s="2">
        <v>36</v>
      </c>
      <c r="F596" s="13">
        <v>0.66662037037037036</v>
      </c>
      <c r="G596" s="3">
        <v>0.87140046296296292</v>
      </c>
      <c r="H596" s="1">
        <v>0.20416666666666666</v>
      </c>
      <c r="I596" s="5">
        <v>618</v>
      </c>
      <c r="J596">
        <v>4939</v>
      </c>
      <c r="K596">
        <v>126</v>
      </c>
      <c r="L596" s="5">
        <v>197</v>
      </c>
      <c r="M596" s="5">
        <v>618</v>
      </c>
      <c r="N596">
        <v>31</v>
      </c>
      <c r="O596">
        <v>587</v>
      </c>
      <c r="P596" s="1">
        <v>0.25</v>
      </c>
      <c r="Q596" s="5">
        <v>1005</v>
      </c>
      <c r="R596" s="14">
        <v>8</v>
      </c>
      <c r="S596">
        <v>126</v>
      </c>
      <c r="T596" s="5">
        <v>31</v>
      </c>
      <c r="U596" s="5">
        <v>589</v>
      </c>
      <c r="V596" s="5">
        <v>2</v>
      </c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</row>
    <row r="597" spans="1:37" x14ac:dyDescent="0.25">
      <c r="A597" s="11">
        <f>Table1[[#This Row],[Milk Yield]]-J593</f>
        <v>-39</v>
      </c>
      <c r="B597" t="s">
        <v>24</v>
      </c>
      <c r="C597" s="2">
        <v>3</v>
      </c>
      <c r="D597" s="12">
        <v>45616</v>
      </c>
      <c r="E597" s="2">
        <v>38</v>
      </c>
      <c r="F597" s="13">
        <v>0.99975694444444441</v>
      </c>
      <c r="G597" s="3">
        <v>0.22743055555555555</v>
      </c>
      <c r="H597" s="1">
        <v>0.22708333333333333</v>
      </c>
      <c r="I597" s="5">
        <v>683</v>
      </c>
      <c r="J597">
        <v>6360</v>
      </c>
      <c r="K597">
        <v>125</v>
      </c>
      <c r="L597" s="5">
        <v>352</v>
      </c>
      <c r="M597" s="5">
        <v>683</v>
      </c>
      <c r="N597">
        <v>50</v>
      </c>
      <c r="O597">
        <v>633</v>
      </c>
      <c r="P597" s="1">
        <v>0.27986111111111112</v>
      </c>
      <c r="Q597" s="5">
        <v>1164</v>
      </c>
      <c r="R597" s="14">
        <v>9.4</v>
      </c>
      <c r="S597">
        <v>125</v>
      </c>
      <c r="T597" s="5">
        <v>50</v>
      </c>
      <c r="U597" s="5">
        <v>636</v>
      </c>
      <c r="V597" s="5">
        <v>3</v>
      </c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</row>
    <row r="598" spans="1:37" x14ac:dyDescent="0.25">
      <c r="A598" s="11" t="e">
        <f>Table1[[#This Row],[Milk Yield]]-J594</f>
        <v>#VALUE!</v>
      </c>
      <c r="B598" t="s">
        <v>0</v>
      </c>
      <c r="C598" s="2" t="s">
        <v>1</v>
      </c>
      <c r="D598" s="12" t="s">
        <v>2</v>
      </c>
      <c r="E598" s="2" t="s">
        <v>3</v>
      </c>
      <c r="F598" s="13" t="s">
        <v>4</v>
      </c>
      <c r="G598" s="3" t="s">
        <v>5</v>
      </c>
      <c r="H598" s="1" t="s">
        <v>6</v>
      </c>
      <c r="I598" s="5" t="s">
        <v>8</v>
      </c>
      <c r="J598" t="s">
        <v>9</v>
      </c>
      <c r="K598" t="s">
        <v>10</v>
      </c>
      <c r="L598" s="5" t="s">
        <v>11</v>
      </c>
      <c r="M598" s="5" t="s">
        <v>12</v>
      </c>
      <c r="N598" t="s">
        <v>13</v>
      </c>
      <c r="O598" t="s">
        <v>20</v>
      </c>
      <c r="P598" t="s">
        <v>7</v>
      </c>
      <c r="Q598" s="5" t="s">
        <v>15</v>
      </c>
      <c r="R598" s="14" t="s">
        <v>18</v>
      </c>
      <c r="S598" t="s">
        <v>16</v>
      </c>
      <c r="T598" s="5" t="s">
        <v>14</v>
      </c>
      <c r="U598" s="5" t="s">
        <v>17</v>
      </c>
      <c r="V598" s="5" t="s">
        <v>19</v>
      </c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</row>
    <row r="599" spans="1:37" x14ac:dyDescent="0.25">
      <c r="A599" s="11">
        <f>Table1[[#This Row],[Milk Yield]]-J595</f>
        <v>-13</v>
      </c>
      <c r="B599" t="s">
        <v>24</v>
      </c>
      <c r="C599" s="2">
        <v>1</v>
      </c>
      <c r="D599" s="12">
        <v>45617</v>
      </c>
      <c r="E599" s="2">
        <v>32</v>
      </c>
      <c r="F599" s="13">
        <v>0.3414699074074074</v>
      </c>
      <c r="G599" s="3">
        <v>0.56950231481481484</v>
      </c>
      <c r="H599" s="1">
        <v>0.22777777777777777</v>
      </c>
      <c r="I599" s="5">
        <v>658</v>
      </c>
      <c r="J599">
        <v>5662</v>
      </c>
      <c r="K599">
        <v>120</v>
      </c>
      <c r="L599" s="5">
        <v>178</v>
      </c>
      <c r="M599" s="5">
        <v>658</v>
      </c>
      <c r="N599">
        <v>24</v>
      </c>
      <c r="O599">
        <v>634</v>
      </c>
      <c r="P599" s="1">
        <v>0.24166666666666667</v>
      </c>
      <c r="Q599" s="5">
        <v>1035</v>
      </c>
      <c r="R599" s="14">
        <v>8.6999999999999993</v>
      </c>
      <c r="S599">
        <v>120</v>
      </c>
      <c r="T599" s="5">
        <v>24</v>
      </c>
      <c r="U599" s="5">
        <v>633</v>
      </c>
      <c r="V599" s="5">
        <v>3</v>
      </c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</row>
    <row r="600" spans="1:37" x14ac:dyDescent="0.25">
      <c r="A600" s="11">
        <f>Table1[[#This Row],[Milk Yield]]-J596</f>
        <v>451</v>
      </c>
      <c r="B600" t="s">
        <v>24</v>
      </c>
      <c r="C600" s="2">
        <v>2</v>
      </c>
      <c r="D600" s="12">
        <v>45617</v>
      </c>
      <c r="E600" s="2">
        <v>33</v>
      </c>
      <c r="F600" s="13">
        <v>0.66734953703703703</v>
      </c>
      <c r="G600" s="3">
        <v>0.87842592592592594</v>
      </c>
      <c r="H600" s="1">
        <v>0.21041666666666667</v>
      </c>
      <c r="I600" s="5">
        <v>624</v>
      </c>
      <c r="J600">
        <v>5390</v>
      </c>
      <c r="K600">
        <v>123</v>
      </c>
      <c r="L600" s="5">
        <v>178</v>
      </c>
      <c r="M600" s="5">
        <v>624</v>
      </c>
      <c r="N600">
        <v>25</v>
      </c>
      <c r="O600">
        <v>599</v>
      </c>
      <c r="P600" s="1">
        <v>0.25069444444444444</v>
      </c>
      <c r="Q600" s="5">
        <v>1064</v>
      </c>
      <c r="R600" s="14">
        <v>8.6999999999999993</v>
      </c>
      <c r="S600">
        <v>123</v>
      </c>
      <c r="T600" s="5">
        <v>25</v>
      </c>
      <c r="U600" s="5">
        <v>601</v>
      </c>
      <c r="V600" s="5">
        <v>2</v>
      </c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</row>
    <row r="601" spans="1:37" x14ac:dyDescent="0.25">
      <c r="A601" s="11">
        <f>Table1[[#This Row],[Milk Yield]]-J597</f>
        <v>382</v>
      </c>
      <c r="B601" t="s">
        <v>24</v>
      </c>
      <c r="C601" s="2">
        <v>3</v>
      </c>
      <c r="D601" s="12">
        <v>45617</v>
      </c>
      <c r="E601" s="2">
        <v>38</v>
      </c>
      <c r="F601" s="13">
        <v>5.4398148148148144E-4</v>
      </c>
      <c r="G601" s="3">
        <v>0.27754629629629629</v>
      </c>
      <c r="H601" s="1">
        <v>0.27638888888888891</v>
      </c>
      <c r="I601" s="5">
        <v>683</v>
      </c>
      <c r="J601">
        <v>6742</v>
      </c>
      <c r="K601">
        <v>103</v>
      </c>
      <c r="L601" s="5">
        <v>282</v>
      </c>
      <c r="M601" s="5">
        <v>681</v>
      </c>
      <c r="N601">
        <v>32</v>
      </c>
      <c r="O601">
        <v>649</v>
      </c>
      <c r="P601" s="1">
        <v>0.31527777777777777</v>
      </c>
      <c r="Q601" s="5">
        <v>1014</v>
      </c>
      <c r="R601" s="14">
        <v>10</v>
      </c>
      <c r="S601">
        <v>102</v>
      </c>
      <c r="T601" s="5">
        <v>32</v>
      </c>
      <c r="U601" s="5">
        <v>652</v>
      </c>
      <c r="V601" s="5">
        <v>3</v>
      </c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</row>
    <row r="602" spans="1:37" x14ac:dyDescent="0.25">
      <c r="A602" s="11" t="e">
        <f>Table1[[#This Row],[Milk Yield]]-J598</f>
        <v>#VALUE!</v>
      </c>
      <c r="B602" t="s">
        <v>0</v>
      </c>
      <c r="C602" s="2" t="s">
        <v>1</v>
      </c>
      <c r="D602" s="12" t="s">
        <v>2</v>
      </c>
      <c r="E602" s="2" t="s">
        <v>3</v>
      </c>
      <c r="F602" s="13" t="s">
        <v>4</v>
      </c>
      <c r="G602" s="3" t="s">
        <v>5</v>
      </c>
      <c r="H602" s="1" t="s">
        <v>6</v>
      </c>
      <c r="I602" s="5" t="s">
        <v>8</v>
      </c>
      <c r="J602" t="s">
        <v>9</v>
      </c>
      <c r="K602" t="s">
        <v>10</v>
      </c>
      <c r="L602" s="5" t="s">
        <v>11</v>
      </c>
      <c r="M602" s="5" t="s">
        <v>12</v>
      </c>
      <c r="N602" t="s">
        <v>13</v>
      </c>
      <c r="O602" t="s">
        <v>20</v>
      </c>
      <c r="P602" t="s">
        <v>7</v>
      </c>
      <c r="Q602" s="5" t="s">
        <v>15</v>
      </c>
      <c r="R602" s="14" t="s">
        <v>18</v>
      </c>
      <c r="S602" t="s">
        <v>16</v>
      </c>
      <c r="T602" s="5" t="s">
        <v>14</v>
      </c>
      <c r="U602" s="5" t="s">
        <v>17</v>
      </c>
      <c r="V602" s="5" t="s">
        <v>19</v>
      </c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</row>
    <row r="603" spans="1:37" x14ac:dyDescent="0.25">
      <c r="A603" s="11">
        <f>Table1[[#This Row],[Milk Yield]]-J599</f>
        <v>-637</v>
      </c>
      <c r="B603" t="s">
        <v>24</v>
      </c>
      <c r="C603" s="2">
        <v>1</v>
      </c>
      <c r="D603" s="12">
        <v>45618</v>
      </c>
      <c r="E603" s="2">
        <v>36</v>
      </c>
      <c r="F603" s="13">
        <v>0.33864583333333331</v>
      </c>
      <c r="G603" s="3">
        <v>0.55645833333333339</v>
      </c>
      <c r="H603" s="1">
        <v>0.21736111111111112</v>
      </c>
      <c r="I603" s="5">
        <v>667</v>
      </c>
      <c r="J603">
        <v>5025</v>
      </c>
      <c r="K603">
        <v>128</v>
      </c>
      <c r="L603" s="5">
        <v>298</v>
      </c>
      <c r="M603" s="5">
        <v>667</v>
      </c>
      <c r="N603">
        <v>40</v>
      </c>
      <c r="O603">
        <v>627</v>
      </c>
      <c r="P603" s="1">
        <v>0.24513888888888888</v>
      </c>
      <c r="Q603" s="5">
        <v>961</v>
      </c>
      <c r="R603" s="14">
        <v>7.6</v>
      </c>
      <c r="S603">
        <v>128</v>
      </c>
      <c r="T603" s="5">
        <v>40</v>
      </c>
      <c r="U603" s="5">
        <v>629</v>
      </c>
      <c r="V603" s="5">
        <v>3</v>
      </c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</row>
    <row r="604" spans="1:37" x14ac:dyDescent="0.25">
      <c r="A604" s="11">
        <f>Table1[[#This Row],[Milk Yield]]-J600</f>
        <v>-345</v>
      </c>
      <c r="B604" t="s">
        <v>24</v>
      </c>
      <c r="C604" s="2">
        <v>2</v>
      </c>
      <c r="D604" s="12">
        <v>45618</v>
      </c>
      <c r="E604" s="2">
        <v>34</v>
      </c>
      <c r="F604" s="13">
        <v>0.66847222222222225</v>
      </c>
      <c r="G604" s="3">
        <v>0.85758101851851853</v>
      </c>
      <c r="H604" s="1">
        <v>0.18888888888888888</v>
      </c>
      <c r="I604" s="5">
        <v>638</v>
      </c>
      <c r="J604">
        <v>5045</v>
      </c>
      <c r="K604">
        <v>141</v>
      </c>
      <c r="L604" s="5">
        <v>355</v>
      </c>
      <c r="M604" s="5">
        <v>638</v>
      </c>
      <c r="N604">
        <v>57</v>
      </c>
      <c r="O604">
        <v>581</v>
      </c>
      <c r="P604" s="1">
        <v>0.25069444444444444</v>
      </c>
      <c r="Q604" s="5">
        <v>1112</v>
      </c>
      <c r="R604" s="14">
        <v>8</v>
      </c>
      <c r="S604">
        <v>141</v>
      </c>
      <c r="T604" s="5">
        <v>57</v>
      </c>
      <c r="U604" s="5">
        <v>583</v>
      </c>
      <c r="V604" s="5">
        <v>2</v>
      </c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</row>
    <row r="605" spans="1:37" x14ac:dyDescent="0.25">
      <c r="A605" s="11">
        <f>Table1[[#This Row],[Milk Yield]]-J601</f>
        <v>-401</v>
      </c>
      <c r="B605" t="s">
        <v>24</v>
      </c>
      <c r="C605" s="2">
        <v>3</v>
      </c>
      <c r="D605" s="12">
        <v>45618</v>
      </c>
      <c r="E605" s="2">
        <v>38</v>
      </c>
      <c r="F605" s="13">
        <v>2.2569444444444442E-3</v>
      </c>
      <c r="G605" s="3">
        <v>0.21424768518518519</v>
      </c>
      <c r="H605" s="1">
        <v>0.21180555555555555</v>
      </c>
      <c r="I605" s="5">
        <v>699</v>
      </c>
      <c r="J605">
        <v>6341</v>
      </c>
      <c r="K605">
        <v>137</v>
      </c>
      <c r="L605" s="5">
        <v>547</v>
      </c>
      <c r="M605" s="5">
        <v>698</v>
      </c>
      <c r="N605">
        <v>75</v>
      </c>
      <c r="O605">
        <v>623</v>
      </c>
      <c r="P605" s="1">
        <v>0.2590277777777778</v>
      </c>
      <c r="Q605" s="5">
        <v>1246</v>
      </c>
      <c r="R605" s="14">
        <v>9.1</v>
      </c>
      <c r="S605">
        <v>137</v>
      </c>
      <c r="T605" s="5">
        <v>75</v>
      </c>
      <c r="U605" s="5">
        <v>626</v>
      </c>
      <c r="V605" s="5">
        <v>3</v>
      </c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</row>
    <row r="606" spans="1:37" x14ac:dyDescent="0.25">
      <c r="A606" s="11" t="e">
        <f>Table1[[#This Row],[Milk Yield]]-J602</f>
        <v>#VALUE!</v>
      </c>
      <c r="B606" t="s">
        <v>0</v>
      </c>
      <c r="C606" s="2" t="s">
        <v>1</v>
      </c>
      <c r="D606" s="12" t="s">
        <v>2</v>
      </c>
      <c r="E606" s="2" t="s">
        <v>3</v>
      </c>
      <c r="F606" s="13" t="s">
        <v>4</v>
      </c>
      <c r="G606" s="3" t="s">
        <v>5</v>
      </c>
      <c r="H606" s="1" t="s">
        <v>6</v>
      </c>
      <c r="I606" s="5" t="s">
        <v>8</v>
      </c>
      <c r="J606" t="s">
        <v>9</v>
      </c>
      <c r="K606" t="s">
        <v>10</v>
      </c>
      <c r="L606" s="5" t="s">
        <v>11</v>
      </c>
      <c r="M606" s="5" t="s">
        <v>12</v>
      </c>
      <c r="N606" t="s">
        <v>13</v>
      </c>
      <c r="O606" t="s">
        <v>20</v>
      </c>
      <c r="P606" t="s">
        <v>7</v>
      </c>
      <c r="Q606" s="5" t="s">
        <v>15</v>
      </c>
      <c r="R606" s="14" t="s">
        <v>18</v>
      </c>
      <c r="S606" t="s">
        <v>16</v>
      </c>
      <c r="T606" s="5" t="s">
        <v>14</v>
      </c>
      <c r="U606" s="5" t="s">
        <v>17</v>
      </c>
      <c r="V606" s="5" t="s">
        <v>19</v>
      </c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</row>
    <row r="607" spans="1:37" x14ac:dyDescent="0.25">
      <c r="A607" s="11">
        <f>Table1[[#This Row],[Milk Yield]]-J603</f>
        <v>1019</v>
      </c>
      <c r="B607" t="s">
        <v>24</v>
      </c>
      <c r="C607" s="2">
        <v>1</v>
      </c>
      <c r="D607" s="12">
        <v>45619</v>
      </c>
      <c r="E607" s="2">
        <v>35</v>
      </c>
      <c r="F607" s="13">
        <v>0.33658564814814818</v>
      </c>
      <c r="G607" s="3">
        <v>0.55685185185185182</v>
      </c>
      <c r="H607" s="1">
        <v>0.22013888888888888</v>
      </c>
      <c r="I607" s="5">
        <v>674</v>
      </c>
      <c r="J607">
        <v>6044</v>
      </c>
      <c r="K607">
        <v>127</v>
      </c>
      <c r="L607" s="5">
        <v>235</v>
      </c>
      <c r="M607" s="5">
        <v>673</v>
      </c>
      <c r="N607">
        <v>28</v>
      </c>
      <c r="O607">
        <v>645</v>
      </c>
      <c r="P607" s="1">
        <v>0.26041666666666669</v>
      </c>
      <c r="Q607" s="5">
        <v>1143</v>
      </c>
      <c r="R607" s="14">
        <v>9</v>
      </c>
      <c r="S607">
        <v>127</v>
      </c>
      <c r="T607" s="5">
        <v>28</v>
      </c>
      <c r="U607" s="5">
        <v>649</v>
      </c>
      <c r="V607" s="5">
        <v>6</v>
      </c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</row>
    <row r="608" spans="1:37" x14ac:dyDescent="0.25">
      <c r="A608" s="11">
        <f>Table1[[#This Row],[Milk Yield]]-J604</f>
        <v>285</v>
      </c>
      <c r="B608" t="s">
        <v>24</v>
      </c>
      <c r="C608" s="2">
        <v>2</v>
      </c>
      <c r="D608" s="12">
        <v>45619</v>
      </c>
      <c r="E608" s="2">
        <v>37</v>
      </c>
      <c r="F608" s="13">
        <v>0.66773148148148154</v>
      </c>
      <c r="G608" s="3">
        <v>0.87997685185185182</v>
      </c>
      <c r="H608" s="1">
        <v>0.21180555555555555</v>
      </c>
      <c r="I608" s="5">
        <v>616</v>
      </c>
      <c r="J608">
        <v>5330</v>
      </c>
      <c r="K608">
        <v>121</v>
      </c>
      <c r="L608" s="5">
        <v>270</v>
      </c>
      <c r="M608" s="5">
        <v>615</v>
      </c>
      <c r="N608">
        <v>39</v>
      </c>
      <c r="O608">
        <v>576</v>
      </c>
      <c r="P608" s="1">
        <v>0.26805555555555555</v>
      </c>
      <c r="Q608" s="5">
        <v>1046</v>
      </c>
      <c r="R608" s="14">
        <v>8.6999999999999993</v>
      </c>
      <c r="S608">
        <v>121</v>
      </c>
      <c r="T608" s="5">
        <v>39</v>
      </c>
      <c r="U608" s="5">
        <v>578</v>
      </c>
      <c r="V608" s="5">
        <v>2</v>
      </c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</row>
    <row r="609" spans="1:37" x14ac:dyDescent="0.25">
      <c r="A609" s="11">
        <f>Table1[[#This Row],[Milk Yield]]-J605</f>
        <v>208</v>
      </c>
      <c r="B609" t="s">
        <v>24</v>
      </c>
      <c r="C609" s="2">
        <v>3</v>
      </c>
      <c r="D609" s="12">
        <v>45619</v>
      </c>
      <c r="E609" s="2">
        <v>39</v>
      </c>
      <c r="F609" s="13">
        <v>1.0648148148148149E-3</v>
      </c>
      <c r="G609" s="3">
        <v>0.25918981481481479</v>
      </c>
      <c r="H609" s="1">
        <v>0.25763888888888886</v>
      </c>
      <c r="I609" s="5">
        <v>700</v>
      </c>
      <c r="J609">
        <v>6549</v>
      </c>
      <c r="K609">
        <v>113</v>
      </c>
      <c r="L609" s="5">
        <v>453</v>
      </c>
      <c r="M609" s="5">
        <v>700</v>
      </c>
      <c r="N609">
        <v>62</v>
      </c>
      <c r="O609">
        <v>638</v>
      </c>
      <c r="P609" s="1">
        <v>0.28402777777777777</v>
      </c>
      <c r="Q609" s="5">
        <v>1057</v>
      </c>
      <c r="R609" s="14">
        <v>9.4</v>
      </c>
      <c r="S609">
        <v>113</v>
      </c>
      <c r="T609" s="5">
        <v>62</v>
      </c>
      <c r="U609" s="5">
        <v>640</v>
      </c>
      <c r="V609" s="5">
        <v>2</v>
      </c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</row>
    <row r="610" spans="1:37" x14ac:dyDescent="0.25">
      <c r="A610" s="11" t="e">
        <f>Table1[[#This Row],[Milk Yield]]-J606</f>
        <v>#VALUE!</v>
      </c>
      <c r="B610" t="s">
        <v>0</v>
      </c>
      <c r="C610" s="2" t="s">
        <v>1</v>
      </c>
      <c r="D610" s="12" t="s">
        <v>2</v>
      </c>
      <c r="E610" s="2" t="s">
        <v>3</v>
      </c>
      <c r="F610" s="13" t="s">
        <v>4</v>
      </c>
      <c r="G610" s="3" t="s">
        <v>5</v>
      </c>
      <c r="H610" s="1" t="s">
        <v>6</v>
      </c>
      <c r="I610" s="5" t="s">
        <v>8</v>
      </c>
      <c r="J610" t="s">
        <v>9</v>
      </c>
      <c r="K610" t="s">
        <v>10</v>
      </c>
      <c r="L610" s="5" t="s">
        <v>11</v>
      </c>
      <c r="M610" s="5" t="s">
        <v>12</v>
      </c>
      <c r="N610" t="s">
        <v>13</v>
      </c>
      <c r="O610" t="s">
        <v>20</v>
      </c>
      <c r="P610" t="s">
        <v>7</v>
      </c>
      <c r="Q610" s="5" t="s">
        <v>15</v>
      </c>
      <c r="R610" s="14" t="s">
        <v>18</v>
      </c>
      <c r="S610" t="s">
        <v>16</v>
      </c>
      <c r="T610" s="5" t="s">
        <v>14</v>
      </c>
      <c r="U610" s="5" t="s">
        <v>17</v>
      </c>
      <c r="V610" s="5" t="s">
        <v>19</v>
      </c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</row>
    <row r="611" spans="1:37" x14ac:dyDescent="0.25">
      <c r="A611" s="11">
        <f>Table1[[#This Row],[Milk Yield]]-J607</f>
        <v>-240</v>
      </c>
      <c r="B611" t="s">
        <v>24</v>
      </c>
      <c r="C611" s="2">
        <v>1</v>
      </c>
      <c r="D611" s="12">
        <v>45620</v>
      </c>
      <c r="E611" s="2">
        <v>34</v>
      </c>
      <c r="F611" s="13">
        <v>0.3543634259259259</v>
      </c>
      <c r="G611" s="3">
        <v>0.57844907407407409</v>
      </c>
      <c r="H611" s="1">
        <v>0.22361111111111112</v>
      </c>
      <c r="I611" s="5">
        <v>668</v>
      </c>
      <c r="J611">
        <v>5804</v>
      </c>
      <c r="K611">
        <v>124</v>
      </c>
      <c r="L611" s="5">
        <v>298</v>
      </c>
      <c r="M611" s="5">
        <v>666</v>
      </c>
      <c r="N611">
        <v>41</v>
      </c>
      <c r="O611">
        <v>625</v>
      </c>
      <c r="P611" s="1">
        <v>0.27777777777777779</v>
      </c>
      <c r="Q611" s="5">
        <v>1079</v>
      </c>
      <c r="R611" s="14">
        <v>8.8000000000000007</v>
      </c>
      <c r="S611">
        <v>124</v>
      </c>
      <c r="T611" s="5">
        <v>41</v>
      </c>
      <c r="U611" s="5">
        <v>625</v>
      </c>
      <c r="V611" s="5">
        <v>2</v>
      </c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</row>
    <row r="612" spans="1:37" x14ac:dyDescent="0.25">
      <c r="A612" s="11">
        <f>Table1[[#This Row],[Milk Yield]]-J608</f>
        <v>-264</v>
      </c>
      <c r="B612" t="s">
        <v>24</v>
      </c>
      <c r="C612" s="2">
        <v>2</v>
      </c>
      <c r="D612" s="12">
        <v>45620</v>
      </c>
      <c r="E612" s="2">
        <v>38</v>
      </c>
      <c r="F612" s="13">
        <v>0.66813657407407412</v>
      </c>
      <c r="G612" s="3">
        <v>0.89769675925925929</v>
      </c>
      <c r="H612" s="1">
        <v>0.22916666666666666</v>
      </c>
      <c r="I612" s="5">
        <v>620</v>
      </c>
      <c r="J612">
        <v>5066</v>
      </c>
      <c r="K612">
        <v>113</v>
      </c>
      <c r="L612" s="5">
        <v>163</v>
      </c>
      <c r="M612" s="5">
        <v>616</v>
      </c>
      <c r="N612">
        <v>26</v>
      </c>
      <c r="O612">
        <v>590</v>
      </c>
      <c r="P612" s="1">
        <v>0.28819444444444442</v>
      </c>
      <c r="Q612" s="5">
        <v>919</v>
      </c>
      <c r="R612" s="14">
        <v>8.3000000000000007</v>
      </c>
      <c r="S612">
        <v>112</v>
      </c>
      <c r="T612" s="5">
        <v>26</v>
      </c>
      <c r="U612" s="5">
        <v>591</v>
      </c>
      <c r="V612" s="5">
        <v>1</v>
      </c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</row>
    <row r="613" spans="1:37" x14ac:dyDescent="0.25">
      <c r="A613" s="11">
        <f>Table1[[#This Row],[Milk Yield]]-J609</f>
        <v>-528</v>
      </c>
      <c r="B613" t="s">
        <v>24</v>
      </c>
      <c r="C613" s="2">
        <v>3</v>
      </c>
      <c r="D613" s="12">
        <v>45620</v>
      </c>
      <c r="E613" s="2">
        <v>39</v>
      </c>
      <c r="F613" s="13">
        <v>0.99878472222222225</v>
      </c>
      <c r="G613" s="3">
        <v>0.25006944444444446</v>
      </c>
      <c r="H613" s="1">
        <v>0.25069444444444444</v>
      </c>
      <c r="I613" s="5">
        <v>685</v>
      </c>
      <c r="J613">
        <v>6021</v>
      </c>
      <c r="K613">
        <v>114</v>
      </c>
      <c r="L613" s="5">
        <v>271</v>
      </c>
      <c r="M613" s="5">
        <v>685</v>
      </c>
      <c r="N613">
        <v>40</v>
      </c>
      <c r="O613">
        <v>645</v>
      </c>
      <c r="P613" s="1">
        <v>0.27083333333333331</v>
      </c>
      <c r="Q613" s="5">
        <v>998</v>
      </c>
      <c r="R613" s="14">
        <v>8.8000000000000007</v>
      </c>
      <c r="S613">
        <v>114</v>
      </c>
      <c r="T613" s="5">
        <v>40</v>
      </c>
      <c r="U613" s="5">
        <v>646</v>
      </c>
      <c r="V613" s="5">
        <v>1</v>
      </c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</row>
    <row r="614" spans="1:37" x14ac:dyDescent="0.25">
      <c r="A614" s="11" t="e">
        <f>Table1[[#This Row],[Milk Yield]]-J610</f>
        <v>#VALUE!</v>
      </c>
      <c r="B614" t="s">
        <v>0</v>
      </c>
      <c r="C614" s="2" t="s">
        <v>1</v>
      </c>
      <c r="D614" s="12" t="s">
        <v>2</v>
      </c>
      <c r="E614" s="2" t="s">
        <v>3</v>
      </c>
      <c r="F614" s="13" t="s">
        <v>4</v>
      </c>
      <c r="G614" s="3" t="s">
        <v>5</v>
      </c>
      <c r="H614" s="1" t="s">
        <v>6</v>
      </c>
      <c r="I614" s="5" t="s">
        <v>8</v>
      </c>
      <c r="J614" t="s">
        <v>9</v>
      </c>
      <c r="K614" t="s">
        <v>10</v>
      </c>
      <c r="L614" s="5" t="s">
        <v>11</v>
      </c>
      <c r="M614" s="5" t="s">
        <v>12</v>
      </c>
      <c r="N614" t="s">
        <v>13</v>
      </c>
      <c r="O614" t="s">
        <v>20</v>
      </c>
      <c r="P614" t="s">
        <v>7</v>
      </c>
      <c r="Q614" s="5" t="s">
        <v>15</v>
      </c>
      <c r="R614" s="14" t="s">
        <v>18</v>
      </c>
      <c r="S614" t="s">
        <v>16</v>
      </c>
      <c r="T614" s="5" t="s">
        <v>14</v>
      </c>
      <c r="U614" s="5" t="s">
        <v>17</v>
      </c>
      <c r="V614" s="5" t="s">
        <v>19</v>
      </c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</row>
    <row r="615" spans="1:37" x14ac:dyDescent="0.25">
      <c r="A615" s="11">
        <f>Table1[[#This Row],[Milk Yield]]-J611</f>
        <v>-195</v>
      </c>
      <c r="B615" t="s">
        <v>24</v>
      </c>
      <c r="C615" s="2">
        <v>1</v>
      </c>
      <c r="D615" s="12">
        <v>45621</v>
      </c>
      <c r="E615" s="2">
        <v>32</v>
      </c>
      <c r="F615" s="13">
        <v>0.33806712962962965</v>
      </c>
      <c r="G615" s="3">
        <v>0.57004629629629633</v>
      </c>
      <c r="H615" s="1">
        <v>0.23194444444444445</v>
      </c>
      <c r="I615" s="5">
        <v>655</v>
      </c>
      <c r="J615">
        <v>5609</v>
      </c>
      <c r="K615">
        <v>118</v>
      </c>
      <c r="L615" s="5">
        <v>206</v>
      </c>
      <c r="M615" s="5">
        <v>654</v>
      </c>
      <c r="N615">
        <v>25</v>
      </c>
      <c r="O615">
        <v>629</v>
      </c>
      <c r="P615" s="1">
        <v>0.25</v>
      </c>
      <c r="Q615" s="5">
        <v>1008</v>
      </c>
      <c r="R615" s="14">
        <v>8.6</v>
      </c>
      <c r="S615">
        <v>117</v>
      </c>
      <c r="T615" s="5">
        <v>25</v>
      </c>
      <c r="U615" s="5">
        <v>631</v>
      </c>
      <c r="V615" s="5">
        <v>4</v>
      </c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</row>
    <row r="616" spans="1:37" x14ac:dyDescent="0.25">
      <c r="A616" s="11">
        <f>Table1[[#This Row],[Milk Yield]]-J612</f>
        <v>-158</v>
      </c>
      <c r="B616" t="s">
        <v>24</v>
      </c>
      <c r="C616" s="2">
        <v>2</v>
      </c>
      <c r="D616" s="12">
        <v>45621</v>
      </c>
      <c r="E616" s="2">
        <v>36</v>
      </c>
      <c r="F616" s="13">
        <v>0.66652777777777783</v>
      </c>
      <c r="G616" s="3">
        <v>0.87976851851851856</v>
      </c>
      <c r="H616" s="1">
        <v>0.21319444444444444</v>
      </c>
      <c r="I616" s="5">
        <v>616</v>
      </c>
      <c r="J616">
        <v>4908</v>
      </c>
      <c r="K616">
        <v>120</v>
      </c>
      <c r="L616" s="5">
        <v>140</v>
      </c>
      <c r="M616" s="5">
        <v>614</v>
      </c>
      <c r="N616">
        <v>25</v>
      </c>
      <c r="O616">
        <v>589</v>
      </c>
      <c r="P616" s="1">
        <v>0.29305555555555557</v>
      </c>
      <c r="Q616" s="5">
        <v>959</v>
      </c>
      <c r="R616" s="14">
        <v>8</v>
      </c>
      <c r="S616">
        <v>120</v>
      </c>
      <c r="T616" s="5">
        <v>25</v>
      </c>
      <c r="U616" s="5">
        <v>589</v>
      </c>
      <c r="V616" s="5">
        <v>0</v>
      </c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</row>
    <row r="617" spans="1:37" x14ac:dyDescent="0.25">
      <c r="A617" s="11">
        <f>Table1[[#This Row],[Milk Yield]]-J613</f>
        <v>176</v>
      </c>
      <c r="B617" t="s">
        <v>24</v>
      </c>
      <c r="C617" s="2">
        <v>3</v>
      </c>
      <c r="D617" s="12">
        <v>45621</v>
      </c>
      <c r="E617" s="2">
        <v>40</v>
      </c>
      <c r="F617" s="13">
        <v>9.837962962962962E-4</v>
      </c>
      <c r="G617" s="3">
        <v>0.24694444444444444</v>
      </c>
      <c r="H617" s="1">
        <v>0.24583333333333332</v>
      </c>
      <c r="I617" s="5">
        <v>660</v>
      </c>
      <c r="J617">
        <v>6197</v>
      </c>
      <c r="K617">
        <v>112</v>
      </c>
      <c r="L617" s="5">
        <v>285</v>
      </c>
      <c r="M617" s="5">
        <v>653</v>
      </c>
      <c r="N617">
        <v>34</v>
      </c>
      <c r="O617">
        <v>619</v>
      </c>
      <c r="P617" s="1">
        <v>0.28611111111111109</v>
      </c>
      <c r="Q617" s="5">
        <v>1050</v>
      </c>
      <c r="R617" s="14">
        <v>9.5</v>
      </c>
      <c r="S617">
        <v>111</v>
      </c>
      <c r="T617" s="5">
        <v>34</v>
      </c>
      <c r="U617" s="5">
        <v>620</v>
      </c>
      <c r="V617" s="5">
        <v>1</v>
      </c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</row>
    <row r="618" spans="1:37" x14ac:dyDescent="0.25">
      <c r="A618" s="11" t="e">
        <f>Table1[[#This Row],[Milk Yield]]-J614</f>
        <v>#VALUE!</v>
      </c>
      <c r="B618" t="s">
        <v>0</v>
      </c>
      <c r="C618" s="2" t="s">
        <v>1</v>
      </c>
      <c r="D618" s="12" t="s">
        <v>2</v>
      </c>
      <c r="E618" s="2" t="s">
        <v>3</v>
      </c>
      <c r="F618" s="13" t="s">
        <v>4</v>
      </c>
      <c r="G618" s="3" t="s">
        <v>5</v>
      </c>
      <c r="H618" s="1" t="s">
        <v>6</v>
      </c>
      <c r="I618" s="5" t="s">
        <v>8</v>
      </c>
      <c r="J618" t="s">
        <v>9</v>
      </c>
      <c r="K618" t="s">
        <v>10</v>
      </c>
      <c r="L618" s="5" t="s">
        <v>11</v>
      </c>
      <c r="M618" s="5" t="s">
        <v>12</v>
      </c>
      <c r="N618" t="s">
        <v>13</v>
      </c>
      <c r="O618" t="s">
        <v>20</v>
      </c>
      <c r="P618" t="s">
        <v>7</v>
      </c>
      <c r="Q618" s="5" t="s">
        <v>15</v>
      </c>
      <c r="R618" s="14" t="s">
        <v>18</v>
      </c>
      <c r="S618" t="s">
        <v>16</v>
      </c>
      <c r="T618" s="5" t="s">
        <v>14</v>
      </c>
      <c r="U618" s="5" t="s">
        <v>17</v>
      </c>
      <c r="V618" s="5" t="s">
        <v>19</v>
      </c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</row>
    <row r="619" spans="1:37" x14ac:dyDescent="0.25">
      <c r="A619" s="11">
        <f>Table1[[#This Row],[Milk Yield]]-J615</f>
        <v>-52</v>
      </c>
      <c r="B619" t="s">
        <v>24</v>
      </c>
      <c r="C619" s="2">
        <v>1</v>
      </c>
      <c r="D619" s="12">
        <v>45622</v>
      </c>
      <c r="E619" s="2">
        <v>32</v>
      </c>
      <c r="F619" s="13">
        <v>0.36701388888888886</v>
      </c>
      <c r="G619" s="3">
        <v>0.58133101851851854</v>
      </c>
      <c r="H619" s="1">
        <v>0.21388888888888888</v>
      </c>
      <c r="I619" s="5">
        <v>650</v>
      </c>
      <c r="J619">
        <v>5557</v>
      </c>
      <c r="K619">
        <v>126</v>
      </c>
      <c r="L619" s="5">
        <v>158</v>
      </c>
      <c r="M619" s="5">
        <v>650</v>
      </c>
      <c r="N619">
        <v>24</v>
      </c>
      <c r="O619">
        <v>626</v>
      </c>
      <c r="P619" s="1">
        <v>0.27569444444444446</v>
      </c>
      <c r="Q619" s="5">
        <v>1080</v>
      </c>
      <c r="R619" s="14">
        <v>8.6</v>
      </c>
      <c r="S619">
        <v>126</v>
      </c>
      <c r="T619" s="5">
        <v>24</v>
      </c>
      <c r="U619" s="5">
        <v>625</v>
      </c>
      <c r="V619" s="5">
        <v>1</v>
      </c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</row>
    <row r="620" spans="1:37" x14ac:dyDescent="0.25">
      <c r="A620" s="11">
        <f>Table1[[#This Row],[Milk Yield]]-J616</f>
        <v>288</v>
      </c>
      <c r="B620" t="s">
        <v>24</v>
      </c>
      <c r="C620" s="2">
        <v>2</v>
      </c>
      <c r="D620" s="12">
        <v>45622</v>
      </c>
      <c r="E620" s="2">
        <v>36</v>
      </c>
      <c r="F620" s="13">
        <v>0.67108796296296291</v>
      </c>
      <c r="G620" s="3">
        <v>0.9007060185185185</v>
      </c>
      <c r="H620" s="1">
        <v>0.22916666666666666</v>
      </c>
      <c r="I620" s="5">
        <v>625</v>
      </c>
      <c r="J620">
        <v>5196</v>
      </c>
      <c r="K620">
        <v>113</v>
      </c>
      <c r="L620" s="5">
        <v>284</v>
      </c>
      <c r="M620" s="5">
        <v>616</v>
      </c>
      <c r="N620">
        <v>39</v>
      </c>
      <c r="O620">
        <v>577</v>
      </c>
      <c r="P620" s="1">
        <v>0.29583333333333334</v>
      </c>
      <c r="Q620" s="5">
        <v>943</v>
      </c>
      <c r="R620" s="14">
        <v>8.5</v>
      </c>
      <c r="S620">
        <v>112</v>
      </c>
      <c r="T620" s="5">
        <v>39</v>
      </c>
      <c r="U620" s="5">
        <v>577</v>
      </c>
      <c r="V620" s="5">
        <v>0</v>
      </c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</row>
    <row r="621" spans="1:37" x14ac:dyDescent="0.25">
      <c r="A621" s="11">
        <f>Table1[[#This Row],[Milk Yield]]-J617</f>
        <v>-129</v>
      </c>
      <c r="B621" t="s">
        <v>24</v>
      </c>
      <c r="C621" s="2">
        <v>3</v>
      </c>
      <c r="D621" s="12">
        <v>45622</v>
      </c>
      <c r="E621" s="2">
        <v>40</v>
      </c>
      <c r="F621" s="13">
        <v>2.0833333333333333E-3</v>
      </c>
      <c r="G621" s="3">
        <v>0.25701388888888888</v>
      </c>
      <c r="H621" s="1">
        <v>0.25486111111111109</v>
      </c>
      <c r="I621" s="5">
        <v>656</v>
      </c>
      <c r="J621">
        <v>6068</v>
      </c>
      <c r="K621">
        <v>107</v>
      </c>
      <c r="L621" s="5">
        <v>249</v>
      </c>
      <c r="M621" s="5">
        <v>651</v>
      </c>
      <c r="N621">
        <v>37</v>
      </c>
      <c r="O621">
        <v>614</v>
      </c>
      <c r="P621" s="1">
        <v>0.28611111111111109</v>
      </c>
      <c r="Q621" s="5">
        <v>992</v>
      </c>
      <c r="R621" s="14">
        <v>9.4</v>
      </c>
      <c r="S621">
        <v>106</v>
      </c>
      <c r="T621" s="5">
        <v>37</v>
      </c>
      <c r="U621" s="5">
        <v>615</v>
      </c>
      <c r="V621" s="5">
        <v>1</v>
      </c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</row>
    <row r="622" spans="1:37" x14ac:dyDescent="0.25">
      <c r="A622" s="11" t="e">
        <f>Table1[[#This Row],[Milk Yield]]-J618</f>
        <v>#VALUE!</v>
      </c>
      <c r="B622" t="s">
        <v>0</v>
      </c>
      <c r="C622" s="2" t="s">
        <v>1</v>
      </c>
      <c r="D622" s="12" t="s">
        <v>2</v>
      </c>
      <c r="E622" s="2" t="s">
        <v>3</v>
      </c>
      <c r="F622" s="13" t="s">
        <v>4</v>
      </c>
      <c r="G622" s="3" t="s">
        <v>5</v>
      </c>
      <c r="H622" s="1" t="s">
        <v>6</v>
      </c>
      <c r="I622" s="5" t="s">
        <v>8</v>
      </c>
      <c r="J622" t="s">
        <v>9</v>
      </c>
      <c r="K622" t="s">
        <v>10</v>
      </c>
      <c r="L622" s="5" t="s">
        <v>11</v>
      </c>
      <c r="M622" s="5" t="s">
        <v>12</v>
      </c>
      <c r="N622" t="s">
        <v>13</v>
      </c>
      <c r="O622" t="s">
        <v>20</v>
      </c>
      <c r="P622" t="s">
        <v>7</v>
      </c>
      <c r="Q622" s="5" t="s">
        <v>15</v>
      </c>
      <c r="R622" s="14" t="s">
        <v>18</v>
      </c>
      <c r="S622" t="s">
        <v>16</v>
      </c>
      <c r="T622" s="5" t="s">
        <v>14</v>
      </c>
      <c r="U622" s="5" t="s">
        <v>17</v>
      </c>
      <c r="V622" s="5" t="s">
        <v>19</v>
      </c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</row>
    <row r="623" spans="1:37" x14ac:dyDescent="0.25">
      <c r="A623" s="11">
        <f>Table1[[#This Row],[Milk Yield]]-J619</f>
        <v>220</v>
      </c>
      <c r="B623" t="s">
        <v>24</v>
      </c>
      <c r="C623" s="2">
        <v>1</v>
      </c>
      <c r="D623" s="12">
        <v>45623</v>
      </c>
      <c r="E623" s="2">
        <v>32</v>
      </c>
      <c r="F623" s="13">
        <v>0.36834490740740738</v>
      </c>
      <c r="G623" s="3">
        <v>0.59562499999999996</v>
      </c>
      <c r="H623" s="1">
        <v>0.22708333333333333</v>
      </c>
      <c r="I623" s="5">
        <v>643</v>
      </c>
      <c r="J623">
        <v>5777</v>
      </c>
      <c r="K623">
        <v>118</v>
      </c>
      <c r="L623" s="5">
        <v>238</v>
      </c>
      <c r="M623" s="5">
        <v>643</v>
      </c>
      <c r="N623">
        <v>30</v>
      </c>
      <c r="O623">
        <v>613</v>
      </c>
      <c r="P623" s="1">
        <v>0.29583333333333334</v>
      </c>
      <c r="Q623" s="5">
        <v>1059</v>
      </c>
      <c r="R623" s="14">
        <v>9</v>
      </c>
      <c r="S623">
        <v>118</v>
      </c>
      <c r="T623" s="5">
        <v>30</v>
      </c>
      <c r="U623" s="5">
        <v>611</v>
      </c>
      <c r="V623" s="5">
        <v>1</v>
      </c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</row>
    <row r="624" spans="1:37" x14ac:dyDescent="0.25">
      <c r="A624" s="11">
        <f>Table1[[#This Row],[Milk Yield]]-J620</f>
        <v>-93</v>
      </c>
      <c r="B624" t="s">
        <v>24</v>
      </c>
      <c r="C624" s="2">
        <v>2</v>
      </c>
      <c r="D624" s="12">
        <v>45623</v>
      </c>
      <c r="E624" s="2">
        <v>36</v>
      </c>
      <c r="F624" s="13">
        <v>0.67156249999999995</v>
      </c>
      <c r="G624" s="3">
        <v>0.87488425925925928</v>
      </c>
      <c r="H624" s="1">
        <v>0.20277777777777778</v>
      </c>
      <c r="I624" s="5">
        <v>626</v>
      </c>
      <c r="J624">
        <v>5103</v>
      </c>
      <c r="K624">
        <v>128</v>
      </c>
      <c r="L624" s="5">
        <v>165</v>
      </c>
      <c r="M624" s="5">
        <v>625</v>
      </c>
      <c r="N624">
        <v>29</v>
      </c>
      <c r="O624">
        <v>596</v>
      </c>
      <c r="P624" s="1">
        <v>0.2986111111111111</v>
      </c>
      <c r="Q624" s="5">
        <v>1046</v>
      </c>
      <c r="R624" s="14">
        <v>8.1999999999999993</v>
      </c>
      <c r="S624">
        <v>128</v>
      </c>
      <c r="T624" s="5">
        <v>29</v>
      </c>
      <c r="U624" s="5">
        <v>596</v>
      </c>
      <c r="V624" s="5">
        <v>0</v>
      </c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</row>
    <row r="625" spans="1:37" x14ac:dyDescent="0.25">
      <c r="A625" s="11">
        <f>Table1[[#This Row],[Milk Yield]]-J621</f>
        <v>-114</v>
      </c>
      <c r="B625" t="s">
        <v>24</v>
      </c>
      <c r="C625" s="2">
        <v>3</v>
      </c>
      <c r="D625" s="12">
        <v>45623</v>
      </c>
      <c r="E625" s="2">
        <v>38</v>
      </c>
      <c r="F625" s="13">
        <v>0.99990740740740736</v>
      </c>
      <c r="G625" s="3">
        <v>0.22180555555555556</v>
      </c>
      <c r="H625" s="1">
        <v>0.22152777777777777</v>
      </c>
      <c r="I625" s="5">
        <v>661</v>
      </c>
      <c r="J625">
        <v>5954</v>
      </c>
      <c r="K625">
        <v>124</v>
      </c>
      <c r="L625" s="5">
        <v>139</v>
      </c>
      <c r="M625" s="5">
        <v>659</v>
      </c>
      <c r="N625">
        <v>22</v>
      </c>
      <c r="O625">
        <v>637</v>
      </c>
      <c r="P625" s="1">
        <v>0.2590277777777778</v>
      </c>
      <c r="Q625" s="5">
        <v>1118</v>
      </c>
      <c r="R625" s="14">
        <v>9.1</v>
      </c>
      <c r="S625">
        <v>124</v>
      </c>
      <c r="T625" s="5">
        <v>22</v>
      </c>
      <c r="U625" s="5">
        <v>638</v>
      </c>
      <c r="V625" s="5">
        <v>1</v>
      </c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</row>
    <row r="626" spans="1:37" x14ac:dyDescent="0.25">
      <c r="A626" s="11" t="e">
        <f>Table1[[#This Row],[Milk Yield]]-J622</f>
        <v>#VALUE!</v>
      </c>
      <c r="B626" t="s">
        <v>0</v>
      </c>
      <c r="C626" s="2" t="s">
        <v>1</v>
      </c>
      <c r="D626" s="12" t="s">
        <v>2</v>
      </c>
      <c r="E626" s="2" t="s">
        <v>3</v>
      </c>
      <c r="F626" s="13" t="s">
        <v>4</v>
      </c>
      <c r="G626" s="3" t="s">
        <v>5</v>
      </c>
      <c r="H626" s="1" t="s">
        <v>6</v>
      </c>
      <c r="I626" s="5" t="s">
        <v>8</v>
      </c>
      <c r="J626" t="s">
        <v>9</v>
      </c>
      <c r="K626" t="s">
        <v>10</v>
      </c>
      <c r="L626" s="5" t="s">
        <v>11</v>
      </c>
      <c r="M626" s="5" t="s">
        <v>12</v>
      </c>
      <c r="N626" t="s">
        <v>13</v>
      </c>
      <c r="O626" t="s">
        <v>20</v>
      </c>
      <c r="P626" t="s">
        <v>7</v>
      </c>
      <c r="Q626" s="5" t="s">
        <v>15</v>
      </c>
      <c r="R626" s="14" t="s">
        <v>18</v>
      </c>
      <c r="S626" t="s">
        <v>16</v>
      </c>
      <c r="T626" s="5" t="s">
        <v>14</v>
      </c>
      <c r="U626" s="5" t="s">
        <v>17</v>
      </c>
      <c r="V626" s="5" t="s">
        <v>19</v>
      </c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</row>
    <row r="627" spans="1:37" x14ac:dyDescent="0.25">
      <c r="A627" s="11">
        <f>Table1[[#This Row],[Milk Yield]]-J623</f>
        <v>276</v>
      </c>
      <c r="B627" t="s">
        <v>24</v>
      </c>
      <c r="C627" s="2">
        <v>1</v>
      </c>
      <c r="D627" s="12">
        <v>45624</v>
      </c>
      <c r="E627" s="2">
        <v>35</v>
      </c>
      <c r="F627" s="13">
        <v>0.34210648148148148</v>
      </c>
      <c r="G627" s="3">
        <v>0.59446759259259263</v>
      </c>
      <c r="H627" s="1">
        <v>0.25208333333333333</v>
      </c>
      <c r="I627" s="5">
        <v>654</v>
      </c>
      <c r="J627">
        <v>6053</v>
      </c>
      <c r="K627">
        <v>108</v>
      </c>
      <c r="L627" s="5">
        <v>124</v>
      </c>
      <c r="M627" s="5">
        <v>653</v>
      </c>
      <c r="N627">
        <v>19</v>
      </c>
      <c r="O627">
        <v>634</v>
      </c>
      <c r="P627" s="1">
        <v>0.27291666666666664</v>
      </c>
      <c r="Q627" s="5">
        <v>999</v>
      </c>
      <c r="R627" s="14">
        <v>9.3000000000000007</v>
      </c>
      <c r="S627">
        <v>108</v>
      </c>
      <c r="T627" s="5">
        <v>19</v>
      </c>
      <c r="U627" s="5">
        <v>635</v>
      </c>
      <c r="V627" s="5">
        <v>4</v>
      </c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</row>
    <row r="628" spans="1:37" x14ac:dyDescent="0.25">
      <c r="A628" s="11">
        <f>Table1[[#This Row],[Milk Yield]]-J624</f>
        <v>-48</v>
      </c>
      <c r="B628" t="s">
        <v>24</v>
      </c>
      <c r="C628" s="2">
        <v>2</v>
      </c>
      <c r="D628" s="12">
        <v>45624</v>
      </c>
      <c r="E628" s="2">
        <v>34</v>
      </c>
      <c r="F628" s="13">
        <v>0.66847222222222225</v>
      </c>
      <c r="G628" s="3">
        <v>0.89081018518518518</v>
      </c>
      <c r="H628" s="1">
        <v>0.22222222222222221</v>
      </c>
      <c r="I628" s="5">
        <v>605</v>
      </c>
      <c r="J628">
        <v>5055</v>
      </c>
      <c r="K628">
        <v>113</v>
      </c>
      <c r="L628" s="5">
        <v>110</v>
      </c>
      <c r="M628" s="5">
        <v>604</v>
      </c>
      <c r="N628">
        <v>16</v>
      </c>
      <c r="O628">
        <v>588</v>
      </c>
      <c r="P628" s="1">
        <v>0.26805555555555555</v>
      </c>
      <c r="Q628" s="5">
        <v>947</v>
      </c>
      <c r="R628" s="14">
        <v>8.4</v>
      </c>
      <c r="S628">
        <v>113</v>
      </c>
      <c r="T628" s="5">
        <v>16</v>
      </c>
      <c r="U628" s="5">
        <v>588</v>
      </c>
      <c r="V628" s="5">
        <v>0</v>
      </c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</row>
    <row r="629" spans="1:37" x14ac:dyDescent="0.25">
      <c r="A629" s="11">
        <f>Table1[[#This Row],[Milk Yield]]-J625</f>
        <v>-129</v>
      </c>
      <c r="B629" t="s">
        <v>24</v>
      </c>
      <c r="C629" s="2">
        <v>3</v>
      </c>
      <c r="D629" s="12">
        <v>45624</v>
      </c>
      <c r="E629" s="2">
        <v>36</v>
      </c>
      <c r="F629" s="13">
        <v>0.99619212962962966</v>
      </c>
      <c r="G629" s="3">
        <v>0.2260300925925926</v>
      </c>
      <c r="H629" s="1">
        <v>0.22916666666666666</v>
      </c>
      <c r="I629" s="5">
        <v>648</v>
      </c>
      <c r="J629">
        <v>5825</v>
      </c>
      <c r="K629">
        <v>117</v>
      </c>
      <c r="L629" s="5">
        <v>166</v>
      </c>
      <c r="M629" s="5">
        <v>648</v>
      </c>
      <c r="N629">
        <v>28</v>
      </c>
      <c r="O629">
        <v>620</v>
      </c>
      <c r="P629" s="1">
        <v>0.2673611111111111</v>
      </c>
      <c r="Q629" s="5">
        <v>1056</v>
      </c>
      <c r="R629" s="14">
        <v>9</v>
      </c>
      <c r="S629">
        <v>117</v>
      </c>
      <c r="T629" s="5">
        <v>28</v>
      </c>
      <c r="U629" s="5">
        <v>620</v>
      </c>
      <c r="V629" s="5">
        <v>0</v>
      </c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</row>
    <row r="630" spans="1:37" x14ac:dyDescent="0.25">
      <c r="A630" s="11" t="e">
        <f>Table1[[#This Row],[Milk Yield]]-J626</f>
        <v>#VALUE!</v>
      </c>
      <c r="B630" t="s">
        <v>0</v>
      </c>
      <c r="C630" s="2" t="s">
        <v>1</v>
      </c>
      <c r="D630" s="12" t="s">
        <v>2</v>
      </c>
      <c r="E630" s="2" t="s">
        <v>3</v>
      </c>
      <c r="F630" s="13" t="s">
        <v>4</v>
      </c>
      <c r="G630" s="3" t="s">
        <v>5</v>
      </c>
      <c r="H630" s="1" t="s">
        <v>6</v>
      </c>
      <c r="I630" s="5" t="s">
        <v>8</v>
      </c>
      <c r="J630" t="s">
        <v>9</v>
      </c>
      <c r="K630" t="s">
        <v>10</v>
      </c>
      <c r="L630" s="5" t="s">
        <v>11</v>
      </c>
      <c r="M630" s="5" t="s">
        <v>12</v>
      </c>
      <c r="N630" t="s">
        <v>13</v>
      </c>
      <c r="O630" t="s">
        <v>20</v>
      </c>
      <c r="P630" t="s">
        <v>7</v>
      </c>
      <c r="Q630" s="5" t="s">
        <v>15</v>
      </c>
      <c r="R630" s="14" t="s">
        <v>18</v>
      </c>
      <c r="S630" t="s">
        <v>16</v>
      </c>
      <c r="T630" s="5" t="s">
        <v>14</v>
      </c>
      <c r="U630" s="5" t="s">
        <v>17</v>
      </c>
      <c r="V630" s="5" t="s">
        <v>19</v>
      </c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</row>
    <row r="631" spans="1:37" x14ac:dyDescent="0.25">
      <c r="A631" s="11">
        <f>Table1[[#This Row],[Milk Yield]]-J627</f>
        <v>-307</v>
      </c>
      <c r="B631" t="s">
        <v>24</v>
      </c>
      <c r="C631" s="2">
        <v>1</v>
      </c>
      <c r="D631" s="12">
        <v>45625</v>
      </c>
      <c r="E631" s="2">
        <v>32</v>
      </c>
      <c r="F631" s="13">
        <v>0.33923611111111113</v>
      </c>
      <c r="G631" s="3">
        <v>0.56013888888888885</v>
      </c>
      <c r="H631" s="1">
        <v>0.22083333333333333</v>
      </c>
      <c r="I631" s="5">
        <v>638</v>
      </c>
      <c r="J631">
        <v>5746</v>
      </c>
      <c r="K631">
        <v>120</v>
      </c>
      <c r="L631" s="5">
        <v>103</v>
      </c>
      <c r="M631" s="5">
        <v>638</v>
      </c>
      <c r="N631">
        <v>13</v>
      </c>
      <c r="O631">
        <v>625</v>
      </c>
      <c r="P631" s="1">
        <v>0.26041666666666669</v>
      </c>
      <c r="Q631" s="5">
        <v>1084</v>
      </c>
      <c r="R631" s="14">
        <v>9.1</v>
      </c>
      <c r="S631">
        <v>120</v>
      </c>
      <c r="T631" s="5">
        <v>13</v>
      </c>
      <c r="U631" s="5">
        <v>623</v>
      </c>
      <c r="V631" s="5">
        <v>0</v>
      </c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</row>
    <row r="632" spans="1:37" x14ac:dyDescent="0.25">
      <c r="A632" s="11">
        <f>Table1[[#This Row],[Milk Yield]]-J628</f>
        <v>-189</v>
      </c>
      <c r="B632" t="s">
        <v>24</v>
      </c>
      <c r="C632" s="2">
        <v>2</v>
      </c>
      <c r="D632" s="12">
        <v>45625</v>
      </c>
      <c r="E632" s="2">
        <v>36</v>
      </c>
      <c r="F632" s="13">
        <v>0.6664930555555556</v>
      </c>
      <c r="G632" s="3">
        <v>0.86026620370370366</v>
      </c>
      <c r="H632" s="1">
        <v>0.19375000000000001</v>
      </c>
      <c r="I632" s="5">
        <v>602</v>
      </c>
      <c r="J632">
        <v>4866</v>
      </c>
      <c r="K632">
        <v>129</v>
      </c>
      <c r="L632" s="5">
        <v>122</v>
      </c>
      <c r="M632" s="5">
        <v>602</v>
      </c>
      <c r="N632">
        <v>19</v>
      </c>
      <c r="O632">
        <v>583</v>
      </c>
      <c r="P632" s="1">
        <v>0.27361111111111114</v>
      </c>
      <c r="Q632" s="5">
        <v>1046</v>
      </c>
      <c r="R632" s="14">
        <v>8.1</v>
      </c>
      <c r="S632">
        <v>129</v>
      </c>
      <c r="T632" s="5">
        <v>19</v>
      </c>
      <c r="U632" s="5">
        <v>583</v>
      </c>
      <c r="V632" s="5">
        <v>0</v>
      </c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</row>
    <row r="633" spans="1:37" x14ac:dyDescent="0.25">
      <c r="A633" s="11">
        <f>Table1[[#This Row],[Milk Yield]]-J629</f>
        <v>471</v>
      </c>
      <c r="B633" t="s">
        <v>24</v>
      </c>
      <c r="C633" s="2">
        <v>3</v>
      </c>
      <c r="D633" s="12">
        <v>45625</v>
      </c>
      <c r="E633" s="2">
        <v>39</v>
      </c>
      <c r="F633" s="13">
        <v>0.999537037037037</v>
      </c>
      <c r="G633" s="3">
        <v>0.25437500000000002</v>
      </c>
      <c r="H633" s="1">
        <v>0.25416666666666665</v>
      </c>
      <c r="I633" s="5">
        <v>650</v>
      </c>
      <c r="J633">
        <v>6296</v>
      </c>
      <c r="K633">
        <v>106</v>
      </c>
      <c r="L633" s="5">
        <v>197</v>
      </c>
      <c r="M633" s="5">
        <v>647</v>
      </c>
      <c r="N633">
        <v>31</v>
      </c>
      <c r="O633">
        <v>616</v>
      </c>
      <c r="P633" s="1">
        <v>0.28402777777777777</v>
      </c>
      <c r="Q633" s="5">
        <v>1029</v>
      </c>
      <c r="R633" s="14">
        <v>9.8000000000000007</v>
      </c>
      <c r="S633">
        <v>106</v>
      </c>
      <c r="T633" s="5">
        <v>31</v>
      </c>
      <c r="U633" s="5">
        <v>616</v>
      </c>
      <c r="V633" s="5">
        <v>0</v>
      </c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</row>
    <row r="634" spans="1:37" x14ac:dyDescent="0.25">
      <c r="A634" s="11" t="e">
        <f>Table1[[#This Row],[Milk Yield]]-J630</f>
        <v>#VALUE!</v>
      </c>
      <c r="B634" t="s">
        <v>0</v>
      </c>
      <c r="C634" s="2" t="s">
        <v>1</v>
      </c>
      <c r="D634" s="12" t="s">
        <v>2</v>
      </c>
      <c r="E634" s="2" t="s">
        <v>3</v>
      </c>
      <c r="F634" s="13" t="s">
        <v>4</v>
      </c>
      <c r="G634" s="3" t="s">
        <v>5</v>
      </c>
      <c r="H634" s="1" t="s">
        <v>6</v>
      </c>
      <c r="I634" s="5" t="s">
        <v>8</v>
      </c>
      <c r="J634" t="s">
        <v>9</v>
      </c>
      <c r="K634" t="s">
        <v>10</v>
      </c>
      <c r="L634" s="5" t="s">
        <v>11</v>
      </c>
      <c r="M634" s="5" t="s">
        <v>12</v>
      </c>
      <c r="N634" t="s">
        <v>13</v>
      </c>
      <c r="O634" t="s">
        <v>20</v>
      </c>
      <c r="P634" t="s">
        <v>7</v>
      </c>
      <c r="Q634" s="5" t="s">
        <v>15</v>
      </c>
      <c r="R634" s="14" t="s">
        <v>18</v>
      </c>
      <c r="S634" t="s">
        <v>16</v>
      </c>
      <c r="T634" s="5" t="s">
        <v>14</v>
      </c>
      <c r="U634" s="5" t="s">
        <v>17</v>
      </c>
      <c r="V634" s="5" t="s">
        <v>19</v>
      </c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</row>
    <row r="635" spans="1:37" x14ac:dyDescent="0.25">
      <c r="A635" s="11">
        <f>Table1[[#This Row],[Milk Yield]]-J631</f>
        <v>-603</v>
      </c>
      <c r="B635" t="s">
        <v>24</v>
      </c>
      <c r="C635" s="2">
        <v>1</v>
      </c>
      <c r="D635" s="12">
        <v>45626</v>
      </c>
      <c r="E635" s="2">
        <v>34</v>
      </c>
      <c r="F635" s="13">
        <v>0.33834490740740741</v>
      </c>
      <c r="G635" s="3">
        <v>0.54233796296296299</v>
      </c>
      <c r="H635" s="1">
        <v>0.20347222222222222</v>
      </c>
      <c r="I635" s="5">
        <v>642</v>
      </c>
      <c r="J635">
        <v>5143</v>
      </c>
      <c r="K635">
        <v>131</v>
      </c>
      <c r="L635" s="5">
        <v>76</v>
      </c>
      <c r="M635" s="5">
        <v>642</v>
      </c>
      <c r="N635">
        <v>11</v>
      </c>
      <c r="O635">
        <v>631</v>
      </c>
      <c r="P635" s="1">
        <v>0.25277777777777777</v>
      </c>
      <c r="Q635" s="5">
        <v>1051</v>
      </c>
      <c r="R635" s="14">
        <v>8.1</v>
      </c>
      <c r="S635">
        <v>131</v>
      </c>
      <c r="T635" s="5">
        <v>11</v>
      </c>
      <c r="U635" s="5">
        <v>628</v>
      </c>
      <c r="V635" s="5">
        <v>0</v>
      </c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</row>
    <row r="636" spans="1:37" x14ac:dyDescent="0.25">
      <c r="A636" s="11">
        <f>Table1[[#This Row],[Milk Yield]]-J632</f>
        <v>625</v>
      </c>
      <c r="B636" t="s">
        <v>24</v>
      </c>
      <c r="C636" s="2">
        <v>2</v>
      </c>
      <c r="D636" s="12">
        <v>45626</v>
      </c>
      <c r="E636" s="2">
        <v>33</v>
      </c>
      <c r="F636" s="13">
        <v>0.66738425925925926</v>
      </c>
      <c r="G636" s="3">
        <v>0.89042824074074078</v>
      </c>
      <c r="H636" s="1">
        <v>0.22291666666666668</v>
      </c>
      <c r="I636" s="5">
        <v>598</v>
      </c>
      <c r="J636">
        <v>5491</v>
      </c>
      <c r="K636">
        <v>112</v>
      </c>
      <c r="L636" s="5">
        <v>173</v>
      </c>
      <c r="M636" s="5">
        <v>598</v>
      </c>
      <c r="N636">
        <v>26</v>
      </c>
      <c r="O636">
        <v>572</v>
      </c>
      <c r="P636" s="1">
        <v>0.28263888888888888</v>
      </c>
      <c r="Q636" s="5">
        <v>1026</v>
      </c>
      <c r="R636" s="14">
        <v>9.1999999999999993</v>
      </c>
      <c r="S636">
        <v>112</v>
      </c>
      <c r="T636" s="5">
        <v>26</v>
      </c>
      <c r="U636" s="5">
        <v>572</v>
      </c>
      <c r="V636" s="5">
        <v>0</v>
      </c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</row>
    <row r="637" spans="1:37" x14ac:dyDescent="0.25">
      <c r="A637" s="11">
        <f>Table1[[#This Row],[Milk Yield]]-J633</f>
        <v>-580</v>
      </c>
      <c r="B637" t="s">
        <v>24</v>
      </c>
      <c r="C637" s="2">
        <v>3</v>
      </c>
      <c r="D637" s="12">
        <v>45626</v>
      </c>
      <c r="E637" s="2">
        <v>37</v>
      </c>
      <c r="F637" s="13">
        <v>9.2592592592592588E-5</v>
      </c>
      <c r="G637" s="3">
        <v>0.21708333333333332</v>
      </c>
      <c r="H637" s="1">
        <v>0.21666666666666667</v>
      </c>
      <c r="I637" s="5">
        <v>648</v>
      </c>
      <c r="J637">
        <v>5716</v>
      </c>
      <c r="K637">
        <v>124</v>
      </c>
      <c r="L637" s="5">
        <v>215</v>
      </c>
      <c r="M637" s="5">
        <v>648</v>
      </c>
      <c r="N637">
        <v>28</v>
      </c>
      <c r="O637">
        <v>620</v>
      </c>
      <c r="P637" s="1">
        <v>0.25486111111111109</v>
      </c>
      <c r="Q637" s="5">
        <v>1098</v>
      </c>
      <c r="R637" s="14">
        <v>8.9</v>
      </c>
      <c r="S637">
        <v>124</v>
      </c>
      <c r="T637" s="5">
        <v>28</v>
      </c>
      <c r="U637" s="5">
        <v>620</v>
      </c>
      <c r="V637" s="5">
        <v>0</v>
      </c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</row>
    <row r="638" spans="1:37" x14ac:dyDescent="0.25">
      <c r="A638" s="11" t="e">
        <f>Table1[[#This Row],[Milk Yield]]-J634</f>
        <v>#VALUE!</v>
      </c>
      <c r="B638" t="s">
        <v>0</v>
      </c>
      <c r="C638" s="2" t="s">
        <v>1</v>
      </c>
      <c r="D638" s="12" t="s">
        <v>2</v>
      </c>
      <c r="E638" s="2" t="s">
        <v>3</v>
      </c>
      <c r="F638" s="13" t="s">
        <v>4</v>
      </c>
      <c r="G638" s="3" t="s">
        <v>5</v>
      </c>
      <c r="H638" s="1" t="s">
        <v>6</v>
      </c>
      <c r="I638" s="5" t="s">
        <v>8</v>
      </c>
      <c r="J638" t="s">
        <v>9</v>
      </c>
      <c r="K638" t="s">
        <v>10</v>
      </c>
      <c r="L638" s="5" t="s">
        <v>11</v>
      </c>
      <c r="M638" s="5" t="s">
        <v>12</v>
      </c>
      <c r="N638" t="s">
        <v>13</v>
      </c>
      <c r="O638" t="s">
        <v>20</v>
      </c>
      <c r="P638" t="s">
        <v>7</v>
      </c>
      <c r="Q638" s="5" t="s">
        <v>15</v>
      </c>
      <c r="R638" s="14" t="s">
        <v>18</v>
      </c>
      <c r="S638" t="s">
        <v>16</v>
      </c>
      <c r="T638" s="5" t="s">
        <v>14</v>
      </c>
      <c r="U638" s="5" t="s">
        <v>17</v>
      </c>
      <c r="V638" s="5" t="s">
        <v>19</v>
      </c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</row>
    <row r="639" spans="1:37" x14ac:dyDescent="0.25">
      <c r="A639" s="11">
        <f>Table1[[#This Row],[Milk Yield]]-J635</f>
        <v>581</v>
      </c>
      <c r="B639" t="s">
        <v>24</v>
      </c>
      <c r="C639" s="2">
        <v>1</v>
      </c>
      <c r="D639" s="12">
        <v>45627</v>
      </c>
      <c r="E639" s="2">
        <v>34</v>
      </c>
      <c r="F639" s="13">
        <v>0.34107638888888892</v>
      </c>
      <c r="G639" s="3">
        <v>0.54478009259259264</v>
      </c>
      <c r="H639" s="1">
        <v>0.20347222222222222</v>
      </c>
      <c r="I639" s="5">
        <v>642</v>
      </c>
      <c r="J639">
        <v>5724</v>
      </c>
      <c r="K639">
        <v>131</v>
      </c>
      <c r="L639" s="5">
        <v>197</v>
      </c>
      <c r="M639" s="5">
        <v>640</v>
      </c>
      <c r="N639">
        <v>25</v>
      </c>
      <c r="O639">
        <v>615</v>
      </c>
      <c r="P639" s="1">
        <v>0.24583333333333332</v>
      </c>
      <c r="Q639" s="5">
        <v>1171</v>
      </c>
      <c r="R639" s="14">
        <v>9</v>
      </c>
      <c r="S639">
        <v>131</v>
      </c>
      <c r="T639" s="5">
        <v>25</v>
      </c>
      <c r="U639" s="5">
        <v>615</v>
      </c>
      <c r="V639" s="5">
        <v>0</v>
      </c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</row>
    <row r="640" spans="1:37" x14ac:dyDescent="0.25">
      <c r="A640" s="11">
        <f>Table1[[#This Row],[Milk Yield]]-J636</f>
        <v>-48</v>
      </c>
      <c r="B640" t="s">
        <v>24</v>
      </c>
      <c r="C640" s="2">
        <v>2</v>
      </c>
      <c r="D640" s="12">
        <v>45627</v>
      </c>
      <c r="E640" s="2">
        <v>32</v>
      </c>
      <c r="F640" s="13">
        <v>0.66579861111111116</v>
      </c>
      <c r="G640" s="3">
        <v>0.90121527777777777</v>
      </c>
      <c r="H640" s="1">
        <v>0.23541666666666666</v>
      </c>
      <c r="I640" s="5">
        <v>615</v>
      </c>
      <c r="J640">
        <v>5443</v>
      </c>
      <c r="K640">
        <v>109</v>
      </c>
      <c r="L640" s="5">
        <v>164</v>
      </c>
      <c r="M640" s="5">
        <v>615</v>
      </c>
      <c r="N640">
        <v>22</v>
      </c>
      <c r="O640">
        <v>593</v>
      </c>
      <c r="P640" s="1">
        <v>0.30972222222222223</v>
      </c>
      <c r="Q640" s="5">
        <v>963</v>
      </c>
      <c r="R640" s="14">
        <v>8.9</v>
      </c>
      <c r="S640">
        <v>109</v>
      </c>
      <c r="T640" s="5">
        <v>22</v>
      </c>
      <c r="U640" s="5">
        <v>593</v>
      </c>
      <c r="V640" s="5">
        <v>0</v>
      </c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</row>
    <row r="641" spans="1:37" x14ac:dyDescent="0.25">
      <c r="A641" s="11">
        <f>Table1[[#This Row],[Milk Yield]]-J637</f>
        <v>-120</v>
      </c>
      <c r="B641" t="s">
        <v>24</v>
      </c>
      <c r="C641" s="2">
        <v>3</v>
      </c>
      <c r="D641" s="12">
        <v>45627</v>
      </c>
      <c r="E641" s="2">
        <v>35</v>
      </c>
      <c r="F641" s="13">
        <v>1.238425925925926E-3</v>
      </c>
      <c r="G641" s="3">
        <v>0.22074074074074074</v>
      </c>
      <c r="H641" s="1">
        <v>0.21944444444444444</v>
      </c>
      <c r="I641" s="5">
        <v>650</v>
      </c>
      <c r="J641">
        <v>5596</v>
      </c>
      <c r="K641">
        <v>123</v>
      </c>
      <c r="L641" s="5">
        <v>120</v>
      </c>
      <c r="M641" s="5">
        <v>647</v>
      </c>
      <c r="N641">
        <v>19</v>
      </c>
      <c r="O641">
        <v>628</v>
      </c>
      <c r="P641" s="1">
        <v>0.2638888888888889</v>
      </c>
      <c r="Q641" s="5">
        <v>1062</v>
      </c>
      <c r="R641" s="14">
        <v>8.6999999999999993</v>
      </c>
      <c r="S641">
        <v>123</v>
      </c>
      <c r="T641" s="5">
        <v>19</v>
      </c>
      <c r="U641" s="5">
        <v>628</v>
      </c>
      <c r="V641" s="5">
        <v>0</v>
      </c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</row>
    <row r="642" spans="1:37" x14ac:dyDescent="0.25">
      <c r="A642" s="11" t="e">
        <f>Table1[[#This Row],[Milk Yield]]-J638</f>
        <v>#VALUE!</v>
      </c>
      <c r="B642" t="s">
        <v>0</v>
      </c>
      <c r="C642" s="2" t="s">
        <v>1</v>
      </c>
      <c r="D642" s="12" t="s">
        <v>2</v>
      </c>
      <c r="E642" s="2" t="s">
        <v>3</v>
      </c>
      <c r="F642" s="13" t="s">
        <v>4</v>
      </c>
      <c r="G642" s="3" t="s">
        <v>5</v>
      </c>
      <c r="H642" s="1" t="s">
        <v>6</v>
      </c>
      <c r="I642" s="5" t="s">
        <v>8</v>
      </c>
      <c r="J642" t="s">
        <v>9</v>
      </c>
      <c r="K642" t="s">
        <v>10</v>
      </c>
      <c r="L642" s="5" t="s">
        <v>11</v>
      </c>
      <c r="M642" s="5" t="s">
        <v>12</v>
      </c>
      <c r="N642" t="s">
        <v>13</v>
      </c>
      <c r="O642" t="s">
        <v>20</v>
      </c>
      <c r="P642" t="s">
        <v>7</v>
      </c>
      <c r="Q642" s="5" t="s">
        <v>15</v>
      </c>
      <c r="R642" s="14" t="s">
        <v>18</v>
      </c>
      <c r="S642" t="s">
        <v>16</v>
      </c>
      <c r="T642" s="5" t="s">
        <v>14</v>
      </c>
      <c r="U642" s="5" t="s">
        <v>17</v>
      </c>
      <c r="V642" s="5" t="s">
        <v>19</v>
      </c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</row>
    <row r="643" spans="1:37" x14ac:dyDescent="0.25">
      <c r="A643" s="11">
        <f>Table1[[#This Row],[Milk Yield]]-J639</f>
        <v>138</v>
      </c>
      <c r="B643" t="s">
        <v>24</v>
      </c>
      <c r="C643" s="2">
        <v>1</v>
      </c>
      <c r="D643" s="12">
        <v>45628</v>
      </c>
      <c r="E643" s="2">
        <v>32</v>
      </c>
      <c r="F643" s="13">
        <v>0.34158564814814812</v>
      </c>
      <c r="G643" s="3">
        <v>0.56736111111111109</v>
      </c>
      <c r="H643" s="1">
        <v>0.22569444444444445</v>
      </c>
      <c r="I643" s="5">
        <v>631</v>
      </c>
      <c r="J643">
        <v>5862</v>
      </c>
      <c r="K643">
        <v>116</v>
      </c>
      <c r="L643" s="5">
        <v>197</v>
      </c>
      <c r="M643" s="5">
        <v>631</v>
      </c>
      <c r="N643">
        <v>18</v>
      </c>
      <c r="O643">
        <v>613</v>
      </c>
      <c r="P643" s="1">
        <v>0.27430555555555558</v>
      </c>
      <c r="Q643" s="5">
        <v>1082</v>
      </c>
      <c r="R643" s="14">
        <v>9.3000000000000007</v>
      </c>
      <c r="S643">
        <v>116</v>
      </c>
      <c r="T643" s="5">
        <v>18</v>
      </c>
      <c r="U643" s="5">
        <v>612</v>
      </c>
      <c r="V643" s="5">
        <v>0</v>
      </c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</row>
    <row r="644" spans="1:37" x14ac:dyDescent="0.25">
      <c r="A644" s="11">
        <f>Table1[[#This Row],[Milk Yield]]-J640</f>
        <v>-293</v>
      </c>
      <c r="B644" t="s">
        <v>24</v>
      </c>
      <c r="C644" s="2">
        <v>2</v>
      </c>
      <c r="D644" s="12">
        <v>45628</v>
      </c>
      <c r="E644" s="2">
        <v>39</v>
      </c>
      <c r="F644" s="13">
        <v>0.66468749999999999</v>
      </c>
      <c r="G644" s="3">
        <v>0.89857638888888891</v>
      </c>
      <c r="H644" s="1">
        <v>0.23333333333333334</v>
      </c>
      <c r="I644" s="5">
        <v>675</v>
      </c>
      <c r="J644">
        <v>5150</v>
      </c>
      <c r="K644">
        <v>120</v>
      </c>
      <c r="L644" s="5">
        <v>481</v>
      </c>
      <c r="M644" s="5">
        <v>670</v>
      </c>
      <c r="N644">
        <v>97</v>
      </c>
      <c r="O644">
        <v>573</v>
      </c>
      <c r="P644" s="1">
        <v>0.27777777777777779</v>
      </c>
      <c r="Q644" s="5">
        <v>917</v>
      </c>
      <c r="R644" s="14">
        <v>7.7</v>
      </c>
      <c r="S644">
        <v>119</v>
      </c>
      <c r="T644" s="5">
        <v>97</v>
      </c>
      <c r="U644" s="5">
        <v>574</v>
      </c>
      <c r="V644" s="5">
        <v>1</v>
      </c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</row>
    <row r="645" spans="1:37" x14ac:dyDescent="0.25">
      <c r="A645" s="11">
        <f>Table1[[#This Row],[Milk Yield]]-J641</f>
        <v>10</v>
      </c>
      <c r="B645" t="s">
        <v>24</v>
      </c>
      <c r="C645" s="2">
        <v>3</v>
      </c>
      <c r="D645" s="12">
        <v>45628</v>
      </c>
      <c r="E645" s="2">
        <v>36</v>
      </c>
      <c r="F645" s="13">
        <v>3.9699074074074072E-3</v>
      </c>
      <c r="G645" s="3">
        <v>0.20221064814814815</v>
      </c>
      <c r="H645" s="1">
        <v>0.19791666666666666</v>
      </c>
      <c r="I645" s="5">
        <v>673</v>
      </c>
      <c r="J645">
        <v>5606</v>
      </c>
      <c r="K645">
        <v>141</v>
      </c>
      <c r="L645" s="5">
        <v>409</v>
      </c>
      <c r="M645" s="5">
        <v>657</v>
      </c>
      <c r="N645">
        <v>57</v>
      </c>
      <c r="O645">
        <v>600</v>
      </c>
      <c r="P645" s="1">
        <v>0.24930555555555556</v>
      </c>
      <c r="Q645" s="5">
        <v>1178</v>
      </c>
      <c r="R645" s="14">
        <v>8.6</v>
      </c>
      <c r="S645">
        <v>138</v>
      </c>
      <c r="T645" s="5">
        <v>57</v>
      </c>
      <c r="U645" s="5">
        <v>601</v>
      </c>
      <c r="V645" s="5">
        <v>1</v>
      </c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</row>
    <row r="646" spans="1:37" x14ac:dyDescent="0.25">
      <c r="A646" s="11" t="e">
        <f>Table1[[#This Row],[Milk Yield]]-J642</f>
        <v>#VALUE!</v>
      </c>
      <c r="B646" t="s">
        <v>0</v>
      </c>
      <c r="C646" s="2" t="s">
        <v>1</v>
      </c>
      <c r="D646" s="12" t="s">
        <v>2</v>
      </c>
      <c r="E646" s="2" t="s">
        <v>3</v>
      </c>
      <c r="F646" s="13" t="s">
        <v>4</v>
      </c>
      <c r="G646" s="3" t="s">
        <v>5</v>
      </c>
      <c r="H646" s="1" t="s">
        <v>6</v>
      </c>
      <c r="I646" s="5" t="s">
        <v>8</v>
      </c>
      <c r="J646" t="s">
        <v>9</v>
      </c>
      <c r="K646" t="s">
        <v>10</v>
      </c>
      <c r="L646" s="5" t="s">
        <v>11</v>
      </c>
      <c r="M646" s="5" t="s">
        <v>12</v>
      </c>
      <c r="N646" t="s">
        <v>13</v>
      </c>
      <c r="O646" t="s">
        <v>20</v>
      </c>
      <c r="P646" t="s">
        <v>7</v>
      </c>
      <c r="Q646" s="5" t="s">
        <v>15</v>
      </c>
      <c r="R646" s="14" t="s">
        <v>18</v>
      </c>
      <c r="S646" t="s">
        <v>16</v>
      </c>
      <c r="T646" s="5" t="s">
        <v>14</v>
      </c>
      <c r="U646" s="5" t="s">
        <v>17</v>
      </c>
      <c r="V646" s="5" t="s">
        <v>19</v>
      </c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</row>
    <row r="647" spans="1:37" x14ac:dyDescent="0.25">
      <c r="A647" s="11">
        <f>Table1[[#This Row],[Milk Yield]]-J643</f>
        <v>166</v>
      </c>
      <c r="B647" t="s">
        <v>24</v>
      </c>
      <c r="C647" s="2">
        <v>1</v>
      </c>
      <c r="D647" s="12">
        <v>45629</v>
      </c>
      <c r="E647" s="2">
        <v>35</v>
      </c>
      <c r="F647" s="13">
        <v>0.3351736111111111</v>
      </c>
      <c r="G647" s="3">
        <v>0.59641203703703705</v>
      </c>
      <c r="H647" s="1">
        <v>0.26111111111111113</v>
      </c>
      <c r="I647" s="5">
        <v>643</v>
      </c>
      <c r="J647">
        <v>6028</v>
      </c>
      <c r="K647">
        <v>103</v>
      </c>
      <c r="L647" s="5">
        <v>196</v>
      </c>
      <c r="M647" s="5">
        <v>641</v>
      </c>
      <c r="N647">
        <v>26</v>
      </c>
      <c r="O647">
        <v>615</v>
      </c>
      <c r="P647" s="1">
        <v>0.27847222222222223</v>
      </c>
      <c r="Q647" s="5">
        <v>961</v>
      </c>
      <c r="R647" s="14">
        <v>9.5</v>
      </c>
      <c r="S647">
        <v>102</v>
      </c>
      <c r="T647" s="5">
        <v>26</v>
      </c>
      <c r="U647" s="5">
        <v>614</v>
      </c>
      <c r="V647" s="5">
        <v>1</v>
      </c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</row>
    <row r="648" spans="1:37" x14ac:dyDescent="0.25">
      <c r="A648" s="11">
        <f>Table1[[#This Row],[Milk Yield]]-J644</f>
        <v>59</v>
      </c>
      <c r="B648" t="s">
        <v>24</v>
      </c>
      <c r="C648" s="2">
        <v>2</v>
      </c>
      <c r="D648" s="12">
        <v>45629</v>
      </c>
      <c r="E648" s="2">
        <v>40</v>
      </c>
      <c r="F648" s="13">
        <v>0.67185185185185181</v>
      </c>
      <c r="G648" s="3">
        <v>0.91796296296296298</v>
      </c>
      <c r="H648" s="1">
        <v>0.24583333333333332</v>
      </c>
      <c r="I648" s="5">
        <v>628</v>
      </c>
      <c r="J648">
        <v>5209</v>
      </c>
      <c r="K648">
        <v>106</v>
      </c>
      <c r="L648" s="5">
        <v>204</v>
      </c>
      <c r="M648" s="5">
        <v>624</v>
      </c>
      <c r="N648">
        <v>32</v>
      </c>
      <c r="O648">
        <v>592</v>
      </c>
      <c r="P648" s="1">
        <v>0.27083333333333331</v>
      </c>
      <c r="Q648" s="5">
        <v>882</v>
      </c>
      <c r="R648" s="14">
        <v>8.4</v>
      </c>
      <c r="S648">
        <v>106</v>
      </c>
      <c r="T648" s="5">
        <v>32</v>
      </c>
      <c r="U648" s="5">
        <v>593</v>
      </c>
      <c r="V648" s="5">
        <v>1</v>
      </c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</row>
    <row r="649" spans="1:37" x14ac:dyDescent="0.25">
      <c r="A649" s="11">
        <f>Table1[[#This Row],[Milk Yield]]-J645</f>
        <v>150</v>
      </c>
      <c r="B649" t="s">
        <v>24</v>
      </c>
      <c r="C649" s="2">
        <v>3</v>
      </c>
      <c r="D649" s="12">
        <v>45629</v>
      </c>
      <c r="E649" s="2">
        <v>39</v>
      </c>
      <c r="F649" s="13">
        <v>7.1875000000000003E-3</v>
      </c>
      <c r="G649" s="3">
        <v>0.23834490740740741</v>
      </c>
      <c r="H649" s="1">
        <v>0.23055555555555557</v>
      </c>
      <c r="I649" s="5">
        <v>665</v>
      </c>
      <c r="J649">
        <v>5756</v>
      </c>
      <c r="K649">
        <v>120</v>
      </c>
      <c r="L649" s="5">
        <v>311</v>
      </c>
      <c r="M649" s="5">
        <v>661</v>
      </c>
      <c r="N649">
        <v>39</v>
      </c>
      <c r="O649">
        <v>622</v>
      </c>
      <c r="P649" s="1">
        <v>0.25972222222222224</v>
      </c>
      <c r="Q649" s="5">
        <v>1038</v>
      </c>
      <c r="R649" s="14">
        <v>8.8000000000000007</v>
      </c>
      <c r="S649">
        <v>119</v>
      </c>
      <c r="T649" s="5">
        <v>39</v>
      </c>
      <c r="U649" s="5">
        <v>623</v>
      </c>
      <c r="V649" s="5">
        <v>1</v>
      </c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</row>
    <row r="650" spans="1:37" x14ac:dyDescent="0.25">
      <c r="A650" s="11" t="e">
        <f>Table1[[#This Row],[Milk Yield]]-J646</f>
        <v>#VALUE!</v>
      </c>
      <c r="B650" t="s">
        <v>0</v>
      </c>
      <c r="C650" s="2" t="s">
        <v>1</v>
      </c>
      <c r="D650" s="12" t="s">
        <v>2</v>
      </c>
      <c r="E650" s="2" t="s">
        <v>3</v>
      </c>
      <c r="F650" s="13" t="s">
        <v>4</v>
      </c>
      <c r="G650" s="3" t="s">
        <v>5</v>
      </c>
      <c r="H650" s="1" t="s">
        <v>6</v>
      </c>
      <c r="I650" s="5" t="s">
        <v>8</v>
      </c>
      <c r="J650" t="s">
        <v>9</v>
      </c>
      <c r="K650" t="s">
        <v>10</v>
      </c>
      <c r="L650" s="5" t="s">
        <v>11</v>
      </c>
      <c r="M650" s="5" t="s">
        <v>12</v>
      </c>
      <c r="N650" t="s">
        <v>13</v>
      </c>
      <c r="O650" t="s">
        <v>20</v>
      </c>
      <c r="P650" t="s">
        <v>7</v>
      </c>
      <c r="Q650" s="5" t="s">
        <v>15</v>
      </c>
      <c r="R650" s="14" t="s">
        <v>18</v>
      </c>
      <c r="S650" t="s">
        <v>16</v>
      </c>
      <c r="T650" s="5" t="s">
        <v>14</v>
      </c>
      <c r="U650" s="5" t="s">
        <v>17</v>
      </c>
      <c r="V650" s="5" t="s">
        <v>19</v>
      </c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</row>
    <row r="651" spans="1:37" x14ac:dyDescent="0.25">
      <c r="A651" s="11">
        <f>Table1[[#This Row],[Milk Yield]]-J647</f>
        <v>-128</v>
      </c>
      <c r="B651" t="s">
        <v>24</v>
      </c>
      <c r="C651" s="2">
        <v>1</v>
      </c>
      <c r="D651" s="12">
        <v>45630</v>
      </c>
      <c r="E651" s="2">
        <v>33</v>
      </c>
      <c r="F651" s="13">
        <v>0.37510416666666668</v>
      </c>
      <c r="G651" s="3">
        <v>0.59423611111111108</v>
      </c>
      <c r="H651" s="1">
        <v>0.21875</v>
      </c>
      <c r="I651" s="5">
        <v>646</v>
      </c>
      <c r="J651">
        <v>5900</v>
      </c>
      <c r="K651">
        <v>123</v>
      </c>
      <c r="L651" s="5">
        <v>89</v>
      </c>
      <c r="M651" s="5">
        <v>646</v>
      </c>
      <c r="N651">
        <v>14</v>
      </c>
      <c r="O651">
        <v>632</v>
      </c>
      <c r="P651" s="1">
        <v>0.2951388888888889</v>
      </c>
      <c r="Q651" s="5">
        <v>1122</v>
      </c>
      <c r="R651" s="14">
        <v>9.1999999999999993</v>
      </c>
      <c r="S651">
        <v>123</v>
      </c>
      <c r="T651" s="5">
        <v>14</v>
      </c>
      <c r="U651" s="5">
        <v>632</v>
      </c>
      <c r="V651" s="5">
        <v>1</v>
      </c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</row>
    <row r="652" spans="1:37" x14ac:dyDescent="0.25">
      <c r="A652" s="11">
        <f>Table1[[#This Row],[Milk Yield]]-J648</f>
        <v>-370</v>
      </c>
      <c r="B652" t="s">
        <v>24</v>
      </c>
      <c r="C652" s="2">
        <v>2</v>
      </c>
      <c r="D652" s="12">
        <v>45630</v>
      </c>
      <c r="E652" s="2">
        <v>40</v>
      </c>
      <c r="F652" s="13">
        <v>0.66400462962962958</v>
      </c>
      <c r="G652" s="3">
        <v>0.89009259259259255</v>
      </c>
      <c r="H652" s="1">
        <v>0.22569444444444445</v>
      </c>
      <c r="I652" s="5">
        <v>634</v>
      </c>
      <c r="J652">
        <v>4839</v>
      </c>
      <c r="K652">
        <v>117</v>
      </c>
      <c r="L652" s="5">
        <v>228</v>
      </c>
      <c r="M652" s="5">
        <v>629</v>
      </c>
      <c r="N652">
        <v>42</v>
      </c>
      <c r="O652">
        <v>587</v>
      </c>
      <c r="P652" s="1">
        <v>0.25972222222222224</v>
      </c>
      <c r="Q652" s="5">
        <v>892</v>
      </c>
      <c r="R652" s="14">
        <v>7.7</v>
      </c>
      <c r="S652">
        <v>116</v>
      </c>
      <c r="T652" s="5">
        <v>42</v>
      </c>
      <c r="U652" s="5">
        <v>588</v>
      </c>
      <c r="V652" s="5">
        <v>1</v>
      </c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</row>
    <row r="653" spans="1:37" x14ac:dyDescent="0.25">
      <c r="A653" s="11">
        <f>Table1[[#This Row],[Milk Yield]]-J649</f>
        <v>128</v>
      </c>
      <c r="B653" t="s">
        <v>24</v>
      </c>
      <c r="C653" s="2">
        <v>3</v>
      </c>
      <c r="D653" s="12">
        <v>45630</v>
      </c>
      <c r="E653" s="2">
        <v>38</v>
      </c>
      <c r="F653" s="13">
        <v>5.9027777777777778E-4</v>
      </c>
      <c r="G653" s="3">
        <v>0.21612268518518518</v>
      </c>
      <c r="H653" s="1">
        <v>0.21527777777777779</v>
      </c>
      <c r="I653" s="5">
        <v>657</v>
      </c>
      <c r="J653">
        <v>5884</v>
      </c>
      <c r="K653">
        <v>127</v>
      </c>
      <c r="L653" s="5">
        <v>223</v>
      </c>
      <c r="M653" s="5">
        <v>653</v>
      </c>
      <c r="N653">
        <v>33</v>
      </c>
      <c r="O653">
        <v>620</v>
      </c>
      <c r="P653" s="1">
        <v>0.25208333333333333</v>
      </c>
      <c r="Q653" s="5">
        <v>1137</v>
      </c>
      <c r="R653" s="14">
        <v>9.1</v>
      </c>
      <c r="S653">
        <v>126</v>
      </c>
      <c r="T653" s="5">
        <v>33</v>
      </c>
      <c r="U653" s="5">
        <v>621</v>
      </c>
      <c r="V653" s="5">
        <v>1</v>
      </c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</row>
    <row r="654" spans="1:37" x14ac:dyDescent="0.25">
      <c r="A654" s="11" t="e">
        <f>Table1[[#This Row],[Milk Yield]]-J650</f>
        <v>#VALUE!</v>
      </c>
      <c r="B654" t="s">
        <v>0</v>
      </c>
      <c r="C654" s="2" t="s">
        <v>1</v>
      </c>
      <c r="D654" s="12" t="s">
        <v>2</v>
      </c>
      <c r="E654" s="2" t="s">
        <v>3</v>
      </c>
      <c r="F654" s="13" t="s">
        <v>4</v>
      </c>
      <c r="G654" s="3" t="s">
        <v>5</v>
      </c>
      <c r="H654" s="1" t="s">
        <v>6</v>
      </c>
      <c r="I654" s="5" t="s">
        <v>8</v>
      </c>
      <c r="J654" t="s">
        <v>9</v>
      </c>
      <c r="K654" t="s">
        <v>10</v>
      </c>
      <c r="L654" s="5" t="s">
        <v>11</v>
      </c>
      <c r="M654" s="5" t="s">
        <v>12</v>
      </c>
      <c r="N654" t="s">
        <v>13</v>
      </c>
      <c r="O654" t="s">
        <v>20</v>
      </c>
      <c r="P654" t="s">
        <v>7</v>
      </c>
      <c r="Q654" s="5" t="s">
        <v>15</v>
      </c>
      <c r="R654" s="14" t="s">
        <v>18</v>
      </c>
      <c r="S654" t="s">
        <v>16</v>
      </c>
      <c r="T654" s="5" t="s">
        <v>14</v>
      </c>
      <c r="U654" s="5" t="s">
        <v>17</v>
      </c>
      <c r="V654" s="5" t="s">
        <v>19</v>
      </c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</row>
    <row r="655" spans="1:37" x14ac:dyDescent="0.25">
      <c r="A655" s="11">
        <f>Table1[[#This Row],[Milk Yield]]-J651</f>
        <v>-78</v>
      </c>
      <c r="B655" t="s">
        <v>24</v>
      </c>
      <c r="C655" s="2">
        <v>1</v>
      </c>
      <c r="D655" s="12">
        <v>45631</v>
      </c>
      <c r="E655" s="2">
        <v>34</v>
      </c>
      <c r="F655" s="13">
        <v>0.36520833333333336</v>
      </c>
      <c r="G655" s="3">
        <v>0.59090277777777778</v>
      </c>
      <c r="H655" s="1">
        <v>0.22569444444444445</v>
      </c>
      <c r="I655" s="5">
        <v>649</v>
      </c>
      <c r="J655">
        <v>5822</v>
      </c>
      <c r="K655">
        <v>120</v>
      </c>
      <c r="L655" s="5">
        <v>94</v>
      </c>
      <c r="M655" s="5">
        <v>648</v>
      </c>
      <c r="N655">
        <v>12</v>
      </c>
      <c r="O655">
        <v>636</v>
      </c>
      <c r="P655" s="1">
        <v>0.25347222222222221</v>
      </c>
      <c r="Q655" s="5">
        <v>1075</v>
      </c>
      <c r="R655" s="14">
        <v>9</v>
      </c>
      <c r="S655">
        <v>120</v>
      </c>
      <c r="T655" s="5">
        <v>12</v>
      </c>
      <c r="U655" s="5">
        <v>633</v>
      </c>
      <c r="V655" s="5">
        <v>1</v>
      </c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</row>
    <row r="656" spans="1:37" x14ac:dyDescent="0.25">
      <c r="A656" s="11">
        <f>Table1[[#This Row],[Milk Yield]]-J652</f>
        <v>337</v>
      </c>
      <c r="B656" t="s">
        <v>24</v>
      </c>
      <c r="C656" s="2">
        <v>2</v>
      </c>
      <c r="D656" s="12">
        <v>45631</v>
      </c>
      <c r="E656" s="2">
        <v>36</v>
      </c>
      <c r="F656" s="13">
        <v>0.67023148148148148</v>
      </c>
      <c r="G656" s="3">
        <v>0.90778935185185183</v>
      </c>
      <c r="H656" s="1">
        <v>0.23749999999999999</v>
      </c>
      <c r="I656" s="5">
        <v>620</v>
      </c>
      <c r="J656">
        <v>5176</v>
      </c>
      <c r="K656">
        <v>109</v>
      </c>
      <c r="L656" s="5">
        <v>234</v>
      </c>
      <c r="M656" s="5">
        <v>617</v>
      </c>
      <c r="N656">
        <v>36</v>
      </c>
      <c r="O656">
        <v>581</v>
      </c>
      <c r="P656" s="1">
        <v>0.28680555555555554</v>
      </c>
      <c r="Q656" s="5">
        <v>908</v>
      </c>
      <c r="R656" s="14">
        <v>8.4</v>
      </c>
      <c r="S656">
        <v>108</v>
      </c>
      <c r="T656" s="5">
        <v>36</v>
      </c>
      <c r="U656" s="5">
        <v>582</v>
      </c>
      <c r="V656" s="5">
        <v>1</v>
      </c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</row>
    <row r="657" spans="1:37" x14ac:dyDescent="0.25">
      <c r="A657" s="11">
        <f>Table1[[#This Row],[Milk Yield]]-J653</f>
        <v>267</v>
      </c>
      <c r="B657" t="s">
        <v>24</v>
      </c>
      <c r="C657" s="2">
        <v>3</v>
      </c>
      <c r="D657" s="12">
        <v>45631</v>
      </c>
      <c r="E657" s="2">
        <v>37</v>
      </c>
      <c r="F657" s="13">
        <v>8.5069444444444437E-3</v>
      </c>
      <c r="G657" s="3">
        <v>0.24282407407407408</v>
      </c>
      <c r="H657" s="1">
        <v>0.23402777777777778</v>
      </c>
      <c r="I657" s="5">
        <v>645</v>
      </c>
      <c r="J657">
        <v>6151</v>
      </c>
      <c r="K657">
        <v>115</v>
      </c>
      <c r="L657" s="5">
        <v>253</v>
      </c>
      <c r="M657" s="5">
        <v>641</v>
      </c>
      <c r="N657">
        <v>31</v>
      </c>
      <c r="O657">
        <v>610</v>
      </c>
      <c r="P657" s="1">
        <v>0.33055555555555555</v>
      </c>
      <c r="Q657" s="5">
        <v>1094</v>
      </c>
      <c r="R657" s="14">
        <v>9.6</v>
      </c>
      <c r="S657">
        <v>114</v>
      </c>
      <c r="T657" s="5">
        <v>31</v>
      </c>
      <c r="U657" s="5">
        <v>611</v>
      </c>
      <c r="V657" s="5">
        <v>1</v>
      </c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</row>
    <row r="658" spans="1:37" x14ac:dyDescent="0.25">
      <c r="A658" s="11" t="e">
        <f>Table1[[#This Row],[Milk Yield]]-J654</f>
        <v>#VALUE!</v>
      </c>
      <c r="B658" t="s">
        <v>0</v>
      </c>
      <c r="C658" s="2" t="s">
        <v>1</v>
      </c>
      <c r="D658" s="12" t="s">
        <v>2</v>
      </c>
      <c r="E658" s="2" t="s">
        <v>3</v>
      </c>
      <c r="F658" s="13" t="s">
        <v>4</v>
      </c>
      <c r="G658" s="3" t="s">
        <v>5</v>
      </c>
      <c r="H658" s="1" t="s">
        <v>6</v>
      </c>
      <c r="I658" s="5" t="s">
        <v>8</v>
      </c>
      <c r="J658" t="s">
        <v>9</v>
      </c>
      <c r="K658" t="s">
        <v>10</v>
      </c>
      <c r="L658" s="5" t="s">
        <v>11</v>
      </c>
      <c r="M658" s="5" t="s">
        <v>12</v>
      </c>
      <c r="N658" t="s">
        <v>13</v>
      </c>
      <c r="O658" t="s">
        <v>20</v>
      </c>
      <c r="P658" t="s">
        <v>7</v>
      </c>
      <c r="Q658" s="5" t="s">
        <v>15</v>
      </c>
      <c r="R658" s="14" t="s">
        <v>18</v>
      </c>
      <c r="S658" t="s">
        <v>16</v>
      </c>
      <c r="T658" s="5" t="s">
        <v>14</v>
      </c>
      <c r="U658" s="5" t="s">
        <v>17</v>
      </c>
      <c r="V658" s="5" t="s">
        <v>19</v>
      </c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</row>
    <row r="659" spans="1:37" x14ac:dyDescent="0.25">
      <c r="A659" s="11">
        <f>Table1[[#This Row],[Milk Yield]]-J655</f>
        <v>-570</v>
      </c>
      <c r="B659" t="s">
        <v>24</v>
      </c>
      <c r="C659" s="2">
        <v>1</v>
      </c>
      <c r="D659" s="12">
        <v>45632</v>
      </c>
      <c r="E659" s="2">
        <v>35</v>
      </c>
      <c r="F659" s="13">
        <v>0.33481481481481479</v>
      </c>
      <c r="G659" s="3">
        <v>0.58182870370370365</v>
      </c>
      <c r="H659" s="1">
        <v>0.24652777777777779</v>
      </c>
      <c r="I659" s="5">
        <v>665</v>
      </c>
      <c r="J659">
        <v>5252</v>
      </c>
      <c r="K659">
        <v>112</v>
      </c>
      <c r="L659" s="5">
        <v>222</v>
      </c>
      <c r="M659" s="5">
        <v>663</v>
      </c>
      <c r="N659">
        <v>29</v>
      </c>
      <c r="O659">
        <v>634</v>
      </c>
      <c r="P659" s="1">
        <v>0.24791666666666667</v>
      </c>
      <c r="Q659" s="5">
        <v>886</v>
      </c>
      <c r="R659" s="14">
        <v>8</v>
      </c>
      <c r="S659">
        <v>112</v>
      </c>
      <c r="T659" s="5">
        <v>29</v>
      </c>
      <c r="U659" s="5">
        <v>632</v>
      </c>
      <c r="V659" s="5">
        <v>1</v>
      </c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</row>
    <row r="660" spans="1:37" x14ac:dyDescent="0.25">
      <c r="A660" s="11">
        <f>Table1[[#This Row],[Milk Yield]]-J656</f>
        <v>58</v>
      </c>
      <c r="B660" t="s">
        <v>24</v>
      </c>
      <c r="C660" s="2">
        <v>2</v>
      </c>
      <c r="D660" s="12">
        <v>45632</v>
      </c>
      <c r="E660" s="2">
        <v>34</v>
      </c>
      <c r="F660" s="13">
        <v>0.67458333333333331</v>
      </c>
      <c r="G660" s="3">
        <v>0.89136574074074071</v>
      </c>
      <c r="H660" s="1">
        <v>0.21666666666666667</v>
      </c>
      <c r="I660" s="5">
        <v>620</v>
      </c>
      <c r="J660">
        <v>5234</v>
      </c>
      <c r="K660">
        <v>119</v>
      </c>
      <c r="L660" s="5">
        <v>224</v>
      </c>
      <c r="M660" s="5">
        <v>620</v>
      </c>
      <c r="N660">
        <v>31</v>
      </c>
      <c r="O660">
        <v>589</v>
      </c>
      <c r="P660" s="1">
        <v>0.27291666666666664</v>
      </c>
      <c r="Q660" s="5">
        <v>1006</v>
      </c>
      <c r="R660" s="14">
        <v>8.5</v>
      </c>
      <c r="S660">
        <v>119</v>
      </c>
      <c r="T660" s="5">
        <v>31</v>
      </c>
      <c r="U660" s="5">
        <v>590</v>
      </c>
      <c r="V660" s="5">
        <v>1</v>
      </c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</row>
    <row r="661" spans="1:37" x14ac:dyDescent="0.25">
      <c r="A661" s="11">
        <f>Table1[[#This Row],[Milk Yield]]-J657</f>
        <v>-71</v>
      </c>
      <c r="B661" t="s">
        <v>24</v>
      </c>
      <c r="C661" s="2">
        <v>3</v>
      </c>
      <c r="D661" s="12">
        <v>45632</v>
      </c>
      <c r="E661" s="2">
        <v>36</v>
      </c>
      <c r="F661" s="13">
        <v>3.7731481481481483E-3</v>
      </c>
      <c r="G661" s="3">
        <v>0.23407407407407407</v>
      </c>
      <c r="H661" s="1">
        <v>0.2298611111111111</v>
      </c>
      <c r="I661" s="5">
        <v>650</v>
      </c>
      <c r="J661">
        <v>6080</v>
      </c>
      <c r="K661">
        <v>118</v>
      </c>
      <c r="L661" s="5">
        <v>192</v>
      </c>
      <c r="M661" s="5">
        <v>646</v>
      </c>
      <c r="N661">
        <v>25</v>
      </c>
      <c r="O661">
        <v>621</v>
      </c>
      <c r="P661" s="1">
        <v>0.27291666666666664</v>
      </c>
      <c r="Q661" s="5">
        <v>1100</v>
      </c>
      <c r="R661" s="14">
        <v>9.5</v>
      </c>
      <c r="S661">
        <v>117</v>
      </c>
      <c r="T661" s="5">
        <v>25</v>
      </c>
      <c r="U661" s="5">
        <v>622</v>
      </c>
      <c r="V661" s="5">
        <v>1</v>
      </c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</row>
    <row r="662" spans="1:37" x14ac:dyDescent="0.25">
      <c r="A662" s="11" t="e">
        <f>Table1[[#This Row],[Milk Yield]]-J658</f>
        <v>#VALUE!</v>
      </c>
      <c r="B662" t="s">
        <v>0</v>
      </c>
      <c r="C662" s="2" t="s">
        <v>1</v>
      </c>
      <c r="D662" s="12" t="s">
        <v>2</v>
      </c>
      <c r="E662" s="2" t="s">
        <v>3</v>
      </c>
      <c r="F662" s="13" t="s">
        <v>4</v>
      </c>
      <c r="G662" s="3" t="s">
        <v>5</v>
      </c>
      <c r="H662" s="1" t="s">
        <v>6</v>
      </c>
      <c r="I662" s="5" t="s">
        <v>8</v>
      </c>
      <c r="J662" t="s">
        <v>9</v>
      </c>
      <c r="K662" t="s">
        <v>10</v>
      </c>
      <c r="L662" s="5" t="s">
        <v>11</v>
      </c>
      <c r="M662" s="5" t="s">
        <v>12</v>
      </c>
      <c r="N662" t="s">
        <v>13</v>
      </c>
      <c r="O662" t="s">
        <v>20</v>
      </c>
      <c r="P662" t="s">
        <v>7</v>
      </c>
      <c r="Q662" s="5" t="s">
        <v>15</v>
      </c>
      <c r="R662" s="14" t="s">
        <v>18</v>
      </c>
      <c r="S662" t="s">
        <v>16</v>
      </c>
      <c r="T662" s="5" t="s">
        <v>14</v>
      </c>
      <c r="U662" s="5" t="s">
        <v>17</v>
      </c>
      <c r="V662" s="5" t="s">
        <v>19</v>
      </c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</row>
    <row r="663" spans="1:37" x14ac:dyDescent="0.25">
      <c r="A663" s="11">
        <f>Table1[[#This Row],[Milk Yield]]-J659</f>
        <v>380</v>
      </c>
      <c r="B663" t="s">
        <v>24</v>
      </c>
      <c r="C663" s="2">
        <v>1</v>
      </c>
      <c r="D663" s="12">
        <v>45633</v>
      </c>
      <c r="E663" s="2">
        <v>35</v>
      </c>
      <c r="F663" s="13">
        <v>0.33679398148148149</v>
      </c>
      <c r="G663" s="3">
        <v>0.58637731481481481</v>
      </c>
      <c r="H663" s="1">
        <v>0.24930555555555556</v>
      </c>
      <c r="I663" s="5">
        <v>647</v>
      </c>
      <c r="J663">
        <v>5632</v>
      </c>
      <c r="K663">
        <v>108</v>
      </c>
      <c r="L663" s="5">
        <v>131</v>
      </c>
      <c r="M663" s="5">
        <v>645</v>
      </c>
      <c r="N663">
        <v>20</v>
      </c>
      <c r="O663">
        <v>625</v>
      </c>
      <c r="P663" s="1">
        <v>0.26597222222222222</v>
      </c>
      <c r="Q663" s="5">
        <v>940</v>
      </c>
      <c r="R663" s="14">
        <v>8.8000000000000007</v>
      </c>
      <c r="S663">
        <v>108</v>
      </c>
      <c r="T663" s="5">
        <v>20</v>
      </c>
      <c r="U663" s="5">
        <v>625</v>
      </c>
      <c r="V663" s="5">
        <v>1</v>
      </c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</row>
    <row r="664" spans="1:37" x14ac:dyDescent="0.25">
      <c r="A664" s="11">
        <f>Table1[[#This Row],[Milk Yield]]-J660</f>
        <v>-111</v>
      </c>
      <c r="B664" t="s">
        <v>24</v>
      </c>
      <c r="C664" s="2">
        <v>2</v>
      </c>
      <c r="D664" s="12">
        <v>45633</v>
      </c>
      <c r="E664" s="2">
        <v>34</v>
      </c>
      <c r="F664" s="13">
        <v>0.66763888888888889</v>
      </c>
      <c r="G664" s="3">
        <v>0.8883564814814815</v>
      </c>
      <c r="H664" s="1">
        <v>0.22013888888888888</v>
      </c>
      <c r="I664" s="5">
        <v>596</v>
      </c>
      <c r="J664">
        <v>5123</v>
      </c>
      <c r="K664">
        <v>113</v>
      </c>
      <c r="L664" s="5">
        <v>248</v>
      </c>
      <c r="M664" s="5">
        <v>596</v>
      </c>
      <c r="N664">
        <v>36</v>
      </c>
      <c r="O664">
        <v>560</v>
      </c>
      <c r="P664" s="1">
        <v>0.28402777777777777</v>
      </c>
      <c r="Q664" s="5">
        <v>967</v>
      </c>
      <c r="R664" s="14">
        <v>8.6</v>
      </c>
      <c r="S664">
        <v>113</v>
      </c>
      <c r="T664" s="5">
        <v>36</v>
      </c>
      <c r="U664" s="5">
        <v>561</v>
      </c>
      <c r="V664" s="5">
        <v>1</v>
      </c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</row>
    <row r="665" spans="1:37" x14ac:dyDescent="0.25">
      <c r="A665" s="11">
        <f>Table1[[#This Row],[Milk Yield]]-J661</f>
        <v>245</v>
      </c>
      <c r="B665" t="s">
        <v>24</v>
      </c>
      <c r="C665" s="2">
        <v>3</v>
      </c>
      <c r="D665" s="12">
        <v>45633</v>
      </c>
      <c r="E665" s="2">
        <v>38</v>
      </c>
      <c r="F665" s="13">
        <v>6.7013888888888887E-3</v>
      </c>
      <c r="G665" s="3">
        <v>0.2404050925925926</v>
      </c>
      <c r="H665" s="1">
        <v>0.23333333333333334</v>
      </c>
      <c r="I665" s="5">
        <v>672</v>
      </c>
      <c r="J665">
        <v>6325</v>
      </c>
      <c r="K665">
        <v>120</v>
      </c>
      <c r="L665" s="5">
        <v>432</v>
      </c>
      <c r="M665" s="5">
        <v>664</v>
      </c>
      <c r="N665">
        <v>58</v>
      </c>
      <c r="O665">
        <v>606</v>
      </c>
      <c r="P665" s="1">
        <v>0.27569444444444446</v>
      </c>
      <c r="Q665" s="5">
        <v>1128</v>
      </c>
      <c r="R665" s="14">
        <v>9.6</v>
      </c>
      <c r="S665">
        <v>118</v>
      </c>
      <c r="T665" s="5">
        <v>58</v>
      </c>
      <c r="U665" s="5">
        <v>607</v>
      </c>
      <c r="V665" s="5">
        <v>1</v>
      </c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</row>
    <row r="666" spans="1:37" x14ac:dyDescent="0.25">
      <c r="A666" s="11" t="e">
        <f>Table1[[#This Row],[Milk Yield]]-J662</f>
        <v>#VALUE!</v>
      </c>
      <c r="B666" t="s">
        <v>0</v>
      </c>
      <c r="C666" s="2" t="s">
        <v>1</v>
      </c>
      <c r="D666" s="12" t="s">
        <v>2</v>
      </c>
      <c r="E666" s="2" t="s">
        <v>3</v>
      </c>
      <c r="F666" s="13" t="s">
        <v>4</v>
      </c>
      <c r="G666" s="3" t="s">
        <v>5</v>
      </c>
      <c r="H666" s="1" t="s">
        <v>6</v>
      </c>
      <c r="I666" s="5" t="s">
        <v>8</v>
      </c>
      <c r="J666" t="s">
        <v>9</v>
      </c>
      <c r="K666" t="s">
        <v>10</v>
      </c>
      <c r="L666" s="5" t="s">
        <v>11</v>
      </c>
      <c r="M666" s="5" t="s">
        <v>12</v>
      </c>
      <c r="N666" t="s">
        <v>13</v>
      </c>
      <c r="O666" t="s">
        <v>20</v>
      </c>
      <c r="P666" t="s">
        <v>7</v>
      </c>
      <c r="Q666" s="5" t="s">
        <v>15</v>
      </c>
      <c r="R666" s="14" t="s">
        <v>18</v>
      </c>
      <c r="S666" t="s">
        <v>16</v>
      </c>
      <c r="T666" s="5" t="s">
        <v>14</v>
      </c>
      <c r="U666" s="5" t="s">
        <v>17</v>
      </c>
      <c r="V666" s="5" t="s">
        <v>19</v>
      </c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</row>
    <row r="667" spans="1:37" x14ac:dyDescent="0.25">
      <c r="A667" s="11">
        <f>Table1[[#This Row],[Milk Yield]]-J663</f>
        <v>393</v>
      </c>
      <c r="B667" t="s">
        <v>24</v>
      </c>
      <c r="C667" s="2">
        <v>1</v>
      </c>
      <c r="D667" s="12">
        <v>45634</v>
      </c>
      <c r="E667" s="2">
        <v>33</v>
      </c>
      <c r="F667" s="13">
        <v>0.34791666666666665</v>
      </c>
      <c r="G667" s="3">
        <v>0.58437499999999998</v>
      </c>
      <c r="H667" s="1">
        <v>0.2361111111111111</v>
      </c>
      <c r="I667" s="5">
        <v>637</v>
      </c>
      <c r="J667">
        <v>6025</v>
      </c>
      <c r="K667">
        <v>112</v>
      </c>
      <c r="L667" s="5">
        <v>201</v>
      </c>
      <c r="M667" s="5">
        <v>636</v>
      </c>
      <c r="N667">
        <v>23</v>
      </c>
      <c r="O667">
        <v>613</v>
      </c>
      <c r="P667" s="1">
        <v>0.27500000000000002</v>
      </c>
      <c r="Q667" s="5">
        <v>1062</v>
      </c>
      <c r="R667" s="14">
        <v>9.5</v>
      </c>
      <c r="S667">
        <v>112</v>
      </c>
      <c r="T667" s="5">
        <v>23</v>
      </c>
      <c r="U667" s="5">
        <v>617</v>
      </c>
      <c r="V667" s="5">
        <v>4</v>
      </c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</row>
    <row r="668" spans="1:37" x14ac:dyDescent="0.25">
      <c r="A668" s="11">
        <f>Table1[[#This Row],[Milk Yield]]-J664</f>
        <v>-73</v>
      </c>
      <c r="B668" t="s">
        <v>24</v>
      </c>
      <c r="C668" s="2">
        <v>2</v>
      </c>
      <c r="D668" s="12">
        <v>45634</v>
      </c>
      <c r="E668" s="2">
        <v>36</v>
      </c>
      <c r="F668" s="13">
        <v>0.67096064814814815</v>
      </c>
      <c r="G668" s="3">
        <v>0.90141203703703698</v>
      </c>
      <c r="H668" s="1">
        <v>0.2298611111111111</v>
      </c>
      <c r="I668" s="5">
        <v>593</v>
      </c>
      <c r="J668">
        <v>5050</v>
      </c>
      <c r="K668">
        <v>107</v>
      </c>
      <c r="L668" s="5">
        <v>204</v>
      </c>
      <c r="M668" s="5">
        <v>592</v>
      </c>
      <c r="N668">
        <v>30</v>
      </c>
      <c r="O668">
        <v>562</v>
      </c>
      <c r="P668" s="1">
        <v>0.30069444444444443</v>
      </c>
      <c r="Q668" s="5">
        <v>913</v>
      </c>
      <c r="R668" s="14">
        <v>8.6</v>
      </c>
      <c r="S668">
        <v>107</v>
      </c>
      <c r="T668" s="5">
        <v>30</v>
      </c>
      <c r="U668" s="5">
        <v>562</v>
      </c>
      <c r="V668" s="5">
        <v>0</v>
      </c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</row>
    <row r="669" spans="1:37" x14ac:dyDescent="0.25">
      <c r="A669" s="11">
        <f>Table1[[#This Row],[Milk Yield]]-J665</f>
        <v>-366</v>
      </c>
      <c r="B669" t="s">
        <v>24</v>
      </c>
      <c r="C669" s="2">
        <v>3</v>
      </c>
      <c r="D669" s="12">
        <v>45634</v>
      </c>
      <c r="E669" s="2">
        <v>38</v>
      </c>
      <c r="F669" s="13">
        <v>4.5949074074074078E-3</v>
      </c>
      <c r="G669" s="3">
        <v>0.24497685185185186</v>
      </c>
      <c r="H669" s="1">
        <v>0.24027777777777778</v>
      </c>
      <c r="I669" s="5">
        <v>656</v>
      </c>
      <c r="J669">
        <v>5959</v>
      </c>
      <c r="K669">
        <v>114</v>
      </c>
      <c r="L669" s="5">
        <v>292</v>
      </c>
      <c r="M669" s="5">
        <v>652</v>
      </c>
      <c r="N669">
        <v>37</v>
      </c>
      <c r="O669">
        <v>615</v>
      </c>
      <c r="P669" s="1">
        <v>0.25833333333333336</v>
      </c>
      <c r="Q669" s="5">
        <v>1033</v>
      </c>
      <c r="R669" s="14">
        <v>9.1999999999999993</v>
      </c>
      <c r="S669">
        <v>113</v>
      </c>
      <c r="T669" s="5">
        <v>37</v>
      </c>
      <c r="U669" s="5">
        <v>615</v>
      </c>
      <c r="V669" s="5">
        <v>0</v>
      </c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</row>
    <row r="670" spans="1:37" x14ac:dyDescent="0.25">
      <c r="A670" s="11" t="e">
        <f>Table1[[#This Row],[Milk Yield]]-J666</f>
        <v>#VALUE!</v>
      </c>
      <c r="B670" t="s">
        <v>0</v>
      </c>
      <c r="C670" s="2" t="s">
        <v>1</v>
      </c>
      <c r="D670" s="12" t="s">
        <v>2</v>
      </c>
      <c r="E670" s="2" t="s">
        <v>3</v>
      </c>
      <c r="F670" s="13" t="s">
        <v>4</v>
      </c>
      <c r="G670" s="3" t="s">
        <v>5</v>
      </c>
      <c r="H670" s="1" t="s">
        <v>6</v>
      </c>
      <c r="I670" s="5" t="s">
        <v>8</v>
      </c>
      <c r="J670" t="s">
        <v>9</v>
      </c>
      <c r="K670" t="s">
        <v>10</v>
      </c>
      <c r="L670" s="5" t="s">
        <v>11</v>
      </c>
      <c r="M670" s="5" t="s">
        <v>12</v>
      </c>
      <c r="N670" t="s">
        <v>13</v>
      </c>
      <c r="O670" t="s">
        <v>20</v>
      </c>
      <c r="P670" t="s">
        <v>7</v>
      </c>
      <c r="Q670" s="5" t="s">
        <v>15</v>
      </c>
      <c r="R670" s="14" t="s">
        <v>18</v>
      </c>
      <c r="S670" t="s">
        <v>16</v>
      </c>
      <c r="T670" s="5" t="s">
        <v>14</v>
      </c>
      <c r="U670" s="5" t="s">
        <v>17</v>
      </c>
      <c r="V670" s="5" t="s">
        <v>19</v>
      </c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</row>
    <row r="671" spans="1:37" x14ac:dyDescent="0.25">
      <c r="A671" s="11">
        <f>Table1[[#This Row],[Milk Yield]]-J667</f>
        <v>-111</v>
      </c>
      <c r="B671" t="s">
        <v>24</v>
      </c>
      <c r="C671" s="2">
        <v>1</v>
      </c>
      <c r="D671" s="12">
        <v>45635</v>
      </c>
      <c r="E671" s="2">
        <v>33</v>
      </c>
      <c r="F671" s="13">
        <v>0.33505787037037038</v>
      </c>
      <c r="G671" s="3">
        <v>0.60620370370370369</v>
      </c>
      <c r="H671" s="1">
        <v>0.27083333333333331</v>
      </c>
      <c r="I671" s="5">
        <v>644</v>
      </c>
      <c r="J671">
        <v>5914</v>
      </c>
      <c r="K671">
        <v>99</v>
      </c>
      <c r="L671" s="5">
        <v>218</v>
      </c>
      <c r="M671" s="5">
        <v>642</v>
      </c>
      <c r="N671">
        <v>23</v>
      </c>
      <c r="O671">
        <v>619</v>
      </c>
      <c r="P671" s="1">
        <v>0.30486111111111114</v>
      </c>
      <c r="Q671" s="5">
        <v>909</v>
      </c>
      <c r="R671" s="14">
        <v>9.3000000000000007</v>
      </c>
      <c r="S671">
        <v>99</v>
      </c>
      <c r="T671" s="5">
        <v>23</v>
      </c>
      <c r="U671" s="5">
        <v>617</v>
      </c>
      <c r="V671" s="5">
        <v>0</v>
      </c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</row>
    <row r="672" spans="1:37" x14ac:dyDescent="0.25">
      <c r="A672" s="11">
        <f>Table1[[#This Row],[Milk Yield]]-J668</f>
        <v>-170</v>
      </c>
      <c r="B672" t="s">
        <v>24</v>
      </c>
      <c r="C672" s="2">
        <v>2</v>
      </c>
      <c r="D672" s="12">
        <v>45635</v>
      </c>
      <c r="E672" s="2">
        <v>33</v>
      </c>
      <c r="F672" s="13">
        <v>0.67479166666666668</v>
      </c>
      <c r="G672" s="3">
        <v>0.88790509259259254</v>
      </c>
      <c r="H672" s="1">
        <v>0.21249999999999999</v>
      </c>
      <c r="I672" s="5">
        <v>584</v>
      </c>
      <c r="J672">
        <v>4880</v>
      </c>
      <c r="K672">
        <v>114</v>
      </c>
      <c r="L672" s="5">
        <v>130</v>
      </c>
      <c r="M672" s="5">
        <v>579</v>
      </c>
      <c r="N672">
        <v>16</v>
      </c>
      <c r="O672">
        <v>563</v>
      </c>
      <c r="P672" s="1">
        <v>0.27708333333333335</v>
      </c>
      <c r="Q672" s="5">
        <v>954</v>
      </c>
      <c r="R672" s="14">
        <v>8.5</v>
      </c>
      <c r="S672">
        <v>113</v>
      </c>
      <c r="T672" s="5">
        <v>16</v>
      </c>
      <c r="U672" s="5">
        <v>563</v>
      </c>
      <c r="V672" s="5">
        <v>0</v>
      </c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</row>
    <row r="673" spans="1:37" x14ac:dyDescent="0.25">
      <c r="A673" s="11">
        <f>Table1[[#This Row],[Milk Yield]]-J669</f>
        <v>534</v>
      </c>
      <c r="B673" t="s">
        <v>24</v>
      </c>
      <c r="C673" s="2">
        <v>3</v>
      </c>
      <c r="D673" s="12">
        <v>45635</v>
      </c>
      <c r="E673" s="2">
        <v>36</v>
      </c>
      <c r="F673" s="13">
        <v>1.6782407407407408E-3</v>
      </c>
      <c r="G673" s="3">
        <v>0.27609953703703705</v>
      </c>
      <c r="H673" s="1">
        <v>0.27430555555555558</v>
      </c>
      <c r="I673" s="5">
        <v>647</v>
      </c>
      <c r="J673">
        <v>6493</v>
      </c>
      <c r="K673">
        <v>98</v>
      </c>
      <c r="L673" s="5">
        <v>354</v>
      </c>
      <c r="M673" s="5">
        <v>644</v>
      </c>
      <c r="N673">
        <v>42</v>
      </c>
      <c r="O673">
        <v>602</v>
      </c>
      <c r="P673" s="1">
        <v>0.27638888888888891</v>
      </c>
      <c r="Q673" s="5">
        <v>986</v>
      </c>
      <c r="R673" s="14">
        <v>10.1</v>
      </c>
      <c r="S673">
        <v>98</v>
      </c>
      <c r="T673" s="5">
        <v>42</v>
      </c>
      <c r="U673" s="5">
        <v>602</v>
      </c>
      <c r="V673" s="5">
        <v>0</v>
      </c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</row>
    <row r="674" spans="1:37" x14ac:dyDescent="0.25">
      <c r="A674" s="11" t="e">
        <f>Table1[[#This Row],[Milk Yield]]-J670</f>
        <v>#VALUE!</v>
      </c>
      <c r="B674" t="s">
        <v>0</v>
      </c>
      <c r="C674" s="2" t="s">
        <v>1</v>
      </c>
      <c r="D674" s="12" t="s">
        <v>2</v>
      </c>
      <c r="E674" s="2" t="s">
        <v>3</v>
      </c>
      <c r="F674" s="13" t="s">
        <v>4</v>
      </c>
      <c r="G674" s="3" t="s">
        <v>5</v>
      </c>
      <c r="H674" s="1" t="s">
        <v>6</v>
      </c>
      <c r="I674" s="5" t="s">
        <v>8</v>
      </c>
      <c r="J674" t="s">
        <v>9</v>
      </c>
      <c r="K674" t="s">
        <v>10</v>
      </c>
      <c r="L674" s="5" t="s">
        <v>11</v>
      </c>
      <c r="M674" s="5" t="s">
        <v>12</v>
      </c>
      <c r="N674" t="s">
        <v>13</v>
      </c>
      <c r="O674" t="s">
        <v>20</v>
      </c>
      <c r="P674" t="s">
        <v>7</v>
      </c>
      <c r="Q674" s="5" t="s">
        <v>15</v>
      </c>
      <c r="R674" s="14" t="s">
        <v>18</v>
      </c>
      <c r="S674" t="s">
        <v>16</v>
      </c>
      <c r="T674" s="5" t="s">
        <v>14</v>
      </c>
      <c r="U674" s="5" t="s">
        <v>17</v>
      </c>
      <c r="V674" s="5" t="s">
        <v>19</v>
      </c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</row>
    <row r="675" spans="1:37" x14ac:dyDescent="0.25">
      <c r="A675" s="11">
        <f>Table1[[#This Row],[Milk Yield]]-J671</f>
        <v>-289</v>
      </c>
      <c r="B675" t="s">
        <v>24</v>
      </c>
      <c r="C675" s="2">
        <v>1</v>
      </c>
      <c r="D675" s="12">
        <v>45636</v>
      </c>
      <c r="E675" s="2">
        <v>33</v>
      </c>
      <c r="F675" s="13">
        <v>0.34046296296296297</v>
      </c>
      <c r="G675" s="3">
        <v>0.60062499999999996</v>
      </c>
      <c r="H675" s="1">
        <v>0.25972222222222224</v>
      </c>
      <c r="I675" s="5">
        <v>643</v>
      </c>
      <c r="J675">
        <v>5625</v>
      </c>
      <c r="K675">
        <v>103</v>
      </c>
      <c r="L675" s="5">
        <v>303</v>
      </c>
      <c r="M675" s="5">
        <v>643</v>
      </c>
      <c r="N675">
        <v>35</v>
      </c>
      <c r="O675">
        <v>608</v>
      </c>
      <c r="P675" s="1">
        <v>0.26805555555555555</v>
      </c>
      <c r="Q675" s="5">
        <v>901</v>
      </c>
      <c r="R675" s="14">
        <v>8.8000000000000007</v>
      </c>
      <c r="S675">
        <v>103</v>
      </c>
      <c r="T675" s="5">
        <v>35</v>
      </c>
      <c r="U675" s="5">
        <v>607</v>
      </c>
      <c r="V675" s="5">
        <v>1</v>
      </c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</row>
    <row r="676" spans="1:37" x14ac:dyDescent="0.25">
      <c r="A676" s="11">
        <f>Table1[[#This Row],[Milk Yield]]-J672</f>
        <v>209</v>
      </c>
      <c r="B676" t="s">
        <v>24</v>
      </c>
      <c r="C676" s="2">
        <v>2</v>
      </c>
      <c r="D676" s="12">
        <v>45636</v>
      </c>
      <c r="E676" s="2">
        <v>34</v>
      </c>
      <c r="F676" s="13">
        <v>0.67043981481481485</v>
      </c>
      <c r="G676" s="3">
        <v>0.91525462962962967</v>
      </c>
      <c r="H676" s="1">
        <v>0.24444444444444444</v>
      </c>
      <c r="I676" s="5">
        <v>593</v>
      </c>
      <c r="J676">
        <v>5089</v>
      </c>
      <c r="K676">
        <v>101</v>
      </c>
      <c r="L676" s="5">
        <v>171</v>
      </c>
      <c r="M676" s="5">
        <v>587</v>
      </c>
      <c r="N676">
        <v>29</v>
      </c>
      <c r="O676">
        <v>558</v>
      </c>
      <c r="P676" s="1">
        <v>0.30486111111111114</v>
      </c>
      <c r="Q676" s="5">
        <v>866</v>
      </c>
      <c r="R676" s="14">
        <v>8.6999999999999993</v>
      </c>
      <c r="S676">
        <v>100</v>
      </c>
      <c r="T676" s="5">
        <v>29</v>
      </c>
      <c r="U676" s="5">
        <v>557</v>
      </c>
      <c r="V676" s="5">
        <v>0</v>
      </c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</row>
    <row r="677" spans="1:37" x14ac:dyDescent="0.25">
      <c r="A677" s="11">
        <f>Table1[[#This Row],[Milk Yield]]-J673</f>
        <v>-764</v>
      </c>
      <c r="B677" t="s">
        <v>24</v>
      </c>
      <c r="C677" s="2">
        <v>3</v>
      </c>
      <c r="D677" s="12">
        <v>45636</v>
      </c>
      <c r="E677" s="2">
        <v>37</v>
      </c>
      <c r="F677" s="13">
        <v>0.99585648148148154</v>
      </c>
      <c r="G677" s="3">
        <v>0.24043981481481483</v>
      </c>
      <c r="H677" s="1">
        <v>0.24444444444444444</v>
      </c>
      <c r="I677" s="5">
        <v>634</v>
      </c>
      <c r="J677">
        <v>5729</v>
      </c>
      <c r="K677">
        <v>108</v>
      </c>
      <c r="L677" s="5">
        <v>353</v>
      </c>
      <c r="M677" s="5">
        <v>629</v>
      </c>
      <c r="N677">
        <v>43</v>
      </c>
      <c r="O677">
        <v>586</v>
      </c>
      <c r="P677" s="1">
        <v>0.2590277777777778</v>
      </c>
      <c r="Q677" s="5">
        <v>976</v>
      </c>
      <c r="R677" s="14">
        <v>9.1999999999999993</v>
      </c>
      <c r="S677">
        <v>107</v>
      </c>
      <c r="T677" s="5">
        <v>43</v>
      </c>
      <c r="U677" s="5">
        <v>586</v>
      </c>
      <c r="V677" s="5">
        <v>0</v>
      </c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</row>
    <row r="678" spans="1:37" x14ac:dyDescent="0.25">
      <c r="A678" s="11" t="e">
        <f>Table1[[#This Row],[Milk Yield]]-J674</f>
        <v>#VALUE!</v>
      </c>
      <c r="B678" t="s">
        <v>0</v>
      </c>
      <c r="C678" s="2" t="s">
        <v>1</v>
      </c>
      <c r="D678" s="12" t="s">
        <v>2</v>
      </c>
      <c r="E678" s="2" t="s">
        <v>3</v>
      </c>
      <c r="F678" s="13" t="s">
        <v>4</v>
      </c>
      <c r="G678" s="3" t="s">
        <v>5</v>
      </c>
      <c r="H678" s="1" t="s">
        <v>6</v>
      </c>
      <c r="I678" s="5" t="s">
        <v>8</v>
      </c>
      <c r="J678" t="s">
        <v>9</v>
      </c>
      <c r="K678" t="s">
        <v>10</v>
      </c>
      <c r="L678" s="5" t="s">
        <v>11</v>
      </c>
      <c r="M678" s="5" t="s">
        <v>12</v>
      </c>
      <c r="N678" t="s">
        <v>13</v>
      </c>
      <c r="O678" t="s">
        <v>20</v>
      </c>
      <c r="P678" t="s">
        <v>7</v>
      </c>
      <c r="Q678" s="5" t="s">
        <v>15</v>
      </c>
      <c r="R678" s="14" t="s">
        <v>18</v>
      </c>
      <c r="S678" t="s">
        <v>16</v>
      </c>
      <c r="T678" s="5" t="s">
        <v>14</v>
      </c>
      <c r="U678" s="5" t="s">
        <v>17</v>
      </c>
      <c r="V678" s="5" t="s">
        <v>19</v>
      </c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</row>
    <row r="679" spans="1:37" x14ac:dyDescent="0.25">
      <c r="A679" s="11">
        <f>Table1[[#This Row],[Milk Yield]]-J675</f>
        <v>145</v>
      </c>
      <c r="B679" t="s">
        <v>24</v>
      </c>
      <c r="C679" s="2">
        <v>1</v>
      </c>
      <c r="D679" s="12">
        <v>45637</v>
      </c>
      <c r="E679" s="2">
        <v>33</v>
      </c>
      <c r="F679" s="13">
        <v>0.32751157407407405</v>
      </c>
      <c r="G679" s="3">
        <v>0.58194444444444449</v>
      </c>
      <c r="H679" s="1">
        <v>0.25416666666666665</v>
      </c>
      <c r="I679" s="5">
        <v>651</v>
      </c>
      <c r="J679">
        <v>5770</v>
      </c>
      <c r="K679">
        <v>107</v>
      </c>
      <c r="L679" s="5">
        <v>242</v>
      </c>
      <c r="M679" s="5">
        <v>651</v>
      </c>
      <c r="N679">
        <v>36</v>
      </c>
      <c r="O679">
        <v>615</v>
      </c>
      <c r="P679" s="1">
        <v>0.25833333333333336</v>
      </c>
      <c r="Q679" s="5">
        <v>945</v>
      </c>
      <c r="R679" s="14">
        <v>8.9</v>
      </c>
      <c r="S679">
        <v>107</v>
      </c>
      <c r="T679" s="5">
        <v>36</v>
      </c>
      <c r="U679" s="5">
        <v>613</v>
      </c>
      <c r="V679" s="5">
        <v>0</v>
      </c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</row>
    <row r="680" spans="1:37" x14ac:dyDescent="0.25">
      <c r="A680" s="11">
        <f>Table1[[#This Row],[Milk Yield]]-J676</f>
        <v>20</v>
      </c>
      <c r="B680" t="s">
        <v>24</v>
      </c>
      <c r="C680" s="2">
        <v>2</v>
      </c>
      <c r="D680" s="12">
        <v>45637</v>
      </c>
      <c r="E680" s="2">
        <v>34</v>
      </c>
      <c r="F680" s="13">
        <v>0.66954861111111108</v>
      </c>
      <c r="G680" s="3">
        <v>0.91120370370370374</v>
      </c>
      <c r="H680" s="1">
        <v>0.24097222222222223</v>
      </c>
      <c r="I680" s="5">
        <v>586</v>
      </c>
      <c r="J680">
        <v>5109</v>
      </c>
      <c r="K680">
        <v>101</v>
      </c>
      <c r="L680" s="5">
        <v>139</v>
      </c>
      <c r="M680" s="5">
        <v>584</v>
      </c>
      <c r="N680">
        <v>19</v>
      </c>
      <c r="O680">
        <v>565</v>
      </c>
      <c r="P680" s="1">
        <v>0.29305555555555557</v>
      </c>
      <c r="Q680" s="5">
        <v>881</v>
      </c>
      <c r="R680" s="14">
        <v>8.8000000000000007</v>
      </c>
      <c r="S680">
        <v>101</v>
      </c>
      <c r="T680" s="5">
        <v>19</v>
      </c>
      <c r="U680" s="5">
        <v>565</v>
      </c>
      <c r="V680" s="5">
        <v>0</v>
      </c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</row>
    <row r="681" spans="1:37" x14ac:dyDescent="0.25">
      <c r="A681" s="11">
        <f>Table1[[#This Row],[Milk Yield]]-J677</f>
        <v>252</v>
      </c>
      <c r="B681" t="s">
        <v>24</v>
      </c>
      <c r="C681" s="2">
        <v>3</v>
      </c>
      <c r="D681" s="12">
        <v>45637</v>
      </c>
      <c r="E681" s="2">
        <v>37</v>
      </c>
      <c r="F681" s="13">
        <v>4.2476851851851851E-3</v>
      </c>
      <c r="G681" s="3">
        <v>0.24288194444444444</v>
      </c>
      <c r="H681" s="1">
        <v>0.23819444444444443</v>
      </c>
      <c r="I681" s="5">
        <v>654</v>
      </c>
      <c r="J681">
        <v>5981</v>
      </c>
      <c r="K681">
        <v>114</v>
      </c>
      <c r="L681" s="5">
        <v>305</v>
      </c>
      <c r="M681" s="5">
        <v>645</v>
      </c>
      <c r="N681">
        <v>46</v>
      </c>
      <c r="O681">
        <v>599</v>
      </c>
      <c r="P681" s="1">
        <v>0.27638888888888891</v>
      </c>
      <c r="Q681" s="5">
        <v>1044</v>
      </c>
      <c r="R681" s="14">
        <v>9.3000000000000007</v>
      </c>
      <c r="S681">
        <v>113</v>
      </c>
      <c r="T681" s="5">
        <v>46</v>
      </c>
      <c r="U681" s="5">
        <v>599</v>
      </c>
      <c r="V681" s="5">
        <v>0</v>
      </c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</row>
    <row r="682" spans="1:37" x14ac:dyDescent="0.25">
      <c r="A682" s="11" t="e">
        <f>Table1[[#This Row],[Milk Yield]]-J678</f>
        <v>#VALUE!</v>
      </c>
      <c r="B682" t="s">
        <v>0</v>
      </c>
      <c r="C682" s="2" t="s">
        <v>1</v>
      </c>
      <c r="D682" s="12" t="s">
        <v>2</v>
      </c>
      <c r="E682" s="2" t="s">
        <v>3</v>
      </c>
      <c r="F682" s="13" t="s">
        <v>4</v>
      </c>
      <c r="G682" s="3" t="s">
        <v>5</v>
      </c>
      <c r="H682" s="1" t="s">
        <v>6</v>
      </c>
      <c r="I682" s="5" t="s">
        <v>8</v>
      </c>
      <c r="J682" t="s">
        <v>9</v>
      </c>
      <c r="K682" t="s">
        <v>10</v>
      </c>
      <c r="L682" s="5" t="s">
        <v>11</v>
      </c>
      <c r="M682" s="5" t="s">
        <v>12</v>
      </c>
      <c r="N682" t="s">
        <v>13</v>
      </c>
      <c r="O682" t="s">
        <v>20</v>
      </c>
      <c r="P682" t="s">
        <v>7</v>
      </c>
      <c r="Q682" s="5" t="s">
        <v>15</v>
      </c>
      <c r="R682" s="14" t="s">
        <v>18</v>
      </c>
      <c r="S682" t="s">
        <v>16</v>
      </c>
      <c r="T682" s="5" t="s">
        <v>14</v>
      </c>
      <c r="U682" s="5" t="s">
        <v>17</v>
      </c>
      <c r="V682" s="5" t="s">
        <v>19</v>
      </c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</row>
    <row r="683" spans="1:37" x14ac:dyDescent="0.25">
      <c r="A683" s="11">
        <f>Table1[[#This Row],[Milk Yield]]-J679</f>
        <v>-118</v>
      </c>
      <c r="B683" t="s">
        <v>24</v>
      </c>
      <c r="C683" s="2">
        <v>1</v>
      </c>
      <c r="D683" s="12">
        <v>45638</v>
      </c>
      <c r="E683" s="2">
        <v>33</v>
      </c>
      <c r="F683" s="13">
        <v>0.3361689814814815</v>
      </c>
      <c r="G683" s="3">
        <v>0.59927083333333331</v>
      </c>
      <c r="H683" s="1">
        <v>0.26250000000000001</v>
      </c>
      <c r="I683" s="5">
        <v>646</v>
      </c>
      <c r="J683">
        <v>5652</v>
      </c>
      <c r="K683">
        <v>102</v>
      </c>
      <c r="L683" s="5">
        <v>173</v>
      </c>
      <c r="M683" s="5">
        <v>645</v>
      </c>
      <c r="N683">
        <v>24</v>
      </c>
      <c r="O683">
        <v>621</v>
      </c>
      <c r="P683" s="1">
        <v>0.24861111111111112</v>
      </c>
      <c r="Q683" s="5">
        <v>895</v>
      </c>
      <c r="R683" s="14">
        <v>8.8000000000000007</v>
      </c>
      <c r="S683">
        <v>102</v>
      </c>
      <c r="T683" s="5">
        <v>24</v>
      </c>
      <c r="U683" s="5">
        <v>622</v>
      </c>
      <c r="V683" s="5">
        <v>2</v>
      </c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</row>
    <row r="684" spans="1:37" x14ac:dyDescent="0.25">
      <c r="A684" s="11">
        <f>Table1[[#This Row],[Milk Yield]]-J680</f>
        <v>-28.16666666666697</v>
      </c>
      <c r="B684" t="s">
        <v>24</v>
      </c>
      <c r="C684" s="2">
        <v>2</v>
      </c>
      <c r="D684" s="12">
        <v>45638</v>
      </c>
      <c r="E684" s="2">
        <v>34.166666666666664</v>
      </c>
      <c r="F684" s="13">
        <v>0.67132716049382724</v>
      </c>
      <c r="G684" s="3">
        <v>0.8992496141975308</v>
      </c>
      <c r="H684" s="1">
        <v>0.22743055555555555</v>
      </c>
      <c r="I684" s="5">
        <v>595.33333333333337</v>
      </c>
      <c r="J684" s="2">
        <v>5080.833333333333</v>
      </c>
      <c r="K684" s="2">
        <v>109.16666666666667</v>
      </c>
      <c r="L684" s="5">
        <v>186</v>
      </c>
      <c r="M684" s="5">
        <v>593</v>
      </c>
      <c r="N684" s="2">
        <v>26.833333333333332</v>
      </c>
      <c r="O684" s="2">
        <v>566.16666666666663</v>
      </c>
      <c r="P684" s="1">
        <v>0.28877314814814814</v>
      </c>
      <c r="Q684" s="5">
        <v>931.16666666666663</v>
      </c>
      <c r="R684" s="14">
        <v>8.6166666666666671</v>
      </c>
      <c r="S684" s="2">
        <v>108.83333333333333</v>
      </c>
      <c r="T684" s="5">
        <v>26.833333333333332</v>
      </c>
      <c r="U684" s="5">
        <v>566.33333333333337</v>
      </c>
      <c r="V684" s="5">
        <v>0.33333333333333331</v>
      </c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</row>
    <row r="685" spans="1:37" x14ac:dyDescent="0.25">
      <c r="A685" s="11">
        <f>Table1[[#This Row],[Milk Yield]]-J681</f>
        <v>-351</v>
      </c>
      <c r="B685" t="s">
        <v>24</v>
      </c>
      <c r="C685" s="2">
        <v>3</v>
      </c>
      <c r="D685" s="12">
        <v>45638</v>
      </c>
      <c r="E685" s="2">
        <v>35</v>
      </c>
      <c r="F685" s="13">
        <v>0.99967592592592591</v>
      </c>
      <c r="G685" s="3">
        <v>0.21010416666666668</v>
      </c>
      <c r="H685" s="1">
        <v>0.21041666666666667</v>
      </c>
      <c r="I685" s="5">
        <v>610</v>
      </c>
      <c r="J685">
        <v>5630</v>
      </c>
      <c r="K685">
        <v>121</v>
      </c>
      <c r="L685" s="5">
        <v>170</v>
      </c>
      <c r="M685" s="5">
        <v>606</v>
      </c>
      <c r="N685">
        <v>29</v>
      </c>
      <c r="O685">
        <v>577</v>
      </c>
      <c r="P685" s="1">
        <v>0.24791666666666667</v>
      </c>
      <c r="Q685" s="5">
        <v>1115</v>
      </c>
      <c r="R685" s="14">
        <v>9.3000000000000007</v>
      </c>
      <c r="S685">
        <v>120</v>
      </c>
      <c r="T685" s="5">
        <v>29</v>
      </c>
      <c r="U685" s="5">
        <v>577</v>
      </c>
      <c r="V685" s="5">
        <v>0</v>
      </c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</row>
    <row r="686" spans="1:37" x14ac:dyDescent="0.25">
      <c r="A686" s="11" t="e">
        <f>Table1[[#This Row],[Milk Yield]]-J682</f>
        <v>#VALUE!</v>
      </c>
      <c r="B686" t="s">
        <v>0</v>
      </c>
      <c r="C686" s="2" t="s">
        <v>1</v>
      </c>
      <c r="D686" s="12" t="s">
        <v>2</v>
      </c>
      <c r="E686" s="2" t="s">
        <v>3</v>
      </c>
      <c r="F686" s="13" t="s">
        <v>4</v>
      </c>
      <c r="G686" s="3" t="s">
        <v>5</v>
      </c>
      <c r="H686" s="1" t="s">
        <v>6</v>
      </c>
      <c r="I686" s="5" t="s">
        <v>8</v>
      </c>
      <c r="J686" t="s">
        <v>9</v>
      </c>
      <c r="K686" t="s">
        <v>10</v>
      </c>
      <c r="L686" s="5" t="s">
        <v>11</v>
      </c>
      <c r="M686" s="5" t="s">
        <v>12</v>
      </c>
      <c r="N686" t="s">
        <v>13</v>
      </c>
      <c r="O686" t="s">
        <v>20</v>
      </c>
      <c r="P686" t="s">
        <v>7</v>
      </c>
      <c r="Q686" s="5" t="s">
        <v>15</v>
      </c>
      <c r="R686" s="14" t="s">
        <v>18</v>
      </c>
      <c r="S686" t="s">
        <v>16</v>
      </c>
      <c r="T686" s="5" t="s">
        <v>14</v>
      </c>
      <c r="U686" s="5" t="s">
        <v>17</v>
      </c>
      <c r="V686" s="5" t="s">
        <v>19</v>
      </c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</row>
    <row r="687" spans="1:37" x14ac:dyDescent="0.25">
      <c r="A687" s="11">
        <f>Table1[[#This Row],[Milk Yield]]-J683</f>
        <v>282</v>
      </c>
      <c r="B687" t="s">
        <v>24</v>
      </c>
      <c r="C687" s="2">
        <v>1</v>
      </c>
      <c r="D687" s="12">
        <v>45639</v>
      </c>
      <c r="E687" s="2">
        <v>32</v>
      </c>
      <c r="F687" s="13">
        <v>0.34054398148148146</v>
      </c>
      <c r="G687" s="3">
        <v>0.58305555555555555</v>
      </c>
      <c r="H687" s="1">
        <v>0.24236111111111111</v>
      </c>
      <c r="I687" s="5">
        <v>639</v>
      </c>
      <c r="J687">
        <v>5934</v>
      </c>
      <c r="K687">
        <v>110</v>
      </c>
      <c r="L687" s="5">
        <v>170</v>
      </c>
      <c r="M687" s="5">
        <v>639</v>
      </c>
      <c r="N687">
        <v>26</v>
      </c>
      <c r="O687">
        <v>613</v>
      </c>
      <c r="P687" s="1">
        <v>0.27777777777777779</v>
      </c>
      <c r="Q687" s="5">
        <v>1019</v>
      </c>
      <c r="R687" s="14">
        <v>9.3000000000000007</v>
      </c>
      <c r="S687">
        <v>110</v>
      </c>
      <c r="T687" s="5">
        <v>26</v>
      </c>
      <c r="U687" s="5">
        <v>613</v>
      </c>
      <c r="V687" s="5">
        <v>0</v>
      </c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</row>
    <row r="688" spans="1:37" x14ac:dyDescent="0.25">
      <c r="A688" s="11">
        <f>Table1[[#This Row],[Milk Yield]]-J684</f>
        <v>-227.83333333333303</v>
      </c>
      <c r="B688" t="s">
        <v>24</v>
      </c>
      <c r="C688" s="2">
        <v>2</v>
      </c>
      <c r="D688" s="12">
        <v>45639</v>
      </c>
      <c r="E688" s="2">
        <v>32</v>
      </c>
      <c r="F688" s="13">
        <v>0.67104166666666665</v>
      </c>
      <c r="G688" s="3">
        <v>0.88435185185185183</v>
      </c>
      <c r="H688" s="1">
        <v>0.21319444444444444</v>
      </c>
      <c r="I688" s="5">
        <v>574</v>
      </c>
      <c r="J688">
        <v>4853</v>
      </c>
      <c r="K688">
        <v>112</v>
      </c>
      <c r="L688" s="5">
        <v>217</v>
      </c>
      <c r="M688" s="5">
        <v>573</v>
      </c>
      <c r="N688">
        <v>33</v>
      </c>
      <c r="O688">
        <v>540</v>
      </c>
      <c r="P688" s="1">
        <v>0.27361111111111114</v>
      </c>
      <c r="Q688" s="5">
        <v>948</v>
      </c>
      <c r="R688" s="14">
        <v>8.5</v>
      </c>
      <c r="S688">
        <v>112</v>
      </c>
      <c r="T688" s="5">
        <v>33</v>
      </c>
      <c r="U688" s="5">
        <v>540</v>
      </c>
      <c r="V688" s="5">
        <v>0</v>
      </c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</row>
    <row r="689" spans="1:37" x14ac:dyDescent="0.25">
      <c r="A689" s="11">
        <f>Table1[[#This Row],[Milk Yield]]-J685</f>
        <v>151</v>
      </c>
      <c r="B689" t="s">
        <v>24</v>
      </c>
      <c r="C689" s="2">
        <v>3</v>
      </c>
      <c r="D689" s="12">
        <v>45639</v>
      </c>
      <c r="E689" s="2">
        <v>38</v>
      </c>
      <c r="F689" s="13">
        <v>2.3958333333333331E-3</v>
      </c>
      <c r="G689" s="3">
        <v>0.21237268518518518</v>
      </c>
      <c r="H689" s="1">
        <v>0.20972222222222223</v>
      </c>
      <c r="I689" s="5">
        <v>636</v>
      </c>
      <c r="J689">
        <v>5781</v>
      </c>
      <c r="K689">
        <v>126</v>
      </c>
      <c r="L689" s="5">
        <v>242</v>
      </c>
      <c r="M689" s="5">
        <v>633</v>
      </c>
      <c r="N689">
        <v>41</v>
      </c>
      <c r="O689">
        <v>592</v>
      </c>
      <c r="P689" s="1">
        <v>0.24791666666666667</v>
      </c>
      <c r="Q689" s="5">
        <v>1147</v>
      </c>
      <c r="R689" s="14">
        <v>9.1999999999999993</v>
      </c>
      <c r="S689">
        <v>126</v>
      </c>
      <c r="T689" s="5">
        <v>41</v>
      </c>
      <c r="U689" s="5">
        <v>592</v>
      </c>
      <c r="V689" s="5">
        <v>0</v>
      </c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</row>
    <row r="690" spans="1:37" x14ac:dyDescent="0.25">
      <c r="A690" s="11" t="e">
        <f>Table1[[#This Row],[Milk Yield]]-J686</f>
        <v>#VALUE!</v>
      </c>
      <c r="B690" t="s">
        <v>0</v>
      </c>
      <c r="C690" s="2" t="s">
        <v>1</v>
      </c>
      <c r="D690" s="12" t="s">
        <v>2</v>
      </c>
      <c r="E690" s="2" t="s">
        <v>3</v>
      </c>
      <c r="F690" s="13" t="s">
        <v>4</v>
      </c>
      <c r="G690" s="3" t="s">
        <v>5</v>
      </c>
      <c r="H690" s="1" t="s">
        <v>6</v>
      </c>
      <c r="I690" s="5" t="s">
        <v>8</v>
      </c>
      <c r="J690" t="s">
        <v>9</v>
      </c>
      <c r="K690" t="s">
        <v>10</v>
      </c>
      <c r="L690" s="5" t="s">
        <v>11</v>
      </c>
      <c r="M690" s="5" t="s">
        <v>12</v>
      </c>
      <c r="N690" t="s">
        <v>13</v>
      </c>
      <c r="O690" t="s">
        <v>20</v>
      </c>
      <c r="P690" t="s">
        <v>7</v>
      </c>
      <c r="Q690" s="5" t="s">
        <v>15</v>
      </c>
      <c r="R690" s="14" t="s">
        <v>18</v>
      </c>
      <c r="S690" t="s">
        <v>16</v>
      </c>
      <c r="T690" s="5" t="s">
        <v>14</v>
      </c>
      <c r="U690" s="5" t="s">
        <v>17</v>
      </c>
      <c r="V690" s="5" t="s">
        <v>19</v>
      </c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</row>
    <row r="691" spans="1:37" x14ac:dyDescent="0.25">
      <c r="A691" s="11">
        <f>Table1[[#This Row],[Milk Yield]]-J687</f>
        <v>-367</v>
      </c>
      <c r="B691" t="s">
        <v>24</v>
      </c>
      <c r="C691" s="2">
        <v>1</v>
      </c>
      <c r="D691" s="12">
        <v>45640</v>
      </c>
      <c r="E691" s="2">
        <v>33</v>
      </c>
      <c r="F691" s="13">
        <v>0.34152777777777776</v>
      </c>
      <c r="G691" s="3">
        <v>0.5593055555555555</v>
      </c>
      <c r="H691" s="1">
        <v>0.21736111111111112</v>
      </c>
      <c r="I691" s="5">
        <v>610</v>
      </c>
      <c r="J691">
        <v>5567</v>
      </c>
      <c r="K691">
        <v>117</v>
      </c>
      <c r="L691" s="5">
        <v>122</v>
      </c>
      <c r="M691" s="5">
        <v>608</v>
      </c>
      <c r="N691">
        <v>17</v>
      </c>
      <c r="O691">
        <v>591</v>
      </c>
      <c r="P691" s="1">
        <v>0.25138888888888888</v>
      </c>
      <c r="Q691" s="5">
        <v>1065</v>
      </c>
      <c r="R691" s="14">
        <v>9.1999999999999993</v>
      </c>
      <c r="S691">
        <v>116</v>
      </c>
      <c r="T691" s="5">
        <v>17</v>
      </c>
      <c r="U691" s="5">
        <v>591</v>
      </c>
      <c r="V691" s="5">
        <v>0</v>
      </c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</row>
    <row r="692" spans="1:37" x14ac:dyDescent="0.25">
      <c r="A692" s="11">
        <f>Table1[[#This Row],[Milk Yield]]-J688</f>
        <v>205</v>
      </c>
      <c r="B692" t="s">
        <v>24</v>
      </c>
      <c r="C692" s="2">
        <v>2</v>
      </c>
      <c r="D692" s="12">
        <v>45640</v>
      </c>
      <c r="E692" s="2">
        <v>31</v>
      </c>
      <c r="F692" s="13">
        <v>0.6696643518518518</v>
      </c>
      <c r="G692" s="3">
        <v>0.90946759259259258</v>
      </c>
      <c r="H692" s="1">
        <v>0.23958333333333334</v>
      </c>
      <c r="I692" s="5">
        <v>567</v>
      </c>
      <c r="J692">
        <v>5058</v>
      </c>
      <c r="K692">
        <v>99</v>
      </c>
      <c r="L692" s="5">
        <v>241</v>
      </c>
      <c r="M692" s="5">
        <v>566</v>
      </c>
      <c r="N692">
        <v>33</v>
      </c>
      <c r="O692">
        <v>533</v>
      </c>
      <c r="P692" s="1">
        <v>0.29791666666666666</v>
      </c>
      <c r="Q692" s="5">
        <v>879</v>
      </c>
      <c r="R692" s="14">
        <v>9</v>
      </c>
      <c r="S692">
        <v>98</v>
      </c>
      <c r="T692" s="5">
        <v>33</v>
      </c>
      <c r="U692" s="5">
        <v>533</v>
      </c>
      <c r="V692" s="5">
        <v>0</v>
      </c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</row>
    <row r="693" spans="1:37" x14ac:dyDescent="0.25">
      <c r="A693" s="11">
        <f>Table1[[#This Row],[Milk Yield]]-J689</f>
        <v>180</v>
      </c>
      <c r="B693" t="s">
        <v>24</v>
      </c>
      <c r="C693" s="2">
        <v>3</v>
      </c>
      <c r="D693" s="12">
        <v>45640</v>
      </c>
      <c r="E693" s="2">
        <v>36</v>
      </c>
      <c r="F693" s="13">
        <v>2.3148148148148147E-3</v>
      </c>
      <c r="G693" s="3">
        <v>0.23725694444444445</v>
      </c>
      <c r="H693" s="1">
        <v>0.23472222222222222</v>
      </c>
      <c r="I693" s="5">
        <v>655</v>
      </c>
      <c r="J693">
        <v>5961</v>
      </c>
      <c r="K693">
        <v>116</v>
      </c>
      <c r="L693" s="5">
        <v>330</v>
      </c>
      <c r="M693" s="5">
        <v>650</v>
      </c>
      <c r="N693">
        <v>53</v>
      </c>
      <c r="O693">
        <v>597</v>
      </c>
      <c r="P693" s="1">
        <v>0.25</v>
      </c>
      <c r="Q693" s="5">
        <v>1057</v>
      </c>
      <c r="R693" s="14">
        <v>9.1999999999999993</v>
      </c>
      <c r="S693">
        <v>115</v>
      </c>
      <c r="T693" s="5">
        <v>53</v>
      </c>
      <c r="U693" s="5">
        <v>597</v>
      </c>
      <c r="V693" s="5">
        <v>0</v>
      </c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</row>
    <row r="694" spans="1:37" x14ac:dyDescent="0.25">
      <c r="A694" s="11" t="e">
        <f>Table1[[#This Row],[Milk Yield]]-J690</f>
        <v>#VALUE!</v>
      </c>
      <c r="B694" t="s">
        <v>0</v>
      </c>
      <c r="C694" s="2" t="s">
        <v>1</v>
      </c>
      <c r="D694" s="12" t="s">
        <v>2</v>
      </c>
      <c r="E694" s="2" t="s">
        <v>3</v>
      </c>
      <c r="F694" s="13" t="s">
        <v>4</v>
      </c>
      <c r="G694" s="3" t="s">
        <v>5</v>
      </c>
      <c r="H694" s="1" t="s">
        <v>6</v>
      </c>
      <c r="I694" s="5" t="s">
        <v>8</v>
      </c>
      <c r="J694" t="s">
        <v>9</v>
      </c>
      <c r="K694" t="s">
        <v>10</v>
      </c>
      <c r="L694" s="5" t="s">
        <v>11</v>
      </c>
      <c r="M694" s="5" t="s">
        <v>12</v>
      </c>
      <c r="N694" t="s">
        <v>13</v>
      </c>
      <c r="O694" t="s">
        <v>20</v>
      </c>
      <c r="P694" t="s">
        <v>7</v>
      </c>
      <c r="Q694" s="5" t="s">
        <v>15</v>
      </c>
      <c r="R694" s="14" t="s">
        <v>18</v>
      </c>
      <c r="S694" t="s">
        <v>16</v>
      </c>
      <c r="T694" s="5" t="s">
        <v>14</v>
      </c>
      <c r="U694" s="5" t="s">
        <v>17</v>
      </c>
      <c r="V694" s="5" t="s">
        <v>19</v>
      </c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</row>
    <row r="695" spans="1:37" x14ac:dyDescent="0.25">
      <c r="A695" s="11">
        <f>Table1[[#This Row],[Milk Yield]]-J691</f>
        <v>257</v>
      </c>
      <c r="B695" t="s">
        <v>24</v>
      </c>
      <c r="C695" s="2">
        <v>1</v>
      </c>
      <c r="D695" s="12">
        <v>45641</v>
      </c>
      <c r="E695" s="2">
        <v>31</v>
      </c>
      <c r="F695" s="13">
        <v>0.34057870370370369</v>
      </c>
      <c r="G695" s="3">
        <v>0.60281249999999997</v>
      </c>
      <c r="H695" s="1">
        <v>0.26180555555555557</v>
      </c>
      <c r="I695" s="5">
        <v>614</v>
      </c>
      <c r="J695">
        <v>5824</v>
      </c>
      <c r="K695">
        <v>98</v>
      </c>
      <c r="L695" s="5">
        <v>122</v>
      </c>
      <c r="M695" s="5">
        <v>613</v>
      </c>
      <c r="N695">
        <v>17</v>
      </c>
      <c r="O695">
        <v>596</v>
      </c>
      <c r="P695" s="1">
        <v>0.27847222222222223</v>
      </c>
      <c r="Q695" s="5">
        <v>925</v>
      </c>
      <c r="R695" s="14">
        <v>9.6</v>
      </c>
      <c r="S695">
        <v>97</v>
      </c>
      <c r="T695" s="5">
        <v>17</v>
      </c>
      <c r="U695" s="5">
        <v>596</v>
      </c>
      <c r="V695" s="5">
        <v>0</v>
      </c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</row>
    <row r="696" spans="1:37" x14ac:dyDescent="0.25">
      <c r="A696" s="11">
        <f>Table1[[#This Row],[Milk Yield]]-J692</f>
        <v>-520</v>
      </c>
      <c r="B696" t="s">
        <v>24</v>
      </c>
      <c r="C696" s="2">
        <v>2</v>
      </c>
      <c r="D696" s="12">
        <v>45641</v>
      </c>
      <c r="E696" s="2">
        <v>31</v>
      </c>
      <c r="F696" s="13">
        <v>0.66878472222222218</v>
      </c>
      <c r="G696" s="3">
        <v>0.88467592592592592</v>
      </c>
      <c r="H696" s="1">
        <v>0.21527777777777779</v>
      </c>
      <c r="I696" s="5">
        <v>564</v>
      </c>
      <c r="J696">
        <v>4538</v>
      </c>
      <c r="K696">
        <v>109</v>
      </c>
      <c r="L696" s="5">
        <v>168</v>
      </c>
      <c r="M696" s="5">
        <v>564</v>
      </c>
      <c r="N696">
        <v>22</v>
      </c>
      <c r="O696">
        <v>542</v>
      </c>
      <c r="P696" s="1">
        <v>0.26805555555555555</v>
      </c>
      <c r="Q696" s="5">
        <v>876</v>
      </c>
      <c r="R696" s="14">
        <v>8.1</v>
      </c>
      <c r="S696">
        <v>109</v>
      </c>
      <c r="T696" s="5">
        <v>22</v>
      </c>
      <c r="U696" s="5">
        <v>542</v>
      </c>
      <c r="V696" s="5">
        <v>0</v>
      </c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</row>
    <row r="697" spans="1:37" x14ac:dyDescent="0.25">
      <c r="A697" s="11">
        <f>Table1[[#This Row],[Milk Yield]]-J693</f>
        <v>-153</v>
      </c>
      <c r="B697" t="s">
        <v>24</v>
      </c>
      <c r="C697" s="2">
        <v>3</v>
      </c>
      <c r="D697" s="12">
        <v>45641</v>
      </c>
      <c r="E697" s="2">
        <v>35</v>
      </c>
      <c r="F697" s="13">
        <v>0.99997685185185181</v>
      </c>
      <c r="G697" s="3">
        <v>0.21730324074074073</v>
      </c>
      <c r="H697" s="1">
        <v>0.21666666666666667</v>
      </c>
      <c r="I697" s="5">
        <v>613</v>
      </c>
      <c r="J697">
        <v>5808</v>
      </c>
      <c r="K697">
        <v>118</v>
      </c>
      <c r="L697" s="5">
        <v>229</v>
      </c>
      <c r="M697" s="5">
        <v>609</v>
      </c>
      <c r="N697">
        <v>28</v>
      </c>
      <c r="O697">
        <v>581</v>
      </c>
      <c r="P697" s="1">
        <v>0.2673611111111111</v>
      </c>
      <c r="Q697" s="5">
        <v>1113</v>
      </c>
      <c r="R697" s="14">
        <v>9.6</v>
      </c>
      <c r="S697">
        <v>117</v>
      </c>
      <c r="T697" s="5">
        <v>28</v>
      </c>
      <c r="U697" s="5">
        <v>581</v>
      </c>
      <c r="V697" s="5">
        <v>0</v>
      </c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</row>
    <row r="698" spans="1:37" x14ac:dyDescent="0.25">
      <c r="A698" s="11" t="e">
        <f>Table1[[#This Row],[Milk Yield]]-J694</f>
        <v>#VALUE!</v>
      </c>
      <c r="B698" t="s">
        <v>0</v>
      </c>
      <c r="C698" s="2" t="s">
        <v>1</v>
      </c>
      <c r="D698" s="12" t="s">
        <v>2</v>
      </c>
      <c r="E698" s="2" t="s">
        <v>3</v>
      </c>
      <c r="F698" s="13" t="s">
        <v>4</v>
      </c>
      <c r="G698" s="3" t="s">
        <v>5</v>
      </c>
      <c r="H698" s="1" t="s">
        <v>6</v>
      </c>
      <c r="I698" s="5" t="s">
        <v>8</v>
      </c>
      <c r="J698" t="s">
        <v>9</v>
      </c>
      <c r="K698" t="s">
        <v>10</v>
      </c>
      <c r="L698" s="5" t="s">
        <v>11</v>
      </c>
      <c r="M698" s="5" t="s">
        <v>12</v>
      </c>
      <c r="N698" t="s">
        <v>13</v>
      </c>
      <c r="O698" t="s">
        <v>20</v>
      </c>
      <c r="P698" t="s">
        <v>7</v>
      </c>
      <c r="Q698" s="5" t="s">
        <v>15</v>
      </c>
      <c r="R698" s="14" t="s">
        <v>18</v>
      </c>
      <c r="S698" t="s">
        <v>16</v>
      </c>
      <c r="T698" s="5" t="s">
        <v>14</v>
      </c>
      <c r="U698" s="5" t="s">
        <v>17</v>
      </c>
      <c r="V698" s="5" t="s">
        <v>19</v>
      </c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</row>
    <row r="699" spans="1:37" x14ac:dyDescent="0.25">
      <c r="A699" s="11">
        <f>Table1[[#This Row],[Milk Yield]]-J695</f>
        <v>-448</v>
      </c>
      <c r="B699" t="s">
        <v>24</v>
      </c>
      <c r="C699" s="2">
        <v>1</v>
      </c>
      <c r="D699" s="12">
        <v>45642</v>
      </c>
      <c r="E699" s="2">
        <v>31</v>
      </c>
      <c r="F699" s="13">
        <v>0.34689814814814812</v>
      </c>
      <c r="G699" s="3">
        <v>0.55618055555555557</v>
      </c>
      <c r="H699" s="1">
        <v>0.20902777777777778</v>
      </c>
      <c r="I699" s="5">
        <v>618</v>
      </c>
      <c r="J699">
        <v>5376</v>
      </c>
      <c r="K699">
        <v>123</v>
      </c>
      <c r="L699" s="5">
        <v>191</v>
      </c>
      <c r="M699" s="5">
        <v>617</v>
      </c>
      <c r="N699">
        <v>29</v>
      </c>
      <c r="O699">
        <v>588</v>
      </c>
      <c r="P699" s="1">
        <v>0.25416666666666665</v>
      </c>
      <c r="Q699" s="5">
        <v>1070</v>
      </c>
      <c r="R699" s="14">
        <v>8.8000000000000007</v>
      </c>
      <c r="S699">
        <v>123</v>
      </c>
      <c r="T699" s="5">
        <v>29</v>
      </c>
      <c r="U699" s="5">
        <v>588</v>
      </c>
      <c r="V699" s="5">
        <v>0</v>
      </c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</row>
    <row r="700" spans="1:37" x14ac:dyDescent="0.25">
      <c r="A700" s="11">
        <f>Table1[[#This Row],[Milk Yield]]-J696</f>
        <v>40</v>
      </c>
      <c r="B700" t="s">
        <v>24</v>
      </c>
      <c r="C700" s="2">
        <v>2</v>
      </c>
      <c r="D700" s="12">
        <v>45642</v>
      </c>
      <c r="E700" s="2">
        <v>30</v>
      </c>
      <c r="F700" s="13">
        <v>0.66774305555555558</v>
      </c>
      <c r="G700" s="3">
        <v>0.85799768518518515</v>
      </c>
      <c r="H700" s="1">
        <v>0.18958333333333333</v>
      </c>
      <c r="I700" s="5">
        <v>568</v>
      </c>
      <c r="J700">
        <v>4578</v>
      </c>
      <c r="K700">
        <v>124</v>
      </c>
      <c r="L700" s="5">
        <v>87</v>
      </c>
      <c r="M700" s="5">
        <v>568</v>
      </c>
      <c r="N700">
        <v>14</v>
      </c>
      <c r="O700">
        <v>554</v>
      </c>
      <c r="P700" s="1">
        <v>0.23541666666666666</v>
      </c>
      <c r="Q700" s="5">
        <v>1003</v>
      </c>
      <c r="R700" s="14">
        <v>8.1</v>
      </c>
      <c r="S700">
        <v>124</v>
      </c>
      <c r="T700" s="5">
        <v>14</v>
      </c>
      <c r="U700" s="5">
        <v>554</v>
      </c>
      <c r="V700" s="5">
        <v>0</v>
      </c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</row>
    <row r="701" spans="1:37" x14ac:dyDescent="0.25">
      <c r="A701" s="11">
        <f>Table1[[#This Row],[Milk Yield]]-J697</f>
        <v>646</v>
      </c>
      <c r="B701" t="s">
        <v>24</v>
      </c>
      <c r="C701" s="2">
        <v>3</v>
      </c>
      <c r="D701" s="12">
        <v>45642</v>
      </c>
      <c r="E701" s="2">
        <v>37</v>
      </c>
      <c r="F701" s="13">
        <v>4.7800925925925927E-3</v>
      </c>
      <c r="G701" s="3">
        <v>0.26265046296296296</v>
      </c>
      <c r="H701" s="1">
        <v>0.25763888888888886</v>
      </c>
      <c r="I701" s="5">
        <v>619</v>
      </c>
      <c r="J701">
        <v>6454</v>
      </c>
      <c r="K701">
        <v>100</v>
      </c>
      <c r="L701" s="5">
        <v>305</v>
      </c>
      <c r="M701" s="5">
        <v>617</v>
      </c>
      <c r="N701">
        <v>38</v>
      </c>
      <c r="O701">
        <v>579</v>
      </c>
      <c r="P701" s="1">
        <v>0.30555555555555558</v>
      </c>
      <c r="Q701" s="5">
        <v>1043</v>
      </c>
      <c r="R701" s="14">
        <v>10.5</v>
      </c>
      <c r="S701">
        <v>100</v>
      </c>
      <c r="T701" s="5">
        <v>38</v>
      </c>
      <c r="U701" s="5">
        <v>579</v>
      </c>
      <c r="V701" s="5">
        <v>0</v>
      </c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</row>
    <row r="702" spans="1:37" x14ac:dyDescent="0.25">
      <c r="A702" s="11" t="e">
        <f>Table1[[#This Row],[Milk Yield]]-J698</f>
        <v>#VALUE!</v>
      </c>
      <c r="B702" t="s">
        <v>0</v>
      </c>
      <c r="C702" s="2" t="s">
        <v>1</v>
      </c>
      <c r="D702" s="12" t="s">
        <v>2</v>
      </c>
      <c r="E702" s="2" t="s">
        <v>3</v>
      </c>
      <c r="F702" s="13" t="s">
        <v>4</v>
      </c>
      <c r="G702" s="3" t="s">
        <v>5</v>
      </c>
      <c r="H702" s="1" t="s">
        <v>6</v>
      </c>
      <c r="I702" s="5" t="s">
        <v>8</v>
      </c>
      <c r="J702" t="s">
        <v>9</v>
      </c>
      <c r="K702" t="s">
        <v>10</v>
      </c>
      <c r="L702" s="5" t="s">
        <v>11</v>
      </c>
      <c r="M702" s="5" t="s">
        <v>12</v>
      </c>
      <c r="N702" t="s">
        <v>13</v>
      </c>
      <c r="O702" t="s">
        <v>20</v>
      </c>
      <c r="P702" t="s">
        <v>7</v>
      </c>
      <c r="Q702" s="5" t="s">
        <v>15</v>
      </c>
      <c r="R702" s="14" t="s">
        <v>18</v>
      </c>
      <c r="S702" t="s">
        <v>16</v>
      </c>
      <c r="T702" s="5" t="s">
        <v>14</v>
      </c>
      <c r="U702" s="5" t="s">
        <v>17</v>
      </c>
      <c r="V702" s="5" t="s">
        <v>19</v>
      </c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</row>
    <row r="703" spans="1:37" x14ac:dyDescent="0.25">
      <c r="A703" s="11">
        <f>Table1[[#This Row],[Milk Yield]]-J699</f>
        <v>-298</v>
      </c>
      <c r="B703" t="s">
        <v>24</v>
      </c>
      <c r="C703" s="2">
        <v>1</v>
      </c>
      <c r="D703" s="12">
        <v>45643</v>
      </c>
      <c r="E703" s="2">
        <v>31</v>
      </c>
      <c r="F703" s="13">
        <v>0.34087962962962964</v>
      </c>
      <c r="G703" s="3">
        <v>0.5864583333333333</v>
      </c>
      <c r="H703" s="1">
        <v>0.24513888888888888</v>
      </c>
      <c r="I703" s="5">
        <v>624</v>
      </c>
      <c r="J703">
        <v>5078</v>
      </c>
      <c r="K703">
        <v>106</v>
      </c>
      <c r="L703" s="5">
        <v>140</v>
      </c>
      <c r="M703" s="5">
        <v>624</v>
      </c>
      <c r="N703">
        <v>21</v>
      </c>
      <c r="O703">
        <v>603</v>
      </c>
      <c r="P703" s="1">
        <v>0.27777777777777779</v>
      </c>
      <c r="Q703" s="5">
        <v>861</v>
      </c>
      <c r="R703" s="14">
        <v>8.1999999999999993</v>
      </c>
      <c r="S703">
        <v>106</v>
      </c>
      <c r="T703" s="5">
        <v>21</v>
      </c>
      <c r="U703" s="5">
        <v>605</v>
      </c>
      <c r="V703" s="5">
        <v>2</v>
      </c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</row>
    <row r="704" spans="1:37" x14ac:dyDescent="0.25">
      <c r="A704" s="11">
        <f>Table1[[#This Row],[Milk Yield]]-J700</f>
        <v>264</v>
      </c>
      <c r="B704" t="s">
        <v>24</v>
      </c>
      <c r="C704" s="2">
        <v>2</v>
      </c>
      <c r="D704" s="12">
        <v>45643</v>
      </c>
      <c r="E704" s="2">
        <v>32</v>
      </c>
      <c r="F704" s="13">
        <v>0.66896990740740736</v>
      </c>
      <c r="G704" s="3">
        <v>0.88609953703703703</v>
      </c>
      <c r="H704" s="1">
        <v>0.21666666666666667</v>
      </c>
      <c r="I704" s="5">
        <v>577</v>
      </c>
      <c r="J704">
        <v>4842</v>
      </c>
      <c r="K704">
        <v>111</v>
      </c>
      <c r="L704" s="5">
        <v>203</v>
      </c>
      <c r="M704" s="5">
        <v>571</v>
      </c>
      <c r="N704">
        <v>28</v>
      </c>
      <c r="O704">
        <v>543</v>
      </c>
      <c r="P704" s="1">
        <v>0.27500000000000002</v>
      </c>
      <c r="Q704" s="5">
        <v>929</v>
      </c>
      <c r="R704" s="14">
        <v>8.5</v>
      </c>
      <c r="S704">
        <v>110</v>
      </c>
      <c r="T704" s="5">
        <v>28</v>
      </c>
      <c r="U704" s="5">
        <v>543</v>
      </c>
      <c r="V704" s="5">
        <v>0</v>
      </c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</row>
    <row r="705" spans="1:37" x14ac:dyDescent="0.25">
      <c r="A705" s="11">
        <f>Table1[[#This Row],[Milk Yield]]-J701</f>
        <v>-396</v>
      </c>
      <c r="B705" t="s">
        <v>24</v>
      </c>
      <c r="C705" s="2">
        <v>3</v>
      </c>
      <c r="D705" s="12">
        <v>45643</v>
      </c>
      <c r="E705" s="2">
        <v>36</v>
      </c>
      <c r="F705" s="13">
        <v>4.6527777777777774E-3</v>
      </c>
      <c r="G705" s="3">
        <v>0.26016203703703705</v>
      </c>
      <c r="H705" s="1">
        <v>0.25486111111111109</v>
      </c>
      <c r="I705" s="5">
        <v>637</v>
      </c>
      <c r="J705">
        <v>6058</v>
      </c>
      <c r="K705">
        <v>104</v>
      </c>
      <c r="L705" s="5">
        <v>309</v>
      </c>
      <c r="M705" s="5">
        <v>637</v>
      </c>
      <c r="N705">
        <v>34</v>
      </c>
      <c r="O705">
        <v>603</v>
      </c>
      <c r="P705" s="1">
        <v>0.28611111111111109</v>
      </c>
      <c r="Q705" s="5">
        <v>988</v>
      </c>
      <c r="R705" s="14">
        <v>9.6</v>
      </c>
      <c r="S705">
        <v>104</v>
      </c>
      <c r="T705" s="5">
        <v>34</v>
      </c>
      <c r="U705" s="5">
        <v>603</v>
      </c>
      <c r="V705" s="5">
        <v>0</v>
      </c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</row>
    <row r="706" spans="1:37" x14ac:dyDescent="0.25">
      <c r="A706" s="11" t="e">
        <f>Table1[[#This Row],[Milk Yield]]-J702</f>
        <v>#VALUE!</v>
      </c>
      <c r="B706" t="s">
        <v>0</v>
      </c>
      <c r="C706" s="2" t="s">
        <v>1</v>
      </c>
      <c r="D706" s="12" t="s">
        <v>2</v>
      </c>
      <c r="E706" s="2" t="s">
        <v>3</v>
      </c>
      <c r="F706" s="13" t="s">
        <v>4</v>
      </c>
      <c r="G706" s="3" t="s">
        <v>5</v>
      </c>
      <c r="H706" s="1" t="s">
        <v>6</v>
      </c>
      <c r="I706" s="5" t="s">
        <v>8</v>
      </c>
      <c r="J706" t="s">
        <v>9</v>
      </c>
      <c r="K706" t="s">
        <v>10</v>
      </c>
      <c r="L706" s="5" t="s">
        <v>11</v>
      </c>
      <c r="M706" s="5" t="s">
        <v>12</v>
      </c>
      <c r="N706" t="s">
        <v>13</v>
      </c>
      <c r="O706" t="s">
        <v>20</v>
      </c>
      <c r="P706" t="s">
        <v>7</v>
      </c>
      <c r="Q706" s="5" t="s">
        <v>15</v>
      </c>
      <c r="R706" s="14" t="s">
        <v>18</v>
      </c>
      <c r="S706" t="s">
        <v>16</v>
      </c>
      <c r="T706" s="5" t="s">
        <v>14</v>
      </c>
      <c r="U706" s="5" t="s">
        <v>17</v>
      </c>
      <c r="V706" s="5" t="s">
        <v>19</v>
      </c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</row>
    <row r="707" spans="1:37" x14ac:dyDescent="0.25">
      <c r="A707" s="11">
        <f>Table1[[#This Row],[Milk Yield]]-J703</f>
        <v>-79</v>
      </c>
      <c r="B707" t="s">
        <v>24</v>
      </c>
      <c r="C707" s="2">
        <v>1</v>
      </c>
      <c r="D707" s="12">
        <v>45644</v>
      </c>
      <c r="E707" s="2">
        <v>31</v>
      </c>
      <c r="F707" s="13">
        <v>0.33925925925925926</v>
      </c>
      <c r="G707" s="3">
        <v>0.56942129629629634</v>
      </c>
      <c r="H707" s="1">
        <v>0.2298611111111111</v>
      </c>
      <c r="I707" s="5">
        <v>611</v>
      </c>
      <c r="J707">
        <v>4999</v>
      </c>
      <c r="K707">
        <v>111</v>
      </c>
      <c r="L707" s="5">
        <v>142</v>
      </c>
      <c r="M707" s="5">
        <v>611</v>
      </c>
      <c r="N707">
        <v>23</v>
      </c>
      <c r="O707">
        <v>588</v>
      </c>
      <c r="P707" s="1">
        <v>0.27361111111111114</v>
      </c>
      <c r="Q707" s="5">
        <v>905</v>
      </c>
      <c r="R707" s="14">
        <v>8.1999999999999993</v>
      </c>
      <c r="S707">
        <v>111</v>
      </c>
      <c r="T707" s="5">
        <v>23</v>
      </c>
      <c r="U707" s="5">
        <v>587</v>
      </c>
      <c r="V707" s="5">
        <v>0</v>
      </c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</row>
    <row r="708" spans="1:37" x14ac:dyDescent="0.25">
      <c r="A708" s="11">
        <f>Table1[[#This Row],[Milk Yield]]-J704</f>
        <v>-29</v>
      </c>
      <c r="B708" t="s">
        <v>24</v>
      </c>
      <c r="C708" s="2">
        <v>2</v>
      </c>
      <c r="D708" s="12">
        <v>45644</v>
      </c>
      <c r="E708" s="2">
        <v>31</v>
      </c>
      <c r="F708" s="13">
        <v>0.66722222222222227</v>
      </c>
      <c r="G708" s="3">
        <v>0.86068287037037039</v>
      </c>
      <c r="H708" s="1">
        <v>0.19305555555555556</v>
      </c>
      <c r="I708" s="5">
        <v>575</v>
      </c>
      <c r="J708">
        <v>4813</v>
      </c>
      <c r="K708">
        <v>124</v>
      </c>
      <c r="L708" s="5">
        <v>121</v>
      </c>
      <c r="M708" s="5">
        <v>572</v>
      </c>
      <c r="N708">
        <v>17</v>
      </c>
      <c r="O708">
        <v>555</v>
      </c>
      <c r="P708" s="1">
        <v>0.26874999999999999</v>
      </c>
      <c r="Q708" s="5">
        <v>1037</v>
      </c>
      <c r="R708" s="14">
        <v>8.5</v>
      </c>
      <c r="S708">
        <v>123</v>
      </c>
      <c r="T708" s="5">
        <v>17</v>
      </c>
      <c r="U708" s="5">
        <v>555</v>
      </c>
      <c r="V708" s="5">
        <v>0</v>
      </c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</row>
    <row r="709" spans="1:37" x14ac:dyDescent="0.25">
      <c r="A709" s="11">
        <f>Table1[[#This Row],[Milk Yield]]-J705</f>
        <v>248</v>
      </c>
      <c r="B709" t="s">
        <v>24</v>
      </c>
      <c r="C709" s="2">
        <v>3</v>
      </c>
      <c r="D709" s="12">
        <v>45644</v>
      </c>
      <c r="E709" s="2">
        <v>37</v>
      </c>
      <c r="F709" s="13">
        <v>2.685185185185185E-3</v>
      </c>
      <c r="G709" s="3">
        <v>0.25188657407407405</v>
      </c>
      <c r="H709" s="1">
        <v>0.24861111111111112</v>
      </c>
      <c r="I709" s="5">
        <v>637</v>
      </c>
      <c r="J709">
        <v>6306</v>
      </c>
      <c r="K709">
        <v>107</v>
      </c>
      <c r="L709" s="5">
        <v>305</v>
      </c>
      <c r="M709" s="5">
        <v>635</v>
      </c>
      <c r="N709">
        <v>36</v>
      </c>
      <c r="O709">
        <v>599</v>
      </c>
      <c r="P709" s="1">
        <v>0.28125</v>
      </c>
      <c r="Q709" s="5">
        <v>1054</v>
      </c>
      <c r="R709" s="14">
        <v>10</v>
      </c>
      <c r="S709">
        <v>106</v>
      </c>
      <c r="T709" s="5">
        <v>36</v>
      </c>
      <c r="U709" s="5">
        <v>599</v>
      </c>
      <c r="V709" s="5">
        <v>0</v>
      </c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</row>
    <row r="710" spans="1:37" x14ac:dyDescent="0.25">
      <c r="A710" s="11" t="e">
        <f>Table1[[#This Row],[Milk Yield]]-J706</f>
        <v>#VALUE!</v>
      </c>
      <c r="B710" t="s">
        <v>0</v>
      </c>
      <c r="C710" s="2" t="s">
        <v>1</v>
      </c>
      <c r="D710" s="12" t="s">
        <v>2</v>
      </c>
      <c r="E710" s="2" t="s">
        <v>3</v>
      </c>
      <c r="F710" s="13" t="s">
        <v>4</v>
      </c>
      <c r="G710" s="3" t="s">
        <v>5</v>
      </c>
      <c r="H710" s="1" t="s">
        <v>6</v>
      </c>
      <c r="I710" s="5" t="s">
        <v>8</v>
      </c>
      <c r="J710" t="s">
        <v>9</v>
      </c>
      <c r="K710" t="s">
        <v>10</v>
      </c>
      <c r="L710" s="5" t="s">
        <v>11</v>
      </c>
      <c r="M710" s="5" t="s">
        <v>12</v>
      </c>
      <c r="N710" t="s">
        <v>13</v>
      </c>
      <c r="O710" t="s">
        <v>20</v>
      </c>
      <c r="P710" t="s">
        <v>7</v>
      </c>
      <c r="Q710" s="5" t="s">
        <v>15</v>
      </c>
      <c r="R710" s="14" t="s">
        <v>18</v>
      </c>
      <c r="S710" t="s">
        <v>16</v>
      </c>
      <c r="T710" s="5" t="s">
        <v>14</v>
      </c>
      <c r="U710" s="5" t="s">
        <v>17</v>
      </c>
      <c r="V710" s="5" t="s">
        <v>19</v>
      </c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</row>
    <row r="711" spans="1:37" x14ac:dyDescent="0.25">
      <c r="A711" s="11">
        <f>Table1[[#This Row],[Milk Yield]]-J707</f>
        <v>38</v>
      </c>
      <c r="B711" t="s">
        <v>24</v>
      </c>
      <c r="C711" s="2">
        <v>1</v>
      </c>
      <c r="D711" s="12">
        <v>45645</v>
      </c>
      <c r="E711" s="2">
        <v>32</v>
      </c>
      <c r="F711" s="13">
        <v>0.3402662037037037</v>
      </c>
      <c r="G711" s="3">
        <v>0.54775462962962962</v>
      </c>
      <c r="H711" s="1">
        <v>0.20694444444444443</v>
      </c>
      <c r="I711" s="5">
        <v>614</v>
      </c>
      <c r="J711">
        <v>5037</v>
      </c>
      <c r="K711">
        <v>123</v>
      </c>
      <c r="L711" s="5">
        <v>264</v>
      </c>
      <c r="M711" s="5">
        <v>613</v>
      </c>
      <c r="N711">
        <v>36</v>
      </c>
      <c r="O711">
        <v>577</v>
      </c>
      <c r="P711" s="1">
        <v>0.26250000000000001</v>
      </c>
      <c r="Q711" s="5">
        <v>1012</v>
      </c>
      <c r="R711" s="14">
        <v>8.3000000000000007</v>
      </c>
      <c r="S711">
        <v>123</v>
      </c>
      <c r="T711" s="5">
        <v>36</v>
      </c>
      <c r="U711" s="5">
        <v>577</v>
      </c>
      <c r="V711" s="5">
        <v>0</v>
      </c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</row>
    <row r="712" spans="1:37" x14ac:dyDescent="0.25">
      <c r="A712" s="11">
        <f>Table1[[#This Row],[Milk Yield]]-J708</f>
        <v>23</v>
      </c>
      <c r="B712" t="s">
        <v>24</v>
      </c>
      <c r="C712" s="2">
        <v>2</v>
      </c>
      <c r="D712" s="12">
        <v>45645</v>
      </c>
      <c r="E712" s="2">
        <v>31</v>
      </c>
      <c r="F712" s="13">
        <v>0.66929398148148145</v>
      </c>
      <c r="G712" s="3">
        <v>0.88981481481481484</v>
      </c>
      <c r="H712" s="1">
        <v>0.22013888888888888</v>
      </c>
      <c r="I712" s="5">
        <v>561</v>
      </c>
      <c r="J712">
        <v>4836</v>
      </c>
      <c r="K712">
        <v>106</v>
      </c>
      <c r="L712" s="5">
        <v>160</v>
      </c>
      <c r="M712" s="5">
        <v>557</v>
      </c>
      <c r="N712">
        <v>22</v>
      </c>
      <c r="O712">
        <v>535</v>
      </c>
      <c r="P712" s="1">
        <v>0.26527777777777778</v>
      </c>
      <c r="Q712" s="5">
        <v>914</v>
      </c>
      <c r="R712" s="14">
        <v>8.6999999999999993</v>
      </c>
      <c r="S712">
        <v>105</v>
      </c>
      <c r="T712" s="5">
        <v>22</v>
      </c>
      <c r="U712" s="5">
        <v>535</v>
      </c>
      <c r="V712" s="5">
        <v>0</v>
      </c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</row>
    <row r="713" spans="1:37" x14ac:dyDescent="0.25">
      <c r="A713" s="11">
        <f>Table1[[#This Row],[Milk Yield]]-J709</f>
        <v>-779</v>
      </c>
      <c r="B713" t="s">
        <v>24</v>
      </c>
      <c r="C713" s="2">
        <v>3</v>
      </c>
      <c r="D713" s="12">
        <v>45645</v>
      </c>
      <c r="E713" s="2">
        <v>36</v>
      </c>
      <c r="F713" s="13">
        <v>4.3750000000000004E-3</v>
      </c>
      <c r="G713" s="3">
        <v>0.23982638888888888</v>
      </c>
      <c r="H713" s="1">
        <v>0.23541666666666666</v>
      </c>
      <c r="I713" s="5">
        <v>597</v>
      </c>
      <c r="J713">
        <v>5527</v>
      </c>
      <c r="K713">
        <v>106</v>
      </c>
      <c r="L713" s="5">
        <v>171</v>
      </c>
      <c r="M713" s="5">
        <v>594</v>
      </c>
      <c r="N713">
        <v>28</v>
      </c>
      <c r="O713">
        <v>566</v>
      </c>
      <c r="P713" s="1">
        <v>0.26111111111111113</v>
      </c>
      <c r="Q713" s="5">
        <v>978</v>
      </c>
      <c r="R713" s="14">
        <v>9.4</v>
      </c>
      <c r="S713">
        <v>105</v>
      </c>
      <c r="T713" s="5">
        <v>28</v>
      </c>
      <c r="U713" s="5">
        <v>566</v>
      </c>
      <c r="V713" s="5">
        <v>0</v>
      </c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</row>
    <row r="714" spans="1:37" x14ac:dyDescent="0.25">
      <c r="A714" s="11" t="e">
        <f>Table1[[#This Row],[Milk Yield]]-J710</f>
        <v>#VALUE!</v>
      </c>
      <c r="B714" t="s">
        <v>0</v>
      </c>
      <c r="C714" s="2" t="s">
        <v>1</v>
      </c>
      <c r="D714" s="12" t="s">
        <v>2</v>
      </c>
      <c r="E714" s="2" t="s">
        <v>3</v>
      </c>
      <c r="F714" s="13" t="s">
        <v>4</v>
      </c>
      <c r="G714" s="3" t="s">
        <v>5</v>
      </c>
      <c r="H714" s="1" t="s">
        <v>6</v>
      </c>
      <c r="I714" s="5" t="s">
        <v>8</v>
      </c>
      <c r="J714" t="s">
        <v>9</v>
      </c>
      <c r="K714" t="s">
        <v>10</v>
      </c>
      <c r="L714" s="5" t="s">
        <v>11</v>
      </c>
      <c r="M714" s="5" t="s">
        <v>12</v>
      </c>
      <c r="N714" t="s">
        <v>13</v>
      </c>
      <c r="O714" t="s">
        <v>20</v>
      </c>
      <c r="P714" t="s">
        <v>7</v>
      </c>
      <c r="Q714" s="5" t="s">
        <v>15</v>
      </c>
      <c r="R714" s="14" t="s">
        <v>18</v>
      </c>
      <c r="S714" t="s">
        <v>16</v>
      </c>
      <c r="T714" s="5" t="s">
        <v>14</v>
      </c>
      <c r="U714" s="5" t="s">
        <v>17</v>
      </c>
      <c r="V714" s="5" t="s">
        <v>19</v>
      </c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</row>
    <row r="715" spans="1:37" x14ac:dyDescent="0.25">
      <c r="A715" s="11">
        <f>Table1[[#This Row],[Milk Yield]]-J711</f>
        <v>-536</v>
      </c>
      <c r="B715" t="s">
        <v>24</v>
      </c>
      <c r="C715" s="2">
        <v>1</v>
      </c>
      <c r="D715" s="12">
        <v>45646</v>
      </c>
      <c r="E715" s="2">
        <v>30</v>
      </c>
      <c r="F715" s="13">
        <v>0.33609953703703704</v>
      </c>
      <c r="G715" s="3">
        <v>0.54156249999999995</v>
      </c>
      <c r="H715" s="1">
        <v>0.2048611111111111</v>
      </c>
      <c r="I715" s="5">
        <v>563</v>
      </c>
      <c r="J715">
        <v>4501</v>
      </c>
      <c r="K715">
        <v>114</v>
      </c>
      <c r="L715" s="5">
        <v>154</v>
      </c>
      <c r="M715" s="5">
        <v>563</v>
      </c>
      <c r="N715">
        <v>24</v>
      </c>
      <c r="O715">
        <v>539</v>
      </c>
      <c r="P715" s="1">
        <v>0.2722222222222222</v>
      </c>
      <c r="Q715" s="5">
        <v>913</v>
      </c>
      <c r="R715" s="14">
        <v>8</v>
      </c>
      <c r="S715">
        <v>114</v>
      </c>
      <c r="T715" s="5">
        <v>24</v>
      </c>
      <c r="U715" s="5">
        <v>538</v>
      </c>
      <c r="V715" s="5">
        <v>0</v>
      </c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</row>
    <row r="716" spans="1:37" x14ac:dyDescent="0.25">
      <c r="A716" s="11">
        <f>Table1[[#This Row],[Milk Yield]]-J712</f>
        <v>-53</v>
      </c>
      <c r="B716" t="s">
        <v>24</v>
      </c>
      <c r="C716" s="2">
        <v>2</v>
      </c>
      <c r="D716" s="12">
        <v>45646</v>
      </c>
      <c r="E716" s="2">
        <v>28</v>
      </c>
      <c r="F716" s="13">
        <v>0.66593749999999996</v>
      </c>
      <c r="G716" s="3">
        <v>0.84859953703703705</v>
      </c>
      <c r="H716" s="1">
        <v>0.18263888888888888</v>
      </c>
      <c r="I716" s="5">
        <v>540</v>
      </c>
      <c r="J716">
        <v>4783</v>
      </c>
      <c r="K716">
        <v>123</v>
      </c>
      <c r="L716" s="5">
        <v>144</v>
      </c>
      <c r="M716" s="5">
        <v>540</v>
      </c>
      <c r="N716">
        <v>20</v>
      </c>
      <c r="O716">
        <v>520</v>
      </c>
      <c r="P716" s="1">
        <v>0.27847222222222223</v>
      </c>
      <c r="Q716" s="5">
        <v>1091</v>
      </c>
      <c r="R716" s="14">
        <v>8.9</v>
      </c>
      <c r="S716">
        <v>123</v>
      </c>
      <c r="T716" s="5">
        <v>20</v>
      </c>
      <c r="U716" s="5">
        <v>520</v>
      </c>
      <c r="V716" s="5">
        <v>0</v>
      </c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</row>
    <row r="717" spans="1:37" x14ac:dyDescent="0.25">
      <c r="A717" s="11">
        <f>Table1[[#This Row],[Milk Yield]]-J713</f>
        <v>235</v>
      </c>
      <c r="B717" t="s">
        <v>24</v>
      </c>
      <c r="C717" s="2">
        <v>3</v>
      </c>
      <c r="D717" s="12">
        <v>45646</v>
      </c>
      <c r="E717" s="2">
        <v>33</v>
      </c>
      <c r="F717" s="13">
        <v>3.9699074074074072E-3</v>
      </c>
      <c r="G717" s="3">
        <v>0.22877314814814814</v>
      </c>
      <c r="H717" s="1">
        <v>0.22430555555555556</v>
      </c>
      <c r="I717" s="5">
        <v>576</v>
      </c>
      <c r="J717">
        <v>5762</v>
      </c>
      <c r="K717">
        <v>107</v>
      </c>
      <c r="L717" s="5">
        <v>175</v>
      </c>
      <c r="M717" s="5">
        <v>576</v>
      </c>
      <c r="N717">
        <v>24</v>
      </c>
      <c r="O717">
        <v>552</v>
      </c>
      <c r="P717" s="1">
        <v>0.28472222222222221</v>
      </c>
      <c r="Q717" s="5">
        <v>1068</v>
      </c>
      <c r="R717" s="14">
        <v>10.1</v>
      </c>
      <c r="S717">
        <v>107</v>
      </c>
      <c r="T717" s="5">
        <v>24</v>
      </c>
      <c r="U717" s="5">
        <v>552</v>
      </c>
      <c r="V717" s="5">
        <v>0</v>
      </c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</row>
    <row r="718" spans="1:37" x14ac:dyDescent="0.25">
      <c r="A718" s="11" t="e">
        <f>Table1[[#This Row],[Milk Yield]]-J714</f>
        <v>#VALUE!</v>
      </c>
      <c r="B718" t="s">
        <v>0</v>
      </c>
      <c r="C718" s="2" t="s">
        <v>1</v>
      </c>
      <c r="D718" s="12" t="s">
        <v>2</v>
      </c>
      <c r="E718" s="2" t="s">
        <v>3</v>
      </c>
      <c r="F718" s="13" t="s">
        <v>4</v>
      </c>
      <c r="G718" s="3" t="s">
        <v>5</v>
      </c>
      <c r="H718" s="1" t="s">
        <v>6</v>
      </c>
      <c r="I718" s="5" t="s">
        <v>8</v>
      </c>
      <c r="J718" t="s">
        <v>9</v>
      </c>
      <c r="K718" t="s">
        <v>10</v>
      </c>
      <c r="L718" s="5" t="s">
        <v>11</v>
      </c>
      <c r="M718" s="5" t="s">
        <v>12</v>
      </c>
      <c r="N718" t="s">
        <v>13</v>
      </c>
      <c r="O718" t="s">
        <v>20</v>
      </c>
      <c r="P718" t="s">
        <v>7</v>
      </c>
      <c r="Q718" s="5" t="s">
        <v>15</v>
      </c>
      <c r="R718" s="14" t="s">
        <v>18</v>
      </c>
      <c r="S718" t="s">
        <v>16</v>
      </c>
      <c r="T718" s="5" t="s">
        <v>14</v>
      </c>
      <c r="U718" s="5" t="s">
        <v>17</v>
      </c>
      <c r="V718" s="5" t="s">
        <v>19</v>
      </c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</row>
    <row r="719" spans="1:37" x14ac:dyDescent="0.25">
      <c r="A719" s="11">
        <f>Table1[[#This Row],[Milk Yield]]-J715</f>
        <v>505</v>
      </c>
      <c r="B719" t="s">
        <v>24</v>
      </c>
      <c r="C719" s="2">
        <v>1</v>
      </c>
      <c r="D719" s="12">
        <v>45647</v>
      </c>
      <c r="E719" s="2">
        <v>32</v>
      </c>
      <c r="F719" s="13">
        <v>0.33813657407407405</v>
      </c>
      <c r="G719" s="3">
        <v>0.55034722222222221</v>
      </c>
      <c r="H719" s="1">
        <v>0.21180555555555555</v>
      </c>
      <c r="I719" s="5">
        <v>562</v>
      </c>
      <c r="J719">
        <v>5006</v>
      </c>
      <c r="K719">
        <v>110</v>
      </c>
      <c r="L719" s="5">
        <v>53</v>
      </c>
      <c r="M719" s="5">
        <v>562</v>
      </c>
      <c r="N719">
        <v>9</v>
      </c>
      <c r="O719">
        <v>553</v>
      </c>
      <c r="P719" s="1">
        <v>0.25208333333333333</v>
      </c>
      <c r="Q719" s="5">
        <v>983</v>
      </c>
      <c r="R719" s="14">
        <v>9</v>
      </c>
      <c r="S719">
        <v>110</v>
      </c>
      <c r="T719" s="5">
        <v>9</v>
      </c>
      <c r="U719" s="5">
        <v>553</v>
      </c>
      <c r="V719" s="5">
        <v>0</v>
      </c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</row>
    <row r="720" spans="1:37" x14ac:dyDescent="0.25">
      <c r="A720" s="11">
        <f>Table1[[#This Row],[Milk Yield]]-J716</f>
        <v>126</v>
      </c>
      <c r="B720" t="s">
        <v>24</v>
      </c>
      <c r="C720" s="2">
        <v>2</v>
      </c>
      <c r="D720" s="12">
        <v>45647</v>
      </c>
      <c r="E720" s="2">
        <v>33</v>
      </c>
      <c r="F720" s="13">
        <v>0.66942129629629632</v>
      </c>
      <c r="G720" s="3">
        <v>0.88552083333333331</v>
      </c>
      <c r="H720" s="1">
        <v>0.21597222222222223</v>
      </c>
      <c r="I720" s="5">
        <v>553</v>
      </c>
      <c r="J720">
        <v>4909</v>
      </c>
      <c r="K720">
        <v>107</v>
      </c>
      <c r="L720" s="5">
        <v>164</v>
      </c>
      <c r="M720" s="5">
        <v>553</v>
      </c>
      <c r="N720">
        <v>26</v>
      </c>
      <c r="O720">
        <v>527</v>
      </c>
      <c r="P720" s="1">
        <v>0.2638888888888889</v>
      </c>
      <c r="Q720" s="5">
        <v>947</v>
      </c>
      <c r="R720" s="14">
        <v>8.9</v>
      </c>
      <c r="S720">
        <v>107</v>
      </c>
      <c r="T720" s="5">
        <v>26</v>
      </c>
      <c r="U720" s="5">
        <v>529</v>
      </c>
      <c r="V720" s="5">
        <v>2</v>
      </c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</row>
    <row r="721" spans="1:37" x14ac:dyDescent="0.25">
      <c r="A721" s="11">
        <f>Table1[[#This Row],[Milk Yield]]-J717</f>
        <v>-483</v>
      </c>
      <c r="B721" t="s">
        <v>24</v>
      </c>
      <c r="C721" s="2">
        <v>3</v>
      </c>
      <c r="D721" s="12">
        <v>45647</v>
      </c>
      <c r="E721" s="2">
        <v>34</v>
      </c>
      <c r="F721" s="13">
        <v>3.3449074074074076E-3</v>
      </c>
      <c r="G721" s="3">
        <v>0.19703703703703704</v>
      </c>
      <c r="H721" s="1">
        <v>0.19305555555555556</v>
      </c>
      <c r="I721" s="5">
        <v>584</v>
      </c>
      <c r="J721">
        <v>5279</v>
      </c>
      <c r="K721">
        <v>126</v>
      </c>
      <c r="L721" s="5">
        <v>242</v>
      </c>
      <c r="M721" s="5">
        <v>584</v>
      </c>
      <c r="N721">
        <v>37</v>
      </c>
      <c r="O721">
        <v>547</v>
      </c>
      <c r="P721" s="1">
        <v>0.25555555555555554</v>
      </c>
      <c r="Q721" s="5">
        <v>1136</v>
      </c>
      <c r="R721" s="14">
        <v>9.1</v>
      </c>
      <c r="S721">
        <v>126</v>
      </c>
      <c r="T721" s="5">
        <v>37</v>
      </c>
      <c r="U721" s="5">
        <v>548</v>
      </c>
      <c r="V721" s="5">
        <v>1</v>
      </c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</row>
    <row r="722" spans="1:37" x14ac:dyDescent="0.25">
      <c r="A722" s="11" t="e">
        <f>Table1[[#This Row],[Milk Yield]]-J718</f>
        <v>#VALUE!</v>
      </c>
      <c r="B722" t="s">
        <v>0</v>
      </c>
      <c r="C722" s="2" t="s">
        <v>1</v>
      </c>
      <c r="D722" s="12" t="s">
        <v>2</v>
      </c>
      <c r="E722" s="2" t="s">
        <v>3</v>
      </c>
      <c r="F722" s="13" t="s">
        <v>4</v>
      </c>
      <c r="G722" s="3" t="s">
        <v>5</v>
      </c>
      <c r="H722" s="1" t="s">
        <v>6</v>
      </c>
      <c r="I722" s="5" t="s">
        <v>8</v>
      </c>
      <c r="J722" t="s">
        <v>9</v>
      </c>
      <c r="K722" t="s">
        <v>10</v>
      </c>
      <c r="L722" s="5" t="s">
        <v>11</v>
      </c>
      <c r="M722" s="5" t="s">
        <v>12</v>
      </c>
      <c r="N722" t="s">
        <v>13</v>
      </c>
      <c r="O722" t="s">
        <v>20</v>
      </c>
      <c r="P722" t="s">
        <v>7</v>
      </c>
      <c r="Q722" s="5" t="s">
        <v>15</v>
      </c>
      <c r="R722" s="14" t="s">
        <v>18</v>
      </c>
      <c r="S722" t="s">
        <v>16</v>
      </c>
      <c r="T722" s="5" t="s">
        <v>14</v>
      </c>
      <c r="U722" s="5" t="s">
        <v>17</v>
      </c>
      <c r="V722" s="5" t="s">
        <v>19</v>
      </c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</row>
    <row r="723" spans="1:37" x14ac:dyDescent="0.25">
      <c r="A723" s="11">
        <f>Table1[[#This Row],[Milk Yield]]-J719</f>
        <v>333</v>
      </c>
      <c r="B723" t="s">
        <v>24</v>
      </c>
      <c r="C723" s="2">
        <v>1</v>
      </c>
      <c r="D723" s="12">
        <v>45648</v>
      </c>
      <c r="E723" s="2">
        <v>33</v>
      </c>
      <c r="F723" s="13">
        <v>0.34052083333333333</v>
      </c>
      <c r="G723" s="3">
        <v>0.57991898148148147</v>
      </c>
      <c r="H723" s="1">
        <v>0.2388888888888889</v>
      </c>
      <c r="I723" s="5">
        <v>574</v>
      </c>
      <c r="J723">
        <v>5339</v>
      </c>
      <c r="K723">
        <v>100</v>
      </c>
      <c r="L723" s="5">
        <v>398</v>
      </c>
      <c r="M723" s="5">
        <v>572</v>
      </c>
      <c r="N723">
        <v>49</v>
      </c>
      <c r="O723">
        <v>523</v>
      </c>
      <c r="P723" s="1">
        <v>0.28958333333333336</v>
      </c>
      <c r="Q723" s="5">
        <v>929</v>
      </c>
      <c r="R723" s="14">
        <v>9.4</v>
      </c>
      <c r="S723">
        <v>100</v>
      </c>
      <c r="T723" s="5">
        <v>49</v>
      </c>
      <c r="U723" s="5">
        <v>524</v>
      </c>
      <c r="V723" s="5">
        <v>1</v>
      </c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</row>
    <row r="724" spans="1:37" x14ac:dyDescent="0.25">
      <c r="A724" s="11">
        <f>Table1[[#This Row],[Milk Yield]]-J720</f>
        <v>211</v>
      </c>
      <c r="B724" t="s">
        <v>24</v>
      </c>
      <c r="C724" s="2">
        <v>2</v>
      </c>
      <c r="D724" s="12">
        <v>45648</v>
      </c>
      <c r="E724" s="2">
        <v>34</v>
      </c>
      <c r="F724" s="13">
        <v>0.67093749999999996</v>
      </c>
      <c r="G724" s="3">
        <v>0.90263888888888888</v>
      </c>
      <c r="H724" s="1">
        <v>0.23125000000000001</v>
      </c>
      <c r="I724" s="5">
        <v>564</v>
      </c>
      <c r="J724">
        <v>5120</v>
      </c>
      <c r="K724">
        <v>101</v>
      </c>
      <c r="L724" s="5">
        <v>220</v>
      </c>
      <c r="M724" s="5">
        <v>562</v>
      </c>
      <c r="N724">
        <v>30</v>
      </c>
      <c r="O724">
        <v>532</v>
      </c>
      <c r="P724" s="1">
        <v>0.28958333333333336</v>
      </c>
      <c r="Q724" s="5">
        <v>921</v>
      </c>
      <c r="R724" s="14">
        <v>9.1999999999999993</v>
      </c>
      <c r="S724">
        <v>101</v>
      </c>
      <c r="T724" s="5">
        <v>30</v>
      </c>
      <c r="U724" s="5">
        <v>532</v>
      </c>
      <c r="V724" s="5">
        <v>0</v>
      </c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</row>
    <row r="725" spans="1:37" x14ac:dyDescent="0.25">
      <c r="A725" s="11">
        <f>Table1[[#This Row],[Milk Yield]]-J721</f>
        <v>-246</v>
      </c>
      <c r="B725" t="s">
        <v>24</v>
      </c>
      <c r="C725" s="2">
        <v>3</v>
      </c>
      <c r="D725" s="12">
        <v>45648</v>
      </c>
      <c r="E725" s="2">
        <v>32</v>
      </c>
      <c r="F725" s="13">
        <v>0.98748842592592589</v>
      </c>
      <c r="G725" s="3">
        <v>0.19730324074074074</v>
      </c>
      <c r="H725" s="1">
        <v>0.20972222222222223</v>
      </c>
      <c r="I725" s="5">
        <v>571</v>
      </c>
      <c r="J725">
        <v>5033</v>
      </c>
      <c r="K725">
        <v>113</v>
      </c>
      <c r="L725" s="5">
        <v>212</v>
      </c>
      <c r="M725" s="5">
        <v>566</v>
      </c>
      <c r="N725">
        <v>29</v>
      </c>
      <c r="O725">
        <v>537</v>
      </c>
      <c r="P725" s="1">
        <v>0.26458333333333334</v>
      </c>
      <c r="Q725" s="5">
        <v>999</v>
      </c>
      <c r="R725" s="14">
        <v>8.9</v>
      </c>
      <c r="S725">
        <v>112</v>
      </c>
      <c r="T725" s="5">
        <v>29</v>
      </c>
      <c r="U725" s="5">
        <v>538</v>
      </c>
      <c r="V725" s="5">
        <v>1</v>
      </c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</row>
    <row r="726" spans="1:37" x14ac:dyDescent="0.25">
      <c r="A726" s="11" t="e">
        <f>Table1[[#This Row],[Milk Yield]]-J722</f>
        <v>#VALUE!</v>
      </c>
      <c r="B726" t="s">
        <v>0</v>
      </c>
      <c r="C726" s="2" t="s">
        <v>1</v>
      </c>
      <c r="D726" s="12" t="s">
        <v>2</v>
      </c>
      <c r="E726" s="2" t="s">
        <v>3</v>
      </c>
      <c r="F726" s="13" t="s">
        <v>4</v>
      </c>
      <c r="G726" s="3" t="s">
        <v>5</v>
      </c>
      <c r="H726" s="1" t="s">
        <v>6</v>
      </c>
      <c r="I726" s="5" t="s">
        <v>8</v>
      </c>
      <c r="J726" t="s">
        <v>9</v>
      </c>
      <c r="K726" t="s">
        <v>10</v>
      </c>
      <c r="L726" s="5" t="s">
        <v>11</v>
      </c>
      <c r="M726" s="5" t="s">
        <v>12</v>
      </c>
      <c r="N726" t="s">
        <v>13</v>
      </c>
      <c r="O726" t="s">
        <v>20</v>
      </c>
      <c r="P726" s="1" t="s">
        <v>7</v>
      </c>
      <c r="Q726" s="5" t="s">
        <v>15</v>
      </c>
      <c r="R726" s="14" t="s">
        <v>18</v>
      </c>
      <c r="S726" t="s">
        <v>16</v>
      </c>
      <c r="T726" s="5" t="s">
        <v>14</v>
      </c>
      <c r="U726" s="5" t="s">
        <v>17</v>
      </c>
      <c r="V726" s="5" t="s">
        <v>19</v>
      </c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</row>
    <row r="727" spans="1:37" x14ac:dyDescent="0.25">
      <c r="A727" s="11">
        <f>Table1[[#This Row],[Milk Yield]]-J723</f>
        <v>-61</v>
      </c>
      <c r="B727" t="s">
        <v>24</v>
      </c>
      <c r="C727" s="2">
        <v>1</v>
      </c>
      <c r="D727" s="12">
        <v>45649</v>
      </c>
      <c r="E727" s="2">
        <v>30</v>
      </c>
      <c r="F727" s="13">
        <v>0.33589120370370368</v>
      </c>
      <c r="G727" s="3">
        <v>0.5593055555555555</v>
      </c>
      <c r="H727" s="1">
        <v>0.22291666666666668</v>
      </c>
      <c r="I727" s="5">
        <v>566</v>
      </c>
      <c r="J727">
        <v>5278</v>
      </c>
      <c r="K727">
        <v>106</v>
      </c>
      <c r="L727" s="5">
        <v>190</v>
      </c>
      <c r="M727" s="5">
        <v>566</v>
      </c>
      <c r="N727">
        <v>21</v>
      </c>
      <c r="O727">
        <v>545</v>
      </c>
      <c r="P727" s="1">
        <v>0.26597222222222222</v>
      </c>
      <c r="Q727" s="5">
        <v>984</v>
      </c>
      <c r="R727" s="14">
        <v>9.4</v>
      </c>
      <c r="S727">
        <v>106</v>
      </c>
      <c r="T727" s="5">
        <v>21</v>
      </c>
      <c r="U727" s="5">
        <v>546</v>
      </c>
      <c r="V727" s="5">
        <v>1</v>
      </c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</row>
    <row r="728" spans="1:37" x14ac:dyDescent="0.25">
      <c r="A728" s="11">
        <f>Table1[[#This Row],[Milk Yield]]-J724</f>
        <v>-27</v>
      </c>
      <c r="B728" t="s">
        <v>24</v>
      </c>
      <c r="C728" s="2">
        <v>2</v>
      </c>
      <c r="D728" s="12">
        <v>45649</v>
      </c>
      <c r="E728" s="2">
        <v>33</v>
      </c>
      <c r="F728" s="13">
        <v>0.6771180555555556</v>
      </c>
      <c r="G728" s="3">
        <v>0.91501157407407407</v>
      </c>
      <c r="H728" s="1">
        <v>0.23749999999999999</v>
      </c>
      <c r="I728" s="5">
        <v>572</v>
      </c>
      <c r="J728">
        <v>5093</v>
      </c>
      <c r="K728">
        <v>100</v>
      </c>
      <c r="L728" s="5">
        <v>268</v>
      </c>
      <c r="M728" s="5">
        <v>572</v>
      </c>
      <c r="N728">
        <v>43</v>
      </c>
      <c r="O728">
        <v>529</v>
      </c>
      <c r="P728" s="1">
        <v>0.31805555555555554</v>
      </c>
      <c r="Q728" s="5">
        <v>892</v>
      </c>
      <c r="R728" s="14">
        <v>9</v>
      </c>
      <c r="S728">
        <v>100</v>
      </c>
      <c r="T728" s="5">
        <v>43</v>
      </c>
      <c r="U728" s="5">
        <v>530</v>
      </c>
      <c r="V728" s="5">
        <v>1</v>
      </c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</row>
    <row r="729" spans="1:37" x14ac:dyDescent="0.25">
      <c r="A729" s="11">
        <f>Table1[[#This Row],[Milk Yield]]-J725</f>
        <v>142</v>
      </c>
      <c r="B729" t="s">
        <v>24</v>
      </c>
      <c r="C729" s="2">
        <v>3</v>
      </c>
      <c r="D729" s="12">
        <v>45649</v>
      </c>
      <c r="E729" s="2">
        <v>34</v>
      </c>
      <c r="F729" s="13">
        <v>2.5694444444444445E-3</v>
      </c>
      <c r="G729" s="3">
        <v>0.21556712962962962</v>
      </c>
      <c r="H729" s="1">
        <v>0.21249999999999999</v>
      </c>
      <c r="I729" s="5">
        <v>567</v>
      </c>
      <c r="J729">
        <v>5175</v>
      </c>
      <c r="K729">
        <v>111</v>
      </c>
      <c r="L729" s="5">
        <v>209</v>
      </c>
      <c r="M729" s="5">
        <v>563</v>
      </c>
      <c r="N729">
        <v>29</v>
      </c>
      <c r="O729">
        <v>534</v>
      </c>
      <c r="P729" s="1">
        <v>0.29166666666666669</v>
      </c>
      <c r="Q729" s="5">
        <v>1012</v>
      </c>
      <c r="R729" s="14">
        <v>9.1999999999999993</v>
      </c>
      <c r="S729">
        <v>110</v>
      </c>
      <c r="T729" s="5">
        <v>29</v>
      </c>
      <c r="U729" s="5">
        <v>535</v>
      </c>
      <c r="V729" s="5">
        <v>1</v>
      </c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</row>
    <row r="730" spans="1:37" x14ac:dyDescent="0.25">
      <c r="A730" s="11" t="e">
        <f>Table1[[#This Row],[Milk Yield]]-J726</f>
        <v>#VALUE!</v>
      </c>
      <c r="B730" t="s">
        <v>0</v>
      </c>
      <c r="C730" s="2" t="s">
        <v>1</v>
      </c>
      <c r="D730" s="12" t="s">
        <v>2</v>
      </c>
      <c r="E730" s="2" t="s">
        <v>3</v>
      </c>
      <c r="F730" s="13" t="s">
        <v>4</v>
      </c>
      <c r="G730" s="3" t="s">
        <v>5</v>
      </c>
      <c r="H730" s="1" t="s">
        <v>6</v>
      </c>
      <c r="I730" s="5" t="s">
        <v>8</v>
      </c>
      <c r="J730" t="s">
        <v>9</v>
      </c>
      <c r="K730" t="s">
        <v>10</v>
      </c>
      <c r="L730" s="5" t="s">
        <v>11</v>
      </c>
      <c r="M730" s="5" t="s">
        <v>12</v>
      </c>
      <c r="N730" t="s">
        <v>13</v>
      </c>
      <c r="O730" t="s">
        <v>20</v>
      </c>
      <c r="P730" s="1" t="s">
        <v>7</v>
      </c>
      <c r="Q730" s="5" t="s">
        <v>15</v>
      </c>
      <c r="R730" s="14" t="s">
        <v>18</v>
      </c>
      <c r="S730" t="s">
        <v>16</v>
      </c>
      <c r="T730" s="5" t="s">
        <v>14</v>
      </c>
      <c r="U730" s="5" t="s">
        <v>17</v>
      </c>
      <c r="V730" s="5" t="s">
        <v>19</v>
      </c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</row>
    <row r="731" spans="1:37" x14ac:dyDescent="0.25">
      <c r="A731" s="11">
        <f>Table1[[#This Row],[Milk Yield]]-J727</f>
        <v>-76</v>
      </c>
      <c r="B731" t="s">
        <v>24</v>
      </c>
      <c r="C731" s="2">
        <v>1</v>
      </c>
      <c r="D731" s="12">
        <v>45650</v>
      </c>
      <c r="E731" s="2">
        <v>30</v>
      </c>
      <c r="F731" s="13">
        <v>0.34120370370370373</v>
      </c>
      <c r="G731" s="3">
        <v>0.55464120370370373</v>
      </c>
      <c r="H731" s="1">
        <v>0.21319444444444444</v>
      </c>
      <c r="I731" s="5">
        <v>577</v>
      </c>
      <c r="J731">
        <v>5202</v>
      </c>
      <c r="K731">
        <v>113</v>
      </c>
      <c r="L731" s="5">
        <v>253</v>
      </c>
      <c r="M731" s="5">
        <v>577</v>
      </c>
      <c r="N731">
        <v>27</v>
      </c>
      <c r="O731">
        <v>550</v>
      </c>
      <c r="P731" s="1">
        <v>0.25486111111111109</v>
      </c>
      <c r="Q731" s="5">
        <v>1015</v>
      </c>
      <c r="R731" s="14">
        <v>9.1</v>
      </c>
      <c r="S731">
        <v>113</v>
      </c>
      <c r="T731" s="5">
        <v>27</v>
      </c>
      <c r="U731" s="5">
        <v>551</v>
      </c>
      <c r="V731" s="5">
        <v>1</v>
      </c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</row>
    <row r="732" spans="1:37" x14ac:dyDescent="0.25">
      <c r="A732" s="11">
        <f>Table1[[#This Row],[Milk Yield]]-J728</f>
        <v>46</v>
      </c>
      <c r="B732" t="s">
        <v>24</v>
      </c>
      <c r="C732" s="2">
        <v>2</v>
      </c>
      <c r="D732" s="12">
        <v>45650</v>
      </c>
      <c r="E732" s="2">
        <v>36</v>
      </c>
      <c r="F732" s="13">
        <v>0.67388888888888887</v>
      </c>
      <c r="G732" s="3">
        <v>0.90745370370370371</v>
      </c>
      <c r="H732" s="1">
        <v>0.23333333333333334</v>
      </c>
      <c r="I732" s="5">
        <v>564</v>
      </c>
      <c r="J732">
        <v>5139</v>
      </c>
      <c r="K732">
        <v>101</v>
      </c>
      <c r="L732" s="5">
        <v>140</v>
      </c>
      <c r="M732" s="5">
        <v>564</v>
      </c>
      <c r="N732">
        <v>20</v>
      </c>
      <c r="O732">
        <v>544</v>
      </c>
      <c r="P732" s="1">
        <v>0.27500000000000002</v>
      </c>
      <c r="Q732" s="5">
        <v>917</v>
      </c>
      <c r="R732" s="14">
        <v>9.1999999999999993</v>
      </c>
      <c r="S732">
        <v>101</v>
      </c>
      <c r="T732" s="5">
        <v>20</v>
      </c>
      <c r="U732" s="5">
        <v>545</v>
      </c>
      <c r="V732" s="5">
        <v>1</v>
      </c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</row>
    <row r="733" spans="1:37" x14ac:dyDescent="0.25">
      <c r="A733" s="11">
        <f>Table1[[#This Row],[Milk Yield]]-J729</f>
        <v>-164</v>
      </c>
      <c r="B733" t="s">
        <v>24</v>
      </c>
      <c r="C733" s="2">
        <v>3</v>
      </c>
      <c r="D733" s="12">
        <v>45650</v>
      </c>
      <c r="E733" s="2">
        <v>34</v>
      </c>
      <c r="F733" s="13">
        <v>4.363425925925926E-3</v>
      </c>
      <c r="G733" s="3">
        <v>0.19967592592592592</v>
      </c>
      <c r="H733" s="1">
        <v>0.19513888888888889</v>
      </c>
      <c r="I733" s="5">
        <v>585</v>
      </c>
      <c r="J733">
        <v>5011</v>
      </c>
      <c r="K733">
        <v>125</v>
      </c>
      <c r="L733" s="5">
        <v>151</v>
      </c>
      <c r="M733" s="5">
        <v>583</v>
      </c>
      <c r="N733">
        <v>24</v>
      </c>
      <c r="O733">
        <v>559</v>
      </c>
      <c r="P733" s="1">
        <v>0.2590277777777778</v>
      </c>
      <c r="Q733" s="5">
        <v>1069</v>
      </c>
      <c r="R733" s="14">
        <v>8.6</v>
      </c>
      <c r="S733">
        <v>124</v>
      </c>
      <c r="T733" s="5">
        <v>24</v>
      </c>
      <c r="U733" s="5">
        <v>560</v>
      </c>
      <c r="V733" s="5">
        <v>1</v>
      </c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</row>
    <row r="734" spans="1:37" x14ac:dyDescent="0.25">
      <c r="A734" s="11" t="e">
        <f>Table1[[#This Row],[Milk Yield]]-J730</f>
        <v>#VALUE!</v>
      </c>
      <c r="B734" t="s">
        <v>0</v>
      </c>
      <c r="C734" s="2" t="s">
        <v>1</v>
      </c>
      <c r="D734" s="12" t="s">
        <v>2</v>
      </c>
      <c r="E734" s="2" t="s">
        <v>3</v>
      </c>
      <c r="F734" s="13" t="s">
        <v>4</v>
      </c>
      <c r="G734" s="3" t="s">
        <v>5</v>
      </c>
      <c r="H734" s="1" t="s">
        <v>6</v>
      </c>
      <c r="I734" s="5" t="s">
        <v>8</v>
      </c>
      <c r="J734" t="s">
        <v>9</v>
      </c>
      <c r="K734" t="s">
        <v>10</v>
      </c>
      <c r="L734" s="5" t="s">
        <v>11</v>
      </c>
      <c r="M734" s="5" t="s">
        <v>12</v>
      </c>
      <c r="N734" t="s">
        <v>13</v>
      </c>
      <c r="O734" t="s">
        <v>20</v>
      </c>
      <c r="P734" s="1" t="s">
        <v>7</v>
      </c>
      <c r="Q734" s="5" t="s">
        <v>15</v>
      </c>
      <c r="R734" s="14" t="s">
        <v>18</v>
      </c>
      <c r="S734" t="s">
        <v>16</v>
      </c>
      <c r="T734" s="5" t="s">
        <v>14</v>
      </c>
      <c r="U734" s="5" t="s">
        <v>17</v>
      </c>
      <c r="V734" s="5" t="s">
        <v>19</v>
      </c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</row>
    <row r="735" spans="1:37" x14ac:dyDescent="0.25">
      <c r="A735" s="11">
        <f>Table1[[#This Row],[Milk Yield]]-J731</f>
        <v>137</v>
      </c>
      <c r="B735" t="s">
        <v>24</v>
      </c>
      <c r="C735" s="2">
        <v>1</v>
      </c>
      <c r="D735" s="12">
        <v>45651</v>
      </c>
      <c r="E735" s="2">
        <v>29</v>
      </c>
      <c r="F735" s="13">
        <v>0.35150462962962964</v>
      </c>
      <c r="G735" s="3">
        <v>0.54885416666666664</v>
      </c>
      <c r="H735" s="1">
        <v>0.19722222222222222</v>
      </c>
      <c r="I735" s="5">
        <v>574</v>
      </c>
      <c r="J735">
        <v>5339</v>
      </c>
      <c r="K735">
        <v>121</v>
      </c>
      <c r="L735" s="5">
        <v>98</v>
      </c>
      <c r="M735" s="5">
        <v>574</v>
      </c>
      <c r="N735">
        <v>13</v>
      </c>
      <c r="O735">
        <v>561</v>
      </c>
      <c r="P735" s="1">
        <v>0.24513888888888888</v>
      </c>
      <c r="Q735" s="5">
        <v>1127</v>
      </c>
      <c r="R735" s="14">
        <v>9.4</v>
      </c>
      <c r="S735">
        <v>121</v>
      </c>
      <c r="T735" s="5">
        <v>13</v>
      </c>
      <c r="U735" s="5">
        <v>561</v>
      </c>
      <c r="V735" s="5">
        <v>1</v>
      </c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</row>
    <row r="736" spans="1:37" x14ac:dyDescent="0.25">
      <c r="A736" s="11">
        <f>Table1[[#This Row],[Milk Yield]]-J732</f>
        <v>81</v>
      </c>
      <c r="B736" t="s">
        <v>24</v>
      </c>
      <c r="C736" s="2">
        <v>2</v>
      </c>
      <c r="D736" s="12">
        <v>45651</v>
      </c>
      <c r="E736" s="2">
        <v>35</v>
      </c>
      <c r="F736" s="13">
        <v>0.67273148148148143</v>
      </c>
      <c r="G736" s="3">
        <v>0.89093750000000005</v>
      </c>
      <c r="H736" s="1">
        <v>0.21805555555555556</v>
      </c>
      <c r="I736" s="5">
        <v>579</v>
      </c>
      <c r="J736">
        <v>5220</v>
      </c>
      <c r="K736">
        <v>111</v>
      </c>
      <c r="L736" s="5">
        <v>239</v>
      </c>
      <c r="M736" s="5">
        <v>579</v>
      </c>
      <c r="N736">
        <v>41</v>
      </c>
      <c r="O736">
        <v>538</v>
      </c>
      <c r="P736" s="1">
        <v>0.26041666666666669</v>
      </c>
      <c r="Q736" s="5">
        <v>997</v>
      </c>
      <c r="R736" s="14">
        <v>9.1</v>
      </c>
      <c r="S736">
        <v>111</v>
      </c>
      <c r="T736" s="5">
        <v>41</v>
      </c>
      <c r="U736" s="5">
        <v>539</v>
      </c>
      <c r="V736" s="5">
        <v>1</v>
      </c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</row>
    <row r="737" spans="1:37" x14ac:dyDescent="0.25">
      <c r="A737" s="11">
        <f>Table1[[#This Row],[Milk Yield]]-J733</f>
        <v>242</v>
      </c>
      <c r="B737" t="s">
        <v>24</v>
      </c>
      <c r="C737" s="2">
        <v>3</v>
      </c>
      <c r="D737" s="12">
        <v>45651</v>
      </c>
      <c r="E737" s="2">
        <v>33</v>
      </c>
      <c r="F737" s="13">
        <v>4.8379629629629632E-3</v>
      </c>
      <c r="G737" s="3">
        <v>0.21224537037037036</v>
      </c>
      <c r="H737" s="1">
        <v>0.20694444444444443</v>
      </c>
      <c r="I737" s="5">
        <v>589</v>
      </c>
      <c r="J737">
        <v>5253</v>
      </c>
      <c r="K737">
        <v>118</v>
      </c>
      <c r="L737" s="5">
        <v>204</v>
      </c>
      <c r="M737" s="5">
        <v>586</v>
      </c>
      <c r="N737">
        <v>34</v>
      </c>
      <c r="O737">
        <v>552</v>
      </c>
      <c r="P737" s="1">
        <v>0.25</v>
      </c>
      <c r="Q737" s="5">
        <v>1055</v>
      </c>
      <c r="R737" s="14">
        <v>9</v>
      </c>
      <c r="S737">
        <v>118</v>
      </c>
      <c r="T737" s="5">
        <v>34</v>
      </c>
      <c r="U737" s="5">
        <v>553</v>
      </c>
      <c r="V737" s="5">
        <v>1</v>
      </c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</row>
    <row r="738" spans="1:37" x14ac:dyDescent="0.25">
      <c r="A738" s="11" t="e">
        <f>Table1[[#This Row],[Milk Yield]]-J734</f>
        <v>#VALUE!</v>
      </c>
      <c r="B738" t="s">
        <v>0</v>
      </c>
      <c r="C738" s="2" t="s">
        <v>1</v>
      </c>
      <c r="D738" s="12" t="s">
        <v>2</v>
      </c>
      <c r="E738" s="2" t="s">
        <v>3</v>
      </c>
      <c r="F738" s="13" t="s">
        <v>4</v>
      </c>
      <c r="G738" s="3" t="s">
        <v>5</v>
      </c>
      <c r="H738" s="1" t="s">
        <v>6</v>
      </c>
      <c r="I738" s="5" t="s">
        <v>8</v>
      </c>
      <c r="J738" t="s">
        <v>9</v>
      </c>
      <c r="K738" t="s">
        <v>10</v>
      </c>
      <c r="L738" s="5" t="s">
        <v>11</v>
      </c>
      <c r="M738" s="5" t="s">
        <v>12</v>
      </c>
      <c r="N738" t="s">
        <v>13</v>
      </c>
      <c r="O738" t="s">
        <v>20</v>
      </c>
      <c r="P738" s="1" t="s">
        <v>7</v>
      </c>
      <c r="Q738" s="5" t="s">
        <v>15</v>
      </c>
      <c r="R738" s="14" t="s">
        <v>18</v>
      </c>
      <c r="S738" t="s">
        <v>16</v>
      </c>
      <c r="T738" s="5" t="s">
        <v>14</v>
      </c>
      <c r="U738" s="5" t="s">
        <v>17</v>
      </c>
      <c r="V738" s="5" t="s">
        <v>19</v>
      </c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</row>
    <row r="739" spans="1:37" x14ac:dyDescent="0.25">
      <c r="A739" s="11">
        <f>Table1[[#This Row],[Milk Yield]]-J735</f>
        <v>-19</v>
      </c>
      <c r="B739" t="s">
        <v>24</v>
      </c>
      <c r="C739" s="2">
        <v>1</v>
      </c>
      <c r="D739" s="12">
        <v>45652</v>
      </c>
      <c r="E739" s="2">
        <v>31</v>
      </c>
      <c r="F739" s="13">
        <v>0.34141203703703704</v>
      </c>
      <c r="G739" s="3">
        <v>0.57384259259259263</v>
      </c>
      <c r="H739" s="1">
        <v>0.23194444444444445</v>
      </c>
      <c r="I739" s="5">
        <v>573</v>
      </c>
      <c r="J739">
        <v>5320</v>
      </c>
      <c r="K739">
        <v>103</v>
      </c>
      <c r="L739" s="5">
        <v>182</v>
      </c>
      <c r="M739" s="5">
        <v>571</v>
      </c>
      <c r="N739">
        <v>23</v>
      </c>
      <c r="O739">
        <v>548</v>
      </c>
      <c r="P739" s="1">
        <v>0.26180555555555557</v>
      </c>
      <c r="Q739" s="5">
        <v>954</v>
      </c>
      <c r="R739" s="14">
        <v>9.4</v>
      </c>
      <c r="S739">
        <v>102</v>
      </c>
      <c r="T739" s="5">
        <v>23</v>
      </c>
      <c r="U739" s="5">
        <v>548</v>
      </c>
      <c r="V739" s="5">
        <v>1</v>
      </c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</row>
    <row r="740" spans="1:37" x14ac:dyDescent="0.25">
      <c r="A740" s="11">
        <f>Table1[[#This Row],[Milk Yield]]-J736</f>
        <v>-129</v>
      </c>
      <c r="B740" t="s">
        <v>24</v>
      </c>
      <c r="C740" s="2">
        <v>2</v>
      </c>
      <c r="D740" s="12">
        <v>45652</v>
      </c>
      <c r="E740" s="2">
        <v>35</v>
      </c>
      <c r="F740" s="13">
        <v>0.67274305555555558</v>
      </c>
      <c r="G740" s="3">
        <v>0.89828703703703705</v>
      </c>
      <c r="H740" s="1">
        <v>0.22500000000000001</v>
      </c>
      <c r="I740" s="5">
        <v>560</v>
      </c>
      <c r="J740">
        <v>5091</v>
      </c>
      <c r="K740">
        <v>103</v>
      </c>
      <c r="L740" s="5">
        <v>229</v>
      </c>
      <c r="M740" s="5">
        <v>560</v>
      </c>
      <c r="N740">
        <v>35</v>
      </c>
      <c r="O740">
        <v>525</v>
      </c>
      <c r="P740" s="1">
        <v>0.27847222222222223</v>
      </c>
      <c r="Q740" s="5">
        <v>940</v>
      </c>
      <c r="R740" s="14">
        <v>9.1</v>
      </c>
      <c r="S740">
        <v>103</v>
      </c>
      <c r="T740" s="5">
        <v>35</v>
      </c>
      <c r="U740" s="5">
        <v>526</v>
      </c>
      <c r="V740" s="5">
        <v>1</v>
      </c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</row>
    <row r="741" spans="1:37" x14ac:dyDescent="0.25">
      <c r="A741" s="11">
        <f>Table1[[#This Row],[Milk Yield]]-J737</f>
        <v>-86</v>
      </c>
      <c r="B741" t="s">
        <v>24</v>
      </c>
      <c r="C741" s="2">
        <v>3</v>
      </c>
      <c r="D741" s="12">
        <v>45652</v>
      </c>
      <c r="E741" s="2">
        <v>33</v>
      </c>
      <c r="F741" s="13">
        <v>4.6064814814814814E-3</v>
      </c>
      <c r="G741" s="3">
        <v>0.20629629629629628</v>
      </c>
      <c r="H741" s="1">
        <v>0.2013888888888889</v>
      </c>
      <c r="I741" s="5">
        <v>588</v>
      </c>
      <c r="J741">
        <v>5167</v>
      </c>
      <c r="K741">
        <v>121</v>
      </c>
      <c r="L741" s="5">
        <v>217</v>
      </c>
      <c r="M741" s="5">
        <v>586</v>
      </c>
      <c r="N741">
        <v>35</v>
      </c>
      <c r="O741">
        <v>551</v>
      </c>
      <c r="P741" s="1">
        <v>0.25763888888888886</v>
      </c>
      <c r="Q741" s="5">
        <v>1067</v>
      </c>
      <c r="R741" s="14">
        <v>8.9</v>
      </c>
      <c r="S741">
        <v>121</v>
      </c>
      <c r="T741" s="5">
        <v>35</v>
      </c>
      <c r="U741" s="5">
        <v>552</v>
      </c>
      <c r="V741" s="5">
        <v>1</v>
      </c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</row>
    <row r="742" spans="1:37" x14ac:dyDescent="0.25">
      <c r="A742" s="11" t="e">
        <f>Table1[[#This Row],[Milk Yield]]-J738</f>
        <v>#VALUE!</v>
      </c>
      <c r="B742" t="s">
        <v>0</v>
      </c>
      <c r="C742" s="2" t="s">
        <v>1</v>
      </c>
      <c r="D742" s="12" t="s">
        <v>2</v>
      </c>
      <c r="E742" s="2" t="s">
        <v>3</v>
      </c>
      <c r="F742" s="13" t="s">
        <v>4</v>
      </c>
      <c r="G742" s="3" t="s">
        <v>5</v>
      </c>
      <c r="H742" s="1" t="s">
        <v>6</v>
      </c>
      <c r="I742" s="5" t="s">
        <v>8</v>
      </c>
      <c r="J742" t="s">
        <v>9</v>
      </c>
      <c r="K742" t="s">
        <v>10</v>
      </c>
      <c r="L742" s="5" t="s">
        <v>11</v>
      </c>
      <c r="M742" s="5" t="s">
        <v>12</v>
      </c>
      <c r="N742" t="s">
        <v>13</v>
      </c>
      <c r="O742" t="s">
        <v>20</v>
      </c>
      <c r="P742" s="1" t="s">
        <v>7</v>
      </c>
      <c r="Q742" s="5" t="s">
        <v>15</v>
      </c>
      <c r="R742" s="14" t="s">
        <v>18</v>
      </c>
      <c r="S742" t="s">
        <v>16</v>
      </c>
      <c r="T742" s="5" t="s">
        <v>14</v>
      </c>
      <c r="U742" s="5" t="s">
        <v>17</v>
      </c>
      <c r="V742" s="5" t="s">
        <v>19</v>
      </c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</row>
    <row r="743" spans="1:37" x14ac:dyDescent="0.25">
      <c r="A743" s="11">
        <f>Table1[[#This Row],[Milk Yield]]-J739</f>
        <v>565</v>
      </c>
      <c r="B743" t="s">
        <v>24</v>
      </c>
      <c r="C743" s="2">
        <v>1</v>
      </c>
      <c r="D743" s="12">
        <v>45653</v>
      </c>
      <c r="E743" s="2">
        <v>32</v>
      </c>
      <c r="F743" s="13">
        <v>0.39371527777777776</v>
      </c>
      <c r="G743" s="3">
        <v>0.58565972222222218</v>
      </c>
      <c r="H743" s="1">
        <v>0.19166666666666668</v>
      </c>
      <c r="I743" s="5">
        <v>552</v>
      </c>
      <c r="J743">
        <v>5885</v>
      </c>
      <c r="K743">
        <v>120</v>
      </c>
      <c r="L743" s="5">
        <v>258</v>
      </c>
      <c r="M743" s="5">
        <v>552</v>
      </c>
      <c r="N743">
        <v>28</v>
      </c>
      <c r="O743">
        <v>524</v>
      </c>
      <c r="P743" s="1">
        <v>0.26805555555555555</v>
      </c>
      <c r="Q743" s="5">
        <v>1277</v>
      </c>
      <c r="R743" s="14">
        <v>10.7</v>
      </c>
      <c r="S743">
        <v>120</v>
      </c>
      <c r="T743" s="5">
        <v>28</v>
      </c>
      <c r="U743" s="5">
        <v>525</v>
      </c>
      <c r="V743" s="5">
        <v>1</v>
      </c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</row>
    <row r="744" spans="1:37" x14ac:dyDescent="0.25">
      <c r="A744" s="11">
        <f>Table1[[#This Row],[Milk Yield]]-J740</f>
        <v>-993</v>
      </c>
      <c r="B744" t="s">
        <v>24</v>
      </c>
      <c r="C744" s="2">
        <v>2</v>
      </c>
      <c r="D744" s="12">
        <v>45653</v>
      </c>
      <c r="E744" s="2">
        <v>32</v>
      </c>
      <c r="F744" s="13">
        <v>0.66917824074074073</v>
      </c>
      <c r="G744" s="3">
        <v>0.86233796296296295</v>
      </c>
      <c r="H744" s="1">
        <v>0.19305555555555556</v>
      </c>
      <c r="I744" s="5">
        <v>549</v>
      </c>
      <c r="J744">
        <v>4098</v>
      </c>
      <c r="K744">
        <v>118</v>
      </c>
      <c r="L744" s="5">
        <v>201</v>
      </c>
      <c r="M744" s="5">
        <v>549</v>
      </c>
      <c r="N744">
        <v>31</v>
      </c>
      <c r="O744">
        <v>518</v>
      </c>
      <c r="P744" s="1">
        <v>0.25694444444444442</v>
      </c>
      <c r="Q744" s="5">
        <v>884</v>
      </c>
      <c r="R744" s="14">
        <v>7.5</v>
      </c>
      <c r="S744">
        <v>118</v>
      </c>
      <c r="T744" s="5">
        <v>31</v>
      </c>
      <c r="U744" s="5">
        <v>519</v>
      </c>
      <c r="V744" s="5">
        <v>1</v>
      </c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</row>
    <row r="745" spans="1:37" x14ac:dyDescent="0.25">
      <c r="A745" s="11">
        <f>Table1[[#This Row],[Milk Yield]]-J741</f>
        <v>291</v>
      </c>
      <c r="B745" t="s">
        <v>24</v>
      </c>
      <c r="C745" s="2">
        <v>3</v>
      </c>
      <c r="D745" s="12">
        <v>45653</v>
      </c>
      <c r="E745" s="2">
        <v>31</v>
      </c>
      <c r="F745" s="13">
        <v>1.3773148148148147E-3</v>
      </c>
      <c r="G745" s="3">
        <v>0.2074537037037037</v>
      </c>
      <c r="H745" s="1">
        <v>0.20555555555555555</v>
      </c>
      <c r="I745" s="5">
        <v>585</v>
      </c>
      <c r="J745">
        <v>5458</v>
      </c>
      <c r="K745">
        <v>118</v>
      </c>
      <c r="L745" s="5">
        <v>233</v>
      </c>
      <c r="M745" s="5">
        <v>585</v>
      </c>
      <c r="N745">
        <v>34</v>
      </c>
      <c r="O745">
        <v>551</v>
      </c>
      <c r="P745" s="1">
        <v>0.25277777777777777</v>
      </c>
      <c r="Q745" s="5">
        <v>1104</v>
      </c>
      <c r="R745" s="14">
        <v>9.4</v>
      </c>
      <c r="S745">
        <v>118</v>
      </c>
      <c r="T745" s="5">
        <v>34</v>
      </c>
      <c r="U745" s="5">
        <v>552</v>
      </c>
      <c r="V745" s="5">
        <v>1</v>
      </c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</row>
    <row r="746" spans="1:37" x14ac:dyDescent="0.25">
      <c r="A746" s="11" t="e">
        <f>Table1[[#This Row],[Milk Yield]]-J742</f>
        <v>#VALUE!</v>
      </c>
      <c r="B746" t="s">
        <v>0</v>
      </c>
      <c r="C746" s="2" t="s">
        <v>1</v>
      </c>
      <c r="D746" s="12" t="s">
        <v>2</v>
      </c>
      <c r="E746" s="2" t="s">
        <v>3</v>
      </c>
      <c r="F746" s="13" t="s">
        <v>4</v>
      </c>
      <c r="G746" s="3" t="s">
        <v>5</v>
      </c>
      <c r="H746" s="1" t="s">
        <v>6</v>
      </c>
      <c r="I746" s="5" t="s">
        <v>8</v>
      </c>
      <c r="J746" t="s">
        <v>9</v>
      </c>
      <c r="K746" t="s">
        <v>10</v>
      </c>
      <c r="L746" s="5" t="s">
        <v>11</v>
      </c>
      <c r="M746" s="5" t="s">
        <v>12</v>
      </c>
      <c r="N746" t="s">
        <v>13</v>
      </c>
      <c r="O746" t="s">
        <v>20</v>
      </c>
      <c r="P746" s="1" t="s">
        <v>7</v>
      </c>
      <c r="Q746" s="5" t="s">
        <v>15</v>
      </c>
      <c r="R746" s="14" t="s">
        <v>18</v>
      </c>
      <c r="S746" t="s">
        <v>16</v>
      </c>
      <c r="T746" s="5" t="s">
        <v>14</v>
      </c>
      <c r="U746" s="5" t="s">
        <v>17</v>
      </c>
      <c r="V746" s="5" t="s">
        <v>19</v>
      </c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</row>
    <row r="747" spans="1:37" x14ac:dyDescent="0.25">
      <c r="A747" s="11">
        <f>Table1[[#This Row],[Milk Yield]]-J743</f>
        <v>-555</v>
      </c>
      <c r="B747" t="s">
        <v>24</v>
      </c>
      <c r="C747" s="2">
        <v>1</v>
      </c>
      <c r="D747" s="12">
        <v>45654</v>
      </c>
      <c r="E747" s="2">
        <v>32</v>
      </c>
      <c r="F747" s="13">
        <v>0.33589120370370368</v>
      </c>
      <c r="G747" s="3">
        <v>0.55974537037037042</v>
      </c>
      <c r="H747" s="1">
        <v>0.22361111111111112</v>
      </c>
      <c r="I747" s="5">
        <v>570</v>
      </c>
      <c r="J747">
        <v>5330</v>
      </c>
      <c r="K747">
        <v>106</v>
      </c>
      <c r="L747" s="5">
        <v>179</v>
      </c>
      <c r="M747" s="5">
        <v>570</v>
      </c>
      <c r="N747">
        <v>24</v>
      </c>
      <c r="O747">
        <v>546</v>
      </c>
      <c r="P747" s="1">
        <v>0.27430555555555558</v>
      </c>
      <c r="Q747" s="5">
        <v>992</v>
      </c>
      <c r="R747" s="14">
        <v>9.4</v>
      </c>
      <c r="S747">
        <v>106</v>
      </c>
      <c r="T747" s="5">
        <v>24</v>
      </c>
      <c r="U747" s="5">
        <v>545</v>
      </c>
      <c r="V747" s="5">
        <v>1</v>
      </c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</row>
    <row r="748" spans="1:37" x14ac:dyDescent="0.25">
      <c r="A748" s="11">
        <f>Table1[[#This Row],[Milk Yield]]-J744</f>
        <v>824</v>
      </c>
      <c r="B748" t="s">
        <v>24</v>
      </c>
      <c r="C748" s="2">
        <v>2</v>
      </c>
      <c r="D748" s="12">
        <v>45654</v>
      </c>
      <c r="E748" s="2">
        <v>31</v>
      </c>
      <c r="F748" s="13">
        <v>0.68850694444444449</v>
      </c>
      <c r="G748" s="3">
        <v>0.87244212962962964</v>
      </c>
      <c r="H748" s="1">
        <v>0.18333333333333332</v>
      </c>
      <c r="I748" s="5">
        <v>563</v>
      </c>
      <c r="J748">
        <v>4922</v>
      </c>
      <c r="K748">
        <v>128</v>
      </c>
      <c r="L748" s="5">
        <v>239</v>
      </c>
      <c r="M748" s="5">
        <v>563</v>
      </c>
      <c r="N748">
        <v>33</v>
      </c>
      <c r="O748">
        <v>530</v>
      </c>
      <c r="P748" s="1">
        <v>0.25555555555555554</v>
      </c>
      <c r="Q748" s="5">
        <v>1115</v>
      </c>
      <c r="R748" s="14">
        <v>8.8000000000000007</v>
      </c>
      <c r="S748">
        <v>128</v>
      </c>
      <c r="T748" s="5">
        <v>33</v>
      </c>
      <c r="U748" s="5">
        <v>531</v>
      </c>
      <c r="V748" s="5">
        <v>1</v>
      </c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</row>
    <row r="749" spans="1:37" x14ac:dyDescent="0.25">
      <c r="A749" s="11">
        <f>Table1[[#This Row],[Milk Yield]]-J745</f>
        <v>-171</v>
      </c>
      <c r="B749" t="s">
        <v>24</v>
      </c>
      <c r="C749" s="2">
        <v>3</v>
      </c>
      <c r="D749" s="12">
        <v>45654</v>
      </c>
      <c r="E749" s="2">
        <v>34</v>
      </c>
      <c r="F749" s="13">
        <v>2.7777777777777778E-4</v>
      </c>
      <c r="G749" s="3">
        <v>0.21055555555555555</v>
      </c>
      <c r="H749" s="1">
        <v>0.20972222222222223</v>
      </c>
      <c r="I749" s="5">
        <v>580</v>
      </c>
      <c r="J749">
        <v>5287</v>
      </c>
      <c r="K749">
        <v>115</v>
      </c>
      <c r="L749" s="5">
        <v>248</v>
      </c>
      <c r="M749" s="5">
        <v>578</v>
      </c>
      <c r="N749">
        <v>34</v>
      </c>
      <c r="O749">
        <v>544</v>
      </c>
      <c r="P749" s="1">
        <v>0.25138888888888888</v>
      </c>
      <c r="Q749" s="5">
        <v>1048</v>
      </c>
      <c r="R749" s="14">
        <v>9.1999999999999993</v>
      </c>
      <c r="S749">
        <v>115</v>
      </c>
      <c r="T749" s="5">
        <v>34</v>
      </c>
      <c r="U749" s="5">
        <v>545</v>
      </c>
      <c r="V749" s="5">
        <v>1</v>
      </c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</row>
    <row r="750" spans="1:37" x14ac:dyDescent="0.25">
      <c r="A750" s="11" t="e">
        <f>Table1[[#This Row],[Milk Yield]]-J746</f>
        <v>#VALUE!</v>
      </c>
      <c r="B750" t="s">
        <v>0</v>
      </c>
      <c r="C750" s="2" t="s">
        <v>1</v>
      </c>
      <c r="D750" s="12" t="s">
        <v>2</v>
      </c>
      <c r="E750" s="2" t="s">
        <v>3</v>
      </c>
      <c r="F750" s="13" t="s">
        <v>4</v>
      </c>
      <c r="G750" s="3" t="s">
        <v>5</v>
      </c>
      <c r="H750" s="1" t="s">
        <v>6</v>
      </c>
      <c r="I750" s="5" t="s">
        <v>8</v>
      </c>
      <c r="J750" t="s">
        <v>9</v>
      </c>
      <c r="K750" t="s">
        <v>10</v>
      </c>
      <c r="L750" s="5" t="s">
        <v>11</v>
      </c>
      <c r="M750" s="5" t="s">
        <v>12</v>
      </c>
      <c r="N750" t="s">
        <v>13</v>
      </c>
      <c r="O750" t="s">
        <v>20</v>
      </c>
      <c r="P750" s="1" t="s">
        <v>7</v>
      </c>
      <c r="Q750" s="5" t="s">
        <v>15</v>
      </c>
      <c r="R750" s="14" t="s">
        <v>18</v>
      </c>
      <c r="S750" t="s">
        <v>16</v>
      </c>
      <c r="T750" s="5" t="s">
        <v>14</v>
      </c>
      <c r="U750" s="5" t="s">
        <v>17</v>
      </c>
      <c r="V750" s="5" t="s">
        <v>19</v>
      </c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</row>
    <row r="751" spans="1:37" x14ac:dyDescent="0.25">
      <c r="A751" s="11">
        <f>Table1[[#This Row],[Milk Yield]]-J747</f>
        <v>-243</v>
      </c>
      <c r="B751" t="s">
        <v>24</v>
      </c>
      <c r="C751" s="2">
        <v>1</v>
      </c>
      <c r="D751" s="12">
        <v>45655</v>
      </c>
      <c r="E751" s="2">
        <v>31</v>
      </c>
      <c r="F751" s="13">
        <v>0.33280092592592592</v>
      </c>
      <c r="G751" s="3">
        <v>0.5509722222222222</v>
      </c>
      <c r="H751" s="1">
        <v>0.21805555555555556</v>
      </c>
      <c r="I751" s="5">
        <v>576</v>
      </c>
      <c r="J751">
        <v>5087</v>
      </c>
      <c r="K751">
        <v>110</v>
      </c>
      <c r="L751" s="5">
        <v>188</v>
      </c>
      <c r="M751" s="5">
        <v>576</v>
      </c>
      <c r="N751">
        <v>23</v>
      </c>
      <c r="O751">
        <v>553</v>
      </c>
      <c r="P751" s="1">
        <v>0.27638888888888891</v>
      </c>
      <c r="Q751" s="5">
        <v>972</v>
      </c>
      <c r="R751" s="14">
        <v>8.9</v>
      </c>
      <c r="S751">
        <v>110</v>
      </c>
      <c r="T751" s="5">
        <v>23</v>
      </c>
      <c r="U751" s="5">
        <v>555</v>
      </c>
      <c r="V751" s="5">
        <v>2</v>
      </c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</row>
    <row r="752" spans="1:37" x14ac:dyDescent="0.25">
      <c r="A752" s="11">
        <f>Table1[[#This Row],[Milk Yield]]-J748</f>
        <v>38</v>
      </c>
      <c r="B752" t="s">
        <v>24</v>
      </c>
      <c r="C752" s="2">
        <v>2</v>
      </c>
      <c r="D752" s="12">
        <v>45655</v>
      </c>
      <c r="E752" s="2">
        <v>33</v>
      </c>
      <c r="F752" s="13">
        <v>0.66722222222222227</v>
      </c>
      <c r="G752" s="3">
        <v>0.88541666666666663</v>
      </c>
      <c r="H752" s="1">
        <v>0.21805555555555556</v>
      </c>
      <c r="I752" s="5">
        <v>572</v>
      </c>
      <c r="J752">
        <v>4960</v>
      </c>
      <c r="K752">
        <v>109</v>
      </c>
      <c r="L752" s="5">
        <v>364</v>
      </c>
      <c r="M752" s="5">
        <v>572</v>
      </c>
      <c r="N752">
        <v>59</v>
      </c>
      <c r="O752">
        <v>513</v>
      </c>
      <c r="P752" s="1">
        <v>0.28958333333333336</v>
      </c>
      <c r="Q752" s="5">
        <v>947</v>
      </c>
      <c r="R752" s="14">
        <v>8.6999999999999993</v>
      </c>
      <c r="S752">
        <v>109</v>
      </c>
      <c r="T752" s="5">
        <v>59</v>
      </c>
      <c r="U752" s="5">
        <v>513</v>
      </c>
      <c r="V752" s="5">
        <v>0</v>
      </c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</row>
    <row r="753" spans="1:37" x14ac:dyDescent="0.25">
      <c r="A753" s="11">
        <f>Table1[[#This Row],[Milk Yield]]-J749</f>
        <v>-205</v>
      </c>
      <c r="B753" t="s">
        <v>24</v>
      </c>
      <c r="C753" s="2">
        <v>3</v>
      </c>
      <c r="D753" s="12">
        <v>45655</v>
      </c>
      <c r="E753" s="2">
        <v>33</v>
      </c>
      <c r="F753" s="13">
        <v>1.0763888888888889E-3</v>
      </c>
      <c r="G753" s="3">
        <v>0.19776620370370371</v>
      </c>
      <c r="H753" s="1">
        <v>0.19652777777777777</v>
      </c>
      <c r="I753" s="5">
        <v>576</v>
      </c>
      <c r="J753">
        <v>5082</v>
      </c>
      <c r="K753">
        <v>122</v>
      </c>
      <c r="L753" s="5">
        <v>164</v>
      </c>
      <c r="M753" s="5">
        <v>574</v>
      </c>
      <c r="N753">
        <v>24</v>
      </c>
      <c r="O753">
        <v>550</v>
      </c>
      <c r="P753" s="1">
        <v>0.24166666666666667</v>
      </c>
      <c r="Q753" s="5">
        <v>1077</v>
      </c>
      <c r="R753" s="14">
        <v>8.9</v>
      </c>
      <c r="S753">
        <v>122</v>
      </c>
      <c r="T753" s="5">
        <v>24</v>
      </c>
      <c r="U753" s="5">
        <v>550</v>
      </c>
      <c r="V753" s="5">
        <v>0</v>
      </c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</row>
    <row r="754" spans="1:37" x14ac:dyDescent="0.25">
      <c r="A754" s="11" t="e">
        <f>Table1[[#This Row],[Milk Yield]]-J750</f>
        <v>#VALUE!</v>
      </c>
      <c r="B754" t="s">
        <v>0</v>
      </c>
      <c r="C754" s="2" t="s">
        <v>1</v>
      </c>
      <c r="D754" s="12" t="s">
        <v>2</v>
      </c>
      <c r="E754" s="2" t="s">
        <v>3</v>
      </c>
      <c r="F754" s="13" t="s">
        <v>4</v>
      </c>
      <c r="G754" s="3" t="s">
        <v>5</v>
      </c>
      <c r="H754" s="1" t="s">
        <v>6</v>
      </c>
      <c r="I754" s="5" t="s">
        <v>8</v>
      </c>
      <c r="J754" t="s">
        <v>9</v>
      </c>
      <c r="K754" t="s">
        <v>10</v>
      </c>
      <c r="L754" s="5" t="s">
        <v>11</v>
      </c>
      <c r="M754" s="5" t="s">
        <v>12</v>
      </c>
      <c r="N754" t="s">
        <v>13</v>
      </c>
      <c r="O754" t="s">
        <v>20</v>
      </c>
      <c r="P754" s="1" t="s">
        <v>7</v>
      </c>
      <c r="Q754" s="5" t="s">
        <v>15</v>
      </c>
      <c r="R754" s="14" t="s">
        <v>18</v>
      </c>
      <c r="S754" t="s">
        <v>16</v>
      </c>
      <c r="T754" s="5" t="s">
        <v>14</v>
      </c>
      <c r="U754" s="5" t="s">
        <v>17</v>
      </c>
      <c r="V754" s="5" t="s">
        <v>19</v>
      </c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</row>
    <row r="755" spans="1:37" x14ac:dyDescent="0.25">
      <c r="A755" s="11">
        <f>Table1[[#This Row],[Milk Yield]]-J751</f>
        <v>245</v>
      </c>
      <c r="B755" t="s">
        <v>24</v>
      </c>
      <c r="C755" s="2">
        <v>1</v>
      </c>
      <c r="D755" s="12">
        <v>45656</v>
      </c>
      <c r="E755" s="2">
        <v>28</v>
      </c>
      <c r="F755" s="13">
        <v>0.33918981481481481</v>
      </c>
      <c r="G755" s="3">
        <v>0.56869212962962967</v>
      </c>
      <c r="H755" s="1">
        <v>0.22916666666666666</v>
      </c>
      <c r="I755" s="5">
        <v>559</v>
      </c>
      <c r="J755">
        <v>5332</v>
      </c>
      <c r="K755">
        <v>101</v>
      </c>
      <c r="L755" s="5">
        <v>202</v>
      </c>
      <c r="M755" s="5">
        <v>559</v>
      </c>
      <c r="N755">
        <v>24</v>
      </c>
      <c r="O755">
        <v>535</v>
      </c>
      <c r="P755" s="1">
        <v>0.28541666666666665</v>
      </c>
      <c r="Q755" s="5">
        <v>968</v>
      </c>
      <c r="R755" s="14">
        <v>9.6</v>
      </c>
      <c r="S755">
        <v>101</v>
      </c>
      <c r="T755" s="5">
        <v>24</v>
      </c>
      <c r="U755" s="5">
        <v>535</v>
      </c>
      <c r="V755" s="5">
        <v>0</v>
      </c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</row>
    <row r="756" spans="1:37" x14ac:dyDescent="0.25">
      <c r="A756" s="11">
        <f>Table1[[#This Row],[Milk Yield]]-J752</f>
        <v>-366</v>
      </c>
      <c r="B756" t="s">
        <v>24</v>
      </c>
      <c r="C756" s="2">
        <v>2</v>
      </c>
      <c r="D756" s="12">
        <v>45656</v>
      </c>
      <c r="E756" s="2">
        <v>33</v>
      </c>
      <c r="F756" s="13">
        <v>0.66959490740740746</v>
      </c>
      <c r="G756" s="3">
        <v>0.85675925925925922</v>
      </c>
      <c r="H756" s="1">
        <v>0.18680555555555556</v>
      </c>
      <c r="I756" s="5">
        <v>554</v>
      </c>
      <c r="J756">
        <v>4594</v>
      </c>
      <c r="K756">
        <v>123</v>
      </c>
      <c r="L756" s="5">
        <v>235</v>
      </c>
      <c r="M756" s="5">
        <v>554</v>
      </c>
      <c r="N756">
        <v>39</v>
      </c>
      <c r="O756">
        <v>515</v>
      </c>
      <c r="P756" s="1">
        <v>0.24444444444444444</v>
      </c>
      <c r="Q756" s="5">
        <v>1023</v>
      </c>
      <c r="R756" s="14">
        <v>8.3000000000000007</v>
      </c>
      <c r="S756">
        <v>123</v>
      </c>
      <c r="T756" s="5">
        <v>39</v>
      </c>
      <c r="U756" s="5">
        <v>515</v>
      </c>
      <c r="V756" s="5">
        <v>0</v>
      </c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</row>
    <row r="757" spans="1:37" x14ac:dyDescent="0.25">
      <c r="A757" s="11">
        <f>Table1[[#This Row],[Milk Yield]]-J753</f>
        <v>401</v>
      </c>
      <c r="B757" t="s">
        <v>24</v>
      </c>
      <c r="C757" s="2">
        <v>3</v>
      </c>
      <c r="D757" s="12">
        <v>45656</v>
      </c>
      <c r="E757" s="2">
        <v>33</v>
      </c>
      <c r="F757" s="13">
        <v>3.2060185185185186E-3</v>
      </c>
      <c r="G757" s="3">
        <v>0.20704861111111111</v>
      </c>
      <c r="H757" s="1">
        <v>0.20347222222222222</v>
      </c>
      <c r="I757" s="5">
        <v>575</v>
      </c>
      <c r="J757">
        <v>5483</v>
      </c>
      <c r="K757">
        <v>118</v>
      </c>
      <c r="L757" s="5">
        <v>210</v>
      </c>
      <c r="M757" s="5">
        <v>575</v>
      </c>
      <c r="N757">
        <v>29</v>
      </c>
      <c r="O757">
        <v>546</v>
      </c>
      <c r="P757" s="1">
        <v>0.27638888888888891</v>
      </c>
      <c r="Q757" s="5">
        <v>1121</v>
      </c>
      <c r="R757" s="14">
        <v>9.6</v>
      </c>
      <c r="S757">
        <v>118</v>
      </c>
      <c r="T757" s="5">
        <v>29</v>
      </c>
      <c r="U757" s="5">
        <v>546</v>
      </c>
      <c r="V757" s="5">
        <v>0</v>
      </c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</row>
    <row r="758" spans="1:37" x14ac:dyDescent="0.25">
      <c r="A758" s="11" t="e">
        <f>Table1[[#This Row],[Milk Yield]]-J754</f>
        <v>#VALUE!</v>
      </c>
      <c r="B758" t="s">
        <v>0</v>
      </c>
      <c r="C758" s="2" t="s">
        <v>1</v>
      </c>
      <c r="D758" s="12" t="s">
        <v>2</v>
      </c>
      <c r="E758" s="2" t="s">
        <v>3</v>
      </c>
      <c r="F758" s="13" t="s">
        <v>4</v>
      </c>
      <c r="G758" s="3" t="s">
        <v>5</v>
      </c>
      <c r="H758" s="1" t="s">
        <v>6</v>
      </c>
      <c r="I758" s="5" t="s">
        <v>8</v>
      </c>
      <c r="J758" t="s">
        <v>9</v>
      </c>
      <c r="K758" t="s">
        <v>10</v>
      </c>
      <c r="L758" s="5" t="s">
        <v>11</v>
      </c>
      <c r="M758" s="5" t="s">
        <v>12</v>
      </c>
      <c r="N758" t="s">
        <v>13</v>
      </c>
      <c r="O758" t="s">
        <v>20</v>
      </c>
      <c r="P758" s="1" t="s">
        <v>7</v>
      </c>
      <c r="Q758" s="5" t="s">
        <v>15</v>
      </c>
      <c r="R758" s="14" t="s">
        <v>18</v>
      </c>
      <c r="S758" t="s">
        <v>16</v>
      </c>
      <c r="T758" s="5" t="s">
        <v>14</v>
      </c>
      <c r="U758" s="5" t="s">
        <v>17</v>
      </c>
      <c r="V758" s="5" t="s">
        <v>19</v>
      </c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</row>
    <row r="759" spans="1:37" x14ac:dyDescent="0.25">
      <c r="A759" s="11">
        <f>Table1[[#This Row],[Milk Yield]]-J755</f>
        <v>-221</v>
      </c>
      <c r="B759" t="s">
        <v>24</v>
      </c>
      <c r="C759" s="2">
        <v>1</v>
      </c>
      <c r="D759" s="12">
        <v>45657</v>
      </c>
      <c r="E759" s="2">
        <v>30</v>
      </c>
      <c r="F759" s="13">
        <v>0.34875</v>
      </c>
      <c r="G759" s="3">
        <v>0.56665509259259261</v>
      </c>
      <c r="H759" s="1">
        <v>0.21736111111111112</v>
      </c>
      <c r="I759" s="5">
        <v>579</v>
      </c>
      <c r="J759">
        <v>5111</v>
      </c>
      <c r="K759">
        <v>111</v>
      </c>
      <c r="L759" s="5">
        <v>276</v>
      </c>
      <c r="M759" s="5">
        <v>579</v>
      </c>
      <c r="N759">
        <v>38</v>
      </c>
      <c r="O759">
        <v>541</v>
      </c>
      <c r="P759" s="1">
        <v>0.27916666666666667</v>
      </c>
      <c r="Q759" s="5">
        <v>977</v>
      </c>
      <c r="R759" s="14">
        <v>8.9</v>
      </c>
      <c r="S759">
        <v>111</v>
      </c>
      <c r="T759" s="5">
        <v>38</v>
      </c>
      <c r="U759" s="5">
        <v>541</v>
      </c>
      <c r="V759" s="5">
        <v>0</v>
      </c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</row>
    <row r="760" spans="1:37" x14ac:dyDescent="0.25">
      <c r="A760" s="11">
        <f>Table1[[#This Row],[Milk Yield]]-J756</f>
        <v>41</v>
      </c>
      <c r="B760" t="s">
        <v>24</v>
      </c>
      <c r="C760" s="2">
        <v>2</v>
      </c>
      <c r="D760" s="12">
        <v>45657</v>
      </c>
      <c r="E760" s="2">
        <v>31</v>
      </c>
      <c r="F760" s="13">
        <v>0.6708101851851852</v>
      </c>
      <c r="G760" s="3">
        <v>0.85571759259259261</v>
      </c>
      <c r="H760" s="1">
        <v>0.18472222222222223</v>
      </c>
      <c r="I760" s="5">
        <v>564</v>
      </c>
      <c r="J760">
        <v>4635</v>
      </c>
      <c r="K760">
        <v>127</v>
      </c>
      <c r="L760" s="5">
        <v>240</v>
      </c>
      <c r="M760" s="5">
        <v>562</v>
      </c>
      <c r="N760">
        <v>36</v>
      </c>
      <c r="O760">
        <v>526</v>
      </c>
      <c r="P760" s="1">
        <v>0.26319444444444445</v>
      </c>
      <c r="Q760" s="5">
        <v>1045</v>
      </c>
      <c r="R760" s="14">
        <v>8.3000000000000007</v>
      </c>
      <c r="S760">
        <v>127</v>
      </c>
      <c r="T760" s="5">
        <v>36</v>
      </c>
      <c r="U760" s="5">
        <v>526</v>
      </c>
      <c r="V760" s="5">
        <v>0</v>
      </c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</row>
    <row r="761" spans="1:37" x14ac:dyDescent="0.25">
      <c r="A761" s="11">
        <f>Table1[[#This Row],[Milk Yield]]-J757</f>
        <v>280</v>
      </c>
      <c r="B761" t="s">
        <v>24</v>
      </c>
      <c r="C761" s="2">
        <v>3</v>
      </c>
      <c r="D761" s="12">
        <v>45657</v>
      </c>
      <c r="E761" s="2">
        <v>32</v>
      </c>
      <c r="F761" s="13">
        <v>1.8402777777777777E-3</v>
      </c>
      <c r="G761" s="3">
        <v>0.24261574074074074</v>
      </c>
      <c r="H761" s="1">
        <v>0.24027777777777778</v>
      </c>
      <c r="I761" s="5">
        <v>580</v>
      </c>
      <c r="J761">
        <v>5763</v>
      </c>
      <c r="K761">
        <v>100</v>
      </c>
      <c r="L761" s="5">
        <v>229</v>
      </c>
      <c r="M761" s="5">
        <v>579</v>
      </c>
      <c r="N761">
        <v>31</v>
      </c>
      <c r="O761">
        <v>548</v>
      </c>
      <c r="P761" s="1">
        <v>0.29444444444444445</v>
      </c>
      <c r="Q761" s="5">
        <v>997</v>
      </c>
      <c r="R761" s="14">
        <v>10</v>
      </c>
      <c r="S761">
        <v>100</v>
      </c>
      <c r="T761" s="5">
        <v>31</v>
      </c>
      <c r="U761" s="5">
        <v>548</v>
      </c>
      <c r="V761" s="5">
        <v>0</v>
      </c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</row>
    <row r="762" spans="1:37" x14ac:dyDescent="0.25">
      <c r="A762" s="11" t="e">
        <f>Table1[[#This Row],[Milk Yield]]-J758</f>
        <v>#VALUE!</v>
      </c>
      <c r="B762" t="s">
        <v>0</v>
      </c>
      <c r="C762" s="2" t="s">
        <v>1</v>
      </c>
      <c r="D762" s="12" t="s">
        <v>2</v>
      </c>
      <c r="E762" s="2" t="s">
        <v>3</v>
      </c>
      <c r="F762" s="13" t="s">
        <v>4</v>
      </c>
      <c r="G762" s="3" t="s">
        <v>5</v>
      </c>
      <c r="H762" s="1" t="s">
        <v>6</v>
      </c>
      <c r="I762" s="5" t="s">
        <v>8</v>
      </c>
      <c r="J762" t="s">
        <v>9</v>
      </c>
      <c r="K762" t="s">
        <v>10</v>
      </c>
      <c r="L762" s="5" t="s">
        <v>11</v>
      </c>
      <c r="M762" s="5" t="s">
        <v>12</v>
      </c>
      <c r="N762" t="s">
        <v>13</v>
      </c>
      <c r="O762" t="s">
        <v>20</v>
      </c>
      <c r="P762" s="1" t="s">
        <v>7</v>
      </c>
      <c r="Q762" s="5" t="s">
        <v>15</v>
      </c>
      <c r="R762" s="14" t="s">
        <v>18</v>
      </c>
      <c r="S762" t="s">
        <v>16</v>
      </c>
      <c r="T762" s="5" t="s">
        <v>14</v>
      </c>
      <c r="U762" s="5" t="s">
        <v>17</v>
      </c>
      <c r="V762" s="5" t="s">
        <v>19</v>
      </c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</row>
    <row r="763" spans="1:37" x14ac:dyDescent="0.25">
      <c r="A763" s="11">
        <f>Table1[[#This Row],[Milk Yield]]-J759</f>
        <v>-78</v>
      </c>
      <c r="B763" t="s">
        <v>24</v>
      </c>
      <c r="C763" s="2">
        <v>1</v>
      </c>
      <c r="D763" s="12">
        <v>45658</v>
      </c>
      <c r="E763" s="2">
        <v>27</v>
      </c>
      <c r="F763" s="13">
        <v>0.35700231481481481</v>
      </c>
      <c r="G763" s="3">
        <v>0.58890046296296295</v>
      </c>
      <c r="H763" s="1">
        <v>0.23125000000000001</v>
      </c>
      <c r="I763" s="5">
        <v>565</v>
      </c>
      <c r="J763">
        <v>5033</v>
      </c>
      <c r="K763">
        <v>102</v>
      </c>
      <c r="L763" s="5">
        <v>206</v>
      </c>
      <c r="M763" s="5">
        <v>565</v>
      </c>
      <c r="N763">
        <v>25</v>
      </c>
      <c r="O763">
        <v>540</v>
      </c>
      <c r="P763" s="1">
        <v>0.27152777777777776</v>
      </c>
      <c r="Q763" s="5">
        <v>904</v>
      </c>
      <c r="R763" s="14">
        <v>9</v>
      </c>
      <c r="S763">
        <v>102</v>
      </c>
      <c r="T763" s="5">
        <v>25</v>
      </c>
      <c r="U763" s="5">
        <v>540</v>
      </c>
      <c r="V763" s="5">
        <v>0</v>
      </c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</row>
    <row r="764" spans="1:37" x14ac:dyDescent="0.25">
      <c r="A764" s="11">
        <f>Table1[[#This Row],[Milk Yield]]-J760</f>
        <v>-421</v>
      </c>
      <c r="B764" t="s">
        <v>24</v>
      </c>
      <c r="C764" s="2">
        <v>2</v>
      </c>
      <c r="D764" s="12">
        <v>45658</v>
      </c>
      <c r="E764" s="2">
        <v>30</v>
      </c>
      <c r="F764" s="13">
        <v>0.66853009259259255</v>
      </c>
      <c r="G764" s="3">
        <v>0.85243055555555558</v>
      </c>
      <c r="H764" s="1">
        <v>0.18333333333333332</v>
      </c>
      <c r="I764" s="5">
        <v>557</v>
      </c>
      <c r="J764">
        <v>4214</v>
      </c>
      <c r="K764">
        <v>126</v>
      </c>
      <c r="L764" s="5">
        <v>126</v>
      </c>
      <c r="M764" s="5">
        <v>557</v>
      </c>
      <c r="N764">
        <v>23</v>
      </c>
      <c r="O764">
        <v>534</v>
      </c>
      <c r="P764" s="1">
        <v>0.2298611111111111</v>
      </c>
      <c r="Q764" s="5">
        <v>955</v>
      </c>
      <c r="R764" s="14">
        <v>7.6</v>
      </c>
      <c r="S764">
        <v>126</v>
      </c>
      <c r="T764" s="5">
        <v>23</v>
      </c>
      <c r="U764" s="5">
        <v>534</v>
      </c>
      <c r="V764" s="5">
        <v>0</v>
      </c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</row>
    <row r="765" spans="1:37" x14ac:dyDescent="0.25">
      <c r="A765" s="11">
        <f>Table1[[#This Row],[Milk Yield]]-J761</f>
        <v>347</v>
      </c>
      <c r="B765" t="s">
        <v>24</v>
      </c>
      <c r="C765" s="2">
        <v>3</v>
      </c>
      <c r="D765" s="12">
        <v>45658</v>
      </c>
      <c r="E765" s="2">
        <v>29</v>
      </c>
      <c r="F765" s="13">
        <v>3.449074074074074E-3</v>
      </c>
      <c r="G765" s="3">
        <v>0.25172453703703701</v>
      </c>
      <c r="H765" s="1">
        <v>0.24791666666666667</v>
      </c>
      <c r="I765" s="5">
        <v>575</v>
      </c>
      <c r="J765">
        <v>6110</v>
      </c>
      <c r="K765">
        <v>96</v>
      </c>
      <c r="L765" s="5">
        <v>118</v>
      </c>
      <c r="M765" s="5">
        <v>568</v>
      </c>
      <c r="N765">
        <v>14</v>
      </c>
      <c r="O765">
        <v>554</v>
      </c>
      <c r="P765" s="1">
        <v>0.30069444444444443</v>
      </c>
      <c r="Q765" s="5">
        <v>1025</v>
      </c>
      <c r="R765" s="14">
        <v>10.8</v>
      </c>
      <c r="S765">
        <v>95</v>
      </c>
      <c r="T765" s="5">
        <v>14</v>
      </c>
      <c r="U765" s="5">
        <v>554</v>
      </c>
      <c r="V765" s="5">
        <v>0</v>
      </c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</row>
    <row r="766" spans="1:37" x14ac:dyDescent="0.25">
      <c r="A766" s="11" t="e">
        <f>Table1[[#This Row],[Milk Yield]]-J762</f>
        <v>#VALUE!</v>
      </c>
      <c r="B766" t="s">
        <v>0</v>
      </c>
      <c r="C766" s="2" t="s">
        <v>1</v>
      </c>
      <c r="D766" s="12" t="s">
        <v>2</v>
      </c>
      <c r="E766" s="2" t="s">
        <v>3</v>
      </c>
      <c r="F766" s="13" t="s">
        <v>4</v>
      </c>
      <c r="G766" s="3" t="s">
        <v>5</v>
      </c>
      <c r="H766" s="1" t="s">
        <v>6</v>
      </c>
      <c r="I766" s="5" t="s">
        <v>8</v>
      </c>
      <c r="J766" t="s">
        <v>9</v>
      </c>
      <c r="K766" t="s">
        <v>10</v>
      </c>
      <c r="L766" s="5" t="s">
        <v>11</v>
      </c>
      <c r="M766" s="5" t="s">
        <v>12</v>
      </c>
      <c r="N766" t="s">
        <v>13</v>
      </c>
      <c r="O766" t="s">
        <v>20</v>
      </c>
      <c r="P766" s="1" t="s">
        <v>7</v>
      </c>
      <c r="Q766" s="5" t="s">
        <v>15</v>
      </c>
      <c r="R766" s="14" t="s">
        <v>18</v>
      </c>
      <c r="S766" t="s">
        <v>16</v>
      </c>
      <c r="T766" s="5" t="s">
        <v>14</v>
      </c>
      <c r="U766" s="5" t="s">
        <v>17</v>
      </c>
      <c r="V766" s="5" t="s">
        <v>19</v>
      </c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</row>
    <row r="767" spans="1:37" x14ac:dyDescent="0.25">
      <c r="A767" s="11">
        <f>Table1[[#This Row],[Milk Yield]]-J763</f>
        <v>-227</v>
      </c>
      <c r="B767" t="s">
        <v>24</v>
      </c>
      <c r="C767" s="2">
        <v>1</v>
      </c>
      <c r="D767" s="12">
        <v>45659</v>
      </c>
      <c r="E767" s="2">
        <v>27</v>
      </c>
      <c r="F767" s="13">
        <v>0.33461805555555557</v>
      </c>
      <c r="G767" s="3">
        <v>0.56708333333333338</v>
      </c>
      <c r="H767" s="1">
        <v>0.23194444444444445</v>
      </c>
      <c r="I767" s="5">
        <v>565</v>
      </c>
      <c r="J767">
        <v>4806</v>
      </c>
      <c r="K767">
        <v>101</v>
      </c>
      <c r="L767" s="5">
        <v>190</v>
      </c>
      <c r="M767" s="5">
        <v>565</v>
      </c>
      <c r="N767">
        <v>27</v>
      </c>
      <c r="O767">
        <v>538</v>
      </c>
      <c r="P767" s="1">
        <v>0.28472222222222221</v>
      </c>
      <c r="Q767" s="5">
        <v>861</v>
      </c>
      <c r="R767" s="14">
        <v>8.6</v>
      </c>
      <c r="S767">
        <v>101</v>
      </c>
      <c r="T767" s="5">
        <v>27</v>
      </c>
      <c r="U767" s="5">
        <v>537</v>
      </c>
      <c r="V767" s="5">
        <v>0</v>
      </c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</row>
    <row r="768" spans="1:37" x14ac:dyDescent="0.25">
      <c r="A768" s="11">
        <f>Table1[[#This Row],[Milk Yield]]-J764</f>
        <v>665</v>
      </c>
      <c r="B768" t="s">
        <v>24</v>
      </c>
      <c r="C768" s="2">
        <v>2</v>
      </c>
      <c r="D768" s="12">
        <v>45659</v>
      </c>
      <c r="E768" s="2">
        <v>29</v>
      </c>
      <c r="F768" s="13">
        <v>0.70543981481481477</v>
      </c>
      <c r="G768" s="3">
        <v>0.88517361111111115</v>
      </c>
      <c r="H768" s="1">
        <v>0.17916666666666667</v>
      </c>
      <c r="I768" s="5">
        <v>535</v>
      </c>
      <c r="J768">
        <v>4879</v>
      </c>
      <c r="K768">
        <v>124</v>
      </c>
      <c r="L768" s="5">
        <v>150</v>
      </c>
      <c r="M768" s="5">
        <v>535</v>
      </c>
      <c r="N768">
        <v>17</v>
      </c>
      <c r="O768">
        <v>518</v>
      </c>
      <c r="P768" s="1">
        <v>0.24513888888888888</v>
      </c>
      <c r="Q768" s="5">
        <v>1131</v>
      </c>
      <c r="R768" s="14">
        <v>9.1999999999999993</v>
      </c>
      <c r="S768">
        <v>124</v>
      </c>
      <c r="T768" s="5">
        <v>17</v>
      </c>
      <c r="U768" s="5">
        <v>518</v>
      </c>
      <c r="V768" s="5">
        <v>0</v>
      </c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</row>
    <row r="769" spans="1:37" x14ac:dyDescent="0.25">
      <c r="A769" s="11">
        <f>Table1[[#This Row],[Milk Yield]]-J765</f>
        <v>-818</v>
      </c>
      <c r="B769" t="s">
        <v>24</v>
      </c>
      <c r="C769" s="2">
        <v>3</v>
      </c>
      <c r="D769" s="12">
        <v>45659</v>
      </c>
      <c r="E769" s="2">
        <v>34</v>
      </c>
      <c r="F769" s="13">
        <v>6.9444444444444447E-4</v>
      </c>
      <c r="G769" s="3">
        <v>0.22549768518518518</v>
      </c>
      <c r="H769" s="1">
        <v>0.22430555555555556</v>
      </c>
      <c r="I769" s="5">
        <v>581</v>
      </c>
      <c r="J769">
        <v>5292</v>
      </c>
      <c r="K769">
        <v>108</v>
      </c>
      <c r="L769" s="5">
        <v>263</v>
      </c>
      <c r="M769" s="5">
        <v>581</v>
      </c>
      <c r="N769">
        <v>36</v>
      </c>
      <c r="O769">
        <v>545</v>
      </c>
      <c r="P769" s="1">
        <v>0.27430555555555558</v>
      </c>
      <c r="Q769" s="5">
        <v>981</v>
      </c>
      <c r="R769" s="14">
        <v>9.1999999999999993</v>
      </c>
      <c r="S769">
        <v>108</v>
      </c>
      <c r="T769" s="5">
        <v>36</v>
      </c>
      <c r="U769" s="5">
        <v>545</v>
      </c>
      <c r="V769" s="5">
        <v>0</v>
      </c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</row>
    <row r="770" spans="1:37" x14ac:dyDescent="0.25">
      <c r="A770" s="11" t="e">
        <f>Table1[[#This Row],[Milk Yield]]-J766</f>
        <v>#VALUE!</v>
      </c>
      <c r="B770" t="s">
        <v>0</v>
      </c>
      <c r="C770" s="2" t="s">
        <v>1</v>
      </c>
      <c r="D770" s="12" t="s">
        <v>2</v>
      </c>
      <c r="E770" s="2" t="s">
        <v>3</v>
      </c>
      <c r="F770" s="13" t="s">
        <v>4</v>
      </c>
      <c r="G770" s="3" t="s">
        <v>5</v>
      </c>
      <c r="H770" s="1" t="s">
        <v>6</v>
      </c>
      <c r="I770" s="5" t="s">
        <v>8</v>
      </c>
      <c r="J770" t="s">
        <v>9</v>
      </c>
      <c r="K770" t="s">
        <v>10</v>
      </c>
      <c r="L770" s="5" t="s">
        <v>11</v>
      </c>
      <c r="M770" s="5" t="s">
        <v>12</v>
      </c>
      <c r="N770" t="s">
        <v>13</v>
      </c>
      <c r="O770" t="s">
        <v>20</v>
      </c>
      <c r="P770" s="1" t="s">
        <v>7</v>
      </c>
      <c r="Q770" s="5" t="s">
        <v>15</v>
      </c>
      <c r="R770" s="14" t="s">
        <v>18</v>
      </c>
      <c r="S770" t="s">
        <v>16</v>
      </c>
      <c r="T770" s="5" t="s">
        <v>14</v>
      </c>
      <c r="U770" s="5" t="s">
        <v>17</v>
      </c>
      <c r="V770" s="5" t="s">
        <v>19</v>
      </c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</row>
    <row r="771" spans="1:37" x14ac:dyDescent="0.25">
      <c r="A771" s="11">
        <f>Table1[[#This Row],[Milk Yield]]-J767</f>
        <v>211</v>
      </c>
      <c r="B771" t="s">
        <v>24</v>
      </c>
      <c r="C771" s="2">
        <v>1</v>
      </c>
      <c r="D771" s="12">
        <v>45660</v>
      </c>
      <c r="E771" s="2">
        <v>31</v>
      </c>
      <c r="F771" s="13">
        <v>0.33967592592592594</v>
      </c>
      <c r="G771" s="3">
        <v>0.58603009259259264</v>
      </c>
      <c r="H771" s="1">
        <v>0.24583333333333332</v>
      </c>
      <c r="I771" s="5">
        <v>576</v>
      </c>
      <c r="J771">
        <v>5017</v>
      </c>
      <c r="K771">
        <v>97</v>
      </c>
      <c r="L771" s="5">
        <v>359</v>
      </c>
      <c r="M771" s="5">
        <v>575</v>
      </c>
      <c r="N771">
        <v>49</v>
      </c>
      <c r="O771">
        <v>526</v>
      </c>
      <c r="P771" s="1">
        <v>0.27986111111111112</v>
      </c>
      <c r="Q771" s="5">
        <v>848</v>
      </c>
      <c r="R771" s="14">
        <v>8.8000000000000007</v>
      </c>
      <c r="S771">
        <v>97</v>
      </c>
      <c r="T771" s="5">
        <v>49</v>
      </c>
      <c r="U771" s="5">
        <v>526</v>
      </c>
      <c r="V771" s="5">
        <v>0</v>
      </c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</row>
    <row r="772" spans="1:37" x14ac:dyDescent="0.25">
      <c r="A772" s="11">
        <f>Table1[[#This Row],[Milk Yield]]-J768</f>
        <v>-711</v>
      </c>
      <c r="B772" t="s">
        <v>24</v>
      </c>
      <c r="C772" s="2">
        <v>2</v>
      </c>
      <c r="D772" s="12">
        <v>45660</v>
      </c>
      <c r="E772" s="2">
        <v>30</v>
      </c>
      <c r="F772" s="13">
        <v>0.68466435185185182</v>
      </c>
      <c r="G772" s="3">
        <v>0.85118055555555561</v>
      </c>
      <c r="H772" s="1">
        <v>0.16597222222222222</v>
      </c>
      <c r="I772" s="5">
        <v>523</v>
      </c>
      <c r="J772">
        <v>4168</v>
      </c>
      <c r="K772">
        <v>131</v>
      </c>
      <c r="L772" s="5">
        <v>132</v>
      </c>
      <c r="M772" s="5">
        <v>523</v>
      </c>
      <c r="N772">
        <v>20</v>
      </c>
      <c r="O772">
        <v>503</v>
      </c>
      <c r="P772" s="1">
        <v>0.22430555555555556</v>
      </c>
      <c r="Q772" s="5">
        <v>1043</v>
      </c>
      <c r="R772" s="14">
        <v>8</v>
      </c>
      <c r="S772">
        <v>131</v>
      </c>
      <c r="T772" s="5">
        <v>20</v>
      </c>
      <c r="U772" s="5">
        <v>503</v>
      </c>
      <c r="V772" s="5">
        <v>0</v>
      </c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</row>
    <row r="773" spans="1:37" x14ac:dyDescent="0.25">
      <c r="A773" s="11">
        <f>Table1[[#This Row],[Milk Yield]]-J769</f>
        <v>363</v>
      </c>
      <c r="B773" t="s">
        <v>24</v>
      </c>
      <c r="C773" s="2">
        <v>3</v>
      </c>
      <c r="D773" s="12">
        <v>45660</v>
      </c>
      <c r="E773" s="2">
        <v>34</v>
      </c>
      <c r="F773" s="13">
        <v>2.3495370370370371E-3</v>
      </c>
      <c r="G773" s="3">
        <v>0.22549768518518518</v>
      </c>
      <c r="H773" s="1">
        <v>0.22291666666666668</v>
      </c>
      <c r="I773" s="5">
        <v>574</v>
      </c>
      <c r="J773">
        <v>5655</v>
      </c>
      <c r="K773">
        <v>107</v>
      </c>
      <c r="L773" s="5">
        <v>209</v>
      </c>
      <c r="M773" s="5">
        <v>573</v>
      </c>
      <c r="N773">
        <v>29</v>
      </c>
      <c r="O773">
        <v>544</v>
      </c>
      <c r="P773" s="1">
        <v>0.27847222222222223</v>
      </c>
      <c r="Q773" s="5">
        <v>1056</v>
      </c>
      <c r="R773" s="14">
        <v>9.9</v>
      </c>
      <c r="S773">
        <v>107</v>
      </c>
      <c r="T773" s="5">
        <v>29</v>
      </c>
      <c r="U773" s="5">
        <v>544</v>
      </c>
      <c r="V773" s="5">
        <v>0</v>
      </c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</row>
    <row r="774" spans="1:37" x14ac:dyDescent="0.25">
      <c r="A774" s="11" t="e">
        <f>Table1[[#This Row],[Milk Yield]]-J770</f>
        <v>#VALUE!</v>
      </c>
      <c r="B774" t="s">
        <v>0</v>
      </c>
      <c r="C774" s="2" t="s">
        <v>1</v>
      </c>
      <c r="D774" s="12" t="s">
        <v>2</v>
      </c>
      <c r="E774" s="2" t="s">
        <v>3</v>
      </c>
      <c r="F774" s="13" t="s">
        <v>4</v>
      </c>
      <c r="G774" s="3" t="s">
        <v>5</v>
      </c>
      <c r="H774" s="1" t="s">
        <v>6</v>
      </c>
      <c r="I774" s="5" t="s">
        <v>8</v>
      </c>
      <c r="J774" t="s">
        <v>9</v>
      </c>
      <c r="K774" t="s">
        <v>10</v>
      </c>
      <c r="L774" s="5" t="s">
        <v>11</v>
      </c>
      <c r="M774" s="5" t="s">
        <v>12</v>
      </c>
      <c r="N774" t="s">
        <v>13</v>
      </c>
      <c r="O774" t="s">
        <v>20</v>
      </c>
      <c r="P774" s="1" t="s">
        <v>7</v>
      </c>
      <c r="Q774" s="5" t="s">
        <v>15</v>
      </c>
      <c r="R774" s="14" t="s">
        <v>18</v>
      </c>
      <c r="S774" t="s">
        <v>16</v>
      </c>
      <c r="T774" s="5" t="s">
        <v>14</v>
      </c>
      <c r="U774" s="5" t="s">
        <v>17</v>
      </c>
      <c r="V774" s="5" t="s">
        <v>19</v>
      </c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</row>
    <row r="775" spans="1:37" x14ac:dyDescent="0.25">
      <c r="A775" s="11">
        <f>Table1[[#This Row],[Milk Yield]]-J771</f>
        <v>-248</v>
      </c>
      <c r="B775" t="s">
        <v>24</v>
      </c>
      <c r="C775" s="2">
        <v>1</v>
      </c>
      <c r="D775" s="12">
        <v>45661</v>
      </c>
      <c r="E775" s="2">
        <v>29</v>
      </c>
      <c r="F775" s="13">
        <v>0.34017361111111111</v>
      </c>
      <c r="G775" s="3">
        <v>0.55150462962962965</v>
      </c>
      <c r="H775" s="1">
        <v>0.21111111111111111</v>
      </c>
      <c r="I775" s="5">
        <v>564</v>
      </c>
      <c r="J775">
        <v>4769</v>
      </c>
      <c r="K775">
        <v>111</v>
      </c>
      <c r="L775" s="5">
        <v>120</v>
      </c>
      <c r="M775" s="5">
        <v>564</v>
      </c>
      <c r="N775">
        <v>18</v>
      </c>
      <c r="O775">
        <v>546</v>
      </c>
      <c r="P775" s="1">
        <v>0.25763888888888886</v>
      </c>
      <c r="Q775" s="5">
        <v>940</v>
      </c>
      <c r="R775" s="14">
        <v>8.5</v>
      </c>
      <c r="S775">
        <v>111</v>
      </c>
      <c r="T775" s="5">
        <v>18</v>
      </c>
      <c r="U775" s="5">
        <v>546</v>
      </c>
      <c r="V775" s="5">
        <v>0</v>
      </c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</row>
    <row r="776" spans="1:37" x14ac:dyDescent="0.25">
      <c r="A776" s="11">
        <f>Table1[[#This Row],[Milk Yield]]-J772</f>
        <v>417</v>
      </c>
      <c r="B776" t="s">
        <v>24</v>
      </c>
      <c r="C776" s="2">
        <v>2</v>
      </c>
      <c r="D776" s="12">
        <v>45661</v>
      </c>
      <c r="E776" s="2">
        <v>27</v>
      </c>
      <c r="F776" s="13">
        <v>0.66783564814814811</v>
      </c>
      <c r="G776" s="3">
        <v>0.86471064814814813</v>
      </c>
      <c r="H776" s="1">
        <v>0.19652777777777777</v>
      </c>
      <c r="I776" s="5">
        <v>539</v>
      </c>
      <c r="J776">
        <v>4585</v>
      </c>
      <c r="K776">
        <v>114</v>
      </c>
      <c r="L776" s="5">
        <v>188</v>
      </c>
      <c r="M776" s="5">
        <v>539</v>
      </c>
      <c r="N776">
        <v>21</v>
      </c>
      <c r="O776">
        <v>518</v>
      </c>
      <c r="P776" s="1">
        <v>0.25138888888888888</v>
      </c>
      <c r="Q776" s="5">
        <v>970</v>
      </c>
      <c r="R776" s="14">
        <v>8.6</v>
      </c>
      <c r="S776">
        <v>114</v>
      </c>
      <c r="T776" s="5">
        <v>21</v>
      </c>
      <c r="U776" s="5">
        <v>518</v>
      </c>
      <c r="V776" s="5">
        <v>0</v>
      </c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</row>
    <row r="777" spans="1:37" x14ac:dyDescent="0.25">
      <c r="A777" s="11">
        <f>Table1[[#This Row],[Milk Yield]]-J773</f>
        <v>137</v>
      </c>
      <c r="B777" t="s">
        <v>24</v>
      </c>
      <c r="C777" s="2">
        <v>3</v>
      </c>
      <c r="D777" s="12">
        <v>45661</v>
      </c>
      <c r="E777" s="2">
        <v>30</v>
      </c>
      <c r="F777" s="13">
        <v>2.7777777777777779E-3</v>
      </c>
      <c r="G777" s="3">
        <v>0.25157407407407406</v>
      </c>
      <c r="H777" s="1">
        <v>0.24861111111111112</v>
      </c>
      <c r="I777" s="5">
        <v>560</v>
      </c>
      <c r="J777">
        <v>5792</v>
      </c>
      <c r="K777">
        <v>94</v>
      </c>
      <c r="L777" s="5">
        <v>315</v>
      </c>
      <c r="M777" s="5">
        <v>559</v>
      </c>
      <c r="N777">
        <v>36</v>
      </c>
      <c r="O777">
        <v>523</v>
      </c>
      <c r="P777" s="1">
        <v>0.29305555555555557</v>
      </c>
      <c r="Q777" s="5">
        <v>970</v>
      </c>
      <c r="R777" s="14">
        <v>10.4</v>
      </c>
      <c r="S777">
        <v>94</v>
      </c>
      <c r="T777" s="5">
        <v>36</v>
      </c>
      <c r="U777" s="5">
        <v>523</v>
      </c>
      <c r="V777" s="5">
        <v>0</v>
      </c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</row>
    <row r="778" spans="1:37" x14ac:dyDescent="0.25">
      <c r="A778" s="11" t="e">
        <f>Table1[[#This Row],[Milk Yield]]-J774</f>
        <v>#VALUE!</v>
      </c>
      <c r="B778" t="s">
        <v>0</v>
      </c>
      <c r="C778" s="2" t="s">
        <v>1</v>
      </c>
      <c r="D778" s="12" t="s">
        <v>2</v>
      </c>
      <c r="E778" s="2" t="s">
        <v>3</v>
      </c>
      <c r="F778" s="13" t="s">
        <v>4</v>
      </c>
      <c r="G778" s="3" t="s">
        <v>5</v>
      </c>
      <c r="H778" s="1" t="s">
        <v>6</v>
      </c>
      <c r="I778" s="5" t="s">
        <v>8</v>
      </c>
      <c r="J778" t="s">
        <v>9</v>
      </c>
      <c r="K778" t="s">
        <v>10</v>
      </c>
      <c r="L778" s="5" t="s">
        <v>11</v>
      </c>
      <c r="M778" s="5" t="s">
        <v>12</v>
      </c>
      <c r="N778" t="s">
        <v>13</v>
      </c>
      <c r="O778" t="s">
        <v>20</v>
      </c>
      <c r="P778" s="1" t="s">
        <v>7</v>
      </c>
      <c r="Q778" s="5" t="s">
        <v>15</v>
      </c>
      <c r="R778" s="14" t="s">
        <v>18</v>
      </c>
      <c r="S778" t="s">
        <v>16</v>
      </c>
      <c r="T778" s="5" t="s">
        <v>14</v>
      </c>
      <c r="U778" s="5" t="s">
        <v>17</v>
      </c>
      <c r="V778" s="5" t="s">
        <v>19</v>
      </c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</row>
    <row r="779" spans="1:37" x14ac:dyDescent="0.25">
      <c r="A779" s="11">
        <f>Table1[[#This Row],[Milk Yield]]-J775</f>
        <v>-290</v>
      </c>
      <c r="B779" t="s">
        <v>24</v>
      </c>
      <c r="C779" s="2">
        <v>1</v>
      </c>
      <c r="D779" s="12">
        <v>45662</v>
      </c>
      <c r="E779" s="2">
        <v>27</v>
      </c>
      <c r="F779" s="13">
        <v>0.35461805555555553</v>
      </c>
      <c r="G779" s="3">
        <v>0.54928240740740741</v>
      </c>
      <c r="H779" s="1">
        <v>0.19444444444444445</v>
      </c>
      <c r="I779" s="5">
        <v>551</v>
      </c>
      <c r="J779">
        <v>4479</v>
      </c>
      <c r="K779">
        <v>118</v>
      </c>
      <c r="L779" s="5">
        <v>151</v>
      </c>
      <c r="M779" s="5">
        <v>551</v>
      </c>
      <c r="N779">
        <v>24</v>
      </c>
      <c r="O779">
        <v>527</v>
      </c>
      <c r="P779" s="1">
        <v>0.25486111111111109</v>
      </c>
      <c r="Q779" s="5">
        <v>959</v>
      </c>
      <c r="R779" s="14">
        <v>8.1999999999999993</v>
      </c>
      <c r="S779">
        <v>118</v>
      </c>
      <c r="T779" s="5">
        <v>24</v>
      </c>
      <c r="U779" s="5">
        <v>527</v>
      </c>
      <c r="V779" s="5">
        <v>0</v>
      </c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</row>
    <row r="780" spans="1:37" x14ac:dyDescent="0.25">
      <c r="A780" s="11">
        <f>Table1[[#This Row],[Milk Yield]]-J776</f>
        <v>199</v>
      </c>
      <c r="B780" t="s">
        <v>24</v>
      </c>
      <c r="C780" s="2">
        <v>2</v>
      </c>
      <c r="D780" s="12">
        <v>45662</v>
      </c>
      <c r="E780" s="2">
        <v>29</v>
      </c>
      <c r="F780" s="13">
        <v>0.67005787037037035</v>
      </c>
      <c r="G780" s="3">
        <v>0.87844907407407402</v>
      </c>
      <c r="H780" s="1">
        <v>0.20833333333333334</v>
      </c>
      <c r="I780" s="5">
        <v>547</v>
      </c>
      <c r="J780">
        <v>4784</v>
      </c>
      <c r="K780">
        <v>109</v>
      </c>
      <c r="L780" s="5">
        <v>311</v>
      </c>
      <c r="M780" s="5">
        <v>547</v>
      </c>
      <c r="N780">
        <v>41</v>
      </c>
      <c r="O780">
        <v>506</v>
      </c>
      <c r="P780" s="1">
        <v>0.23749999999999999</v>
      </c>
      <c r="Q780" s="5">
        <v>957</v>
      </c>
      <c r="R780" s="14">
        <v>8.8000000000000007</v>
      </c>
      <c r="S780">
        <v>109</v>
      </c>
      <c r="T780" s="5">
        <v>41</v>
      </c>
      <c r="U780" s="5">
        <v>506</v>
      </c>
      <c r="V780" s="5">
        <v>0</v>
      </c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</row>
    <row r="781" spans="1:37" x14ac:dyDescent="0.25">
      <c r="A781" s="11">
        <f>Table1[[#This Row],[Milk Yield]]-J777</f>
        <v>-279</v>
      </c>
      <c r="B781" t="s">
        <v>24</v>
      </c>
      <c r="C781" s="2">
        <v>3</v>
      </c>
      <c r="D781" s="12">
        <v>45662</v>
      </c>
      <c r="E781" s="2">
        <v>32</v>
      </c>
      <c r="F781" s="13">
        <v>3.9699074074074072E-3</v>
      </c>
      <c r="G781" s="3">
        <v>0.23505787037037038</v>
      </c>
      <c r="H781" s="1">
        <v>0.23055555555555557</v>
      </c>
      <c r="I781" s="5">
        <v>575</v>
      </c>
      <c r="J781">
        <v>5513</v>
      </c>
      <c r="K781">
        <v>104</v>
      </c>
      <c r="L781" s="5">
        <v>256</v>
      </c>
      <c r="M781" s="5">
        <v>566</v>
      </c>
      <c r="N781">
        <v>34</v>
      </c>
      <c r="O781">
        <v>532</v>
      </c>
      <c r="P781" s="1">
        <v>0.28263888888888888</v>
      </c>
      <c r="Q781" s="5">
        <v>994</v>
      </c>
      <c r="R781" s="14">
        <v>9.8000000000000007</v>
      </c>
      <c r="S781">
        <v>102</v>
      </c>
      <c r="T781" s="5">
        <v>34</v>
      </c>
      <c r="U781" s="5">
        <v>532</v>
      </c>
      <c r="V781" s="5">
        <v>0</v>
      </c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</row>
    <row r="782" spans="1:37" x14ac:dyDescent="0.25">
      <c r="A782" s="11" t="e">
        <f>Table1[[#This Row],[Milk Yield]]-J778</f>
        <v>#VALUE!</v>
      </c>
      <c r="B782" t="s">
        <v>0</v>
      </c>
      <c r="C782" s="2" t="s">
        <v>1</v>
      </c>
      <c r="D782" s="12" t="s">
        <v>2</v>
      </c>
      <c r="E782" s="2" t="s">
        <v>3</v>
      </c>
      <c r="F782" s="13" t="s">
        <v>4</v>
      </c>
      <c r="G782" s="3" t="s">
        <v>5</v>
      </c>
      <c r="H782" s="1" t="s">
        <v>6</v>
      </c>
      <c r="I782" s="5" t="s">
        <v>8</v>
      </c>
      <c r="J782" t="s">
        <v>9</v>
      </c>
      <c r="K782" t="s">
        <v>10</v>
      </c>
      <c r="L782" s="5" t="s">
        <v>11</v>
      </c>
      <c r="M782" s="5" t="s">
        <v>12</v>
      </c>
      <c r="N782" t="s">
        <v>13</v>
      </c>
      <c r="O782" t="s">
        <v>20</v>
      </c>
      <c r="P782" s="1" t="s">
        <v>7</v>
      </c>
      <c r="Q782" s="5" t="s">
        <v>15</v>
      </c>
      <c r="R782" s="14" t="s">
        <v>18</v>
      </c>
      <c r="S782" t="s">
        <v>16</v>
      </c>
      <c r="T782" s="5" t="s">
        <v>14</v>
      </c>
      <c r="U782" s="5" t="s">
        <v>17</v>
      </c>
      <c r="V782" s="5" t="s">
        <v>19</v>
      </c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</row>
    <row r="783" spans="1:37" x14ac:dyDescent="0.25">
      <c r="A783" s="11">
        <f>Table1[[#This Row],[Milk Yield]]-J779</f>
        <v>147</v>
      </c>
      <c r="B783" t="s">
        <v>24</v>
      </c>
      <c r="C783" s="2">
        <v>1</v>
      </c>
      <c r="D783" s="12">
        <v>45663</v>
      </c>
      <c r="E783" s="2">
        <v>26</v>
      </c>
      <c r="F783" s="13">
        <v>0.34021990740740743</v>
      </c>
      <c r="G783" s="3">
        <v>0.5364930555555556</v>
      </c>
      <c r="H783" s="1">
        <v>0.19583333333333333</v>
      </c>
      <c r="I783" s="5">
        <v>557</v>
      </c>
      <c r="J783">
        <v>4626</v>
      </c>
      <c r="K783">
        <v>118</v>
      </c>
      <c r="L783" s="5">
        <v>118</v>
      </c>
      <c r="M783" s="5">
        <v>557</v>
      </c>
      <c r="N783">
        <v>15</v>
      </c>
      <c r="O783">
        <v>542</v>
      </c>
      <c r="P783" s="1">
        <v>0.25416666666666665</v>
      </c>
      <c r="Q783" s="5">
        <v>982</v>
      </c>
      <c r="R783" s="14">
        <v>8.4</v>
      </c>
      <c r="S783">
        <v>118</v>
      </c>
      <c r="T783" s="5">
        <v>15</v>
      </c>
      <c r="U783" s="5">
        <v>542</v>
      </c>
      <c r="V783" s="5">
        <v>0</v>
      </c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</row>
    <row r="784" spans="1:37" x14ac:dyDescent="0.25">
      <c r="A784" s="11">
        <f>Table1[[#This Row],[Milk Yield]]-J780</f>
        <v>79</v>
      </c>
      <c r="B784" t="s">
        <v>24</v>
      </c>
      <c r="C784" s="2">
        <v>2</v>
      </c>
      <c r="D784" s="12">
        <v>45663</v>
      </c>
      <c r="E784" s="2">
        <v>27</v>
      </c>
      <c r="F784" s="13">
        <v>0.67571759259259256</v>
      </c>
      <c r="G784" s="3">
        <v>0.88350694444444444</v>
      </c>
      <c r="H784" s="1">
        <v>0.2076388888888889</v>
      </c>
      <c r="I784" s="5">
        <v>535</v>
      </c>
      <c r="J784">
        <v>4863</v>
      </c>
      <c r="K784">
        <v>107</v>
      </c>
      <c r="L784" s="5">
        <v>198</v>
      </c>
      <c r="M784" s="5">
        <v>535</v>
      </c>
      <c r="N784">
        <v>21</v>
      </c>
      <c r="O784">
        <v>514</v>
      </c>
      <c r="P784" s="1">
        <v>0.25486111111111109</v>
      </c>
      <c r="Q784" s="5">
        <v>975</v>
      </c>
      <c r="R784" s="14">
        <v>9.1</v>
      </c>
      <c r="S784">
        <v>107</v>
      </c>
      <c r="T784" s="5">
        <v>21</v>
      </c>
      <c r="U784" s="5">
        <v>514</v>
      </c>
      <c r="V784" s="5">
        <v>0</v>
      </c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</row>
    <row r="785" spans="1:37" x14ac:dyDescent="0.25">
      <c r="A785" s="11">
        <f>Table1[[#This Row],[Milk Yield]]-J781</f>
        <v>174</v>
      </c>
      <c r="B785" t="s">
        <v>24</v>
      </c>
      <c r="C785" s="2">
        <v>3</v>
      </c>
      <c r="D785" s="12">
        <v>45663</v>
      </c>
      <c r="E785" s="2">
        <v>32</v>
      </c>
      <c r="F785" s="13">
        <v>0.99991898148148151</v>
      </c>
      <c r="G785" s="3">
        <v>0.25587962962962962</v>
      </c>
      <c r="H785" s="1">
        <v>0.25555555555555554</v>
      </c>
      <c r="I785" s="5">
        <v>569</v>
      </c>
      <c r="J785">
        <v>5687</v>
      </c>
      <c r="K785">
        <v>93</v>
      </c>
      <c r="L785" s="5">
        <v>222</v>
      </c>
      <c r="M785" s="5">
        <v>569</v>
      </c>
      <c r="N785">
        <v>27</v>
      </c>
      <c r="O785">
        <v>542</v>
      </c>
      <c r="P785" s="1">
        <v>0.29305555555555557</v>
      </c>
      <c r="Q785" s="5">
        <v>926</v>
      </c>
      <c r="R785" s="14">
        <v>10</v>
      </c>
      <c r="S785">
        <v>93</v>
      </c>
      <c r="T785" s="5">
        <v>27</v>
      </c>
      <c r="U785" s="5">
        <v>542</v>
      </c>
      <c r="V785" s="5">
        <v>0</v>
      </c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</row>
    <row r="786" spans="1:37" x14ac:dyDescent="0.25">
      <c r="A786" s="11" t="e">
        <f>Table1[[#This Row],[Milk Yield]]-J782</f>
        <v>#VALUE!</v>
      </c>
      <c r="B786" t="s">
        <v>0</v>
      </c>
      <c r="C786" s="2" t="s">
        <v>1</v>
      </c>
      <c r="D786" s="12" t="s">
        <v>2</v>
      </c>
      <c r="E786" s="2" t="s">
        <v>3</v>
      </c>
      <c r="F786" s="13" t="s">
        <v>4</v>
      </c>
      <c r="G786" s="3" t="s">
        <v>5</v>
      </c>
      <c r="H786" s="1" t="s">
        <v>6</v>
      </c>
      <c r="I786" s="5" t="s">
        <v>8</v>
      </c>
      <c r="J786" t="s">
        <v>9</v>
      </c>
      <c r="K786" t="s">
        <v>10</v>
      </c>
      <c r="L786" s="5" t="s">
        <v>11</v>
      </c>
      <c r="M786" s="5" t="s">
        <v>12</v>
      </c>
      <c r="N786" t="s">
        <v>13</v>
      </c>
      <c r="O786" t="s">
        <v>20</v>
      </c>
      <c r="P786" s="1" t="s">
        <v>7</v>
      </c>
      <c r="Q786" s="5" t="s">
        <v>15</v>
      </c>
      <c r="R786" s="14" t="s">
        <v>18</v>
      </c>
      <c r="S786" t="s">
        <v>16</v>
      </c>
      <c r="T786" s="5" t="s">
        <v>14</v>
      </c>
      <c r="U786" s="5" t="s">
        <v>17</v>
      </c>
      <c r="V786" s="5" t="s">
        <v>19</v>
      </c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</row>
    <row r="787" spans="1:37" x14ac:dyDescent="0.25">
      <c r="A787" s="11">
        <f>Table1[[#This Row],[Milk Yield]]-J783</f>
        <v>-183</v>
      </c>
      <c r="B787" t="s">
        <v>24</v>
      </c>
      <c r="C787" s="2">
        <v>1</v>
      </c>
      <c r="D787" s="12">
        <v>45664</v>
      </c>
      <c r="E787" s="2">
        <v>29</v>
      </c>
      <c r="F787" s="13">
        <v>0.33534722222222224</v>
      </c>
      <c r="G787" s="3">
        <v>0.53917824074074072</v>
      </c>
      <c r="H787" s="1">
        <v>0.20347222222222222</v>
      </c>
      <c r="I787" s="5">
        <v>571</v>
      </c>
      <c r="J787">
        <v>4443</v>
      </c>
      <c r="K787">
        <v>117</v>
      </c>
      <c r="L787" s="5">
        <v>166</v>
      </c>
      <c r="M787" s="5">
        <v>570</v>
      </c>
      <c r="N787">
        <v>24</v>
      </c>
      <c r="O787">
        <v>546</v>
      </c>
      <c r="P787" s="1">
        <v>0.3</v>
      </c>
      <c r="Q787" s="5">
        <v>908</v>
      </c>
      <c r="R787" s="14">
        <v>7.8</v>
      </c>
      <c r="S787">
        <v>117</v>
      </c>
      <c r="T787" s="5">
        <v>24</v>
      </c>
      <c r="U787" s="5">
        <v>545</v>
      </c>
      <c r="V787" s="5">
        <v>0</v>
      </c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</row>
    <row r="788" spans="1:37" x14ac:dyDescent="0.25">
      <c r="A788" s="11">
        <f>Table1[[#This Row],[Milk Yield]]-J784</f>
        <v>3</v>
      </c>
      <c r="B788" t="s">
        <v>24</v>
      </c>
      <c r="C788" s="2">
        <v>2</v>
      </c>
      <c r="D788" s="12">
        <v>45664</v>
      </c>
      <c r="E788" s="2">
        <v>27</v>
      </c>
      <c r="F788" s="13">
        <v>0.6806712962962963</v>
      </c>
      <c r="G788" s="3">
        <v>0.8637731481481481</v>
      </c>
      <c r="H788" s="1">
        <v>0.18263888888888888</v>
      </c>
      <c r="I788" s="5">
        <v>540</v>
      </c>
      <c r="J788">
        <v>4866</v>
      </c>
      <c r="K788">
        <v>123</v>
      </c>
      <c r="L788" s="5">
        <v>147</v>
      </c>
      <c r="M788" s="5">
        <v>539</v>
      </c>
      <c r="N788">
        <v>21</v>
      </c>
      <c r="O788">
        <v>518</v>
      </c>
      <c r="P788" s="1">
        <v>0.27569444444444446</v>
      </c>
      <c r="Q788" s="5">
        <v>1107</v>
      </c>
      <c r="R788" s="14">
        <v>9.1</v>
      </c>
      <c r="S788">
        <v>123</v>
      </c>
      <c r="T788" s="5">
        <v>21</v>
      </c>
      <c r="U788" s="5">
        <v>518</v>
      </c>
      <c r="V788" s="5">
        <v>0</v>
      </c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</row>
    <row r="789" spans="1:37" x14ac:dyDescent="0.25">
      <c r="A789" s="11">
        <f>Table1[[#This Row],[Milk Yield]]-J785</f>
        <v>-365</v>
      </c>
      <c r="B789" t="s">
        <v>24</v>
      </c>
      <c r="C789" s="2">
        <v>3</v>
      </c>
      <c r="D789" s="12">
        <v>45664</v>
      </c>
      <c r="E789" s="2">
        <v>34</v>
      </c>
      <c r="F789" s="13">
        <v>0.99972222222222218</v>
      </c>
      <c r="G789" s="3">
        <v>0.20405092592592591</v>
      </c>
      <c r="H789" s="1">
        <v>0.20416666666666666</v>
      </c>
      <c r="I789" s="5">
        <v>565</v>
      </c>
      <c r="J789">
        <v>5322</v>
      </c>
      <c r="K789">
        <v>115</v>
      </c>
      <c r="L789" s="5">
        <v>176</v>
      </c>
      <c r="M789" s="5">
        <v>565</v>
      </c>
      <c r="N789">
        <v>27</v>
      </c>
      <c r="O789">
        <v>538</v>
      </c>
      <c r="P789" s="1">
        <v>0.26666666666666666</v>
      </c>
      <c r="Q789" s="5">
        <v>1085</v>
      </c>
      <c r="R789" s="14">
        <v>9.5</v>
      </c>
      <c r="S789">
        <v>115</v>
      </c>
      <c r="T789" s="5">
        <v>27</v>
      </c>
      <c r="U789" s="5">
        <v>538</v>
      </c>
      <c r="V789" s="5">
        <v>0</v>
      </c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</row>
    <row r="790" spans="1:37" x14ac:dyDescent="0.25">
      <c r="A790" s="11" t="e">
        <f>Table1[[#This Row],[Milk Yield]]-J786</f>
        <v>#VALUE!</v>
      </c>
      <c r="B790" t="s">
        <v>0</v>
      </c>
      <c r="C790" s="2" t="s">
        <v>1</v>
      </c>
      <c r="D790" s="12" t="s">
        <v>2</v>
      </c>
      <c r="E790" s="2" t="s">
        <v>3</v>
      </c>
      <c r="F790" s="13" t="s">
        <v>4</v>
      </c>
      <c r="G790" s="3" t="s">
        <v>5</v>
      </c>
      <c r="H790" s="1" t="s">
        <v>6</v>
      </c>
      <c r="I790" s="5" t="s">
        <v>8</v>
      </c>
      <c r="J790" t="s">
        <v>9</v>
      </c>
      <c r="K790" t="s">
        <v>10</v>
      </c>
      <c r="L790" s="5" t="s">
        <v>11</v>
      </c>
      <c r="M790" s="5" t="s">
        <v>12</v>
      </c>
      <c r="N790" t="s">
        <v>13</v>
      </c>
      <c r="O790" t="s">
        <v>20</v>
      </c>
      <c r="P790" s="1" t="s">
        <v>7</v>
      </c>
      <c r="Q790" s="5" t="s">
        <v>15</v>
      </c>
      <c r="R790" s="14" t="s">
        <v>18</v>
      </c>
      <c r="S790" t="s">
        <v>16</v>
      </c>
      <c r="T790" s="5" t="s">
        <v>14</v>
      </c>
      <c r="U790" s="5" t="s">
        <v>17</v>
      </c>
      <c r="V790" s="5" t="s">
        <v>19</v>
      </c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</row>
    <row r="791" spans="1:37" x14ac:dyDescent="0.25">
      <c r="A791" s="11">
        <f>Table1[[#This Row],[Milk Yield]]-J787</f>
        <v>775</v>
      </c>
      <c r="B791" t="s">
        <v>24</v>
      </c>
      <c r="C791" s="2">
        <v>1</v>
      </c>
      <c r="D791" s="12">
        <v>45665</v>
      </c>
      <c r="E791" s="2">
        <v>29</v>
      </c>
      <c r="F791" s="13">
        <v>0.33770833333333333</v>
      </c>
      <c r="G791" s="3">
        <v>0.56490740740740741</v>
      </c>
      <c r="H791" s="1">
        <v>0.22708333333333333</v>
      </c>
      <c r="I791" s="5">
        <v>560</v>
      </c>
      <c r="J791">
        <v>5218</v>
      </c>
      <c r="K791">
        <v>103</v>
      </c>
      <c r="L791" s="5">
        <v>200</v>
      </c>
      <c r="M791" s="5">
        <v>558</v>
      </c>
      <c r="N791">
        <v>22</v>
      </c>
      <c r="O791">
        <v>536</v>
      </c>
      <c r="P791" s="1">
        <v>0.29722222222222222</v>
      </c>
      <c r="Q791" s="5">
        <v>957</v>
      </c>
      <c r="R791" s="14">
        <v>9.4</v>
      </c>
      <c r="S791">
        <v>102</v>
      </c>
      <c r="T791" s="5">
        <v>22</v>
      </c>
      <c r="U791" s="5">
        <v>536</v>
      </c>
      <c r="V791" s="5">
        <v>0</v>
      </c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</row>
    <row r="792" spans="1:37" x14ac:dyDescent="0.25">
      <c r="A792" s="11">
        <f>Table1[[#This Row],[Milk Yield]]-J788</f>
        <v>-498</v>
      </c>
      <c r="B792" t="s">
        <v>24</v>
      </c>
      <c r="C792" s="2">
        <v>2</v>
      </c>
      <c r="D792" s="12">
        <v>45665</v>
      </c>
      <c r="E792" s="2">
        <v>27</v>
      </c>
      <c r="F792" s="13">
        <v>0.67975694444444446</v>
      </c>
      <c r="G792" s="3">
        <v>0.84248842592592588</v>
      </c>
      <c r="H792" s="1">
        <v>0.16250000000000001</v>
      </c>
      <c r="I792" s="5">
        <v>525</v>
      </c>
      <c r="J792">
        <v>4368</v>
      </c>
      <c r="K792">
        <v>134</v>
      </c>
      <c r="L792" s="5">
        <v>88</v>
      </c>
      <c r="M792" s="5">
        <v>525</v>
      </c>
      <c r="N792">
        <v>14</v>
      </c>
      <c r="O792">
        <v>511</v>
      </c>
      <c r="P792" s="1">
        <v>0.25694444444444442</v>
      </c>
      <c r="Q792" s="5">
        <v>1118</v>
      </c>
      <c r="R792" s="14">
        <v>8.4</v>
      </c>
      <c r="S792">
        <v>134</v>
      </c>
      <c r="T792" s="5">
        <v>14</v>
      </c>
      <c r="U792" s="5">
        <v>511</v>
      </c>
      <c r="V792" s="5">
        <v>0</v>
      </c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</row>
    <row r="793" spans="1:37" x14ac:dyDescent="0.25">
      <c r="A793" s="11">
        <f>Table1[[#This Row],[Milk Yield]]-J789</f>
        <v>-94</v>
      </c>
      <c r="B793" t="s">
        <v>24</v>
      </c>
      <c r="C793" s="2">
        <v>3</v>
      </c>
      <c r="D793" s="12">
        <v>45665</v>
      </c>
      <c r="E793" s="2">
        <v>29</v>
      </c>
      <c r="F793" s="13">
        <v>4.1319444444444442E-3</v>
      </c>
      <c r="G793" s="3">
        <v>0.20225694444444445</v>
      </c>
      <c r="H793" s="1">
        <v>0.19791666666666666</v>
      </c>
      <c r="I793" s="5">
        <v>560</v>
      </c>
      <c r="J793">
        <v>5228</v>
      </c>
      <c r="K793">
        <v>118</v>
      </c>
      <c r="L793" s="5">
        <v>212</v>
      </c>
      <c r="M793" s="5">
        <v>559</v>
      </c>
      <c r="N793">
        <v>29</v>
      </c>
      <c r="O793">
        <v>530</v>
      </c>
      <c r="P793" s="1">
        <v>0.24930555555555556</v>
      </c>
      <c r="Q793" s="5">
        <v>1099</v>
      </c>
      <c r="R793" s="14">
        <v>9.4</v>
      </c>
      <c r="S793">
        <v>118</v>
      </c>
      <c r="T793" s="5">
        <v>29</v>
      </c>
      <c r="U793" s="5">
        <v>530</v>
      </c>
      <c r="V793" s="5">
        <v>0</v>
      </c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</row>
    <row r="794" spans="1:37" x14ac:dyDescent="0.25">
      <c r="A794" s="11" t="e">
        <f>Table1[[#This Row],[Milk Yield]]-J790</f>
        <v>#VALUE!</v>
      </c>
      <c r="B794" t="s">
        <v>0</v>
      </c>
      <c r="C794" s="2" t="s">
        <v>1</v>
      </c>
      <c r="D794" s="12" t="s">
        <v>2</v>
      </c>
      <c r="E794" s="2" t="s">
        <v>3</v>
      </c>
      <c r="F794" s="13" t="s">
        <v>4</v>
      </c>
      <c r="G794" s="3" t="s">
        <v>5</v>
      </c>
      <c r="H794" s="1" t="s">
        <v>6</v>
      </c>
      <c r="I794" s="5" t="s">
        <v>8</v>
      </c>
      <c r="J794" t="s">
        <v>9</v>
      </c>
      <c r="K794" t="s">
        <v>10</v>
      </c>
      <c r="L794" s="5" t="s">
        <v>11</v>
      </c>
      <c r="M794" s="5" t="s">
        <v>12</v>
      </c>
      <c r="N794" t="s">
        <v>13</v>
      </c>
      <c r="O794" t="s">
        <v>20</v>
      </c>
      <c r="P794" s="1" t="s">
        <v>7</v>
      </c>
      <c r="Q794" s="5" t="s">
        <v>15</v>
      </c>
      <c r="R794" s="14" t="s">
        <v>18</v>
      </c>
      <c r="S794" t="s">
        <v>16</v>
      </c>
      <c r="T794" s="5" t="s">
        <v>14</v>
      </c>
      <c r="U794" s="5" t="s">
        <v>17</v>
      </c>
      <c r="V794" s="5" t="s">
        <v>19</v>
      </c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</row>
    <row r="795" spans="1:37" x14ac:dyDescent="0.25">
      <c r="A795" s="11">
        <f>Table1[[#This Row],[Milk Yield]]-J791</f>
        <v>-588</v>
      </c>
      <c r="B795" t="s">
        <v>24</v>
      </c>
      <c r="C795" s="2">
        <v>1</v>
      </c>
      <c r="D795" s="12">
        <v>45666</v>
      </c>
      <c r="E795" s="2">
        <v>29</v>
      </c>
      <c r="F795" s="13">
        <v>0.33771990740740743</v>
      </c>
      <c r="G795" s="3">
        <v>0.50858796296296294</v>
      </c>
      <c r="H795" s="1">
        <v>0.17083333333333334</v>
      </c>
      <c r="I795" s="5">
        <v>546</v>
      </c>
      <c r="J795">
        <v>4630</v>
      </c>
      <c r="K795">
        <v>133</v>
      </c>
      <c r="L795" s="5">
        <v>147</v>
      </c>
      <c r="M795" s="5">
        <v>545</v>
      </c>
      <c r="N795">
        <v>22</v>
      </c>
      <c r="O795">
        <v>523</v>
      </c>
      <c r="P795" s="1">
        <v>0.24930555555555556</v>
      </c>
      <c r="Q795" s="5">
        <v>1129</v>
      </c>
      <c r="R795" s="14">
        <v>8.5</v>
      </c>
      <c r="S795">
        <v>133</v>
      </c>
      <c r="T795" s="5">
        <v>22</v>
      </c>
      <c r="U795" s="5">
        <v>525</v>
      </c>
      <c r="V795" s="5">
        <v>2</v>
      </c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</row>
    <row r="796" spans="1:37" x14ac:dyDescent="0.25">
      <c r="A796" s="11">
        <f>Table1[[#This Row],[Milk Yield]]-J792</f>
        <v>387</v>
      </c>
      <c r="B796" t="s">
        <v>24</v>
      </c>
      <c r="C796" s="2">
        <v>2</v>
      </c>
      <c r="D796" s="12">
        <v>45666</v>
      </c>
      <c r="E796" s="2">
        <v>29</v>
      </c>
      <c r="F796" s="13">
        <v>0.68792824074074077</v>
      </c>
      <c r="G796" s="3">
        <v>0.85719907407407403</v>
      </c>
      <c r="H796" s="1">
        <v>0.16875000000000001</v>
      </c>
      <c r="I796" s="5">
        <v>539</v>
      </c>
      <c r="J796">
        <v>4755</v>
      </c>
      <c r="K796">
        <v>133</v>
      </c>
      <c r="L796" s="5">
        <v>161</v>
      </c>
      <c r="M796" s="5">
        <v>536</v>
      </c>
      <c r="N796">
        <v>25</v>
      </c>
      <c r="O796">
        <v>511</v>
      </c>
      <c r="P796" s="1">
        <v>0.24027777777777778</v>
      </c>
      <c r="Q796" s="5">
        <v>1170</v>
      </c>
      <c r="R796" s="14">
        <v>8.9</v>
      </c>
      <c r="S796">
        <v>132</v>
      </c>
      <c r="T796" s="5">
        <v>25</v>
      </c>
      <c r="U796" s="5">
        <v>511</v>
      </c>
      <c r="V796" s="5">
        <v>0</v>
      </c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</row>
    <row r="797" spans="1:37" x14ac:dyDescent="0.25">
      <c r="A797" s="11">
        <f>Table1[[#This Row],[Milk Yield]]-J793</f>
        <v>-117</v>
      </c>
      <c r="B797" t="s">
        <v>24</v>
      </c>
      <c r="C797" s="2">
        <v>3</v>
      </c>
      <c r="D797" s="12">
        <v>45666</v>
      </c>
      <c r="E797" s="2">
        <v>32</v>
      </c>
      <c r="F797" s="13">
        <v>3.4722222222222222E-5</v>
      </c>
      <c r="G797" s="3">
        <v>0.20605324074074075</v>
      </c>
      <c r="H797" s="1">
        <v>0.20555555555555555</v>
      </c>
      <c r="I797" s="5">
        <v>553</v>
      </c>
      <c r="J797">
        <v>5111</v>
      </c>
      <c r="K797">
        <v>112</v>
      </c>
      <c r="L797" s="5">
        <v>202</v>
      </c>
      <c r="M797" s="5">
        <v>553</v>
      </c>
      <c r="N797">
        <v>26</v>
      </c>
      <c r="O797">
        <v>527</v>
      </c>
      <c r="P797" s="1">
        <v>0.25138888888888888</v>
      </c>
      <c r="Q797" s="5">
        <v>1034</v>
      </c>
      <c r="R797" s="14">
        <v>9.3000000000000007</v>
      </c>
      <c r="S797">
        <v>112</v>
      </c>
      <c r="T797" s="5">
        <v>26</v>
      </c>
      <c r="U797" s="5">
        <v>527</v>
      </c>
      <c r="V797" s="5">
        <v>0</v>
      </c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</row>
    <row r="798" spans="1:37" x14ac:dyDescent="0.25">
      <c r="A798" s="11" t="e">
        <f>Table1[[#This Row],[Milk Yield]]-J794</f>
        <v>#VALUE!</v>
      </c>
      <c r="B798" t="s">
        <v>0</v>
      </c>
      <c r="C798" s="2" t="s">
        <v>1</v>
      </c>
      <c r="D798" s="12" t="s">
        <v>2</v>
      </c>
      <c r="E798" s="2" t="s">
        <v>3</v>
      </c>
      <c r="F798" s="13" t="s">
        <v>4</v>
      </c>
      <c r="G798" s="3" t="s">
        <v>5</v>
      </c>
      <c r="H798" s="1" t="s">
        <v>6</v>
      </c>
      <c r="I798" s="5" t="s">
        <v>8</v>
      </c>
      <c r="J798" t="s">
        <v>9</v>
      </c>
      <c r="K798" t="s">
        <v>10</v>
      </c>
      <c r="L798" s="5" t="s">
        <v>11</v>
      </c>
      <c r="M798" s="5" t="s">
        <v>12</v>
      </c>
      <c r="N798" t="s">
        <v>13</v>
      </c>
      <c r="O798" t="s">
        <v>20</v>
      </c>
      <c r="P798" s="1" t="s">
        <v>7</v>
      </c>
      <c r="Q798" s="5" t="s">
        <v>15</v>
      </c>
      <c r="R798" s="14" t="s">
        <v>18</v>
      </c>
      <c r="S798" t="s">
        <v>16</v>
      </c>
      <c r="T798" s="5" t="s">
        <v>14</v>
      </c>
      <c r="U798" s="5" t="s">
        <v>17</v>
      </c>
      <c r="V798" s="5" t="s">
        <v>19</v>
      </c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</row>
    <row r="799" spans="1:37" x14ac:dyDescent="0.25">
      <c r="A799" s="11">
        <f>Table1[[#This Row],[Milk Yield]]-J795</f>
        <v>-98</v>
      </c>
      <c r="B799" t="s">
        <v>24</v>
      </c>
      <c r="C799" s="2">
        <v>1</v>
      </c>
      <c r="D799" s="12">
        <v>45667</v>
      </c>
      <c r="E799" s="2">
        <v>31</v>
      </c>
      <c r="F799" s="13">
        <v>0.33656249999999999</v>
      </c>
      <c r="G799" s="3">
        <v>0.50218750000000001</v>
      </c>
      <c r="H799" s="1">
        <v>0.16527777777777777</v>
      </c>
      <c r="I799" s="5">
        <v>524</v>
      </c>
      <c r="J799">
        <v>4532</v>
      </c>
      <c r="K799">
        <v>132</v>
      </c>
      <c r="L799" s="5">
        <v>122</v>
      </c>
      <c r="M799" s="5">
        <v>522</v>
      </c>
      <c r="N799">
        <v>21</v>
      </c>
      <c r="O799">
        <v>501</v>
      </c>
      <c r="P799" s="1">
        <v>0.26874999999999999</v>
      </c>
      <c r="Q799" s="5">
        <v>1140</v>
      </c>
      <c r="R799" s="14">
        <v>8.6999999999999993</v>
      </c>
      <c r="S799">
        <v>131</v>
      </c>
      <c r="T799" s="5">
        <v>21</v>
      </c>
      <c r="U799" s="5">
        <v>501</v>
      </c>
      <c r="V799" s="5">
        <v>0</v>
      </c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</row>
    <row r="800" spans="1:37" x14ac:dyDescent="0.25">
      <c r="A800" s="11">
        <f>Table1[[#This Row],[Milk Yield]]-J796</f>
        <v>-16</v>
      </c>
      <c r="B800" t="s">
        <v>24</v>
      </c>
      <c r="C800" s="2">
        <v>2</v>
      </c>
      <c r="D800" s="12">
        <v>45667</v>
      </c>
      <c r="E800" s="2">
        <v>28</v>
      </c>
      <c r="F800" s="13">
        <v>0.69231481481481483</v>
      </c>
      <c r="G800" s="3">
        <v>0.83496527777777774</v>
      </c>
      <c r="H800" s="1">
        <v>0.1423611111111111</v>
      </c>
      <c r="I800" s="5">
        <v>522</v>
      </c>
      <c r="J800">
        <v>4739</v>
      </c>
      <c r="K800">
        <v>152</v>
      </c>
      <c r="L800" s="5">
        <v>207</v>
      </c>
      <c r="M800" s="5">
        <v>522</v>
      </c>
      <c r="N800">
        <v>29</v>
      </c>
      <c r="O800">
        <v>493</v>
      </c>
      <c r="P800" s="1">
        <v>0.23402777777777778</v>
      </c>
      <c r="Q800" s="5">
        <v>1384</v>
      </c>
      <c r="R800" s="14">
        <v>9.1</v>
      </c>
      <c r="S800">
        <v>152</v>
      </c>
      <c r="T800" s="5">
        <v>29</v>
      </c>
      <c r="U800" s="5">
        <v>493</v>
      </c>
      <c r="V800" s="5">
        <v>0</v>
      </c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</row>
    <row r="801" spans="1:37" x14ac:dyDescent="0.25">
      <c r="A801" s="11">
        <f>Table1[[#This Row],[Milk Yield]]-J797</f>
        <v>115</v>
      </c>
      <c r="B801" t="s">
        <v>24</v>
      </c>
      <c r="C801" s="2">
        <v>3</v>
      </c>
      <c r="D801" s="12">
        <v>45667</v>
      </c>
      <c r="E801" s="2">
        <v>30</v>
      </c>
      <c r="F801" s="13">
        <v>3.6342592592592594E-3</v>
      </c>
      <c r="G801" s="3">
        <v>0.19186342592592592</v>
      </c>
      <c r="H801" s="1">
        <v>0.18819444444444444</v>
      </c>
      <c r="I801" s="5">
        <v>539</v>
      </c>
      <c r="J801">
        <v>5226</v>
      </c>
      <c r="K801">
        <v>119</v>
      </c>
      <c r="L801" s="5">
        <v>192</v>
      </c>
      <c r="M801" s="5">
        <v>538</v>
      </c>
      <c r="N801">
        <v>24</v>
      </c>
      <c r="O801">
        <v>514</v>
      </c>
      <c r="P801" s="1">
        <v>0.25763888888888886</v>
      </c>
      <c r="Q801" s="5">
        <v>1157</v>
      </c>
      <c r="R801" s="14">
        <v>9.8000000000000007</v>
      </c>
      <c r="S801">
        <v>119</v>
      </c>
      <c r="T801" s="5">
        <v>24</v>
      </c>
      <c r="U801" s="5">
        <v>514</v>
      </c>
      <c r="V801" s="5">
        <v>0</v>
      </c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</row>
    <row r="802" spans="1:37" x14ac:dyDescent="0.25">
      <c r="A802" s="11" t="e">
        <f>Table1[[#This Row],[Milk Yield]]-J798</f>
        <v>#VALUE!</v>
      </c>
      <c r="B802" t="s">
        <v>0</v>
      </c>
      <c r="C802" s="2" t="s">
        <v>1</v>
      </c>
      <c r="D802" s="12" t="s">
        <v>2</v>
      </c>
      <c r="E802" s="2" t="s">
        <v>3</v>
      </c>
      <c r="F802" s="13" t="s">
        <v>4</v>
      </c>
      <c r="G802" s="3" t="s">
        <v>5</v>
      </c>
      <c r="H802" s="1" t="s">
        <v>6</v>
      </c>
      <c r="I802" s="5" t="s">
        <v>8</v>
      </c>
      <c r="J802" t="s">
        <v>9</v>
      </c>
      <c r="K802" t="s">
        <v>10</v>
      </c>
      <c r="L802" s="5" t="s">
        <v>11</v>
      </c>
      <c r="M802" s="5" t="s">
        <v>12</v>
      </c>
      <c r="N802" t="s">
        <v>13</v>
      </c>
      <c r="O802" t="s">
        <v>20</v>
      </c>
      <c r="P802" s="1" t="s">
        <v>7</v>
      </c>
      <c r="Q802" s="5" t="s">
        <v>15</v>
      </c>
      <c r="R802" s="14" t="s">
        <v>18</v>
      </c>
      <c r="S802" t="s">
        <v>16</v>
      </c>
      <c r="T802" s="5" t="s">
        <v>14</v>
      </c>
      <c r="U802" s="5" t="s">
        <v>17</v>
      </c>
      <c r="V802" s="5" t="s">
        <v>19</v>
      </c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</row>
    <row r="803" spans="1:37" x14ac:dyDescent="0.25">
      <c r="A803" s="11">
        <f>Table1[[#This Row],[Milk Yield]]-J799</f>
        <v>55</v>
      </c>
      <c r="B803" t="s">
        <v>24</v>
      </c>
      <c r="C803" s="2">
        <v>1</v>
      </c>
      <c r="D803" s="12">
        <v>45668</v>
      </c>
      <c r="E803" s="2">
        <v>27</v>
      </c>
      <c r="F803" s="13">
        <v>0.33612268518518518</v>
      </c>
      <c r="G803" s="3">
        <v>0.50129629629629635</v>
      </c>
      <c r="H803" s="1">
        <v>0.16458333333333333</v>
      </c>
      <c r="I803" s="5">
        <v>534</v>
      </c>
      <c r="J803">
        <v>4587</v>
      </c>
      <c r="K803">
        <v>135</v>
      </c>
      <c r="L803" s="5">
        <v>156</v>
      </c>
      <c r="M803" s="5">
        <v>534</v>
      </c>
      <c r="N803">
        <v>25</v>
      </c>
      <c r="O803">
        <v>509</v>
      </c>
      <c r="P803" s="1">
        <v>0.24513888888888888</v>
      </c>
      <c r="Q803" s="5">
        <v>1157</v>
      </c>
      <c r="R803" s="14">
        <v>8.6</v>
      </c>
      <c r="S803">
        <v>135</v>
      </c>
      <c r="T803" s="5">
        <v>25</v>
      </c>
      <c r="U803" s="5">
        <v>508</v>
      </c>
      <c r="V803" s="5">
        <v>0</v>
      </c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</row>
    <row r="804" spans="1:37" x14ac:dyDescent="0.25">
      <c r="A804" s="11">
        <f>Table1[[#This Row],[Milk Yield]]-J800</f>
        <v>-167</v>
      </c>
      <c r="B804" t="s">
        <v>24</v>
      </c>
      <c r="C804" s="2">
        <v>2</v>
      </c>
      <c r="D804" s="12">
        <v>45668</v>
      </c>
      <c r="E804" s="2">
        <v>28</v>
      </c>
      <c r="F804" s="13">
        <v>0.66962962962962957</v>
      </c>
      <c r="G804" s="3">
        <v>0.83706018518518521</v>
      </c>
      <c r="H804" s="1">
        <v>0.1673611111111111</v>
      </c>
      <c r="I804" s="5">
        <v>515</v>
      </c>
      <c r="J804">
        <v>4572</v>
      </c>
      <c r="K804">
        <v>128</v>
      </c>
      <c r="L804" s="5">
        <v>141</v>
      </c>
      <c r="M804" s="5">
        <v>515</v>
      </c>
      <c r="N804">
        <v>22</v>
      </c>
      <c r="O804">
        <v>493</v>
      </c>
      <c r="P804" s="1">
        <v>0.23541666666666666</v>
      </c>
      <c r="Q804" s="5">
        <v>1138</v>
      </c>
      <c r="R804" s="14">
        <v>8.9</v>
      </c>
      <c r="S804">
        <v>128</v>
      </c>
      <c r="T804" s="5">
        <v>22</v>
      </c>
      <c r="U804" s="5">
        <v>493</v>
      </c>
      <c r="V804" s="5">
        <v>0</v>
      </c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</row>
    <row r="805" spans="1:37" x14ac:dyDescent="0.25">
      <c r="A805" s="11">
        <f>Table1[[#This Row],[Milk Yield]]-J801</f>
        <v>62</v>
      </c>
      <c r="B805" t="s">
        <v>24</v>
      </c>
      <c r="C805" s="2">
        <v>3</v>
      </c>
      <c r="D805" s="12">
        <v>45668</v>
      </c>
      <c r="E805" s="2">
        <v>31</v>
      </c>
      <c r="F805" s="13">
        <v>1.2731481481481483E-3</v>
      </c>
      <c r="G805" s="3">
        <v>0.21347222222222223</v>
      </c>
      <c r="H805" s="1">
        <v>0.21180555555555555</v>
      </c>
      <c r="I805" s="5">
        <v>534</v>
      </c>
      <c r="J805">
        <v>5288</v>
      </c>
      <c r="K805">
        <v>105</v>
      </c>
      <c r="L805" s="5">
        <v>159</v>
      </c>
      <c r="M805" s="5">
        <v>534</v>
      </c>
      <c r="N805">
        <v>23</v>
      </c>
      <c r="O805">
        <v>511</v>
      </c>
      <c r="P805" s="1">
        <v>0.26597222222222222</v>
      </c>
      <c r="Q805" s="5">
        <v>1038</v>
      </c>
      <c r="R805" s="14">
        <v>10</v>
      </c>
      <c r="S805">
        <v>105</v>
      </c>
      <c r="T805" s="5">
        <v>23</v>
      </c>
      <c r="U805" s="5">
        <v>511</v>
      </c>
      <c r="V805" s="5">
        <v>0</v>
      </c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</row>
    <row r="806" spans="1:37" x14ac:dyDescent="0.25">
      <c r="A806" s="11" t="e">
        <f>Table1[[#This Row],[Milk Yield]]-J802</f>
        <v>#VALUE!</v>
      </c>
      <c r="B806" t="s">
        <v>0</v>
      </c>
      <c r="C806" s="2" t="s">
        <v>1</v>
      </c>
      <c r="D806" s="12" t="s">
        <v>2</v>
      </c>
      <c r="E806" s="2" t="s">
        <v>3</v>
      </c>
      <c r="F806" s="13" t="s">
        <v>4</v>
      </c>
      <c r="G806" s="3" t="s">
        <v>5</v>
      </c>
      <c r="H806" s="1" t="s">
        <v>6</v>
      </c>
      <c r="I806" s="5" t="s">
        <v>8</v>
      </c>
      <c r="J806" t="s">
        <v>9</v>
      </c>
      <c r="K806" t="s">
        <v>10</v>
      </c>
      <c r="L806" s="5" t="s">
        <v>11</v>
      </c>
      <c r="M806" s="5" t="s">
        <v>12</v>
      </c>
      <c r="N806" t="s">
        <v>13</v>
      </c>
      <c r="O806" t="s">
        <v>20</v>
      </c>
      <c r="P806" s="1" t="s">
        <v>7</v>
      </c>
      <c r="Q806" s="5" t="s">
        <v>15</v>
      </c>
      <c r="R806" s="14" t="s">
        <v>18</v>
      </c>
      <c r="S806" t="s">
        <v>16</v>
      </c>
      <c r="T806" s="5" t="s">
        <v>14</v>
      </c>
      <c r="U806" s="5" t="s">
        <v>17</v>
      </c>
      <c r="V806" s="5" t="s">
        <v>19</v>
      </c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</row>
    <row r="807" spans="1:37" x14ac:dyDescent="0.25">
      <c r="A807" s="11">
        <f>Table1[[#This Row],[Milk Yield]]-J803</f>
        <v>-205</v>
      </c>
      <c r="B807" t="s">
        <v>24</v>
      </c>
      <c r="C807" s="2">
        <v>1</v>
      </c>
      <c r="D807" s="12">
        <v>45669</v>
      </c>
      <c r="E807" s="2">
        <v>30</v>
      </c>
      <c r="F807" s="13">
        <v>0.33621527777777777</v>
      </c>
      <c r="G807" s="3">
        <v>0.5170717592592593</v>
      </c>
      <c r="H807" s="1">
        <v>0.18055555555555555</v>
      </c>
      <c r="I807" s="5">
        <v>537</v>
      </c>
      <c r="J807">
        <v>4382</v>
      </c>
      <c r="K807">
        <v>124</v>
      </c>
      <c r="L807" s="5">
        <v>118</v>
      </c>
      <c r="M807" s="5">
        <v>531</v>
      </c>
      <c r="N807">
        <v>16</v>
      </c>
      <c r="O807">
        <v>515</v>
      </c>
      <c r="P807" s="1">
        <v>0.24097222222222223</v>
      </c>
      <c r="Q807" s="5">
        <v>1009</v>
      </c>
      <c r="R807" s="14">
        <v>8.3000000000000007</v>
      </c>
      <c r="S807">
        <v>122</v>
      </c>
      <c r="T807" s="5">
        <v>16</v>
      </c>
      <c r="U807" s="5">
        <v>515</v>
      </c>
      <c r="V807" s="5">
        <v>0</v>
      </c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</row>
    <row r="808" spans="1:37" x14ac:dyDescent="0.25">
      <c r="A808" s="11">
        <f>Table1[[#This Row],[Milk Yield]]-J804</f>
        <v>-446</v>
      </c>
      <c r="B808" t="s">
        <v>24</v>
      </c>
      <c r="C808" s="2">
        <v>2</v>
      </c>
      <c r="D808" s="12">
        <v>45669</v>
      </c>
      <c r="E808" s="2">
        <v>27</v>
      </c>
      <c r="F808" s="13">
        <v>0.66689814814814818</v>
      </c>
      <c r="G808" s="3">
        <v>0.81525462962962958</v>
      </c>
      <c r="H808" s="1">
        <v>0.14791666666666667</v>
      </c>
      <c r="I808" s="5">
        <v>521</v>
      </c>
      <c r="J808">
        <v>4126</v>
      </c>
      <c r="K808">
        <v>146</v>
      </c>
      <c r="L808" s="5">
        <v>317</v>
      </c>
      <c r="M808" s="5">
        <v>520</v>
      </c>
      <c r="N808">
        <v>43</v>
      </c>
      <c r="O808">
        <v>477</v>
      </c>
      <c r="P808" s="1">
        <v>0.23680555555555555</v>
      </c>
      <c r="Q808" s="5">
        <v>1159</v>
      </c>
      <c r="R808" s="14">
        <v>8</v>
      </c>
      <c r="S808">
        <v>146</v>
      </c>
      <c r="T808" s="5">
        <v>43</v>
      </c>
      <c r="U808" s="5">
        <v>477</v>
      </c>
      <c r="V808" s="5">
        <v>0</v>
      </c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</row>
    <row r="809" spans="1:37" x14ac:dyDescent="0.25">
      <c r="A809" s="11">
        <f>Table1[[#This Row],[Milk Yield]]-J805</f>
        <v>527</v>
      </c>
      <c r="B809" t="s">
        <v>24</v>
      </c>
      <c r="C809" s="2">
        <v>3</v>
      </c>
      <c r="D809" s="12">
        <v>45669</v>
      </c>
      <c r="E809" s="2">
        <v>30</v>
      </c>
      <c r="F809" s="13">
        <v>3.8194444444444446E-4</v>
      </c>
      <c r="G809" s="3">
        <v>0.22960648148148149</v>
      </c>
      <c r="H809" s="1">
        <v>0.22916666666666666</v>
      </c>
      <c r="I809" s="5">
        <v>552</v>
      </c>
      <c r="J809">
        <v>5815</v>
      </c>
      <c r="K809">
        <v>100</v>
      </c>
      <c r="L809" s="5">
        <v>264</v>
      </c>
      <c r="M809" s="5">
        <v>549</v>
      </c>
      <c r="N809">
        <v>29</v>
      </c>
      <c r="O809">
        <v>520</v>
      </c>
      <c r="P809" s="1">
        <v>0.28749999999999998</v>
      </c>
      <c r="Q809" s="5">
        <v>1057</v>
      </c>
      <c r="R809" s="14">
        <v>10.6</v>
      </c>
      <c r="S809">
        <v>100</v>
      </c>
      <c r="T809" s="5">
        <v>29</v>
      </c>
      <c r="U809" s="5">
        <v>520</v>
      </c>
      <c r="V809" s="5">
        <v>0</v>
      </c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</row>
    <row r="810" spans="1:37" x14ac:dyDescent="0.25">
      <c r="A810" s="11" t="e">
        <f>Table1[[#This Row],[Milk Yield]]-J806</f>
        <v>#VALUE!</v>
      </c>
      <c r="B810" t="s">
        <v>0</v>
      </c>
      <c r="C810" s="2" t="s">
        <v>1</v>
      </c>
      <c r="D810" s="12" t="s">
        <v>2</v>
      </c>
      <c r="E810" s="2" t="s">
        <v>3</v>
      </c>
      <c r="F810" s="13" t="s">
        <v>4</v>
      </c>
      <c r="G810" s="3" t="s">
        <v>5</v>
      </c>
      <c r="H810" s="1" t="s">
        <v>6</v>
      </c>
      <c r="I810" s="5" t="s">
        <v>8</v>
      </c>
      <c r="J810" t="s">
        <v>9</v>
      </c>
      <c r="K810" t="s">
        <v>10</v>
      </c>
      <c r="L810" s="5" t="s">
        <v>11</v>
      </c>
      <c r="M810" s="5" t="s">
        <v>12</v>
      </c>
      <c r="N810" t="s">
        <v>13</v>
      </c>
      <c r="O810" t="s">
        <v>20</v>
      </c>
      <c r="P810" s="1" t="s">
        <v>7</v>
      </c>
      <c r="Q810" s="5" t="s">
        <v>15</v>
      </c>
      <c r="R810" s="14" t="s">
        <v>18</v>
      </c>
      <c r="S810" t="s">
        <v>16</v>
      </c>
      <c r="T810" s="5" t="s">
        <v>14</v>
      </c>
      <c r="U810" s="5" t="s">
        <v>17</v>
      </c>
      <c r="V810" s="5" t="s">
        <v>19</v>
      </c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</row>
    <row r="811" spans="1:37" x14ac:dyDescent="0.25">
      <c r="A811" s="11">
        <f>Table1[[#This Row],[Milk Yield]]-J807</f>
        <v>-72</v>
      </c>
      <c r="B811" t="s">
        <v>24</v>
      </c>
      <c r="C811" s="2">
        <v>1</v>
      </c>
      <c r="D811" s="12">
        <v>45670</v>
      </c>
      <c r="E811" s="2">
        <v>27</v>
      </c>
      <c r="F811" s="13">
        <v>0.33344907407407409</v>
      </c>
      <c r="G811" s="3">
        <v>0.51068287037037041</v>
      </c>
      <c r="H811" s="1">
        <v>0.17708333333333334</v>
      </c>
      <c r="I811" s="5">
        <v>531</v>
      </c>
      <c r="J811">
        <v>4310</v>
      </c>
      <c r="K811">
        <v>125</v>
      </c>
      <c r="L811" s="5">
        <v>116</v>
      </c>
      <c r="M811" s="5">
        <v>531</v>
      </c>
      <c r="N811">
        <v>20</v>
      </c>
      <c r="O811">
        <v>511</v>
      </c>
      <c r="P811" s="1">
        <v>0.24374999999999999</v>
      </c>
      <c r="Q811" s="5">
        <v>1013</v>
      </c>
      <c r="R811" s="14">
        <v>8.1999999999999993</v>
      </c>
      <c r="S811">
        <v>125</v>
      </c>
      <c r="T811" s="5">
        <v>20</v>
      </c>
      <c r="U811" s="5">
        <v>514</v>
      </c>
      <c r="V811" s="5">
        <v>3</v>
      </c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</row>
    <row r="812" spans="1:37" x14ac:dyDescent="0.25">
      <c r="A812" s="11">
        <f>Table1[[#This Row],[Milk Yield]]-J808</f>
        <v>576</v>
      </c>
      <c r="B812" t="s">
        <v>24</v>
      </c>
      <c r="C812" s="2">
        <v>2</v>
      </c>
      <c r="D812" s="12">
        <v>45670</v>
      </c>
      <c r="E812" s="2">
        <v>26</v>
      </c>
      <c r="F812" s="13">
        <v>0.6704282407407407</v>
      </c>
      <c r="G812" s="3">
        <v>0.86935185185185182</v>
      </c>
      <c r="H812" s="1">
        <v>0.1986111111111111</v>
      </c>
      <c r="I812" s="5">
        <v>516</v>
      </c>
      <c r="J812">
        <v>4702</v>
      </c>
      <c r="K812">
        <v>108</v>
      </c>
      <c r="L812" s="5">
        <v>202</v>
      </c>
      <c r="M812" s="5">
        <v>516</v>
      </c>
      <c r="N812">
        <v>28</v>
      </c>
      <c r="O812">
        <v>488</v>
      </c>
      <c r="P812" s="1">
        <v>0.27361111111111114</v>
      </c>
      <c r="Q812" s="5">
        <v>985</v>
      </c>
      <c r="R812" s="14">
        <v>9.1999999999999993</v>
      </c>
      <c r="S812">
        <v>108</v>
      </c>
      <c r="T812" s="5">
        <v>28</v>
      </c>
      <c r="U812" s="5">
        <v>489</v>
      </c>
      <c r="V812" s="5">
        <v>1</v>
      </c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</row>
    <row r="813" spans="1:37" x14ac:dyDescent="0.25">
      <c r="A813" s="11">
        <f>Table1[[#This Row],[Milk Yield]]-J809</f>
        <v>-906</v>
      </c>
      <c r="B813" t="s">
        <v>24</v>
      </c>
      <c r="C813" s="2">
        <v>3</v>
      </c>
      <c r="D813" s="12">
        <v>45670</v>
      </c>
      <c r="E813" s="2">
        <v>30</v>
      </c>
      <c r="F813" s="13">
        <v>4.2592592592592595E-3</v>
      </c>
      <c r="G813" s="3">
        <v>0.18130787037037038</v>
      </c>
      <c r="H813" s="1">
        <v>0.1763888888888889</v>
      </c>
      <c r="I813" s="5">
        <v>544</v>
      </c>
      <c r="J813">
        <v>4909</v>
      </c>
      <c r="K813">
        <v>128</v>
      </c>
      <c r="L813" s="5">
        <v>289</v>
      </c>
      <c r="M813" s="5">
        <v>542</v>
      </c>
      <c r="N813">
        <v>37</v>
      </c>
      <c r="O813">
        <v>505</v>
      </c>
      <c r="P813" s="1">
        <v>0.2673611111111111</v>
      </c>
      <c r="Q813" s="5">
        <v>1155</v>
      </c>
      <c r="R813" s="14">
        <v>9.1</v>
      </c>
      <c r="S813">
        <v>128</v>
      </c>
      <c r="T813" s="5">
        <v>37</v>
      </c>
      <c r="U813" s="5">
        <v>506</v>
      </c>
      <c r="V813" s="5">
        <v>1</v>
      </c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</row>
    <row r="814" spans="1:37" x14ac:dyDescent="0.25">
      <c r="A814" s="11" t="e">
        <f>Table1[[#This Row],[Milk Yield]]-J810</f>
        <v>#VALUE!</v>
      </c>
      <c r="B814" t="s">
        <v>0</v>
      </c>
      <c r="C814" s="2" t="s">
        <v>1</v>
      </c>
      <c r="D814" s="12" t="s">
        <v>2</v>
      </c>
      <c r="E814" s="2" t="s">
        <v>3</v>
      </c>
      <c r="F814" s="13" t="s">
        <v>4</v>
      </c>
      <c r="G814" s="3" t="s">
        <v>5</v>
      </c>
      <c r="H814" s="1" t="s">
        <v>6</v>
      </c>
      <c r="I814" s="5" t="s">
        <v>8</v>
      </c>
      <c r="J814" t="s">
        <v>9</v>
      </c>
      <c r="K814" t="s">
        <v>10</v>
      </c>
      <c r="L814" s="5" t="s">
        <v>11</v>
      </c>
      <c r="M814" s="5" t="s">
        <v>12</v>
      </c>
      <c r="N814" t="s">
        <v>13</v>
      </c>
      <c r="O814" t="s">
        <v>20</v>
      </c>
      <c r="P814" s="1" t="s">
        <v>7</v>
      </c>
      <c r="Q814" s="5" t="s">
        <v>15</v>
      </c>
      <c r="R814" s="14" t="s">
        <v>18</v>
      </c>
      <c r="S814" t="s">
        <v>16</v>
      </c>
      <c r="T814" s="5" t="s">
        <v>14</v>
      </c>
      <c r="U814" s="5" t="s">
        <v>17</v>
      </c>
      <c r="V814" s="5" t="s">
        <v>19</v>
      </c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</row>
    <row r="815" spans="1:37" x14ac:dyDescent="0.25">
      <c r="A815" s="11">
        <f>Table1[[#This Row],[Milk Yield]]-J811</f>
        <v>430</v>
      </c>
      <c r="B815" t="s">
        <v>24</v>
      </c>
      <c r="C815" s="2">
        <v>1</v>
      </c>
      <c r="D815" s="12">
        <v>45671</v>
      </c>
      <c r="E815" s="2">
        <v>28</v>
      </c>
      <c r="F815" s="13">
        <v>0.33614583333333331</v>
      </c>
      <c r="G815" s="3">
        <v>0.51778935185185182</v>
      </c>
      <c r="H815" s="1">
        <v>0.18124999999999999</v>
      </c>
      <c r="I815" s="5">
        <v>535</v>
      </c>
      <c r="J815">
        <v>4740</v>
      </c>
      <c r="K815">
        <v>123</v>
      </c>
      <c r="L815" s="5">
        <v>115</v>
      </c>
      <c r="M815" s="5">
        <v>535</v>
      </c>
      <c r="N815">
        <v>14</v>
      </c>
      <c r="O815">
        <v>521</v>
      </c>
      <c r="P815" s="1">
        <v>0.25416666666666665</v>
      </c>
      <c r="Q815" s="5">
        <v>1087</v>
      </c>
      <c r="R815" s="14">
        <v>8.9</v>
      </c>
      <c r="S815">
        <v>123</v>
      </c>
      <c r="T815" s="5">
        <v>14</v>
      </c>
      <c r="U815" s="5">
        <v>522</v>
      </c>
      <c r="V815" s="5">
        <v>1</v>
      </c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</row>
    <row r="816" spans="1:37" x14ac:dyDescent="0.25">
      <c r="A816" s="11">
        <f>Table1[[#This Row],[Milk Yield]]-J812</f>
        <v>-10</v>
      </c>
      <c r="B816" t="s">
        <v>24</v>
      </c>
      <c r="C816" s="2">
        <v>2</v>
      </c>
      <c r="D816" s="12">
        <v>45671</v>
      </c>
      <c r="E816" s="2">
        <v>27</v>
      </c>
      <c r="F816" s="13">
        <v>0.66856481481481478</v>
      </c>
      <c r="G816" s="3">
        <v>0.84439814814814818</v>
      </c>
      <c r="H816" s="1">
        <v>0.17569444444444443</v>
      </c>
      <c r="I816" s="5">
        <v>531</v>
      </c>
      <c r="J816">
        <v>4692</v>
      </c>
      <c r="K816">
        <v>126</v>
      </c>
      <c r="L816" s="5">
        <v>191</v>
      </c>
      <c r="M816" s="5">
        <v>529</v>
      </c>
      <c r="N816">
        <v>33</v>
      </c>
      <c r="O816">
        <v>496</v>
      </c>
      <c r="P816" s="1">
        <v>0.26041666666666669</v>
      </c>
      <c r="Q816" s="5">
        <v>1112</v>
      </c>
      <c r="R816" s="14">
        <v>8.9</v>
      </c>
      <c r="S816">
        <v>125</v>
      </c>
      <c r="T816" s="5">
        <v>33</v>
      </c>
      <c r="U816" s="5">
        <v>497</v>
      </c>
      <c r="V816" s="5">
        <v>1</v>
      </c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</row>
    <row r="817" spans="1:37" x14ac:dyDescent="0.25">
      <c r="A817" s="11">
        <f>Table1[[#This Row],[Milk Yield]]-J813</f>
        <v>-56</v>
      </c>
      <c r="B817" t="s">
        <v>24</v>
      </c>
      <c r="C817" s="2">
        <v>3</v>
      </c>
      <c r="D817" s="12">
        <v>45671</v>
      </c>
      <c r="E817" s="2">
        <v>31</v>
      </c>
      <c r="F817" s="13">
        <v>4.3750000000000004E-3</v>
      </c>
      <c r="G817" s="3">
        <v>0.16096064814814814</v>
      </c>
      <c r="H817" s="1">
        <v>0.15625</v>
      </c>
      <c r="I817" s="5">
        <v>537</v>
      </c>
      <c r="J817">
        <v>4853</v>
      </c>
      <c r="K817">
        <v>143</v>
      </c>
      <c r="L817" s="5">
        <v>272</v>
      </c>
      <c r="M817" s="5">
        <v>535</v>
      </c>
      <c r="N817">
        <v>44</v>
      </c>
      <c r="O817">
        <v>491</v>
      </c>
      <c r="P817" s="1">
        <v>0.24930555555555556</v>
      </c>
      <c r="Q817" s="5">
        <v>1291</v>
      </c>
      <c r="R817" s="14">
        <v>9.1</v>
      </c>
      <c r="S817">
        <v>142</v>
      </c>
      <c r="T817" s="5">
        <v>44</v>
      </c>
      <c r="U817" s="5">
        <v>492</v>
      </c>
      <c r="V817" s="5">
        <v>1</v>
      </c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</row>
    <row r="818" spans="1:37" x14ac:dyDescent="0.25">
      <c r="A818" s="11" t="e">
        <f>Table1[[#This Row],[Milk Yield]]-J814</f>
        <v>#VALUE!</v>
      </c>
      <c r="B818" t="s">
        <v>0</v>
      </c>
      <c r="C818" s="2" t="s">
        <v>1</v>
      </c>
      <c r="D818" s="12" t="s">
        <v>2</v>
      </c>
      <c r="E818" s="2" t="s">
        <v>3</v>
      </c>
      <c r="F818" s="13" t="s">
        <v>4</v>
      </c>
      <c r="G818" s="3" t="s">
        <v>5</v>
      </c>
      <c r="H818" s="1" t="s">
        <v>6</v>
      </c>
      <c r="I818" s="5" t="s">
        <v>8</v>
      </c>
      <c r="J818" t="s">
        <v>9</v>
      </c>
      <c r="K818" t="s">
        <v>10</v>
      </c>
      <c r="L818" s="5" t="s">
        <v>11</v>
      </c>
      <c r="M818" s="5" t="s">
        <v>12</v>
      </c>
      <c r="N818" t="s">
        <v>13</v>
      </c>
      <c r="O818" t="s">
        <v>20</v>
      </c>
      <c r="P818" s="1" t="s">
        <v>7</v>
      </c>
      <c r="Q818" s="5" t="s">
        <v>15</v>
      </c>
      <c r="R818" s="14" t="s">
        <v>18</v>
      </c>
      <c r="S818" t="s">
        <v>16</v>
      </c>
      <c r="T818" s="5" t="s">
        <v>14</v>
      </c>
      <c r="U818" s="5" t="s">
        <v>17</v>
      </c>
      <c r="V818" s="5" t="s">
        <v>19</v>
      </c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</row>
    <row r="819" spans="1:37" x14ac:dyDescent="0.25">
      <c r="A819" s="11">
        <f>Table1[[#This Row],[Milk Yield]]-J815</f>
        <v>469</v>
      </c>
      <c r="B819" t="s">
        <v>24</v>
      </c>
      <c r="C819" s="2">
        <v>1</v>
      </c>
      <c r="D819" s="12">
        <v>45672</v>
      </c>
      <c r="E819" s="2">
        <v>27</v>
      </c>
      <c r="F819" s="13">
        <v>0.33600694444444446</v>
      </c>
      <c r="G819" s="3">
        <v>0.51230324074074074</v>
      </c>
      <c r="H819" s="1">
        <v>0.17569444444444443</v>
      </c>
      <c r="I819" s="5">
        <v>540</v>
      </c>
      <c r="J819">
        <v>5209</v>
      </c>
      <c r="K819">
        <v>128</v>
      </c>
      <c r="L819" s="5">
        <v>247</v>
      </c>
      <c r="M819" s="5">
        <v>540</v>
      </c>
      <c r="N819">
        <v>29</v>
      </c>
      <c r="O819">
        <v>511</v>
      </c>
      <c r="P819" s="1">
        <v>0.28680555555555554</v>
      </c>
      <c r="Q819" s="5">
        <v>1231</v>
      </c>
      <c r="R819" s="14">
        <v>9.6999999999999993</v>
      </c>
      <c r="S819">
        <v>128</v>
      </c>
      <c r="T819" s="5">
        <v>29</v>
      </c>
      <c r="U819" s="5">
        <v>514</v>
      </c>
      <c r="V819" s="5">
        <v>3</v>
      </c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</row>
    <row r="820" spans="1:37" x14ac:dyDescent="0.25">
      <c r="A820" s="11">
        <f>Table1[[#This Row],[Milk Yield]]-J816</f>
        <v>-177</v>
      </c>
      <c r="B820" t="s">
        <v>24</v>
      </c>
      <c r="C820" s="2">
        <v>2</v>
      </c>
      <c r="D820" s="12">
        <v>45672</v>
      </c>
      <c r="E820" s="2">
        <v>23</v>
      </c>
      <c r="F820" s="13">
        <v>0.67032407407407413</v>
      </c>
      <c r="G820" s="3">
        <v>0.85248842592592589</v>
      </c>
      <c r="H820" s="1">
        <v>0.18194444444444444</v>
      </c>
      <c r="I820" s="5">
        <v>500</v>
      </c>
      <c r="J820">
        <v>4515</v>
      </c>
      <c r="K820">
        <v>114</v>
      </c>
      <c r="L820" s="5">
        <v>145</v>
      </c>
      <c r="M820" s="5">
        <v>500</v>
      </c>
      <c r="N820">
        <v>18</v>
      </c>
      <c r="O820">
        <v>482</v>
      </c>
      <c r="P820" s="1">
        <v>0.2638888888888889</v>
      </c>
      <c r="Q820" s="5">
        <v>1033</v>
      </c>
      <c r="R820" s="14">
        <v>9.1</v>
      </c>
      <c r="S820">
        <v>114</v>
      </c>
      <c r="T820" s="5">
        <v>18</v>
      </c>
      <c r="U820" s="5">
        <v>483</v>
      </c>
      <c r="V820" s="5">
        <v>1</v>
      </c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</row>
    <row r="821" spans="1:37" x14ac:dyDescent="0.25">
      <c r="A821" s="11">
        <f>Table1[[#This Row],[Milk Yield]]-J817</f>
        <v>339</v>
      </c>
      <c r="B821" t="s">
        <v>24</v>
      </c>
      <c r="C821" s="2">
        <v>3</v>
      </c>
      <c r="D821" s="12">
        <v>45672</v>
      </c>
      <c r="E821" s="2">
        <v>29</v>
      </c>
      <c r="F821" s="13">
        <v>3.6921296296296298E-3</v>
      </c>
      <c r="G821" s="3">
        <v>0.16885416666666667</v>
      </c>
      <c r="H821" s="1">
        <v>0.16458333333333333</v>
      </c>
      <c r="I821" s="5">
        <v>549</v>
      </c>
      <c r="J821">
        <v>5192</v>
      </c>
      <c r="K821">
        <v>138</v>
      </c>
      <c r="L821" s="5">
        <v>338</v>
      </c>
      <c r="M821" s="5">
        <v>549</v>
      </c>
      <c r="N821">
        <v>47</v>
      </c>
      <c r="O821">
        <v>502</v>
      </c>
      <c r="P821" s="1">
        <v>0.26527777777777778</v>
      </c>
      <c r="Q821" s="5">
        <v>1310</v>
      </c>
      <c r="R821" s="14">
        <v>9.5</v>
      </c>
      <c r="S821">
        <v>138</v>
      </c>
      <c r="T821" s="5">
        <v>47</v>
      </c>
      <c r="U821" s="5">
        <v>503</v>
      </c>
      <c r="V821" s="5">
        <v>1</v>
      </c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</row>
    <row r="822" spans="1:37" x14ac:dyDescent="0.25">
      <c r="A822" s="11" t="e">
        <f>Table1[[#This Row],[Milk Yield]]-J818</f>
        <v>#VALUE!</v>
      </c>
      <c r="B822" t="s">
        <v>0</v>
      </c>
      <c r="C822" s="2" t="s">
        <v>1</v>
      </c>
      <c r="D822" s="12" t="s">
        <v>2</v>
      </c>
      <c r="E822" s="2" t="s">
        <v>3</v>
      </c>
      <c r="F822" s="13" t="s">
        <v>4</v>
      </c>
      <c r="G822" s="3" t="s">
        <v>5</v>
      </c>
      <c r="H822" s="1" t="s">
        <v>6</v>
      </c>
      <c r="I822" s="5" t="s">
        <v>8</v>
      </c>
      <c r="J822" t="s">
        <v>9</v>
      </c>
      <c r="K822" t="s">
        <v>10</v>
      </c>
      <c r="L822" s="5" t="s">
        <v>11</v>
      </c>
      <c r="M822" s="5" t="s">
        <v>12</v>
      </c>
      <c r="N822" t="s">
        <v>13</v>
      </c>
      <c r="O822" t="s">
        <v>20</v>
      </c>
      <c r="P822" s="1" t="s">
        <v>7</v>
      </c>
      <c r="Q822" s="5" t="s">
        <v>15</v>
      </c>
      <c r="R822" s="14" t="s">
        <v>18</v>
      </c>
      <c r="S822" t="s">
        <v>16</v>
      </c>
      <c r="T822" s="5" t="s">
        <v>14</v>
      </c>
      <c r="U822" s="5" t="s">
        <v>17</v>
      </c>
      <c r="V822" s="5" t="s">
        <v>19</v>
      </c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</row>
    <row r="823" spans="1:37" x14ac:dyDescent="0.25">
      <c r="A823" s="11">
        <f>Table1[[#This Row],[Milk Yield]]-J819</f>
        <v>-526</v>
      </c>
      <c r="B823" t="s">
        <v>24</v>
      </c>
      <c r="C823" s="2">
        <v>1</v>
      </c>
      <c r="D823" s="12">
        <v>45673</v>
      </c>
      <c r="E823" s="2">
        <v>25</v>
      </c>
      <c r="F823" s="13">
        <v>0.33577546296296296</v>
      </c>
      <c r="G823" s="3">
        <v>0.49586805555555558</v>
      </c>
      <c r="H823" s="1">
        <v>0.15972222222222221</v>
      </c>
      <c r="I823" s="5">
        <v>500</v>
      </c>
      <c r="J823">
        <v>4683</v>
      </c>
      <c r="K823">
        <v>130</v>
      </c>
      <c r="L823" s="5">
        <v>232</v>
      </c>
      <c r="M823" s="5">
        <v>500</v>
      </c>
      <c r="N823">
        <v>27</v>
      </c>
      <c r="O823">
        <v>473</v>
      </c>
      <c r="P823" s="1">
        <v>0.28333333333333333</v>
      </c>
      <c r="Q823" s="5">
        <v>1219</v>
      </c>
      <c r="R823" s="14">
        <v>9.4</v>
      </c>
      <c r="S823">
        <v>130</v>
      </c>
      <c r="T823" s="5">
        <v>27</v>
      </c>
      <c r="U823" s="5">
        <v>474</v>
      </c>
      <c r="V823" s="5">
        <v>1</v>
      </c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</row>
    <row r="824" spans="1:37" x14ac:dyDescent="0.25">
      <c r="A824" s="11">
        <f>Table1[[#This Row],[Milk Yield]]-J820</f>
        <v>6</v>
      </c>
      <c r="B824" t="s">
        <v>24</v>
      </c>
      <c r="C824" s="2">
        <v>2</v>
      </c>
      <c r="D824" s="12">
        <v>45673</v>
      </c>
      <c r="E824" s="2">
        <v>26</v>
      </c>
      <c r="F824" s="13">
        <v>0.66733796296296299</v>
      </c>
      <c r="G824" s="3">
        <v>0.83895833333333336</v>
      </c>
      <c r="H824" s="1">
        <v>0.17152777777777778</v>
      </c>
      <c r="I824" s="5">
        <v>498</v>
      </c>
      <c r="J824">
        <v>4521</v>
      </c>
      <c r="K824">
        <v>121</v>
      </c>
      <c r="L824" s="5">
        <v>161</v>
      </c>
      <c r="M824" s="5">
        <v>497</v>
      </c>
      <c r="N824">
        <v>23</v>
      </c>
      <c r="O824">
        <v>474</v>
      </c>
      <c r="P824" s="1">
        <v>0.2722222222222222</v>
      </c>
      <c r="Q824" s="5">
        <v>1098</v>
      </c>
      <c r="R824" s="14">
        <v>9.1</v>
      </c>
      <c r="S824">
        <v>121</v>
      </c>
      <c r="T824" s="5">
        <v>23</v>
      </c>
      <c r="U824" s="5">
        <v>475</v>
      </c>
      <c r="V824" s="5">
        <v>1</v>
      </c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</row>
    <row r="825" spans="1:37" x14ac:dyDescent="0.25">
      <c r="A825" s="11">
        <f>Table1[[#This Row],[Milk Yield]]-J821</f>
        <v>-552</v>
      </c>
      <c r="B825" t="s">
        <v>24</v>
      </c>
      <c r="C825" s="2">
        <v>3</v>
      </c>
      <c r="D825" s="12">
        <v>45673</v>
      </c>
      <c r="E825" s="2">
        <v>31</v>
      </c>
      <c r="F825" s="13">
        <v>7.0601851851851847E-4</v>
      </c>
      <c r="G825" s="3">
        <v>0.15322916666666667</v>
      </c>
      <c r="H825" s="1">
        <v>0.15208333333333332</v>
      </c>
      <c r="I825" s="5">
        <v>520</v>
      </c>
      <c r="J825">
        <v>4640</v>
      </c>
      <c r="K825">
        <v>142</v>
      </c>
      <c r="L825" s="5">
        <v>273</v>
      </c>
      <c r="M825" s="5">
        <v>518</v>
      </c>
      <c r="N825">
        <v>39</v>
      </c>
      <c r="O825">
        <v>479</v>
      </c>
      <c r="P825" s="1">
        <v>0.24791666666666667</v>
      </c>
      <c r="Q825" s="5">
        <v>1267</v>
      </c>
      <c r="R825" s="14">
        <v>9</v>
      </c>
      <c r="S825">
        <v>142</v>
      </c>
      <c r="T825" s="5">
        <v>39</v>
      </c>
      <c r="U825" s="5">
        <v>480</v>
      </c>
      <c r="V825" s="5">
        <v>1</v>
      </c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</row>
    <row r="826" spans="1:37" x14ac:dyDescent="0.25">
      <c r="A826" s="11" t="e">
        <f>Table1[[#This Row],[Milk Yield]]-J822</f>
        <v>#VALUE!</v>
      </c>
      <c r="B826" t="s">
        <v>0</v>
      </c>
      <c r="C826" s="2" t="s">
        <v>1</v>
      </c>
      <c r="D826" s="12" t="s">
        <v>2</v>
      </c>
      <c r="E826" s="2" t="s">
        <v>3</v>
      </c>
      <c r="F826" s="13" t="s">
        <v>4</v>
      </c>
      <c r="G826" s="3" t="s">
        <v>5</v>
      </c>
      <c r="H826" s="1" t="s">
        <v>6</v>
      </c>
      <c r="I826" s="5" t="s">
        <v>8</v>
      </c>
      <c r="J826" t="s">
        <v>9</v>
      </c>
      <c r="K826" t="s">
        <v>10</v>
      </c>
      <c r="L826" s="5" t="s">
        <v>11</v>
      </c>
      <c r="M826" s="5" t="s">
        <v>12</v>
      </c>
      <c r="N826" t="s">
        <v>13</v>
      </c>
      <c r="O826" t="s">
        <v>20</v>
      </c>
      <c r="P826" s="1" t="s">
        <v>7</v>
      </c>
      <c r="Q826" s="5" t="s">
        <v>15</v>
      </c>
      <c r="R826" s="14" t="s">
        <v>18</v>
      </c>
      <c r="S826" t="s">
        <v>16</v>
      </c>
      <c r="T826" s="5" t="s">
        <v>14</v>
      </c>
      <c r="U826" s="5" t="s">
        <v>17</v>
      </c>
      <c r="V826" s="5" t="s">
        <v>19</v>
      </c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</row>
    <row r="827" spans="1:37" x14ac:dyDescent="0.25">
      <c r="A827" s="11">
        <f>Table1[[#This Row],[Milk Yield]]-J823</f>
        <v>2593</v>
      </c>
      <c r="B827" t="s">
        <v>24</v>
      </c>
      <c r="C827" s="2">
        <v>1</v>
      </c>
      <c r="D827" s="12">
        <v>45674</v>
      </c>
      <c r="E827" s="2">
        <v>34</v>
      </c>
      <c r="F827" s="13">
        <v>0.33613425925925927</v>
      </c>
      <c r="G827" s="3">
        <v>0.54486111111111113</v>
      </c>
      <c r="H827" s="1">
        <v>0.20833333333333334</v>
      </c>
      <c r="I827" s="5">
        <v>603</v>
      </c>
      <c r="J827">
        <v>7276</v>
      </c>
      <c r="K827">
        <v>120</v>
      </c>
      <c r="L827" s="5">
        <v>1781</v>
      </c>
      <c r="M827" s="5">
        <v>603</v>
      </c>
      <c r="N827">
        <v>107</v>
      </c>
      <c r="O827">
        <v>496</v>
      </c>
      <c r="P827" s="1">
        <v>0.30416666666666664</v>
      </c>
      <c r="Q827" s="5">
        <v>1452</v>
      </c>
      <c r="R827" s="14">
        <v>12.1</v>
      </c>
      <c r="S827">
        <v>120</v>
      </c>
      <c r="T827" s="5">
        <v>107</v>
      </c>
      <c r="U827" s="5">
        <v>492</v>
      </c>
      <c r="V827" s="5">
        <v>1</v>
      </c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</row>
    <row r="828" spans="1:37" x14ac:dyDescent="0.25">
      <c r="A828" s="11">
        <f>Table1[[#This Row],[Milk Yield]]-J824</f>
        <v>517</v>
      </c>
      <c r="B828" t="s">
        <v>24</v>
      </c>
      <c r="C828" s="2">
        <v>2</v>
      </c>
      <c r="D828" s="12">
        <v>45674</v>
      </c>
      <c r="E828" s="2">
        <v>30</v>
      </c>
      <c r="F828" s="13">
        <v>0.67274305555555558</v>
      </c>
      <c r="G828" s="3">
        <v>0.86820601851851853</v>
      </c>
      <c r="H828" s="1">
        <v>0.19513888888888889</v>
      </c>
      <c r="I828" s="5">
        <v>573</v>
      </c>
      <c r="J828">
        <v>5038</v>
      </c>
      <c r="K828">
        <v>122</v>
      </c>
      <c r="L828" s="5">
        <v>124</v>
      </c>
      <c r="M828" s="5">
        <v>571</v>
      </c>
      <c r="N828">
        <v>17</v>
      </c>
      <c r="O828">
        <v>554</v>
      </c>
      <c r="P828" s="1">
        <v>0.26111111111111113</v>
      </c>
      <c r="Q828" s="5">
        <v>1074</v>
      </c>
      <c r="R828" s="14">
        <v>8.9</v>
      </c>
      <c r="S828">
        <v>122</v>
      </c>
      <c r="T828" s="5">
        <v>17</v>
      </c>
      <c r="U828" s="5">
        <v>555</v>
      </c>
      <c r="V828" s="5">
        <v>1</v>
      </c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</row>
    <row r="829" spans="1:37" x14ac:dyDescent="0.25">
      <c r="A829" s="11">
        <f>Table1[[#This Row],[Milk Yield]]-J825</f>
        <v>1038</v>
      </c>
      <c r="B829" t="s">
        <v>24</v>
      </c>
      <c r="C829" s="2">
        <v>3</v>
      </c>
      <c r="D829" s="12">
        <v>45674</v>
      </c>
      <c r="E829" s="2">
        <v>33</v>
      </c>
      <c r="F829" s="13">
        <v>6.2500000000000001E-4</v>
      </c>
      <c r="G829" s="3">
        <v>0.19555555555555557</v>
      </c>
      <c r="H829" s="1">
        <v>0.19444444444444445</v>
      </c>
      <c r="I829" s="5">
        <v>591</v>
      </c>
      <c r="J829">
        <v>5678</v>
      </c>
      <c r="K829">
        <v>126</v>
      </c>
      <c r="L829" s="5">
        <v>166</v>
      </c>
      <c r="M829" s="5">
        <v>591</v>
      </c>
      <c r="N829">
        <v>24</v>
      </c>
      <c r="O829">
        <v>567</v>
      </c>
      <c r="P829" s="1">
        <v>0.25833333333333336</v>
      </c>
      <c r="Q829" s="5">
        <v>1214</v>
      </c>
      <c r="R829" s="14">
        <v>9.6999999999999993</v>
      </c>
      <c r="S829">
        <v>126</v>
      </c>
      <c r="T829" s="5">
        <v>24</v>
      </c>
      <c r="U829" s="5">
        <v>568</v>
      </c>
      <c r="V829" s="5">
        <v>1</v>
      </c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</row>
    <row r="830" spans="1:37" x14ac:dyDescent="0.25">
      <c r="A830" s="11" t="e">
        <f>Table1[[#This Row],[Milk Yield]]-J826</f>
        <v>#VALUE!</v>
      </c>
      <c r="B830" t="s">
        <v>0</v>
      </c>
      <c r="C830" s="2" t="s">
        <v>1</v>
      </c>
      <c r="D830" s="12" t="s">
        <v>2</v>
      </c>
      <c r="E830" s="2" t="s">
        <v>3</v>
      </c>
      <c r="F830" s="13" t="s">
        <v>4</v>
      </c>
      <c r="G830" s="3" t="s">
        <v>5</v>
      </c>
      <c r="H830" s="1" t="s">
        <v>6</v>
      </c>
      <c r="I830" s="5" t="s">
        <v>8</v>
      </c>
      <c r="J830" t="s">
        <v>9</v>
      </c>
      <c r="K830" t="s">
        <v>10</v>
      </c>
      <c r="L830" s="5" t="s">
        <v>11</v>
      </c>
      <c r="M830" s="5" t="s">
        <v>12</v>
      </c>
      <c r="N830" t="s">
        <v>13</v>
      </c>
      <c r="O830" t="s">
        <v>20</v>
      </c>
      <c r="P830" s="1" t="s">
        <v>7</v>
      </c>
      <c r="Q830" s="5" t="s">
        <v>15</v>
      </c>
      <c r="R830" s="14" t="s">
        <v>18</v>
      </c>
      <c r="S830" t="s">
        <v>16</v>
      </c>
      <c r="T830" s="5" t="s">
        <v>14</v>
      </c>
      <c r="U830" s="5" t="s">
        <v>17</v>
      </c>
      <c r="V830" s="5" t="s">
        <v>19</v>
      </c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</row>
    <row r="831" spans="1:37" x14ac:dyDescent="0.25">
      <c r="A831" s="11">
        <f>Table1[[#This Row],[Milk Yield]]-J827</f>
        <v>-1347</v>
      </c>
      <c r="B831" t="s">
        <v>24</v>
      </c>
      <c r="C831" s="2">
        <v>1</v>
      </c>
      <c r="D831" s="12">
        <v>45675</v>
      </c>
      <c r="E831" s="2">
        <v>31</v>
      </c>
      <c r="F831" s="13">
        <v>0.33612268518518518</v>
      </c>
      <c r="G831" s="3">
        <v>0.53652777777777783</v>
      </c>
      <c r="H831" s="1">
        <v>0.2</v>
      </c>
      <c r="I831" s="5">
        <v>587</v>
      </c>
      <c r="J831">
        <v>5929</v>
      </c>
      <c r="K831">
        <v>122</v>
      </c>
      <c r="L831" s="5">
        <v>169</v>
      </c>
      <c r="M831" s="5">
        <v>587</v>
      </c>
      <c r="N831">
        <v>20</v>
      </c>
      <c r="O831">
        <v>567</v>
      </c>
      <c r="P831" s="1">
        <v>0.29166666666666669</v>
      </c>
      <c r="Q831" s="5">
        <v>1233</v>
      </c>
      <c r="R831" s="14">
        <v>10.199999999999999</v>
      </c>
      <c r="S831">
        <v>122</v>
      </c>
      <c r="T831" s="5">
        <v>20</v>
      </c>
      <c r="U831" s="5">
        <v>568</v>
      </c>
      <c r="V831" s="5">
        <v>1</v>
      </c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</row>
    <row r="832" spans="1:37" x14ac:dyDescent="0.25">
      <c r="A832" s="11">
        <f>Table1[[#This Row],[Milk Yield]]-J828</f>
        <v>610</v>
      </c>
      <c r="B832" t="s">
        <v>24</v>
      </c>
      <c r="C832" s="2">
        <v>2</v>
      </c>
      <c r="D832" s="12">
        <v>45675</v>
      </c>
      <c r="E832" s="2">
        <v>29</v>
      </c>
      <c r="F832" s="13">
        <v>0.67126157407407405</v>
      </c>
      <c r="G832" s="3">
        <v>0.88658564814814811</v>
      </c>
      <c r="H832" s="1">
        <v>0.21527777777777779</v>
      </c>
      <c r="I832" s="5">
        <v>571</v>
      </c>
      <c r="J832">
        <v>5648</v>
      </c>
      <c r="K832">
        <v>110</v>
      </c>
      <c r="L832" s="5">
        <v>195</v>
      </c>
      <c r="M832" s="5">
        <v>571</v>
      </c>
      <c r="N832">
        <v>25</v>
      </c>
      <c r="O832">
        <v>546</v>
      </c>
      <c r="P832" s="1">
        <v>0.30416666666666664</v>
      </c>
      <c r="Q832" s="5">
        <v>1093</v>
      </c>
      <c r="R832" s="14">
        <v>9.9</v>
      </c>
      <c r="S832">
        <v>110</v>
      </c>
      <c r="T832" s="5">
        <v>25</v>
      </c>
      <c r="U832" s="5">
        <v>547</v>
      </c>
      <c r="V832" s="5">
        <v>1</v>
      </c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</row>
    <row r="833" spans="1:37" x14ac:dyDescent="0.25">
      <c r="A833" s="11">
        <f>Table1[[#This Row],[Milk Yield]]-J829</f>
        <v>267</v>
      </c>
      <c r="B833" t="s">
        <v>24</v>
      </c>
      <c r="C833" s="2">
        <v>3</v>
      </c>
      <c r="D833" s="12">
        <v>45675</v>
      </c>
      <c r="E833" s="2">
        <v>31</v>
      </c>
      <c r="F833" s="13">
        <v>3.7847222222222223E-3</v>
      </c>
      <c r="G833" s="3">
        <v>0.21385416666666668</v>
      </c>
      <c r="H833" s="1">
        <v>0.20972222222222223</v>
      </c>
      <c r="I833" s="5">
        <v>592</v>
      </c>
      <c r="J833">
        <v>5945</v>
      </c>
      <c r="K833">
        <v>117</v>
      </c>
      <c r="L833" s="5">
        <v>94</v>
      </c>
      <c r="M833" s="5">
        <v>591</v>
      </c>
      <c r="N833">
        <v>13</v>
      </c>
      <c r="O833">
        <v>578</v>
      </c>
      <c r="P833" s="1">
        <v>0.27291666666666664</v>
      </c>
      <c r="Q833" s="5">
        <v>1179</v>
      </c>
      <c r="R833" s="14">
        <v>10.1</v>
      </c>
      <c r="S833">
        <v>117</v>
      </c>
      <c r="T833" s="5">
        <v>13</v>
      </c>
      <c r="U833" s="5">
        <v>579</v>
      </c>
      <c r="V833" s="5">
        <v>1</v>
      </c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</row>
    <row r="834" spans="1:37" x14ac:dyDescent="0.25">
      <c r="A834" s="11" t="e">
        <f>Table1[[#This Row],[Milk Yield]]-J830</f>
        <v>#VALUE!</v>
      </c>
      <c r="B834" t="s">
        <v>0</v>
      </c>
      <c r="C834" s="2" t="s">
        <v>1</v>
      </c>
      <c r="D834" s="12" t="s">
        <v>2</v>
      </c>
      <c r="E834" s="2" t="s">
        <v>3</v>
      </c>
      <c r="F834" s="13" t="s">
        <v>4</v>
      </c>
      <c r="G834" s="3" t="s">
        <v>5</v>
      </c>
      <c r="H834" s="1" t="s">
        <v>6</v>
      </c>
      <c r="I834" s="5" t="s">
        <v>8</v>
      </c>
      <c r="J834" t="s">
        <v>9</v>
      </c>
      <c r="K834" t="s">
        <v>10</v>
      </c>
      <c r="L834" s="5" t="s">
        <v>11</v>
      </c>
      <c r="M834" s="5" t="s">
        <v>12</v>
      </c>
      <c r="N834" t="s">
        <v>13</v>
      </c>
      <c r="O834" t="s">
        <v>20</v>
      </c>
      <c r="P834" s="1" t="s">
        <v>7</v>
      </c>
      <c r="Q834" s="5" t="s">
        <v>15</v>
      </c>
      <c r="R834" s="14" t="s">
        <v>18</v>
      </c>
      <c r="S834" t="s">
        <v>16</v>
      </c>
      <c r="T834" s="5" t="s">
        <v>14</v>
      </c>
      <c r="U834" s="5" t="s">
        <v>17</v>
      </c>
      <c r="V834" s="5" t="s">
        <v>19</v>
      </c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</row>
    <row r="835" spans="1:37" x14ac:dyDescent="0.25">
      <c r="A835" s="11">
        <f>Table1[[#This Row],[Milk Yield]]-J831</f>
        <v>-279</v>
      </c>
      <c r="B835" t="s">
        <v>24</v>
      </c>
      <c r="C835" s="2">
        <v>1</v>
      </c>
      <c r="D835" s="12">
        <v>45676</v>
      </c>
      <c r="E835" s="2">
        <v>31</v>
      </c>
      <c r="F835" s="13">
        <v>0.32871527777777776</v>
      </c>
      <c r="G835" s="3">
        <v>0.52440972222222226</v>
      </c>
      <c r="H835" s="1">
        <v>0.19513888888888889</v>
      </c>
      <c r="I835" s="5">
        <v>593</v>
      </c>
      <c r="J835">
        <v>5650</v>
      </c>
      <c r="K835">
        <v>126</v>
      </c>
      <c r="L835" s="5">
        <v>190</v>
      </c>
      <c r="M835" s="5">
        <v>593</v>
      </c>
      <c r="N835">
        <v>24</v>
      </c>
      <c r="O835">
        <v>569</v>
      </c>
      <c r="P835" s="1">
        <v>0.28333333333333333</v>
      </c>
      <c r="Q835" s="5">
        <v>1203</v>
      </c>
      <c r="R835" s="14">
        <v>9.6</v>
      </c>
      <c r="S835">
        <v>126</v>
      </c>
      <c r="T835" s="5">
        <v>24</v>
      </c>
      <c r="U835" s="5">
        <v>569</v>
      </c>
      <c r="V835" s="5">
        <v>0</v>
      </c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</row>
    <row r="836" spans="1:37" x14ac:dyDescent="0.25">
      <c r="A836" s="11">
        <f>Table1[[#This Row],[Milk Yield]]-J832</f>
        <v>41</v>
      </c>
      <c r="B836" t="s">
        <v>24</v>
      </c>
      <c r="C836" s="2">
        <v>2</v>
      </c>
      <c r="D836" s="12">
        <v>45676</v>
      </c>
      <c r="E836" s="2">
        <v>30</v>
      </c>
      <c r="F836" s="13">
        <v>0.66666666666666663</v>
      </c>
      <c r="G836" s="3">
        <v>0.87652777777777779</v>
      </c>
      <c r="H836" s="1">
        <v>0.20972222222222223</v>
      </c>
      <c r="I836" s="5">
        <v>596</v>
      </c>
      <c r="J836">
        <v>5689</v>
      </c>
      <c r="K836">
        <v>118</v>
      </c>
      <c r="L836" s="5">
        <v>209</v>
      </c>
      <c r="M836" s="5">
        <v>596</v>
      </c>
      <c r="N836">
        <v>22</v>
      </c>
      <c r="O836">
        <v>574</v>
      </c>
      <c r="P836" s="1">
        <v>0.28263888888888888</v>
      </c>
      <c r="Q836" s="5">
        <v>1129</v>
      </c>
      <c r="R836" s="14">
        <v>9.6</v>
      </c>
      <c r="S836">
        <v>118</v>
      </c>
      <c r="T836" s="5">
        <v>22</v>
      </c>
      <c r="U836" s="5">
        <v>574</v>
      </c>
      <c r="V836" s="5">
        <v>0</v>
      </c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</row>
    <row r="837" spans="1:37" x14ac:dyDescent="0.25">
      <c r="A837" s="11">
        <f>Table1[[#This Row],[Milk Yield]]-J833</f>
        <v>-226</v>
      </c>
      <c r="B837" t="s">
        <v>24</v>
      </c>
      <c r="C837" s="2">
        <v>3</v>
      </c>
      <c r="D837" s="12">
        <v>45676</v>
      </c>
      <c r="E837" s="2">
        <v>34</v>
      </c>
      <c r="F837" s="13">
        <v>3.0555555555555557E-3</v>
      </c>
      <c r="G837" s="3">
        <v>0.18864583333333335</v>
      </c>
      <c r="H837" s="1">
        <v>0.18541666666666667</v>
      </c>
      <c r="I837" s="5">
        <v>602</v>
      </c>
      <c r="J837">
        <v>5719</v>
      </c>
      <c r="K837">
        <v>135</v>
      </c>
      <c r="L837" s="5">
        <v>286</v>
      </c>
      <c r="M837" s="5">
        <v>601</v>
      </c>
      <c r="N837">
        <v>37</v>
      </c>
      <c r="O837">
        <v>564</v>
      </c>
      <c r="P837" s="1">
        <v>0.24166666666666667</v>
      </c>
      <c r="Q837" s="5">
        <v>1284</v>
      </c>
      <c r="R837" s="14">
        <v>9.6</v>
      </c>
      <c r="S837">
        <v>135</v>
      </c>
      <c r="T837" s="5">
        <v>37</v>
      </c>
      <c r="U837" s="5">
        <v>564</v>
      </c>
      <c r="V837" s="5">
        <v>0</v>
      </c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</row>
    <row r="838" spans="1:37" x14ac:dyDescent="0.25">
      <c r="A838" s="11" t="e">
        <f>Table1[[#This Row],[Milk Yield]]-J834</f>
        <v>#VALUE!</v>
      </c>
      <c r="B838" t="s">
        <v>0</v>
      </c>
      <c r="C838" s="2" t="s">
        <v>1</v>
      </c>
      <c r="D838" s="12" t="s">
        <v>2</v>
      </c>
      <c r="E838" s="2" t="s">
        <v>3</v>
      </c>
      <c r="F838" s="13" t="s">
        <v>4</v>
      </c>
      <c r="G838" s="3" t="s">
        <v>5</v>
      </c>
      <c r="H838" s="1" t="s">
        <v>6</v>
      </c>
      <c r="I838" s="5" t="s">
        <v>8</v>
      </c>
      <c r="J838" t="s">
        <v>9</v>
      </c>
      <c r="K838" t="s">
        <v>10</v>
      </c>
      <c r="L838" s="5" t="s">
        <v>11</v>
      </c>
      <c r="M838" s="5" t="s">
        <v>12</v>
      </c>
      <c r="N838" t="s">
        <v>13</v>
      </c>
      <c r="O838" t="s">
        <v>20</v>
      </c>
      <c r="P838" s="1" t="s">
        <v>7</v>
      </c>
      <c r="Q838" s="5" t="s">
        <v>15</v>
      </c>
      <c r="R838" s="14" t="s">
        <v>18</v>
      </c>
      <c r="S838" t="s">
        <v>16</v>
      </c>
      <c r="T838" s="5" t="s">
        <v>14</v>
      </c>
      <c r="U838" s="5" t="s">
        <v>17</v>
      </c>
      <c r="V838" s="5" t="s">
        <v>19</v>
      </c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</row>
    <row r="839" spans="1:37" x14ac:dyDescent="0.25">
      <c r="A839" s="11">
        <f>Table1[[#This Row],[Milk Yield]]-J835</f>
        <v>728</v>
      </c>
      <c r="B839" t="s">
        <v>24</v>
      </c>
      <c r="C839" s="2">
        <v>1</v>
      </c>
      <c r="D839" s="12">
        <v>45677</v>
      </c>
      <c r="E839" s="2">
        <v>27</v>
      </c>
      <c r="F839" s="13">
        <v>0.34087962962962964</v>
      </c>
      <c r="G839" s="3">
        <v>0.57339120370370367</v>
      </c>
      <c r="H839" s="1">
        <v>0.23194444444444445</v>
      </c>
      <c r="I839" s="5">
        <v>564</v>
      </c>
      <c r="J839">
        <v>6378</v>
      </c>
      <c r="K839">
        <v>101</v>
      </c>
      <c r="L839" s="5">
        <v>79</v>
      </c>
      <c r="M839" s="5">
        <v>564</v>
      </c>
      <c r="N839">
        <v>9</v>
      </c>
      <c r="O839">
        <v>555</v>
      </c>
      <c r="P839" s="1">
        <v>0.3215277777777778</v>
      </c>
      <c r="Q839" s="5">
        <v>1143</v>
      </c>
      <c r="R839" s="14">
        <v>11.4</v>
      </c>
      <c r="S839">
        <v>101</v>
      </c>
      <c r="T839" s="5">
        <v>9</v>
      </c>
      <c r="U839" s="5">
        <v>555</v>
      </c>
      <c r="V839" s="5">
        <v>0</v>
      </c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</row>
    <row r="840" spans="1:37" x14ac:dyDescent="0.25">
      <c r="A840" s="11">
        <f>Table1[[#This Row],[Milk Yield]]-J836</f>
        <v>-524</v>
      </c>
      <c r="B840" t="s">
        <v>24</v>
      </c>
      <c r="C840" s="2">
        <v>2</v>
      </c>
      <c r="D840" s="12">
        <v>45677</v>
      </c>
      <c r="E840" s="2">
        <v>29</v>
      </c>
      <c r="F840" s="13">
        <v>0.66964120370370372</v>
      </c>
      <c r="G840" s="3">
        <v>0.85842592592592593</v>
      </c>
      <c r="H840" s="1">
        <v>0.18819444444444444</v>
      </c>
      <c r="I840" s="5">
        <v>584</v>
      </c>
      <c r="J840">
        <v>5165</v>
      </c>
      <c r="K840">
        <v>129</v>
      </c>
      <c r="L840" s="5">
        <v>236</v>
      </c>
      <c r="M840" s="5">
        <v>584</v>
      </c>
      <c r="N840">
        <v>35</v>
      </c>
      <c r="O840">
        <v>549</v>
      </c>
      <c r="P840" s="1">
        <v>0.26805555555555555</v>
      </c>
      <c r="Q840" s="5">
        <v>1140</v>
      </c>
      <c r="R840" s="14">
        <v>8.9</v>
      </c>
      <c r="S840">
        <v>129</v>
      </c>
      <c r="T840" s="5">
        <v>35</v>
      </c>
      <c r="U840" s="5">
        <v>549</v>
      </c>
      <c r="V840" s="5">
        <v>0</v>
      </c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</row>
    <row r="841" spans="1:37" x14ac:dyDescent="0.25">
      <c r="A841" s="11">
        <f>Table1[[#This Row],[Milk Yield]]-J837</f>
        <v>654</v>
      </c>
      <c r="B841" t="s">
        <v>24</v>
      </c>
      <c r="C841" s="2">
        <v>3</v>
      </c>
      <c r="D841" s="12">
        <v>45677</v>
      </c>
      <c r="E841" s="2">
        <v>31</v>
      </c>
      <c r="F841" s="13">
        <v>2.1527777777777778E-3</v>
      </c>
      <c r="G841" s="3">
        <v>0.24557870370370372</v>
      </c>
      <c r="H841" s="1">
        <v>0.24305555555555555</v>
      </c>
      <c r="I841" s="5">
        <v>626</v>
      </c>
      <c r="J841">
        <v>6373</v>
      </c>
      <c r="K841">
        <v>107</v>
      </c>
      <c r="L841" s="5">
        <v>240</v>
      </c>
      <c r="M841" s="5">
        <v>626</v>
      </c>
      <c r="N841">
        <v>46</v>
      </c>
      <c r="O841">
        <v>580</v>
      </c>
      <c r="P841" s="1">
        <v>0.27986111111111112</v>
      </c>
      <c r="Q841" s="5">
        <v>1091</v>
      </c>
      <c r="R841" s="14">
        <v>10.199999999999999</v>
      </c>
      <c r="S841">
        <v>107</v>
      </c>
      <c r="T841" s="5">
        <v>46</v>
      </c>
      <c r="U841" s="5">
        <v>580</v>
      </c>
      <c r="V841" s="5">
        <v>0</v>
      </c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</row>
    <row r="842" spans="1:37" x14ac:dyDescent="0.25">
      <c r="A842" s="11" t="e">
        <f>Table1[[#This Row],[Milk Yield]]-J838</f>
        <v>#VALUE!</v>
      </c>
      <c r="B842" t="s">
        <v>0</v>
      </c>
      <c r="C842" s="2" t="s">
        <v>1</v>
      </c>
      <c r="D842" s="12" t="s">
        <v>2</v>
      </c>
      <c r="E842" s="2" t="s">
        <v>3</v>
      </c>
      <c r="F842" s="13" t="s">
        <v>4</v>
      </c>
      <c r="G842" s="3" t="s">
        <v>5</v>
      </c>
      <c r="H842" s="1" t="s">
        <v>6</v>
      </c>
      <c r="I842" s="5" t="s">
        <v>8</v>
      </c>
      <c r="J842" t="s">
        <v>9</v>
      </c>
      <c r="K842" t="s">
        <v>10</v>
      </c>
      <c r="L842" s="5" t="s">
        <v>11</v>
      </c>
      <c r="M842" s="5" t="s">
        <v>12</v>
      </c>
      <c r="N842" t="s">
        <v>13</v>
      </c>
      <c r="O842" t="s">
        <v>20</v>
      </c>
      <c r="P842" s="1" t="s">
        <v>7</v>
      </c>
      <c r="Q842" s="5" t="s">
        <v>15</v>
      </c>
      <c r="R842" s="14" t="s">
        <v>18</v>
      </c>
      <c r="S842" t="s">
        <v>16</v>
      </c>
      <c r="T842" s="5" t="s">
        <v>14</v>
      </c>
      <c r="U842" s="5" t="s">
        <v>17</v>
      </c>
      <c r="V842" s="5" t="s">
        <v>19</v>
      </c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</row>
    <row r="843" spans="1:37" x14ac:dyDescent="0.25">
      <c r="A843" s="11">
        <f>Table1[[#This Row],[Milk Yield]]-J839</f>
        <v>-949</v>
      </c>
      <c r="B843" t="s">
        <v>24</v>
      </c>
      <c r="C843" s="2">
        <v>1</v>
      </c>
      <c r="D843" s="12">
        <v>45678</v>
      </c>
      <c r="E843" s="2">
        <v>31</v>
      </c>
      <c r="F843" s="13">
        <v>0.3354861111111111</v>
      </c>
      <c r="G843" s="3">
        <v>0.52261574074074069</v>
      </c>
      <c r="H843" s="1">
        <v>0.18680555555555556</v>
      </c>
      <c r="I843" s="5">
        <v>594</v>
      </c>
      <c r="J843">
        <v>5429</v>
      </c>
      <c r="K843">
        <v>132</v>
      </c>
      <c r="L843" s="5">
        <v>154</v>
      </c>
      <c r="M843" s="5">
        <v>594</v>
      </c>
      <c r="N843">
        <v>18</v>
      </c>
      <c r="O843">
        <v>576</v>
      </c>
      <c r="P843" s="1">
        <v>0.28055555555555556</v>
      </c>
      <c r="Q843" s="5">
        <v>1209</v>
      </c>
      <c r="R843" s="14">
        <v>9.1999999999999993</v>
      </c>
      <c r="S843">
        <v>132</v>
      </c>
      <c r="T843" s="5">
        <v>18</v>
      </c>
      <c r="U843" s="5">
        <v>576</v>
      </c>
      <c r="V843" s="5">
        <v>0</v>
      </c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</row>
    <row r="844" spans="1:37" x14ac:dyDescent="0.25">
      <c r="A844" s="11">
        <f>Table1[[#This Row],[Milk Yield]]-J840</f>
        <v>551</v>
      </c>
      <c r="B844" t="s">
        <v>24</v>
      </c>
      <c r="C844" s="2">
        <v>2</v>
      </c>
      <c r="D844" s="12">
        <v>45678</v>
      </c>
      <c r="E844" s="2">
        <v>29</v>
      </c>
      <c r="F844" s="13">
        <v>0.66980324074074071</v>
      </c>
      <c r="G844" s="3">
        <v>0.85576388888888888</v>
      </c>
      <c r="H844" s="1">
        <v>0.18541666666666667</v>
      </c>
      <c r="I844" s="5">
        <v>590</v>
      </c>
      <c r="J844">
        <v>5716</v>
      </c>
      <c r="K844">
        <v>132</v>
      </c>
      <c r="L844" s="5">
        <v>118</v>
      </c>
      <c r="M844" s="5">
        <v>589</v>
      </c>
      <c r="N844">
        <v>16</v>
      </c>
      <c r="O844">
        <v>573</v>
      </c>
      <c r="P844" s="1">
        <v>0.26458333333333334</v>
      </c>
      <c r="Q844" s="5">
        <v>1281</v>
      </c>
      <c r="R844" s="14">
        <v>9.8000000000000007</v>
      </c>
      <c r="S844">
        <v>132</v>
      </c>
      <c r="T844" s="5">
        <v>16</v>
      </c>
      <c r="U844" s="5">
        <v>573</v>
      </c>
      <c r="V844" s="5">
        <v>0</v>
      </c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</row>
    <row r="845" spans="1:37" x14ac:dyDescent="0.25">
      <c r="A845" s="11">
        <f>Table1[[#This Row],[Milk Yield]]-J841</f>
        <v>-169</v>
      </c>
      <c r="B845" t="s">
        <v>24</v>
      </c>
      <c r="C845" s="2">
        <v>3</v>
      </c>
      <c r="D845" s="12">
        <v>45678</v>
      </c>
      <c r="E845" s="2">
        <v>28</v>
      </c>
      <c r="F845" s="13">
        <v>2.5231481481481481E-3</v>
      </c>
      <c r="G845" s="3">
        <v>0.25628472222222221</v>
      </c>
      <c r="H845" s="1">
        <v>0.25347222222222221</v>
      </c>
      <c r="I845" s="5">
        <v>542</v>
      </c>
      <c r="J845">
        <v>6204</v>
      </c>
      <c r="K845">
        <v>89</v>
      </c>
      <c r="L845" s="5">
        <v>120</v>
      </c>
      <c r="M845" s="5">
        <v>541</v>
      </c>
      <c r="N845">
        <v>14</v>
      </c>
      <c r="O845">
        <v>527</v>
      </c>
      <c r="P845" s="1">
        <v>0.35625000000000001</v>
      </c>
      <c r="Q845" s="5">
        <v>1019</v>
      </c>
      <c r="R845" s="14">
        <v>11.5</v>
      </c>
      <c r="S845">
        <v>89</v>
      </c>
      <c r="T845" s="5">
        <v>14</v>
      </c>
      <c r="U845" s="5">
        <v>527</v>
      </c>
      <c r="V845" s="5">
        <v>0</v>
      </c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</row>
    <row r="846" spans="1:37" x14ac:dyDescent="0.25">
      <c r="A846" s="11" t="e">
        <f>Table1[[#This Row],[Milk Yield]]-J842</f>
        <v>#VALUE!</v>
      </c>
      <c r="B846" t="s">
        <v>0</v>
      </c>
      <c r="C846" s="2" t="s">
        <v>1</v>
      </c>
      <c r="D846" s="12" t="s">
        <v>2</v>
      </c>
      <c r="E846" s="2" t="s">
        <v>3</v>
      </c>
      <c r="F846" s="13" t="s">
        <v>4</v>
      </c>
      <c r="G846" s="3" t="s">
        <v>5</v>
      </c>
      <c r="H846" s="1" t="s">
        <v>6</v>
      </c>
      <c r="I846" s="5" t="s">
        <v>8</v>
      </c>
      <c r="J846" t="s">
        <v>9</v>
      </c>
      <c r="K846" t="s">
        <v>10</v>
      </c>
      <c r="L846" s="5" t="s">
        <v>11</v>
      </c>
      <c r="M846" s="5" t="s">
        <v>12</v>
      </c>
      <c r="N846" t="s">
        <v>13</v>
      </c>
      <c r="O846" t="s">
        <v>20</v>
      </c>
      <c r="P846" s="1" t="s">
        <v>7</v>
      </c>
      <c r="Q846" s="5" t="s">
        <v>15</v>
      </c>
      <c r="R846" s="14" t="s">
        <v>18</v>
      </c>
      <c r="S846" t="s">
        <v>16</v>
      </c>
      <c r="T846" s="5" t="s">
        <v>14</v>
      </c>
      <c r="U846" s="5" t="s">
        <v>17</v>
      </c>
      <c r="V846" s="5" t="s">
        <v>19</v>
      </c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</row>
    <row r="847" spans="1:37" x14ac:dyDescent="0.25">
      <c r="A847" s="11">
        <f>Table1[[#This Row],[Milk Yield]]-J843</f>
        <v>96</v>
      </c>
      <c r="B847" t="s">
        <v>24</v>
      </c>
      <c r="C847" s="2">
        <v>1</v>
      </c>
      <c r="D847" s="12">
        <v>45679</v>
      </c>
      <c r="E847" s="2">
        <v>29</v>
      </c>
      <c r="F847" s="13">
        <v>0.33724537037037039</v>
      </c>
      <c r="G847" s="3">
        <v>0.52681712962962968</v>
      </c>
      <c r="H847" s="1">
        <v>0.18958333333333333</v>
      </c>
      <c r="I847" s="5">
        <v>591</v>
      </c>
      <c r="J847">
        <v>5525</v>
      </c>
      <c r="K847">
        <v>130</v>
      </c>
      <c r="L847" s="5">
        <v>105</v>
      </c>
      <c r="M847" s="5">
        <v>591</v>
      </c>
      <c r="N847">
        <v>13</v>
      </c>
      <c r="O847">
        <v>578</v>
      </c>
      <c r="P847" s="1">
        <v>0.25486111111111109</v>
      </c>
      <c r="Q847" s="5">
        <v>1214</v>
      </c>
      <c r="R847" s="14">
        <v>9.4</v>
      </c>
      <c r="S847">
        <v>130</v>
      </c>
      <c r="T847" s="5">
        <v>13</v>
      </c>
      <c r="U847" s="5">
        <v>578</v>
      </c>
      <c r="V847" s="5">
        <v>0</v>
      </c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</row>
    <row r="848" spans="1:37" x14ac:dyDescent="0.25">
      <c r="A848" s="11">
        <f>Table1[[#This Row],[Milk Yield]]-J844</f>
        <v>-198</v>
      </c>
      <c r="B848" t="s">
        <v>24</v>
      </c>
      <c r="C848" s="2">
        <v>2</v>
      </c>
      <c r="D848" s="12">
        <v>45679</v>
      </c>
      <c r="E848" s="2">
        <v>29</v>
      </c>
      <c r="F848" s="13">
        <v>0.66831018518518515</v>
      </c>
      <c r="G848" s="3">
        <v>0.86186342592592591</v>
      </c>
      <c r="H848" s="1">
        <v>0.19305555555555556</v>
      </c>
      <c r="I848" s="5">
        <v>590</v>
      </c>
      <c r="J848">
        <v>5518</v>
      </c>
      <c r="K848">
        <v>127</v>
      </c>
      <c r="L848" s="5">
        <v>76</v>
      </c>
      <c r="M848" s="5">
        <v>590</v>
      </c>
      <c r="N848">
        <v>9</v>
      </c>
      <c r="O848">
        <v>581</v>
      </c>
      <c r="P848" s="1">
        <v>0.31041666666666667</v>
      </c>
      <c r="Q848" s="5">
        <v>1188</v>
      </c>
      <c r="R848" s="14">
        <v>9.4</v>
      </c>
      <c r="S848">
        <v>127</v>
      </c>
      <c r="T848" s="5">
        <v>9</v>
      </c>
      <c r="U848" s="5">
        <v>581</v>
      </c>
      <c r="V848" s="5">
        <v>0</v>
      </c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</row>
    <row r="849" spans="1:37" x14ac:dyDescent="0.25">
      <c r="A849" s="11">
        <f>Table1[[#This Row],[Milk Yield]]-J845</f>
        <v>160</v>
      </c>
      <c r="B849" t="s">
        <v>24</v>
      </c>
      <c r="C849" s="2">
        <v>3</v>
      </c>
      <c r="D849" s="12">
        <v>45679</v>
      </c>
      <c r="E849" s="2">
        <v>29</v>
      </c>
      <c r="F849" s="13">
        <v>9.3749999999999997E-4</v>
      </c>
      <c r="G849" s="3">
        <v>0.24601851851851853</v>
      </c>
      <c r="H849" s="1">
        <v>0.24444444444444444</v>
      </c>
      <c r="I849" s="5">
        <v>595</v>
      </c>
      <c r="J849">
        <v>6364</v>
      </c>
      <c r="K849">
        <v>101</v>
      </c>
      <c r="L849" s="5">
        <v>117</v>
      </c>
      <c r="M849" s="5">
        <v>595</v>
      </c>
      <c r="N849">
        <v>13</v>
      </c>
      <c r="O849">
        <v>582</v>
      </c>
      <c r="P849" s="1">
        <v>0.30208333333333331</v>
      </c>
      <c r="Q849" s="5">
        <v>1082</v>
      </c>
      <c r="R849" s="14">
        <v>10.7</v>
      </c>
      <c r="S849">
        <v>101</v>
      </c>
      <c r="T849" s="5">
        <v>13</v>
      </c>
      <c r="U849" s="5">
        <v>582</v>
      </c>
      <c r="V849" s="5">
        <v>0</v>
      </c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</row>
    <row r="850" spans="1:37" x14ac:dyDescent="0.25">
      <c r="A850" s="11" t="e">
        <f>Table1[[#This Row],[Milk Yield]]-J846</f>
        <v>#VALUE!</v>
      </c>
      <c r="B850" t="s">
        <v>0</v>
      </c>
      <c r="C850" s="2" t="s">
        <v>1</v>
      </c>
      <c r="D850" s="12" t="s">
        <v>2</v>
      </c>
      <c r="E850" s="2" t="s">
        <v>3</v>
      </c>
      <c r="F850" s="13" t="s">
        <v>4</v>
      </c>
      <c r="G850" s="3" t="s">
        <v>5</v>
      </c>
      <c r="H850" s="1" t="s">
        <v>6</v>
      </c>
      <c r="I850" s="5" t="s">
        <v>8</v>
      </c>
      <c r="J850" t="s">
        <v>9</v>
      </c>
      <c r="K850" t="s">
        <v>10</v>
      </c>
      <c r="L850" s="5" t="s">
        <v>11</v>
      </c>
      <c r="M850" s="5" t="s">
        <v>12</v>
      </c>
      <c r="N850" t="s">
        <v>13</v>
      </c>
      <c r="O850" t="s">
        <v>20</v>
      </c>
      <c r="P850" s="1" t="s">
        <v>7</v>
      </c>
      <c r="Q850" s="5" t="s">
        <v>15</v>
      </c>
      <c r="R850" s="14" t="s">
        <v>18</v>
      </c>
      <c r="S850" t="s">
        <v>16</v>
      </c>
      <c r="T850" s="5" t="s">
        <v>14</v>
      </c>
      <c r="U850" s="5" t="s">
        <v>17</v>
      </c>
      <c r="V850" s="5" t="s">
        <v>19</v>
      </c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</row>
    <row r="851" spans="1:37" x14ac:dyDescent="0.25">
      <c r="A851" s="11">
        <f>Table1[[#This Row],[Milk Yield]]-J847</f>
        <v>369</v>
      </c>
      <c r="B851" t="s">
        <v>24</v>
      </c>
      <c r="C851" s="2">
        <v>1</v>
      </c>
      <c r="D851" s="12">
        <v>45680</v>
      </c>
      <c r="E851" s="2">
        <v>28</v>
      </c>
      <c r="F851" s="13">
        <v>0.33774305555555556</v>
      </c>
      <c r="G851" s="3">
        <v>0.54453703703703704</v>
      </c>
      <c r="H851" s="1">
        <v>0.20624999999999999</v>
      </c>
      <c r="I851" s="5">
        <v>594</v>
      </c>
      <c r="J851">
        <v>5894</v>
      </c>
      <c r="K851">
        <v>120</v>
      </c>
      <c r="L851" s="5">
        <v>279</v>
      </c>
      <c r="M851" s="5">
        <v>594</v>
      </c>
      <c r="N851">
        <v>23</v>
      </c>
      <c r="O851">
        <v>571</v>
      </c>
      <c r="P851" s="1">
        <v>0.27152777777777776</v>
      </c>
      <c r="Q851" s="5">
        <v>1188</v>
      </c>
      <c r="R851" s="14">
        <v>10</v>
      </c>
      <c r="S851">
        <v>120</v>
      </c>
      <c r="T851" s="5">
        <v>23</v>
      </c>
      <c r="U851" s="5">
        <v>571</v>
      </c>
      <c r="V851" s="5">
        <v>0</v>
      </c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</row>
    <row r="852" spans="1:37" x14ac:dyDescent="0.25">
      <c r="A852" s="11">
        <f>Table1[[#This Row],[Milk Yield]]-J848</f>
        <v>-384</v>
      </c>
      <c r="B852" t="s">
        <v>24</v>
      </c>
      <c r="C852" s="2">
        <v>2</v>
      </c>
      <c r="D852" s="12">
        <v>45680</v>
      </c>
      <c r="E852" s="2">
        <v>27</v>
      </c>
      <c r="F852" s="13">
        <v>0.66719907407407408</v>
      </c>
      <c r="G852" s="3">
        <v>0.82893518518518516</v>
      </c>
      <c r="H852" s="1">
        <v>0.16111111111111112</v>
      </c>
      <c r="I852" s="5">
        <v>584</v>
      </c>
      <c r="J852">
        <v>5134</v>
      </c>
      <c r="K852">
        <v>150</v>
      </c>
      <c r="L852" s="5">
        <v>108</v>
      </c>
      <c r="M852" s="5">
        <v>584</v>
      </c>
      <c r="N852">
        <v>15</v>
      </c>
      <c r="O852">
        <v>569</v>
      </c>
      <c r="P852" s="1">
        <v>0.25972222222222224</v>
      </c>
      <c r="Q852" s="5">
        <v>1323</v>
      </c>
      <c r="R852" s="14">
        <v>8.8000000000000007</v>
      </c>
      <c r="S852">
        <v>150</v>
      </c>
      <c r="T852" s="5">
        <v>15</v>
      </c>
      <c r="U852" s="5">
        <v>569</v>
      </c>
      <c r="V852" s="5">
        <v>0</v>
      </c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</row>
    <row r="853" spans="1:37" x14ac:dyDescent="0.25">
      <c r="A853" s="11">
        <f>Table1[[#This Row],[Milk Yield]]-J849</f>
        <v>-146</v>
      </c>
      <c r="B853" t="s">
        <v>24</v>
      </c>
      <c r="C853" s="2">
        <v>3</v>
      </c>
      <c r="D853" s="12">
        <v>45680</v>
      </c>
      <c r="E853" s="2">
        <v>30</v>
      </c>
      <c r="F853" s="13">
        <v>2.7546296296296294E-3</v>
      </c>
      <c r="G853" s="3">
        <v>0.20608796296296297</v>
      </c>
      <c r="H853" s="1">
        <v>0.20277777777777778</v>
      </c>
      <c r="I853" s="5">
        <v>593</v>
      </c>
      <c r="J853">
        <v>6218</v>
      </c>
      <c r="K853">
        <v>122</v>
      </c>
      <c r="L853" s="5">
        <v>67</v>
      </c>
      <c r="M853" s="5">
        <v>593</v>
      </c>
      <c r="N853">
        <v>9</v>
      </c>
      <c r="O853">
        <v>584</v>
      </c>
      <c r="P853" s="1">
        <v>0.27777777777777779</v>
      </c>
      <c r="Q853" s="5">
        <v>1274</v>
      </c>
      <c r="R853" s="14">
        <v>10.5</v>
      </c>
      <c r="S853">
        <v>122</v>
      </c>
      <c r="T853" s="5">
        <v>9</v>
      </c>
      <c r="U853" s="5">
        <v>584</v>
      </c>
      <c r="V853" s="5">
        <v>0</v>
      </c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</row>
    <row r="854" spans="1:37" x14ac:dyDescent="0.25">
      <c r="A854" s="11" t="e">
        <f>Table1[[#This Row],[Milk Yield]]-J850</f>
        <v>#VALUE!</v>
      </c>
      <c r="B854" t="s">
        <v>0</v>
      </c>
      <c r="C854" s="2" t="s">
        <v>1</v>
      </c>
      <c r="D854" s="12" t="s">
        <v>2</v>
      </c>
      <c r="E854" s="2" t="s">
        <v>3</v>
      </c>
      <c r="F854" s="13" t="s">
        <v>4</v>
      </c>
      <c r="G854" s="3" t="s">
        <v>5</v>
      </c>
      <c r="H854" s="1" t="s">
        <v>6</v>
      </c>
      <c r="I854" s="5" t="s">
        <v>8</v>
      </c>
      <c r="J854" t="s">
        <v>9</v>
      </c>
      <c r="K854" t="s">
        <v>10</v>
      </c>
      <c r="L854" s="5" t="s">
        <v>11</v>
      </c>
      <c r="M854" s="5" t="s">
        <v>12</v>
      </c>
      <c r="N854" t="s">
        <v>13</v>
      </c>
      <c r="O854" t="s">
        <v>20</v>
      </c>
      <c r="P854" s="1" t="s">
        <v>7</v>
      </c>
      <c r="Q854" s="5" t="s">
        <v>15</v>
      </c>
      <c r="R854" s="14" t="s">
        <v>18</v>
      </c>
      <c r="S854" t="s">
        <v>16</v>
      </c>
      <c r="T854" s="5" t="s">
        <v>14</v>
      </c>
      <c r="U854" s="5" t="s">
        <v>17</v>
      </c>
      <c r="V854" s="5" t="s">
        <v>19</v>
      </c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</row>
    <row r="855" spans="1:37" x14ac:dyDescent="0.25">
      <c r="A855" s="11">
        <f>Table1[[#This Row],[Milk Yield]]-J851</f>
        <v>146</v>
      </c>
      <c r="B855" t="s">
        <v>24</v>
      </c>
      <c r="C855" s="2">
        <v>1</v>
      </c>
      <c r="D855" s="12">
        <v>45681</v>
      </c>
      <c r="E855" s="2">
        <v>28</v>
      </c>
      <c r="F855" s="13">
        <v>0.33446759259259257</v>
      </c>
      <c r="G855" s="3">
        <v>0.53927083333333337</v>
      </c>
      <c r="H855" s="1">
        <v>0.20416666666666666</v>
      </c>
      <c r="I855" s="5">
        <v>585</v>
      </c>
      <c r="J855">
        <v>6040</v>
      </c>
      <c r="K855">
        <v>119</v>
      </c>
      <c r="L855" s="5">
        <v>113</v>
      </c>
      <c r="M855" s="5">
        <v>585</v>
      </c>
      <c r="N855">
        <v>13</v>
      </c>
      <c r="O855">
        <v>572</v>
      </c>
      <c r="P855" s="1">
        <v>0.29097222222222224</v>
      </c>
      <c r="Q855" s="5">
        <v>1229</v>
      </c>
      <c r="R855" s="14">
        <v>10.4</v>
      </c>
      <c r="S855">
        <v>119</v>
      </c>
      <c r="T855" s="5">
        <v>13</v>
      </c>
      <c r="U855" s="5">
        <v>572</v>
      </c>
      <c r="V855" s="5">
        <v>0</v>
      </c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</row>
    <row r="856" spans="1:37" x14ac:dyDescent="0.25">
      <c r="A856" s="11">
        <f>Table1[[#This Row],[Milk Yield]]-J852</f>
        <v>179</v>
      </c>
      <c r="B856" t="s">
        <v>24</v>
      </c>
      <c r="C856" s="2">
        <v>2</v>
      </c>
      <c r="D856" s="12">
        <v>45681</v>
      </c>
      <c r="E856" s="2">
        <v>29</v>
      </c>
      <c r="F856" s="13">
        <v>0.66600694444444442</v>
      </c>
      <c r="G856" s="3">
        <v>0.82965277777777779</v>
      </c>
      <c r="H856" s="1">
        <v>0.16319444444444445</v>
      </c>
      <c r="I856" s="5">
        <v>598</v>
      </c>
      <c r="J856">
        <v>5313</v>
      </c>
      <c r="K856">
        <v>152</v>
      </c>
      <c r="L856" s="5">
        <v>160</v>
      </c>
      <c r="M856" s="5">
        <v>598</v>
      </c>
      <c r="N856">
        <v>24</v>
      </c>
      <c r="O856">
        <v>574</v>
      </c>
      <c r="P856" s="1">
        <v>0.26597222222222222</v>
      </c>
      <c r="Q856" s="5">
        <v>1353</v>
      </c>
      <c r="R856" s="14">
        <v>8.9</v>
      </c>
      <c r="S856">
        <v>152</v>
      </c>
      <c r="T856" s="5">
        <v>24</v>
      </c>
      <c r="U856" s="5">
        <v>574</v>
      </c>
      <c r="V856" s="5">
        <v>0</v>
      </c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</row>
    <row r="857" spans="1:37" x14ac:dyDescent="0.25">
      <c r="A857" s="11">
        <f>Table1[[#This Row],[Milk Yield]]-J853</f>
        <v>-75</v>
      </c>
      <c r="B857" t="s">
        <v>24</v>
      </c>
      <c r="C857" s="2">
        <v>3</v>
      </c>
      <c r="D857" s="12">
        <v>45681</v>
      </c>
      <c r="E857" s="2">
        <v>30</v>
      </c>
      <c r="F857" s="13">
        <v>3.0092592592592595E-4</v>
      </c>
      <c r="G857" s="3">
        <v>0.20258101851851851</v>
      </c>
      <c r="H857" s="1">
        <v>0.20208333333333334</v>
      </c>
      <c r="I857" s="5">
        <v>592</v>
      </c>
      <c r="J857">
        <v>6143</v>
      </c>
      <c r="K857">
        <v>122</v>
      </c>
      <c r="L857" s="5">
        <v>142</v>
      </c>
      <c r="M857" s="5">
        <v>591</v>
      </c>
      <c r="N857">
        <v>18</v>
      </c>
      <c r="O857">
        <v>573</v>
      </c>
      <c r="P857" s="1">
        <v>0.27152777777777776</v>
      </c>
      <c r="Q857" s="5">
        <v>1265</v>
      </c>
      <c r="R857" s="14">
        <v>10.4</v>
      </c>
      <c r="S857">
        <v>122</v>
      </c>
      <c r="T857" s="5">
        <v>18</v>
      </c>
      <c r="U857" s="5">
        <v>573</v>
      </c>
      <c r="V857" s="5">
        <v>0</v>
      </c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</row>
    <row r="858" spans="1:37" x14ac:dyDescent="0.25">
      <c r="A858" s="11" t="e">
        <f>Table1[[#This Row],[Milk Yield]]-J854</f>
        <v>#VALUE!</v>
      </c>
      <c r="B858" t="s">
        <v>0</v>
      </c>
      <c r="C858" s="2" t="s">
        <v>1</v>
      </c>
      <c r="D858" s="12" t="s">
        <v>2</v>
      </c>
      <c r="E858" s="2" t="s">
        <v>3</v>
      </c>
      <c r="F858" s="13" t="s">
        <v>4</v>
      </c>
      <c r="G858" s="3" t="s">
        <v>5</v>
      </c>
      <c r="H858" s="1" t="s">
        <v>6</v>
      </c>
      <c r="I858" s="5" t="s">
        <v>8</v>
      </c>
      <c r="J858" t="s">
        <v>9</v>
      </c>
      <c r="K858" t="s">
        <v>10</v>
      </c>
      <c r="L858" s="5" t="s">
        <v>11</v>
      </c>
      <c r="M858" s="5" t="s">
        <v>12</v>
      </c>
      <c r="N858" t="s">
        <v>13</v>
      </c>
      <c r="O858" t="s">
        <v>20</v>
      </c>
      <c r="P858" s="1" t="s">
        <v>7</v>
      </c>
      <c r="Q858" s="5" t="s">
        <v>15</v>
      </c>
      <c r="R858" s="14" t="s">
        <v>18</v>
      </c>
      <c r="S858" t="s">
        <v>16</v>
      </c>
      <c r="T858" s="5" t="s">
        <v>14</v>
      </c>
      <c r="U858" s="5" t="s">
        <v>17</v>
      </c>
      <c r="V858" s="5" t="s">
        <v>19</v>
      </c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</row>
    <row r="859" spans="1:37" x14ac:dyDescent="0.25">
      <c r="A859" s="11">
        <f>Table1[[#This Row],[Milk Yield]]-J855</f>
        <v>37</v>
      </c>
      <c r="B859" t="s">
        <v>24</v>
      </c>
      <c r="C859" s="2">
        <v>1</v>
      </c>
      <c r="D859" s="12">
        <v>45682</v>
      </c>
      <c r="E859" s="2">
        <v>28</v>
      </c>
      <c r="F859" s="13">
        <v>0.33340277777777777</v>
      </c>
      <c r="G859" s="3">
        <v>0.5395833333333333</v>
      </c>
      <c r="H859" s="1">
        <v>0.20555555555555555</v>
      </c>
      <c r="I859" s="5">
        <v>588</v>
      </c>
      <c r="J859">
        <v>6077</v>
      </c>
      <c r="K859">
        <v>119</v>
      </c>
      <c r="L859" s="5">
        <v>210</v>
      </c>
      <c r="M859" s="5">
        <v>588</v>
      </c>
      <c r="N859">
        <v>22</v>
      </c>
      <c r="O859">
        <v>566</v>
      </c>
      <c r="P859" s="1">
        <v>0.29375000000000001</v>
      </c>
      <c r="Q859" s="5">
        <v>1228</v>
      </c>
      <c r="R859" s="14">
        <v>10.4</v>
      </c>
      <c r="S859">
        <v>119</v>
      </c>
      <c r="T859" s="5">
        <v>22</v>
      </c>
      <c r="U859" s="5">
        <v>566</v>
      </c>
      <c r="V859" s="5">
        <v>0</v>
      </c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</row>
    <row r="860" spans="1:37" x14ac:dyDescent="0.25">
      <c r="A860" s="11">
        <f>Table1[[#This Row],[Milk Yield]]-J856</f>
        <v>308</v>
      </c>
      <c r="B860" t="s">
        <v>24</v>
      </c>
      <c r="C860" s="2">
        <v>2</v>
      </c>
      <c r="D860" s="12">
        <v>45682</v>
      </c>
      <c r="E860" s="2">
        <v>27</v>
      </c>
      <c r="F860" s="13">
        <v>0.66987268518518517</v>
      </c>
      <c r="G860" s="3">
        <v>0.85223379629629625</v>
      </c>
      <c r="H860" s="1">
        <v>0.18194444444444444</v>
      </c>
      <c r="I860" s="5">
        <v>591</v>
      </c>
      <c r="J860">
        <v>5621</v>
      </c>
      <c r="K860">
        <v>135</v>
      </c>
      <c r="L860" s="5">
        <v>66</v>
      </c>
      <c r="M860" s="5">
        <v>591</v>
      </c>
      <c r="N860">
        <v>8</v>
      </c>
      <c r="O860">
        <v>583</v>
      </c>
      <c r="P860" s="1">
        <v>0.28958333333333336</v>
      </c>
      <c r="Q860" s="5">
        <v>1284</v>
      </c>
      <c r="R860" s="14">
        <v>9.6</v>
      </c>
      <c r="S860">
        <v>135</v>
      </c>
      <c r="T860" s="5">
        <v>8</v>
      </c>
      <c r="U860" s="5">
        <v>583</v>
      </c>
      <c r="V860" s="5">
        <v>0</v>
      </c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</row>
    <row r="861" spans="1:37" x14ac:dyDescent="0.25">
      <c r="A861" s="11">
        <f>Table1[[#This Row],[Milk Yield]]-J857</f>
        <v>172</v>
      </c>
      <c r="B861" t="s">
        <v>24</v>
      </c>
      <c r="C861" s="2">
        <v>3</v>
      </c>
      <c r="D861" s="12">
        <v>45682</v>
      </c>
      <c r="E861" s="2">
        <v>31</v>
      </c>
      <c r="F861" s="13">
        <v>2.0717592592592593E-3</v>
      </c>
      <c r="G861" s="3">
        <v>0.23751157407407408</v>
      </c>
      <c r="H861" s="1">
        <v>0.23541666666666666</v>
      </c>
      <c r="I861" s="5">
        <v>599</v>
      </c>
      <c r="J861">
        <v>6315</v>
      </c>
      <c r="K861">
        <v>106</v>
      </c>
      <c r="L861" s="5">
        <v>108</v>
      </c>
      <c r="M861" s="5">
        <v>599</v>
      </c>
      <c r="N861">
        <v>12</v>
      </c>
      <c r="O861">
        <v>587</v>
      </c>
      <c r="P861" s="1">
        <v>0.27291666666666664</v>
      </c>
      <c r="Q861" s="5">
        <v>1118</v>
      </c>
      <c r="R861" s="14">
        <v>10.6</v>
      </c>
      <c r="S861">
        <v>106</v>
      </c>
      <c r="T861" s="5">
        <v>12</v>
      </c>
      <c r="U861" s="5">
        <v>587</v>
      </c>
      <c r="V861" s="5">
        <v>0</v>
      </c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</row>
    <row r="862" spans="1:37" x14ac:dyDescent="0.25">
      <c r="A862" s="11" t="e">
        <f>Table1[[#This Row],[Milk Yield]]-J858</f>
        <v>#VALUE!</v>
      </c>
      <c r="B862" t="s">
        <v>0</v>
      </c>
      <c r="C862" s="2" t="s">
        <v>1</v>
      </c>
      <c r="D862" s="12" t="s">
        <v>2</v>
      </c>
      <c r="E862" s="2" t="s">
        <v>3</v>
      </c>
      <c r="F862" s="13" t="s">
        <v>4</v>
      </c>
      <c r="G862" s="3" t="s">
        <v>5</v>
      </c>
      <c r="H862" s="1" t="s">
        <v>6</v>
      </c>
      <c r="I862" s="5" t="s">
        <v>8</v>
      </c>
      <c r="J862" t="s">
        <v>9</v>
      </c>
      <c r="K862" t="s">
        <v>10</v>
      </c>
      <c r="L862" s="5" t="s">
        <v>11</v>
      </c>
      <c r="M862" s="5" t="s">
        <v>12</v>
      </c>
      <c r="N862" t="s">
        <v>13</v>
      </c>
      <c r="O862" t="s">
        <v>20</v>
      </c>
      <c r="P862" s="1" t="s">
        <v>7</v>
      </c>
      <c r="Q862" s="5" t="s">
        <v>15</v>
      </c>
      <c r="R862" s="14" t="s">
        <v>18</v>
      </c>
      <c r="S862" t="s">
        <v>16</v>
      </c>
      <c r="T862" s="5" t="s">
        <v>14</v>
      </c>
      <c r="U862" s="5" t="s">
        <v>17</v>
      </c>
      <c r="V862" s="5" t="s">
        <v>19</v>
      </c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</row>
    <row r="863" spans="1:37" x14ac:dyDescent="0.25">
      <c r="A863" s="11">
        <f>Table1[[#This Row],[Milk Yield]]-J859</f>
        <v>-393</v>
      </c>
      <c r="B863" t="s">
        <v>24</v>
      </c>
      <c r="C863" s="2">
        <v>1</v>
      </c>
      <c r="D863" s="12">
        <v>45683</v>
      </c>
      <c r="E863" s="2">
        <v>28</v>
      </c>
      <c r="F863" s="13">
        <v>0.33681712962962962</v>
      </c>
      <c r="G863" s="3">
        <v>0.54241898148148149</v>
      </c>
      <c r="H863" s="1">
        <v>0.20555555555555555</v>
      </c>
      <c r="I863" s="5">
        <v>592</v>
      </c>
      <c r="J863">
        <v>5684</v>
      </c>
      <c r="K863">
        <v>120</v>
      </c>
      <c r="L863" s="5">
        <v>139</v>
      </c>
      <c r="M863" s="5">
        <v>592</v>
      </c>
      <c r="N863">
        <v>18</v>
      </c>
      <c r="O863">
        <v>574</v>
      </c>
      <c r="P863" s="1">
        <v>0.28055555555555556</v>
      </c>
      <c r="Q863" s="5">
        <v>1152</v>
      </c>
      <c r="R863" s="14">
        <v>9.6999999999999993</v>
      </c>
      <c r="S863">
        <v>120</v>
      </c>
      <c r="T863" s="5">
        <v>18</v>
      </c>
      <c r="U863" s="5">
        <v>574</v>
      </c>
      <c r="V863" s="5">
        <v>0</v>
      </c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</row>
    <row r="864" spans="1:37" x14ac:dyDescent="0.25">
      <c r="A864" s="11">
        <f>Table1[[#This Row],[Milk Yield]]-J860</f>
        <v>-434</v>
      </c>
      <c r="B864" t="s">
        <v>24</v>
      </c>
      <c r="C864" s="2">
        <v>2</v>
      </c>
      <c r="D864" s="12">
        <v>45683</v>
      </c>
      <c r="E864" s="2">
        <v>29</v>
      </c>
      <c r="F864" s="13">
        <v>0.67071759259259256</v>
      </c>
      <c r="G864" s="3">
        <v>0.84163194444444445</v>
      </c>
      <c r="H864" s="1">
        <v>0.17083333333333334</v>
      </c>
      <c r="I864" s="5">
        <v>593</v>
      </c>
      <c r="J864">
        <v>5187</v>
      </c>
      <c r="K864">
        <v>145</v>
      </c>
      <c r="L864" s="5">
        <v>217</v>
      </c>
      <c r="M864" s="5">
        <v>591</v>
      </c>
      <c r="N864">
        <v>28</v>
      </c>
      <c r="O864">
        <v>563</v>
      </c>
      <c r="P864" s="1">
        <v>0.28194444444444444</v>
      </c>
      <c r="Q864" s="5">
        <v>1264</v>
      </c>
      <c r="R864" s="14">
        <v>8.8000000000000007</v>
      </c>
      <c r="S864">
        <v>144</v>
      </c>
      <c r="T864" s="5">
        <v>28</v>
      </c>
      <c r="U864" s="5">
        <v>563</v>
      </c>
      <c r="V864" s="5">
        <v>0</v>
      </c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</row>
    <row r="865" spans="1:37" x14ac:dyDescent="0.25">
      <c r="A865" s="11">
        <f>Table1[[#This Row],[Milk Yield]]-J861</f>
        <v>214</v>
      </c>
      <c r="B865" t="s">
        <v>24</v>
      </c>
      <c r="C865" s="2">
        <v>3</v>
      </c>
      <c r="D865" s="12">
        <v>45683</v>
      </c>
      <c r="E865" s="2">
        <v>30</v>
      </c>
      <c r="F865" s="13">
        <v>3.3564814814814812E-4</v>
      </c>
      <c r="G865" s="3">
        <v>0.23212962962962963</v>
      </c>
      <c r="H865" s="1">
        <v>0.23125000000000001</v>
      </c>
      <c r="I865" s="5">
        <v>592</v>
      </c>
      <c r="J865">
        <v>6529</v>
      </c>
      <c r="K865">
        <v>106</v>
      </c>
      <c r="L865" s="5">
        <v>95</v>
      </c>
      <c r="M865" s="5">
        <v>592</v>
      </c>
      <c r="N865">
        <v>11</v>
      </c>
      <c r="O865">
        <v>581</v>
      </c>
      <c r="P865" s="1">
        <v>0.29583333333333334</v>
      </c>
      <c r="Q865" s="5">
        <v>1174</v>
      </c>
      <c r="R865" s="14">
        <v>11.1</v>
      </c>
      <c r="S865">
        <v>106</v>
      </c>
      <c r="T865" s="5">
        <v>11</v>
      </c>
      <c r="U865" s="5">
        <v>581</v>
      </c>
      <c r="V865" s="5">
        <v>0</v>
      </c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</row>
    <row r="866" spans="1:37" x14ac:dyDescent="0.25">
      <c r="A866" s="11" t="e">
        <f>Table1[[#This Row],[Milk Yield]]-J862</f>
        <v>#VALUE!</v>
      </c>
      <c r="B866" t="s">
        <v>0</v>
      </c>
      <c r="C866" s="2" t="s">
        <v>1</v>
      </c>
      <c r="D866" s="12" t="s">
        <v>2</v>
      </c>
      <c r="E866" s="2" t="s">
        <v>3</v>
      </c>
      <c r="F866" s="13" t="s">
        <v>4</v>
      </c>
      <c r="G866" s="3" t="s">
        <v>5</v>
      </c>
      <c r="H866" s="1" t="s">
        <v>6</v>
      </c>
      <c r="I866" s="5" t="s">
        <v>8</v>
      </c>
      <c r="J866" t="s">
        <v>9</v>
      </c>
      <c r="K866" t="s">
        <v>10</v>
      </c>
      <c r="L866" s="5" t="s">
        <v>11</v>
      </c>
      <c r="M866" s="5" t="s">
        <v>12</v>
      </c>
      <c r="N866" t="s">
        <v>13</v>
      </c>
      <c r="O866" t="s">
        <v>20</v>
      </c>
      <c r="P866" s="1" t="s">
        <v>7</v>
      </c>
      <c r="Q866" s="5" t="s">
        <v>15</v>
      </c>
      <c r="R866" s="14" t="s">
        <v>18</v>
      </c>
      <c r="S866" t="s">
        <v>16</v>
      </c>
      <c r="T866" s="5" t="s">
        <v>14</v>
      </c>
      <c r="U866" s="5" t="s">
        <v>17</v>
      </c>
      <c r="V866" s="5" t="s">
        <v>19</v>
      </c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</row>
    <row r="867" spans="1:37" x14ac:dyDescent="0.25">
      <c r="A867" s="11">
        <f>Table1[[#This Row],[Milk Yield]]-J863</f>
        <v>313</v>
      </c>
      <c r="B867" t="s">
        <v>24</v>
      </c>
      <c r="C867" s="2">
        <v>1</v>
      </c>
      <c r="D867" s="12">
        <v>45684</v>
      </c>
      <c r="E867" s="2">
        <v>30</v>
      </c>
      <c r="F867" s="13">
        <v>0.33810185185185188</v>
      </c>
      <c r="G867" s="3">
        <v>0.54612268518518514</v>
      </c>
      <c r="H867" s="1">
        <v>0.2076388888888889</v>
      </c>
      <c r="I867" s="5">
        <v>595</v>
      </c>
      <c r="J867">
        <v>5997</v>
      </c>
      <c r="K867">
        <v>119</v>
      </c>
      <c r="L867" s="5">
        <v>217</v>
      </c>
      <c r="M867" s="5">
        <v>595</v>
      </c>
      <c r="N867">
        <v>24</v>
      </c>
      <c r="O867">
        <v>571</v>
      </c>
      <c r="P867" s="1">
        <v>0.2951388888888889</v>
      </c>
      <c r="Q867" s="5">
        <v>1201</v>
      </c>
      <c r="R867" s="14">
        <v>10.1</v>
      </c>
      <c r="S867">
        <v>119</v>
      </c>
      <c r="T867" s="5">
        <v>24</v>
      </c>
      <c r="U867" s="5">
        <v>571</v>
      </c>
      <c r="V867" s="5">
        <v>0</v>
      </c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</row>
    <row r="868" spans="1:37" x14ac:dyDescent="0.25">
      <c r="A868" s="11">
        <f>Table1[[#This Row],[Milk Yield]]-J864</f>
        <v>156</v>
      </c>
      <c r="B868" t="s">
        <v>24</v>
      </c>
      <c r="C868" s="2">
        <v>2</v>
      </c>
      <c r="D868" s="12">
        <v>45684</v>
      </c>
      <c r="E868" s="2">
        <v>28</v>
      </c>
      <c r="F868" s="13">
        <v>0.66650462962962964</v>
      </c>
      <c r="G868" s="3">
        <v>0.86424768518518513</v>
      </c>
      <c r="H868" s="1">
        <v>0.19722222222222222</v>
      </c>
      <c r="I868" s="5">
        <v>590</v>
      </c>
      <c r="J868">
        <v>5343</v>
      </c>
      <c r="K868">
        <v>124</v>
      </c>
      <c r="L868" s="5">
        <v>135</v>
      </c>
      <c r="M868" s="5">
        <v>590</v>
      </c>
      <c r="N868">
        <v>19</v>
      </c>
      <c r="O868">
        <v>571</v>
      </c>
      <c r="P868" s="1">
        <v>0.29166666666666669</v>
      </c>
      <c r="Q868" s="5">
        <v>1126</v>
      </c>
      <c r="R868" s="14">
        <v>9.1</v>
      </c>
      <c r="S868">
        <v>124</v>
      </c>
      <c r="T868" s="5">
        <v>19</v>
      </c>
      <c r="U868" s="5">
        <v>571</v>
      </c>
      <c r="V868" s="5">
        <v>0</v>
      </c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</row>
    <row r="869" spans="1:37" x14ac:dyDescent="0.25">
      <c r="A869" s="11">
        <f>Table1[[#This Row],[Milk Yield]]-J865</f>
        <v>-441</v>
      </c>
      <c r="B869" t="s">
        <v>24</v>
      </c>
      <c r="C869" s="2">
        <v>3</v>
      </c>
      <c r="D869" s="12">
        <v>45684</v>
      </c>
      <c r="E869" s="2">
        <v>31</v>
      </c>
      <c r="F869" s="13">
        <v>0.99827546296296299</v>
      </c>
      <c r="G869" s="3">
        <v>0.20925925925925926</v>
      </c>
      <c r="H869" s="1">
        <v>0.21041666666666667</v>
      </c>
      <c r="I869" s="5">
        <v>591</v>
      </c>
      <c r="J869">
        <v>6088</v>
      </c>
      <c r="K869">
        <v>117</v>
      </c>
      <c r="L869" s="5">
        <v>104</v>
      </c>
      <c r="M869" s="5">
        <v>591</v>
      </c>
      <c r="N869">
        <v>13</v>
      </c>
      <c r="O869">
        <v>578</v>
      </c>
      <c r="P869" s="1">
        <v>0.30277777777777776</v>
      </c>
      <c r="Q869" s="5">
        <v>1202</v>
      </c>
      <c r="R869" s="14">
        <v>10.4</v>
      </c>
      <c r="S869">
        <v>117</v>
      </c>
      <c r="T869" s="5">
        <v>13</v>
      </c>
      <c r="U869" s="5">
        <v>578</v>
      </c>
      <c r="V869" s="5">
        <v>0</v>
      </c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</row>
    <row r="870" spans="1:37" x14ac:dyDescent="0.25">
      <c r="A870" s="11" t="e">
        <f>Table1[[#This Row],[Milk Yield]]-J866</f>
        <v>#VALUE!</v>
      </c>
      <c r="B870" t="s">
        <v>0</v>
      </c>
      <c r="C870" s="2" t="s">
        <v>1</v>
      </c>
      <c r="D870" s="12" t="s">
        <v>2</v>
      </c>
      <c r="E870" s="2" t="s">
        <v>3</v>
      </c>
      <c r="F870" s="13" t="s">
        <v>4</v>
      </c>
      <c r="G870" s="3" t="s">
        <v>5</v>
      </c>
      <c r="H870" s="1" t="s">
        <v>6</v>
      </c>
      <c r="I870" s="5" t="s">
        <v>8</v>
      </c>
      <c r="J870" t="s">
        <v>9</v>
      </c>
      <c r="K870" t="s">
        <v>10</v>
      </c>
      <c r="L870" s="5" t="s">
        <v>11</v>
      </c>
      <c r="M870" s="5" t="s">
        <v>12</v>
      </c>
      <c r="N870" t="s">
        <v>13</v>
      </c>
      <c r="O870" t="s">
        <v>20</v>
      </c>
      <c r="P870" s="1" t="s">
        <v>7</v>
      </c>
      <c r="Q870" s="5" t="s">
        <v>15</v>
      </c>
      <c r="R870" s="14" t="s">
        <v>18</v>
      </c>
      <c r="S870" t="s">
        <v>16</v>
      </c>
      <c r="T870" s="5" t="s">
        <v>14</v>
      </c>
      <c r="U870" s="5" t="s">
        <v>17</v>
      </c>
      <c r="V870" s="5" t="s">
        <v>19</v>
      </c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</row>
    <row r="871" spans="1:37" x14ac:dyDescent="0.25">
      <c r="A871" s="11">
        <f>Table1[[#This Row],[Milk Yield]]-J867</f>
        <v>-214</v>
      </c>
      <c r="B871" t="s">
        <v>24</v>
      </c>
      <c r="C871" s="2">
        <v>1</v>
      </c>
      <c r="D871" s="12">
        <v>45685</v>
      </c>
      <c r="E871" s="2">
        <v>27</v>
      </c>
      <c r="F871" s="13">
        <v>0.33893518518518517</v>
      </c>
      <c r="G871" s="3">
        <v>0.50108796296296299</v>
      </c>
      <c r="H871" s="1">
        <v>0.16180555555555556</v>
      </c>
      <c r="I871" s="5">
        <v>592</v>
      </c>
      <c r="J871">
        <v>5783</v>
      </c>
      <c r="K871">
        <v>152</v>
      </c>
      <c r="L871" s="5">
        <v>176</v>
      </c>
      <c r="M871" s="5">
        <v>592</v>
      </c>
      <c r="N871">
        <v>15</v>
      </c>
      <c r="O871">
        <v>577</v>
      </c>
      <c r="P871" s="1">
        <v>0.26041666666666669</v>
      </c>
      <c r="Q871" s="5">
        <v>1486</v>
      </c>
      <c r="R871" s="14">
        <v>9.8000000000000007</v>
      </c>
      <c r="S871">
        <v>152</v>
      </c>
      <c r="T871" s="5">
        <v>15</v>
      </c>
      <c r="U871" s="5">
        <v>577</v>
      </c>
      <c r="V871" s="5">
        <v>0</v>
      </c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</row>
    <row r="872" spans="1:37" x14ac:dyDescent="0.25">
      <c r="A872" s="11">
        <f>Table1[[#This Row],[Milk Yield]]-J868</f>
        <v>784</v>
      </c>
      <c r="B872" t="s">
        <v>24</v>
      </c>
      <c r="C872" s="2">
        <v>2</v>
      </c>
      <c r="D872" s="12">
        <v>45685</v>
      </c>
      <c r="E872" s="2">
        <v>29</v>
      </c>
      <c r="F872" s="13">
        <v>0.67040509259259262</v>
      </c>
      <c r="G872" s="3">
        <v>0.88128472222222221</v>
      </c>
      <c r="H872" s="1">
        <v>0.21041666666666667</v>
      </c>
      <c r="I872" s="5">
        <v>593</v>
      </c>
      <c r="J872">
        <v>6127</v>
      </c>
      <c r="K872">
        <v>117</v>
      </c>
      <c r="L872" s="5">
        <v>113</v>
      </c>
      <c r="M872" s="5">
        <v>593</v>
      </c>
      <c r="N872">
        <v>14</v>
      </c>
      <c r="O872">
        <v>579</v>
      </c>
      <c r="P872" s="1">
        <v>0.33888888888888891</v>
      </c>
      <c r="Q872" s="5">
        <v>1210</v>
      </c>
      <c r="R872" s="14">
        <v>10.4</v>
      </c>
      <c r="S872">
        <v>117</v>
      </c>
      <c r="T872" s="5">
        <v>14</v>
      </c>
      <c r="U872" s="5">
        <v>579</v>
      </c>
      <c r="V872" s="5">
        <v>0</v>
      </c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</row>
    <row r="873" spans="1:37" x14ac:dyDescent="0.25">
      <c r="A873" s="11">
        <f>Table1[[#This Row],[Milk Yield]]-J869</f>
        <v>-397</v>
      </c>
      <c r="B873" t="s">
        <v>24</v>
      </c>
      <c r="C873" s="2">
        <v>3</v>
      </c>
      <c r="D873" s="12">
        <v>45685</v>
      </c>
      <c r="E873" s="2">
        <v>31</v>
      </c>
      <c r="F873" s="13">
        <v>0.99822916666666661</v>
      </c>
      <c r="G873" s="3">
        <v>0.17984953703703704</v>
      </c>
      <c r="H873" s="1">
        <v>0.18124999999999999</v>
      </c>
      <c r="I873" s="5">
        <v>604</v>
      </c>
      <c r="J873">
        <v>5691</v>
      </c>
      <c r="K873">
        <v>139</v>
      </c>
      <c r="L873" s="5">
        <v>194</v>
      </c>
      <c r="M873" s="5">
        <v>604</v>
      </c>
      <c r="N873">
        <v>34</v>
      </c>
      <c r="O873">
        <v>570</v>
      </c>
      <c r="P873" s="1">
        <v>0.28749999999999998</v>
      </c>
      <c r="Q873" s="5">
        <v>1306</v>
      </c>
      <c r="R873" s="14">
        <v>9.5</v>
      </c>
      <c r="S873">
        <v>139</v>
      </c>
      <c r="T873" s="5">
        <v>34</v>
      </c>
      <c r="U873" s="5">
        <v>570</v>
      </c>
      <c r="V873" s="5">
        <v>0</v>
      </c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</row>
    <row r="874" spans="1:37" x14ac:dyDescent="0.25">
      <c r="A874" s="11" t="e">
        <f>Table1[[#This Row],[Milk Yield]]-J870</f>
        <v>#VALUE!</v>
      </c>
      <c r="B874" t="s">
        <v>0</v>
      </c>
      <c r="C874" s="2" t="s">
        <v>1</v>
      </c>
      <c r="D874" s="12" t="s">
        <v>2</v>
      </c>
      <c r="E874" s="2" t="s">
        <v>3</v>
      </c>
      <c r="F874" s="13" t="s">
        <v>4</v>
      </c>
      <c r="G874" s="3" t="s">
        <v>5</v>
      </c>
      <c r="H874" s="1" t="s">
        <v>6</v>
      </c>
      <c r="I874" s="5" t="s">
        <v>8</v>
      </c>
      <c r="J874" t="s">
        <v>9</v>
      </c>
      <c r="K874" t="s">
        <v>10</v>
      </c>
      <c r="L874" s="5" t="s">
        <v>11</v>
      </c>
      <c r="M874" s="5" t="s">
        <v>12</v>
      </c>
      <c r="N874" t="s">
        <v>13</v>
      </c>
      <c r="O874" t="s">
        <v>20</v>
      </c>
      <c r="P874" s="1" t="s">
        <v>7</v>
      </c>
      <c r="Q874" s="5" t="s">
        <v>15</v>
      </c>
      <c r="R874" s="14" t="s">
        <v>18</v>
      </c>
      <c r="S874" t="s">
        <v>16</v>
      </c>
      <c r="T874" s="5" t="s">
        <v>14</v>
      </c>
      <c r="U874" s="5" t="s">
        <v>17</v>
      </c>
      <c r="V874" s="5" t="s">
        <v>19</v>
      </c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</row>
    <row r="875" spans="1:37" x14ac:dyDescent="0.25">
      <c r="A875" s="11">
        <f>Table1[[#This Row],[Milk Yield]]-J871</f>
        <v>27</v>
      </c>
      <c r="B875" t="s">
        <v>24</v>
      </c>
      <c r="C875" s="2">
        <v>1</v>
      </c>
      <c r="D875" s="12">
        <v>45686</v>
      </c>
      <c r="E875" s="2">
        <v>29</v>
      </c>
      <c r="F875" s="13">
        <v>0.3347222222222222</v>
      </c>
      <c r="G875" s="3">
        <v>0.49876157407407407</v>
      </c>
      <c r="H875" s="1">
        <v>0.16388888888888889</v>
      </c>
      <c r="I875" s="5">
        <v>606</v>
      </c>
      <c r="J875">
        <v>5810</v>
      </c>
      <c r="K875">
        <v>154</v>
      </c>
      <c r="L875" s="5">
        <v>505</v>
      </c>
      <c r="M875" s="5">
        <v>605</v>
      </c>
      <c r="N875">
        <v>49</v>
      </c>
      <c r="O875">
        <v>556</v>
      </c>
      <c r="P875" s="1">
        <v>0.27013888888888887</v>
      </c>
      <c r="Q875" s="5">
        <v>1476</v>
      </c>
      <c r="R875" s="14">
        <v>9.6999999999999993</v>
      </c>
      <c r="S875">
        <v>154</v>
      </c>
      <c r="T875" s="5">
        <v>49</v>
      </c>
      <c r="U875" s="5">
        <v>556</v>
      </c>
      <c r="V875" s="5">
        <v>0</v>
      </c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</row>
    <row r="876" spans="1:37" x14ac:dyDescent="0.25">
      <c r="A876" s="11">
        <f>Table1[[#This Row],[Milk Yield]]-J872</f>
        <v>-177</v>
      </c>
      <c r="B876" t="s">
        <v>24</v>
      </c>
      <c r="C876" s="2">
        <v>2</v>
      </c>
      <c r="D876" s="12">
        <v>45686</v>
      </c>
      <c r="E876" s="2">
        <v>28</v>
      </c>
      <c r="F876" s="13">
        <v>0.67243055555555553</v>
      </c>
      <c r="G876" s="3">
        <v>0.85368055555555555</v>
      </c>
      <c r="H876" s="1">
        <v>0.18124999999999999</v>
      </c>
      <c r="I876" s="5">
        <v>594</v>
      </c>
      <c r="J876">
        <v>5950</v>
      </c>
      <c r="K876">
        <v>137</v>
      </c>
      <c r="L876" s="5">
        <v>73</v>
      </c>
      <c r="M876" s="5">
        <v>594</v>
      </c>
      <c r="N876">
        <v>9</v>
      </c>
      <c r="O876">
        <v>585</v>
      </c>
      <c r="P876" s="1">
        <v>0.29166666666666669</v>
      </c>
      <c r="Q876" s="5">
        <v>1368</v>
      </c>
      <c r="R876" s="14">
        <v>10.1</v>
      </c>
      <c r="S876">
        <v>137</v>
      </c>
      <c r="T876" s="5">
        <v>9</v>
      </c>
      <c r="U876" s="5">
        <v>585</v>
      </c>
      <c r="V876" s="5">
        <v>0</v>
      </c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</row>
    <row r="877" spans="1:37" x14ac:dyDescent="0.25">
      <c r="A877" s="11">
        <f>Table1[[#This Row],[Milk Yield]]-J873</f>
        <v>501</v>
      </c>
      <c r="B877" t="s">
        <v>24</v>
      </c>
      <c r="C877" s="2">
        <v>3</v>
      </c>
      <c r="D877" s="12">
        <v>45686</v>
      </c>
      <c r="E877" s="2">
        <v>30</v>
      </c>
      <c r="F877" s="13">
        <v>4.0740740740740737E-3</v>
      </c>
      <c r="G877" s="3">
        <v>0.2074074074074074</v>
      </c>
      <c r="H877" s="1">
        <v>0.20277777777777778</v>
      </c>
      <c r="I877" s="5">
        <v>615</v>
      </c>
      <c r="J877">
        <v>6192</v>
      </c>
      <c r="K877">
        <v>126</v>
      </c>
      <c r="L877" s="5">
        <v>226</v>
      </c>
      <c r="M877" s="5">
        <v>615</v>
      </c>
      <c r="N877">
        <v>29</v>
      </c>
      <c r="O877">
        <v>586</v>
      </c>
      <c r="P877" s="1">
        <v>0.29652777777777778</v>
      </c>
      <c r="Q877" s="5">
        <v>1269</v>
      </c>
      <c r="R877" s="14">
        <v>10.1</v>
      </c>
      <c r="S877">
        <v>126</v>
      </c>
      <c r="T877" s="5">
        <v>29</v>
      </c>
      <c r="U877" s="5">
        <v>586</v>
      </c>
      <c r="V877" s="5">
        <v>0</v>
      </c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</row>
    <row r="878" spans="1:37" x14ac:dyDescent="0.25">
      <c r="A878" s="11" t="e">
        <f>Table1[[#This Row],[Milk Yield]]-J874</f>
        <v>#VALUE!</v>
      </c>
      <c r="B878" t="s">
        <v>0</v>
      </c>
      <c r="C878" s="2" t="s">
        <v>1</v>
      </c>
      <c r="D878" s="12" t="s">
        <v>2</v>
      </c>
      <c r="E878" s="2" t="s">
        <v>3</v>
      </c>
      <c r="F878" s="13" t="s">
        <v>4</v>
      </c>
      <c r="G878" s="3" t="s">
        <v>5</v>
      </c>
      <c r="H878" s="1" t="s">
        <v>6</v>
      </c>
      <c r="I878" s="5" t="s">
        <v>8</v>
      </c>
      <c r="J878" t="s">
        <v>9</v>
      </c>
      <c r="K878" t="s">
        <v>10</v>
      </c>
      <c r="L878" s="5" t="s">
        <v>11</v>
      </c>
      <c r="M878" s="5" t="s">
        <v>12</v>
      </c>
      <c r="N878" t="s">
        <v>13</v>
      </c>
      <c r="O878" t="s">
        <v>20</v>
      </c>
      <c r="P878" s="1" t="s">
        <v>7</v>
      </c>
      <c r="Q878" s="5" t="s">
        <v>15</v>
      </c>
      <c r="R878" s="14" t="s">
        <v>18</v>
      </c>
      <c r="S878" t="s">
        <v>16</v>
      </c>
      <c r="T878" s="5" t="s">
        <v>14</v>
      </c>
      <c r="U878" s="5" t="s">
        <v>17</v>
      </c>
      <c r="V878" s="5" t="s">
        <v>19</v>
      </c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</row>
    <row r="879" spans="1:37" x14ac:dyDescent="0.25">
      <c r="A879" s="11">
        <f>Table1[[#This Row],[Milk Yield]]-J875</f>
        <v>-295</v>
      </c>
      <c r="B879" t="s">
        <v>24</v>
      </c>
      <c r="C879" s="2">
        <v>1</v>
      </c>
      <c r="D879" s="12">
        <v>45687</v>
      </c>
      <c r="E879" s="2">
        <v>29</v>
      </c>
      <c r="F879" s="13">
        <v>0.33491898148148147</v>
      </c>
      <c r="G879" s="3">
        <v>0.52576388888888892</v>
      </c>
      <c r="H879" s="1">
        <v>0.19027777777777777</v>
      </c>
      <c r="I879" s="5">
        <v>600</v>
      </c>
      <c r="J879">
        <v>5515</v>
      </c>
      <c r="K879">
        <v>131</v>
      </c>
      <c r="L879" s="5">
        <v>480</v>
      </c>
      <c r="M879" s="5">
        <v>600</v>
      </c>
      <c r="N879">
        <v>59</v>
      </c>
      <c r="O879">
        <v>541</v>
      </c>
      <c r="P879" s="1">
        <v>0.29583333333333334</v>
      </c>
      <c r="Q879" s="5">
        <v>1204</v>
      </c>
      <c r="R879" s="14">
        <v>9.1999999999999993</v>
      </c>
      <c r="S879">
        <v>131</v>
      </c>
      <c r="T879" s="5">
        <v>59</v>
      </c>
      <c r="U879" s="5">
        <v>541</v>
      </c>
      <c r="V879" s="5">
        <v>0</v>
      </c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</row>
    <row r="880" spans="1:37" x14ac:dyDescent="0.25">
      <c r="A880" s="11">
        <f>Table1[[#This Row],[Milk Yield]]-J876</f>
        <v>-153</v>
      </c>
      <c r="B880" t="s">
        <v>24</v>
      </c>
      <c r="C880" s="2">
        <v>2</v>
      </c>
      <c r="D880" s="12">
        <v>45687</v>
      </c>
      <c r="E880" s="2">
        <v>28</v>
      </c>
      <c r="F880" s="13">
        <v>0.66625000000000001</v>
      </c>
      <c r="G880" s="3">
        <v>0.84969907407407408</v>
      </c>
      <c r="H880" s="1">
        <v>0.18333333333333332</v>
      </c>
      <c r="I880" s="5">
        <v>591</v>
      </c>
      <c r="J880">
        <v>5797</v>
      </c>
      <c r="K880">
        <v>134</v>
      </c>
      <c r="L880" s="5">
        <v>82</v>
      </c>
      <c r="M880" s="5">
        <v>591</v>
      </c>
      <c r="N880">
        <v>10</v>
      </c>
      <c r="O880">
        <v>581</v>
      </c>
      <c r="P880" s="1">
        <v>0.33263888888888887</v>
      </c>
      <c r="Q880" s="5">
        <v>1317</v>
      </c>
      <c r="R880" s="14">
        <v>9.9</v>
      </c>
      <c r="S880">
        <v>134</v>
      </c>
      <c r="T880" s="5">
        <v>10</v>
      </c>
      <c r="U880" s="5">
        <v>581</v>
      </c>
      <c r="V880" s="5">
        <v>0</v>
      </c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</row>
    <row r="881" spans="1:37" x14ac:dyDescent="0.25">
      <c r="A881" s="11">
        <f>Table1[[#This Row],[Milk Yield]]-J877</f>
        <v>-100</v>
      </c>
      <c r="B881" t="s">
        <v>24</v>
      </c>
      <c r="C881" s="2">
        <v>3</v>
      </c>
      <c r="D881" s="12">
        <v>45687</v>
      </c>
      <c r="E881" s="2">
        <v>31</v>
      </c>
      <c r="F881" s="13">
        <v>0.99328703703703702</v>
      </c>
      <c r="G881" s="3">
        <v>0.21660879629629629</v>
      </c>
      <c r="H881" s="1">
        <v>0.22291666666666668</v>
      </c>
      <c r="I881" s="5">
        <v>595</v>
      </c>
      <c r="J881">
        <v>6092</v>
      </c>
      <c r="K881">
        <v>111</v>
      </c>
      <c r="L881" s="5">
        <v>262</v>
      </c>
      <c r="M881" s="5">
        <v>595</v>
      </c>
      <c r="N881">
        <v>32</v>
      </c>
      <c r="O881">
        <v>563</v>
      </c>
      <c r="P881" s="1">
        <v>0.30902777777777779</v>
      </c>
      <c r="Q881" s="5">
        <v>1137</v>
      </c>
      <c r="R881" s="14">
        <v>10.3</v>
      </c>
      <c r="S881">
        <v>111</v>
      </c>
      <c r="T881" s="5">
        <v>32</v>
      </c>
      <c r="U881" s="5">
        <v>563</v>
      </c>
      <c r="V881" s="5">
        <v>0</v>
      </c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</row>
    <row r="882" spans="1:37" x14ac:dyDescent="0.25">
      <c r="A882" s="11" t="e">
        <f>Table1[[#This Row],[Milk Yield]]-J878</f>
        <v>#VALUE!</v>
      </c>
      <c r="B882" t="s">
        <v>0</v>
      </c>
      <c r="C882" s="2" t="s">
        <v>1</v>
      </c>
      <c r="D882" s="12" t="s">
        <v>2</v>
      </c>
      <c r="E882" s="2" t="s">
        <v>3</v>
      </c>
      <c r="F882" s="13" t="s">
        <v>4</v>
      </c>
      <c r="G882" s="3" t="s">
        <v>5</v>
      </c>
      <c r="H882" s="1" t="s">
        <v>6</v>
      </c>
      <c r="I882" s="5" t="s">
        <v>8</v>
      </c>
      <c r="J882" t="s">
        <v>9</v>
      </c>
      <c r="K882" t="s">
        <v>10</v>
      </c>
      <c r="L882" s="5" t="s">
        <v>11</v>
      </c>
      <c r="M882" s="5" t="s">
        <v>12</v>
      </c>
      <c r="N882" t="s">
        <v>13</v>
      </c>
      <c r="O882" t="s">
        <v>20</v>
      </c>
      <c r="P882" s="1" t="s">
        <v>7</v>
      </c>
      <c r="Q882" s="5" t="s">
        <v>15</v>
      </c>
      <c r="R882" s="14" t="s">
        <v>18</v>
      </c>
      <c r="S882" t="s">
        <v>16</v>
      </c>
      <c r="T882" s="5" t="s">
        <v>14</v>
      </c>
      <c r="U882" s="5" t="s">
        <v>17</v>
      </c>
      <c r="V882" s="5" t="s">
        <v>19</v>
      </c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</row>
    <row r="883" spans="1:37" x14ac:dyDescent="0.25">
      <c r="A883" s="11">
        <f>Table1[[#This Row],[Milk Yield]]-J879</f>
        <v>51</v>
      </c>
      <c r="B883" t="s">
        <v>24</v>
      </c>
      <c r="C883" s="2">
        <v>1</v>
      </c>
      <c r="D883" s="12">
        <v>45688</v>
      </c>
      <c r="E883" s="2">
        <v>31</v>
      </c>
      <c r="F883" s="13">
        <v>0.3334375</v>
      </c>
      <c r="G883" s="3">
        <v>0.5121296296296296</v>
      </c>
      <c r="H883" s="1">
        <v>0.17847222222222223</v>
      </c>
      <c r="I883" s="5">
        <v>598</v>
      </c>
      <c r="J883">
        <v>5566</v>
      </c>
      <c r="K883">
        <v>139</v>
      </c>
      <c r="L883" s="5">
        <v>281</v>
      </c>
      <c r="M883" s="5">
        <v>590</v>
      </c>
      <c r="N883">
        <v>30</v>
      </c>
      <c r="O883">
        <v>560</v>
      </c>
      <c r="P883" s="1">
        <v>0.25972222222222224</v>
      </c>
      <c r="Q883" s="5">
        <v>1298</v>
      </c>
      <c r="R883" s="14">
        <v>9.5</v>
      </c>
      <c r="S883">
        <v>138</v>
      </c>
      <c r="T883" s="5">
        <v>30</v>
      </c>
      <c r="U883" s="5">
        <v>560</v>
      </c>
      <c r="V883" s="5">
        <v>0</v>
      </c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</row>
    <row r="884" spans="1:37" x14ac:dyDescent="0.25">
      <c r="A884" s="11">
        <f>Table1[[#This Row],[Milk Yield]]-J880</f>
        <v>-41</v>
      </c>
      <c r="B884" t="s">
        <v>24</v>
      </c>
      <c r="C884" s="2">
        <v>2</v>
      </c>
      <c r="D884" s="12">
        <v>45688</v>
      </c>
      <c r="E884" s="2">
        <v>30</v>
      </c>
      <c r="F884" s="13">
        <v>0.666875</v>
      </c>
      <c r="G884" s="3">
        <v>0.84535879629629629</v>
      </c>
      <c r="H884" s="1">
        <v>0.17847222222222223</v>
      </c>
      <c r="I884" s="5">
        <v>577</v>
      </c>
      <c r="J884">
        <v>5756</v>
      </c>
      <c r="K884">
        <v>135</v>
      </c>
      <c r="L884" s="5">
        <v>180</v>
      </c>
      <c r="M884" s="5">
        <v>577</v>
      </c>
      <c r="N884">
        <v>21</v>
      </c>
      <c r="O884">
        <v>556</v>
      </c>
      <c r="P884" s="1">
        <v>0.29583333333333334</v>
      </c>
      <c r="Q884" s="5">
        <v>1344</v>
      </c>
      <c r="R884" s="14">
        <v>10</v>
      </c>
      <c r="S884">
        <v>135</v>
      </c>
      <c r="T884" s="5">
        <v>21</v>
      </c>
      <c r="U884" s="5">
        <v>556</v>
      </c>
      <c r="V884" s="5">
        <v>0</v>
      </c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</row>
    <row r="885" spans="1:37" x14ac:dyDescent="0.25">
      <c r="A885" s="11">
        <f>Table1[[#This Row],[Milk Yield]]-J881</f>
        <v>-219</v>
      </c>
      <c r="B885" t="s">
        <v>24</v>
      </c>
      <c r="C885" s="2">
        <v>3</v>
      </c>
      <c r="D885" s="12">
        <v>45688</v>
      </c>
      <c r="E885" s="2">
        <v>31</v>
      </c>
      <c r="F885" s="13">
        <v>0.99954861111111115</v>
      </c>
      <c r="G885" s="3">
        <v>0.18344907407407407</v>
      </c>
      <c r="H885" s="1">
        <v>0.18333333333333332</v>
      </c>
      <c r="I885" s="5">
        <v>595</v>
      </c>
      <c r="J885">
        <v>5873</v>
      </c>
      <c r="K885">
        <v>135</v>
      </c>
      <c r="L885" s="5">
        <v>305</v>
      </c>
      <c r="M885" s="5">
        <v>595</v>
      </c>
      <c r="N885">
        <v>35</v>
      </c>
      <c r="O885">
        <v>560</v>
      </c>
      <c r="P885" s="1">
        <v>0.2902777777777778</v>
      </c>
      <c r="Q885" s="5">
        <v>1331</v>
      </c>
      <c r="R885" s="14">
        <v>9.9</v>
      </c>
      <c r="S885">
        <v>135</v>
      </c>
      <c r="T885" s="5">
        <v>35</v>
      </c>
      <c r="U885" s="5">
        <v>559</v>
      </c>
      <c r="V885" s="5">
        <v>0</v>
      </c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</row>
    <row r="886" spans="1:37" x14ac:dyDescent="0.25">
      <c r="A886" s="11" t="e">
        <f>Table1[[#This Row],[Milk Yield]]-J882</f>
        <v>#VALUE!</v>
      </c>
      <c r="B886" t="s">
        <v>0</v>
      </c>
      <c r="C886" s="2" t="s">
        <v>1</v>
      </c>
      <c r="D886" s="12" t="s">
        <v>2</v>
      </c>
      <c r="E886" s="2" t="s">
        <v>3</v>
      </c>
      <c r="F886" s="13" t="s">
        <v>4</v>
      </c>
      <c r="G886" s="3" t="s">
        <v>5</v>
      </c>
      <c r="H886" s="1" t="s">
        <v>6</v>
      </c>
      <c r="I886" s="5" t="s">
        <v>8</v>
      </c>
      <c r="J886" t="s">
        <v>9</v>
      </c>
      <c r="K886" t="s">
        <v>10</v>
      </c>
      <c r="L886" s="5" t="s">
        <v>11</v>
      </c>
      <c r="M886" s="5" t="s">
        <v>12</v>
      </c>
      <c r="N886" t="s">
        <v>13</v>
      </c>
      <c r="O886" t="s">
        <v>20</v>
      </c>
      <c r="P886" s="1" t="s">
        <v>7</v>
      </c>
      <c r="Q886" s="5" t="s">
        <v>15</v>
      </c>
      <c r="R886" s="14" t="s">
        <v>18</v>
      </c>
      <c r="S886" t="s">
        <v>16</v>
      </c>
      <c r="T886" s="5" t="s">
        <v>14</v>
      </c>
      <c r="U886" s="5" t="s">
        <v>17</v>
      </c>
      <c r="V886" s="5" t="s">
        <v>19</v>
      </c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</row>
    <row r="887" spans="1:37" x14ac:dyDescent="0.25">
      <c r="A887" s="11">
        <f>Table1[[#This Row],[Milk Yield]]-J883</f>
        <v>312</v>
      </c>
      <c r="B887" t="s">
        <v>24</v>
      </c>
      <c r="C887" s="2">
        <v>1</v>
      </c>
      <c r="D887" s="12">
        <v>45689</v>
      </c>
      <c r="E887" s="2">
        <v>28</v>
      </c>
      <c r="F887" s="13">
        <v>0.33611111111111114</v>
      </c>
      <c r="G887" s="3">
        <v>0.52350694444444446</v>
      </c>
      <c r="H887" s="1">
        <v>0.18680555555555556</v>
      </c>
      <c r="I887" s="5">
        <v>589</v>
      </c>
      <c r="J887">
        <v>5878</v>
      </c>
      <c r="K887">
        <v>131</v>
      </c>
      <c r="L887" s="5">
        <v>439</v>
      </c>
      <c r="M887" s="5">
        <v>589</v>
      </c>
      <c r="N887">
        <v>41</v>
      </c>
      <c r="O887">
        <v>548</v>
      </c>
      <c r="P887" s="1">
        <v>0.27986111111111112</v>
      </c>
      <c r="Q887" s="5">
        <v>1307</v>
      </c>
      <c r="R887" s="14">
        <v>10</v>
      </c>
      <c r="S887">
        <v>131</v>
      </c>
      <c r="T887" s="5">
        <v>41</v>
      </c>
      <c r="U887" s="5">
        <v>549</v>
      </c>
      <c r="V887" s="5">
        <v>1</v>
      </c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</row>
    <row r="888" spans="1:37" x14ac:dyDescent="0.25">
      <c r="A888" s="11">
        <f>Table1[[#This Row],[Milk Yield]]-J884</f>
        <v>30</v>
      </c>
      <c r="B888" t="s">
        <v>24</v>
      </c>
      <c r="C888" s="2">
        <v>2</v>
      </c>
      <c r="D888" s="12">
        <v>45689</v>
      </c>
      <c r="E888" s="2">
        <v>27</v>
      </c>
      <c r="F888" s="13">
        <v>0.66737268518518522</v>
      </c>
      <c r="G888" s="3">
        <v>0.87020833333333336</v>
      </c>
      <c r="H888" s="1">
        <v>0.20277777777777778</v>
      </c>
      <c r="I888" s="5">
        <v>578</v>
      </c>
      <c r="J888">
        <v>5786</v>
      </c>
      <c r="K888">
        <v>119</v>
      </c>
      <c r="L888" s="5">
        <v>252</v>
      </c>
      <c r="M888" s="5">
        <v>577</v>
      </c>
      <c r="N888">
        <v>24</v>
      </c>
      <c r="O888">
        <v>553</v>
      </c>
      <c r="P888" s="1">
        <v>0.28125</v>
      </c>
      <c r="Q888" s="5">
        <v>1189</v>
      </c>
      <c r="R888" s="14">
        <v>10.1</v>
      </c>
      <c r="S888">
        <v>119</v>
      </c>
      <c r="T888" s="5">
        <v>24</v>
      </c>
      <c r="U888" s="5">
        <v>553</v>
      </c>
      <c r="V888" s="5">
        <v>0</v>
      </c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</row>
    <row r="889" spans="1:37" x14ac:dyDescent="0.25">
      <c r="A889" s="11">
        <f>Table1[[#This Row],[Milk Yield]]-J885</f>
        <v>-91</v>
      </c>
      <c r="B889" t="s">
        <v>24</v>
      </c>
      <c r="C889" s="2">
        <v>3</v>
      </c>
      <c r="D889" s="12">
        <v>45689</v>
      </c>
      <c r="E889" s="2">
        <v>31</v>
      </c>
      <c r="F889" s="13">
        <v>0.99649305555555556</v>
      </c>
      <c r="G889" s="3">
        <v>0.18846064814814814</v>
      </c>
      <c r="H889" s="1">
        <v>0.19166666666666668</v>
      </c>
      <c r="I889" s="5">
        <v>581</v>
      </c>
      <c r="J889">
        <v>5782</v>
      </c>
      <c r="K889">
        <v>126</v>
      </c>
      <c r="L889" s="5">
        <v>105</v>
      </c>
      <c r="M889" s="5">
        <v>581</v>
      </c>
      <c r="N889">
        <v>14</v>
      </c>
      <c r="O889">
        <v>567</v>
      </c>
      <c r="P889" s="1">
        <v>0.27361111111111114</v>
      </c>
      <c r="Q889" s="5">
        <v>1255</v>
      </c>
      <c r="R889" s="14">
        <v>10</v>
      </c>
      <c r="S889">
        <v>126</v>
      </c>
      <c r="T889" s="5">
        <v>14</v>
      </c>
      <c r="U889" s="5">
        <v>567</v>
      </c>
      <c r="V889" s="5">
        <v>0</v>
      </c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</row>
    <row r="890" spans="1:37" x14ac:dyDescent="0.25">
      <c r="A890" s="11" t="e">
        <f>Table1[[#This Row],[Milk Yield]]-J886</f>
        <v>#VALUE!</v>
      </c>
      <c r="B890" t="s">
        <v>0</v>
      </c>
      <c r="C890" s="2" t="s">
        <v>1</v>
      </c>
      <c r="D890" s="12" t="s">
        <v>2</v>
      </c>
      <c r="E890" s="2" t="s">
        <v>3</v>
      </c>
      <c r="F890" s="13" t="s">
        <v>4</v>
      </c>
      <c r="G890" s="3" t="s">
        <v>5</v>
      </c>
      <c r="H890" s="1" t="s">
        <v>6</v>
      </c>
      <c r="I890" s="5" t="s">
        <v>8</v>
      </c>
      <c r="J890" t="s">
        <v>9</v>
      </c>
      <c r="K890" t="s">
        <v>10</v>
      </c>
      <c r="L890" s="5" t="s">
        <v>11</v>
      </c>
      <c r="M890" s="5" t="s">
        <v>12</v>
      </c>
      <c r="N890" t="s">
        <v>13</v>
      </c>
      <c r="O890" t="s">
        <v>20</v>
      </c>
      <c r="P890" s="1" t="s">
        <v>7</v>
      </c>
      <c r="Q890" s="5" t="s">
        <v>15</v>
      </c>
      <c r="R890" s="14" t="s">
        <v>18</v>
      </c>
      <c r="S890" t="s">
        <v>16</v>
      </c>
      <c r="T890" s="5" t="s">
        <v>14</v>
      </c>
      <c r="U890" s="5" t="s">
        <v>17</v>
      </c>
      <c r="V890" s="5" t="s">
        <v>19</v>
      </c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</row>
    <row r="891" spans="1:37" x14ac:dyDescent="0.25">
      <c r="A891" s="11">
        <f>Table1[[#This Row],[Milk Yield]]-J887</f>
        <v>-9</v>
      </c>
      <c r="B891" t="s">
        <v>24</v>
      </c>
      <c r="C891" s="2">
        <v>1</v>
      </c>
      <c r="D891" s="12">
        <v>45690</v>
      </c>
      <c r="E891" s="2">
        <v>29</v>
      </c>
      <c r="F891" s="13">
        <v>0.3369212962962963</v>
      </c>
      <c r="G891" s="3">
        <v>0.51137731481481485</v>
      </c>
      <c r="H891" s="1">
        <v>0.17430555555555555</v>
      </c>
      <c r="I891" s="5">
        <v>586</v>
      </c>
      <c r="J891">
        <v>5869</v>
      </c>
      <c r="K891">
        <v>140</v>
      </c>
      <c r="L891" s="5">
        <v>418</v>
      </c>
      <c r="M891" s="5">
        <v>575</v>
      </c>
      <c r="N891">
        <v>42</v>
      </c>
      <c r="O891">
        <v>533</v>
      </c>
      <c r="P891" s="1">
        <v>0.25694444444444442</v>
      </c>
      <c r="Q891" s="5">
        <v>1402</v>
      </c>
      <c r="R891" s="14">
        <v>10.3</v>
      </c>
      <c r="S891">
        <v>137</v>
      </c>
      <c r="T891" s="5">
        <v>42</v>
      </c>
      <c r="U891" s="5">
        <v>533</v>
      </c>
      <c r="V891" s="5">
        <v>0</v>
      </c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</row>
    <row r="892" spans="1:37" x14ac:dyDescent="0.25">
      <c r="A892" s="11">
        <f>Table1[[#This Row],[Milk Yield]]-J888</f>
        <v>-81</v>
      </c>
      <c r="B892" t="s">
        <v>24</v>
      </c>
      <c r="C892" s="2">
        <v>2</v>
      </c>
      <c r="D892" s="12">
        <v>45690</v>
      </c>
      <c r="E892" s="2">
        <v>29</v>
      </c>
      <c r="F892" s="13">
        <v>0.66677083333333331</v>
      </c>
      <c r="G892" s="3">
        <v>0.85644675925925928</v>
      </c>
      <c r="H892" s="1">
        <v>0.18958333333333333</v>
      </c>
      <c r="I892" s="5">
        <v>582</v>
      </c>
      <c r="J892">
        <v>5705</v>
      </c>
      <c r="K892">
        <v>128</v>
      </c>
      <c r="L892" s="5">
        <v>139</v>
      </c>
      <c r="M892" s="5">
        <v>582</v>
      </c>
      <c r="N892">
        <v>15</v>
      </c>
      <c r="O892">
        <v>567</v>
      </c>
      <c r="P892" s="1">
        <v>0.28611111111111109</v>
      </c>
      <c r="Q892" s="5">
        <v>1253</v>
      </c>
      <c r="R892" s="14">
        <v>9.9</v>
      </c>
      <c r="S892">
        <v>128</v>
      </c>
      <c r="T892" s="5">
        <v>15</v>
      </c>
      <c r="U892" s="5">
        <v>567</v>
      </c>
      <c r="V892" s="5">
        <v>0</v>
      </c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</row>
    <row r="893" spans="1:37" x14ac:dyDescent="0.25">
      <c r="A893" s="11">
        <f>Table1[[#This Row],[Milk Yield]]-J889</f>
        <v>104</v>
      </c>
      <c r="B893" t="s">
        <v>24</v>
      </c>
      <c r="C893" s="2">
        <v>3</v>
      </c>
      <c r="D893" s="12">
        <v>45690</v>
      </c>
      <c r="E893" s="2">
        <v>35</v>
      </c>
      <c r="F893" s="13">
        <v>4.861111111111111E-4</v>
      </c>
      <c r="G893" s="3">
        <v>0.21658564814814815</v>
      </c>
      <c r="H893" s="1">
        <v>0.21597222222222223</v>
      </c>
      <c r="I893" s="5">
        <v>685</v>
      </c>
      <c r="J893">
        <v>5886</v>
      </c>
      <c r="K893">
        <v>132</v>
      </c>
      <c r="L893" s="5">
        <v>218</v>
      </c>
      <c r="M893" s="5">
        <v>675</v>
      </c>
      <c r="N893">
        <v>24</v>
      </c>
      <c r="O893">
        <v>430</v>
      </c>
      <c r="P893" s="1">
        <v>0.31597222222222221</v>
      </c>
      <c r="Q893" s="5">
        <v>2270</v>
      </c>
      <c r="R893" s="14">
        <v>8.75</v>
      </c>
      <c r="S893">
        <v>130</v>
      </c>
      <c r="T893" s="5">
        <v>24</v>
      </c>
      <c r="U893" s="5">
        <v>430</v>
      </c>
      <c r="V893" s="5">
        <v>0</v>
      </c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</row>
    <row r="894" spans="1:37" x14ac:dyDescent="0.25">
      <c r="A894" s="11" t="e">
        <f>Table1[[#This Row],[Milk Yield]]-J890</f>
        <v>#VALUE!</v>
      </c>
      <c r="B894" t="s">
        <v>0</v>
      </c>
      <c r="C894" s="2" t="s">
        <v>1</v>
      </c>
      <c r="D894" s="12" t="s">
        <v>2</v>
      </c>
      <c r="E894" s="2" t="s">
        <v>3</v>
      </c>
      <c r="F894" s="13" t="s">
        <v>4</v>
      </c>
      <c r="G894" s="3" t="s">
        <v>5</v>
      </c>
      <c r="H894" s="1" t="s">
        <v>6</v>
      </c>
      <c r="I894" s="5" t="s">
        <v>8</v>
      </c>
      <c r="J894" t="s">
        <v>9</v>
      </c>
      <c r="K894" t="s">
        <v>10</v>
      </c>
      <c r="L894" s="5" t="s">
        <v>11</v>
      </c>
      <c r="M894" s="5" t="s">
        <v>12</v>
      </c>
      <c r="N894" t="s">
        <v>13</v>
      </c>
      <c r="O894" t="s">
        <v>20</v>
      </c>
      <c r="P894" s="1" t="s">
        <v>7</v>
      </c>
      <c r="Q894" s="5" t="s">
        <v>15</v>
      </c>
      <c r="R894" s="14" t="s">
        <v>18</v>
      </c>
      <c r="S894" t="s">
        <v>16</v>
      </c>
      <c r="T894" s="5" t="s">
        <v>14</v>
      </c>
      <c r="U894" s="5" t="s">
        <v>17</v>
      </c>
      <c r="V894" s="5" t="s">
        <v>19</v>
      </c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</row>
    <row r="895" spans="1:37" x14ac:dyDescent="0.25">
      <c r="A895" s="11">
        <f>Table1[[#This Row],[Milk Yield]]-J891</f>
        <v>113</v>
      </c>
      <c r="B895" t="s">
        <v>24</v>
      </c>
      <c r="C895" s="2">
        <v>1</v>
      </c>
      <c r="D895" s="12">
        <v>45691</v>
      </c>
      <c r="E895" s="2">
        <v>29</v>
      </c>
      <c r="F895" s="13">
        <v>0.33814814814814814</v>
      </c>
      <c r="G895" s="3">
        <v>0.53744212962962967</v>
      </c>
      <c r="H895" s="1">
        <v>0.1986111111111111</v>
      </c>
      <c r="I895" s="5">
        <v>568</v>
      </c>
      <c r="J895">
        <v>5982</v>
      </c>
      <c r="K895">
        <v>119</v>
      </c>
      <c r="L895" s="5">
        <v>259</v>
      </c>
      <c r="M895" s="5">
        <v>568</v>
      </c>
      <c r="N895">
        <v>25</v>
      </c>
      <c r="O895">
        <v>543</v>
      </c>
      <c r="P895" s="1">
        <v>0.28680555555555554</v>
      </c>
      <c r="Q895" s="5">
        <v>1251</v>
      </c>
      <c r="R895" s="14">
        <v>10.6</v>
      </c>
      <c r="S895">
        <v>119</v>
      </c>
      <c r="T895" s="5">
        <v>25</v>
      </c>
      <c r="U895" s="5">
        <v>543</v>
      </c>
      <c r="V895" s="5">
        <v>0</v>
      </c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</row>
    <row r="896" spans="1:37" x14ac:dyDescent="0.25">
      <c r="A896" s="11">
        <f>Table1[[#This Row],[Milk Yield]]-J892</f>
        <v>-454</v>
      </c>
      <c r="B896" t="s">
        <v>24</v>
      </c>
      <c r="C896" s="2">
        <v>2</v>
      </c>
      <c r="D896" s="12">
        <v>45691</v>
      </c>
      <c r="E896" s="2">
        <v>27</v>
      </c>
      <c r="F896" s="13">
        <v>0.6685416666666667</v>
      </c>
      <c r="G896" s="3">
        <v>0.85482638888888884</v>
      </c>
      <c r="H896" s="1">
        <v>0.18611111111111112</v>
      </c>
      <c r="I896" s="5">
        <v>566</v>
      </c>
      <c r="J896">
        <v>5251</v>
      </c>
      <c r="K896">
        <v>127</v>
      </c>
      <c r="L896" s="5">
        <v>126</v>
      </c>
      <c r="M896" s="5">
        <v>566</v>
      </c>
      <c r="N896">
        <v>15</v>
      </c>
      <c r="O896">
        <v>551</v>
      </c>
      <c r="P896" s="1">
        <v>0.31111111111111112</v>
      </c>
      <c r="Q896" s="5">
        <v>1175</v>
      </c>
      <c r="R896" s="14">
        <v>9.3000000000000007</v>
      </c>
      <c r="S896">
        <v>127</v>
      </c>
      <c r="T896" s="5">
        <v>15</v>
      </c>
      <c r="U896" s="5">
        <v>551</v>
      </c>
      <c r="V896" s="5">
        <v>0</v>
      </c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</row>
    <row r="897" spans="1:37" x14ac:dyDescent="0.25">
      <c r="A897" s="11">
        <f>Table1[[#This Row],[Milk Yield]]-J893</f>
        <v>-10</v>
      </c>
      <c r="B897" t="s">
        <v>24</v>
      </c>
      <c r="C897" s="2">
        <v>3</v>
      </c>
      <c r="D897" s="12">
        <v>45691</v>
      </c>
      <c r="E897" s="2">
        <v>30</v>
      </c>
      <c r="F897" s="13">
        <v>1.8981481481481482E-3</v>
      </c>
      <c r="G897" s="3">
        <v>0.20282407407407407</v>
      </c>
      <c r="H897" s="1">
        <v>0.20069444444444445</v>
      </c>
      <c r="I897" s="5">
        <v>568</v>
      </c>
      <c r="J897">
        <v>5876</v>
      </c>
      <c r="K897">
        <v>118</v>
      </c>
      <c r="L897" s="5">
        <v>443</v>
      </c>
      <c r="M897" s="5">
        <v>567</v>
      </c>
      <c r="N897">
        <v>45</v>
      </c>
      <c r="O897">
        <v>522</v>
      </c>
      <c r="P897" s="1">
        <v>0.29652777777777778</v>
      </c>
      <c r="Q897" s="5">
        <v>1218</v>
      </c>
      <c r="R897" s="14">
        <v>10.4</v>
      </c>
      <c r="S897">
        <v>118</v>
      </c>
      <c r="T897" s="5">
        <v>45</v>
      </c>
      <c r="U897" s="5">
        <v>522</v>
      </c>
      <c r="V897" s="5">
        <v>0</v>
      </c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</row>
    <row r="898" spans="1:37" x14ac:dyDescent="0.25">
      <c r="A898" s="11" t="e">
        <f>Table1[[#This Row],[Milk Yield]]-J894</f>
        <v>#VALUE!</v>
      </c>
      <c r="B898" t="s">
        <v>0</v>
      </c>
      <c r="C898" s="2" t="s">
        <v>1</v>
      </c>
      <c r="D898" s="12" t="s">
        <v>2</v>
      </c>
      <c r="E898" s="2" t="s">
        <v>3</v>
      </c>
      <c r="F898" s="13" t="s">
        <v>4</v>
      </c>
      <c r="G898" s="3" t="s">
        <v>5</v>
      </c>
      <c r="H898" s="1" t="s">
        <v>6</v>
      </c>
      <c r="I898" s="5" t="s">
        <v>8</v>
      </c>
      <c r="J898" t="s">
        <v>9</v>
      </c>
      <c r="K898" t="s">
        <v>10</v>
      </c>
      <c r="L898" s="5" t="s">
        <v>11</v>
      </c>
      <c r="M898" s="5" t="s">
        <v>12</v>
      </c>
      <c r="N898" t="s">
        <v>13</v>
      </c>
      <c r="O898" t="s">
        <v>20</v>
      </c>
      <c r="P898" s="1" t="s">
        <v>7</v>
      </c>
      <c r="Q898" s="5" t="s">
        <v>15</v>
      </c>
      <c r="R898" s="14" t="s">
        <v>18</v>
      </c>
      <c r="S898" t="s">
        <v>16</v>
      </c>
      <c r="T898" s="5" t="s">
        <v>14</v>
      </c>
      <c r="U898" s="5" t="s">
        <v>17</v>
      </c>
      <c r="V898" s="5" t="s">
        <v>19</v>
      </c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</row>
    <row r="899" spans="1:37" x14ac:dyDescent="0.25">
      <c r="A899" s="11">
        <f>Table1[[#This Row],[Milk Yield]]-J895</f>
        <v>-69</v>
      </c>
      <c r="B899" t="s">
        <v>24</v>
      </c>
      <c r="C899" s="2">
        <v>1</v>
      </c>
      <c r="D899" s="12">
        <v>45692</v>
      </c>
      <c r="E899" s="2">
        <v>28</v>
      </c>
      <c r="F899" s="13">
        <v>0.33295138888888887</v>
      </c>
      <c r="G899" s="3">
        <v>0.53182870370370372</v>
      </c>
      <c r="H899" s="1">
        <v>0.1986111111111111</v>
      </c>
      <c r="I899" s="5">
        <v>575</v>
      </c>
      <c r="J899">
        <v>5913</v>
      </c>
      <c r="K899">
        <v>120</v>
      </c>
      <c r="L899" s="5">
        <v>389</v>
      </c>
      <c r="M899" s="5">
        <v>575</v>
      </c>
      <c r="N899">
        <v>44</v>
      </c>
      <c r="O899">
        <v>531</v>
      </c>
      <c r="P899" s="1">
        <v>0.30138888888888887</v>
      </c>
      <c r="Q899" s="5">
        <v>1239</v>
      </c>
      <c r="R899" s="14">
        <v>10.3</v>
      </c>
      <c r="S899">
        <v>120</v>
      </c>
      <c r="T899" s="5">
        <v>44</v>
      </c>
      <c r="U899" s="5">
        <v>531</v>
      </c>
      <c r="V899" s="5">
        <v>0</v>
      </c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</row>
    <row r="900" spans="1:37" x14ac:dyDescent="0.25">
      <c r="A900" s="11">
        <f>Table1[[#This Row],[Milk Yield]]-J896</f>
        <v>0</v>
      </c>
      <c r="B900" t="s">
        <v>24</v>
      </c>
      <c r="C900" s="2">
        <v>2</v>
      </c>
      <c r="D900" s="12">
        <v>45692</v>
      </c>
      <c r="E900" s="2">
        <v>27</v>
      </c>
      <c r="F900" s="13">
        <v>0.66736111111111107</v>
      </c>
      <c r="G900" s="3">
        <v>0.85349537037037038</v>
      </c>
      <c r="H900" s="1">
        <v>0.18611111111111112</v>
      </c>
      <c r="I900" s="5">
        <v>568</v>
      </c>
      <c r="J900">
        <v>5251</v>
      </c>
      <c r="K900">
        <v>127</v>
      </c>
      <c r="L900" s="5">
        <v>131</v>
      </c>
      <c r="M900" s="5">
        <v>568</v>
      </c>
      <c r="N900">
        <v>14</v>
      </c>
      <c r="O900">
        <v>554</v>
      </c>
      <c r="P900" s="1">
        <v>0.30486111111111114</v>
      </c>
      <c r="Q900" s="5">
        <v>1175</v>
      </c>
      <c r="R900" s="14">
        <v>9.3000000000000007</v>
      </c>
      <c r="S900">
        <v>127</v>
      </c>
      <c r="T900" s="5">
        <v>14</v>
      </c>
      <c r="U900" s="5">
        <v>554</v>
      </c>
      <c r="V900" s="5">
        <v>0</v>
      </c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</row>
    <row r="901" spans="1:37" x14ac:dyDescent="0.25">
      <c r="A901" s="11">
        <f>Table1[[#This Row],[Milk Yield]]-J897</f>
        <v>-183</v>
      </c>
      <c r="B901" t="s">
        <v>24</v>
      </c>
      <c r="C901" s="2">
        <v>3</v>
      </c>
      <c r="D901" s="12">
        <v>45692</v>
      </c>
      <c r="E901" s="2">
        <v>30</v>
      </c>
      <c r="F901" s="13">
        <v>2.7777777777777778E-4</v>
      </c>
      <c r="G901" s="3">
        <v>0.20390046296296296</v>
      </c>
      <c r="H901" s="1">
        <v>0.20347222222222222</v>
      </c>
      <c r="I901" s="5">
        <v>581</v>
      </c>
      <c r="J901">
        <v>5693</v>
      </c>
      <c r="K901">
        <v>119</v>
      </c>
      <c r="L901" s="5">
        <v>240</v>
      </c>
      <c r="M901" s="5">
        <v>580</v>
      </c>
      <c r="N901">
        <v>31</v>
      </c>
      <c r="O901">
        <v>549</v>
      </c>
      <c r="P901" s="1">
        <v>0.26319444444444445</v>
      </c>
      <c r="Q901" s="5">
        <v>1165</v>
      </c>
      <c r="R901" s="14">
        <v>9.9</v>
      </c>
      <c r="S901">
        <v>119</v>
      </c>
      <c r="T901" s="5">
        <v>31</v>
      </c>
      <c r="U901" s="5">
        <v>549</v>
      </c>
      <c r="V901" s="5">
        <v>0</v>
      </c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</row>
    <row r="902" spans="1:37" x14ac:dyDescent="0.25">
      <c r="A902" s="11" t="e">
        <f>Table1[[#This Row],[Milk Yield]]-J898</f>
        <v>#VALUE!</v>
      </c>
      <c r="B902" t="s">
        <v>0</v>
      </c>
      <c r="C902" s="2" t="s">
        <v>1</v>
      </c>
      <c r="D902" s="12" t="s">
        <v>2</v>
      </c>
      <c r="E902" s="2" t="s">
        <v>3</v>
      </c>
      <c r="F902" s="13" t="s">
        <v>4</v>
      </c>
      <c r="G902" s="3" t="s">
        <v>5</v>
      </c>
      <c r="H902" s="1" t="s">
        <v>6</v>
      </c>
      <c r="I902" s="5" t="s">
        <v>8</v>
      </c>
      <c r="J902" t="s">
        <v>9</v>
      </c>
      <c r="K902" t="s">
        <v>10</v>
      </c>
      <c r="L902" s="5" t="s">
        <v>11</v>
      </c>
      <c r="M902" s="5" t="s">
        <v>12</v>
      </c>
      <c r="N902" t="s">
        <v>13</v>
      </c>
      <c r="O902" t="s">
        <v>20</v>
      </c>
      <c r="P902" s="1" t="s">
        <v>7</v>
      </c>
      <c r="Q902" s="5" t="s">
        <v>15</v>
      </c>
      <c r="R902" s="14" t="s">
        <v>18</v>
      </c>
      <c r="S902" t="s">
        <v>16</v>
      </c>
      <c r="T902" s="5" t="s">
        <v>14</v>
      </c>
      <c r="U902" s="5" t="s">
        <v>17</v>
      </c>
      <c r="V902" s="5" t="s">
        <v>19</v>
      </c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</row>
    <row r="903" spans="1:37" x14ac:dyDescent="0.25">
      <c r="A903" s="11">
        <f>Table1[[#This Row],[Milk Yield]]-J899</f>
        <v>132</v>
      </c>
      <c r="B903" t="s">
        <v>24</v>
      </c>
      <c r="C903" s="2">
        <v>1</v>
      </c>
      <c r="D903" s="12">
        <v>45693</v>
      </c>
      <c r="E903" s="2">
        <v>30</v>
      </c>
      <c r="F903" s="13">
        <v>0.3372337962962963</v>
      </c>
      <c r="G903" s="3">
        <v>0.51594907407407409</v>
      </c>
      <c r="H903" s="1">
        <v>0.17847222222222223</v>
      </c>
      <c r="I903" s="5">
        <v>577</v>
      </c>
      <c r="J903">
        <v>6045</v>
      </c>
      <c r="K903">
        <v>135</v>
      </c>
      <c r="L903" s="5">
        <v>317</v>
      </c>
      <c r="M903" s="5">
        <v>577</v>
      </c>
      <c r="N903">
        <v>32</v>
      </c>
      <c r="O903">
        <v>545</v>
      </c>
      <c r="P903" s="1">
        <v>0.2902777777777778</v>
      </c>
      <c r="Q903" s="5">
        <v>1409</v>
      </c>
      <c r="R903" s="14">
        <v>10.5</v>
      </c>
      <c r="S903">
        <v>135</v>
      </c>
      <c r="T903" s="5">
        <v>32</v>
      </c>
      <c r="U903" s="5">
        <v>544</v>
      </c>
      <c r="V903" s="5">
        <v>0</v>
      </c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</row>
    <row r="904" spans="1:37" x14ac:dyDescent="0.25">
      <c r="A904" s="11">
        <f>Table1[[#This Row],[Milk Yield]]-J900</f>
        <v>378</v>
      </c>
      <c r="B904" t="s">
        <v>24</v>
      </c>
      <c r="C904" s="2">
        <v>2</v>
      </c>
      <c r="D904" s="12">
        <v>45693</v>
      </c>
      <c r="E904" s="2">
        <v>27</v>
      </c>
      <c r="F904" s="13">
        <v>0.66975694444444445</v>
      </c>
      <c r="G904" s="3">
        <v>0.85236111111111112</v>
      </c>
      <c r="H904" s="1">
        <v>0.18194444444444444</v>
      </c>
      <c r="I904" s="5">
        <v>577</v>
      </c>
      <c r="J904">
        <v>5629</v>
      </c>
      <c r="K904">
        <v>132</v>
      </c>
      <c r="L904" s="5">
        <v>372</v>
      </c>
      <c r="M904" s="5">
        <v>571</v>
      </c>
      <c r="N904">
        <v>26</v>
      </c>
      <c r="O904">
        <v>545</v>
      </c>
      <c r="P904" s="1">
        <v>0.27638888888888891</v>
      </c>
      <c r="Q904" s="5">
        <v>1284</v>
      </c>
      <c r="R904" s="14">
        <v>9.9</v>
      </c>
      <c r="S904">
        <v>130</v>
      </c>
      <c r="T904" s="5">
        <v>26</v>
      </c>
      <c r="U904" s="5">
        <v>545</v>
      </c>
      <c r="V904" s="5">
        <v>0</v>
      </c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</row>
    <row r="905" spans="1:37" x14ac:dyDescent="0.25">
      <c r="A905" s="11">
        <f>Table1[[#This Row],[Milk Yield]]-J901</f>
        <v>-49</v>
      </c>
      <c r="B905" t="s">
        <v>24</v>
      </c>
      <c r="C905" s="2">
        <v>3</v>
      </c>
      <c r="D905" s="12">
        <v>45693</v>
      </c>
      <c r="E905" s="2">
        <v>32</v>
      </c>
      <c r="F905" s="13">
        <v>3.6805555555555554E-3</v>
      </c>
      <c r="G905" s="3">
        <v>0.20596064814814816</v>
      </c>
      <c r="H905" s="1">
        <v>0.20208333333333334</v>
      </c>
      <c r="I905" s="5">
        <v>591</v>
      </c>
      <c r="J905">
        <v>5644</v>
      </c>
      <c r="K905">
        <v>122</v>
      </c>
      <c r="L905" s="5">
        <v>394</v>
      </c>
      <c r="M905" s="5">
        <v>587</v>
      </c>
      <c r="N905">
        <v>49</v>
      </c>
      <c r="O905">
        <v>538</v>
      </c>
      <c r="P905" s="1">
        <v>0.28333333333333333</v>
      </c>
      <c r="Q905" s="5">
        <v>1163</v>
      </c>
      <c r="R905" s="14">
        <v>9.6999999999999993</v>
      </c>
      <c r="S905">
        <v>121</v>
      </c>
      <c r="T905" s="5">
        <v>49</v>
      </c>
      <c r="U905" s="5">
        <v>538</v>
      </c>
      <c r="V905" s="5">
        <v>0</v>
      </c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</row>
    <row r="906" spans="1:37" x14ac:dyDescent="0.25">
      <c r="A906" s="11" t="e">
        <f>Table1[[#This Row],[Milk Yield]]-J902</f>
        <v>#VALUE!</v>
      </c>
      <c r="B906" t="s">
        <v>0</v>
      </c>
      <c r="C906" s="2" t="s">
        <v>1</v>
      </c>
      <c r="D906" s="12" t="s">
        <v>2</v>
      </c>
      <c r="E906" s="2" t="s">
        <v>3</v>
      </c>
      <c r="F906" s="13" t="s">
        <v>4</v>
      </c>
      <c r="G906" s="3" t="s">
        <v>5</v>
      </c>
      <c r="H906" s="1" t="s">
        <v>6</v>
      </c>
      <c r="I906" s="5" t="s">
        <v>8</v>
      </c>
      <c r="J906" t="s">
        <v>9</v>
      </c>
      <c r="K906" t="s">
        <v>10</v>
      </c>
      <c r="L906" s="5" t="s">
        <v>11</v>
      </c>
      <c r="M906" s="5" t="s">
        <v>12</v>
      </c>
      <c r="N906" t="s">
        <v>13</v>
      </c>
      <c r="O906" t="s">
        <v>20</v>
      </c>
      <c r="P906" s="1" t="s">
        <v>7</v>
      </c>
      <c r="Q906" s="5" t="s">
        <v>15</v>
      </c>
      <c r="R906" s="14" t="s">
        <v>18</v>
      </c>
      <c r="S906" t="s">
        <v>16</v>
      </c>
      <c r="T906" s="5" t="s">
        <v>14</v>
      </c>
      <c r="U906" s="5" t="s">
        <v>17</v>
      </c>
      <c r="V906" s="5" t="s">
        <v>19</v>
      </c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</row>
    <row r="907" spans="1:37" x14ac:dyDescent="0.25">
      <c r="A907" s="11">
        <f>Table1[[#This Row],[Milk Yield]]-J903</f>
        <v>272</v>
      </c>
      <c r="B907" t="s">
        <v>24</v>
      </c>
      <c r="C907" s="2">
        <v>1</v>
      </c>
      <c r="D907" s="12">
        <v>45694</v>
      </c>
      <c r="E907" s="2">
        <v>28</v>
      </c>
      <c r="F907" s="13">
        <v>0.34109953703703705</v>
      </c>
      <c r="G907" s="3">
        <v>0.56063657407407408</v>
      </c>
      <c r="H907" s="1">
        <v>0.21944444444444444</v>
      </c>
      <c r="I907" s="5">
        <v>574</v>
      </c>
      <c r="J907">
        <v>6317</v>
      </c>
      <c r="K907">
        <v>109</v>
      </c>
      <c r="L907" s="5">
        <v>419</v>
      </c>
      <c r="M907" s="5">
        <v>574</v>
      </c>
      <c r="N907">
        <v>43</v>
      </c>
      <c r="O907">
        <v>531</v>
      </c>
      <c r="P907" s="1">
        <v>0.32361111111111113</v>
      </c>
      <c r="Q907" s="5">
        <v>1199</v>
      </c>
      <c r="R907" s="14">
        <v>11.1</v>
      </c>
      <c r="S907">
        <v>109</v>
      </c>
      <c r="T907" s="5">
        <v>43</v>
      </c>
      <c r="U907" s="5">
        <v>531</v>
      </c>
      <c r="V907" s="5">
        <v>0</v>
      </c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</row>
    <row r="908" spans="1:37" x14ac:dyDescent="0.25">
      <c r="A908" s="11">
        <f>Table1[[#This Row],[Milk Yield]]-J904</f>
        <v>-564</v>
      </c>
      <c r="B908" t="s">
        <v>24</v>
      </c>
      <c r="C908" s="2">
        <v>2</v>
      </c>
      <c r="D908" s="12">
        <v>45694</v>
      </c>
      <c r="E908" s="2">
        <v>27</v>
      </c>
      <c r="F908" s="13">
        <v>0.66744212962962968</v>
      </c>
      <c r="G908" s="3">
        <v>0.86319444444444449</v>
      </c>
      <c r="H908" s="1">
        <v>0.19513888888888889</v>
      </c>
      <c r="I908" s="5">
        <v>566</v>
      </c>
      <c r="J908">
        <v>5065</v>
      </c>
      <c r="K908">
        <v>120</v>
      </c>
      <c r="L908" s="5">
        <v>66</v>
      </c>
      <c r="M908" s="5">
        <v>566</v>
      </c>
      <c r="N908">
        <v>11</v>
      </c>
      <c r="O908">
        <v>555</v>
      </c>
      <c r="P908" s="1">
        <v>0.28958333333333336</v>
      </c>
      <c r="Q908" s="5">
        <v>1078</v>
      </c>
      <c r="R908" s="14">
        <v>9</v>
      </c>
      <c r="S908">
        <v>120</v>
      </c>
      <c r="T908" s="5">
        <v>11</v>
      </c>
      <c r="U908" s="5">
        <v>555</v>
      </c>
      <c r="V908" s="5">
        <v>0</v>
      </c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</row>
    <row r="909" spans="1:37" x14ac:dyDescent="0.25">
      <c r="A909" s="11">
        <f>Table1[[#This Row],[Milk Yield]]-J905</f>
        <v>16</v>
      </c>
      <c r="B909" t="s">
        <v>24</v>
      </c>
      <c r="C909" s="2">
        <v>3</v>
      </c>
      <c r="D909" s="12">
        <v>45694</v>
      </c>
      <c r="E909" s="2">
        <v>32</v>
      </c>
      <c r="F909" s="13">
        <v>4.2592592592592595E-3</v>
      </c>
      <c r="G909" s="3">
        <v>0.21724537037037037</v>
      </c>
      <c r="H909" s="1">
        <v>0.21249999999999999</v>
      </c>
      <c r="I909" s="5">
        <v>574</v>
      </c>
      <c r="J909">
        <v>5660</v>
      </c>
      <c r="K909">
        <v>112</v>
      </c>
      <c r="L909" s="5">
        <v>140</v>
      </c>
      <c r="M909" s="5">
        <v>574</v>
      </c>
      <c r="N909">
        <v>17</v>
      </c>
      <c r="O909">
        <v>557</v>
      </c>
      <c r="P909" s="1">
        <v>0.28125</v>
      </c>
      <c r="Q909" s="5">
        <v>1107</v>
      </c>
      <c r="R909" s="14">
        <v>9.9</v>
      </c>
      <c r="S909">
        <v>112</v>
      </c>
      <c r="T909" s="5">
        <v>17</v>
      </c>
      <c r="U909" s="5">
        <v>557</v>
      </c>
      <c r="V909" s="5">
        <v>0</v>
      </c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</row>
    <row r="910" spans="1:37" x14ac:dyDescent="0.25">
      <c r="A910" s="11" t="e">
        <f>Table1[[#This Row],[Milk Yield]]-J906</f>
        <v>#VALUE!</v>
      </c>
      <c r="B910" t="s">
        <v>0</v>
      </c>
      <c r="C910" s="2" t="s">
        <v>1</v>
      </c>
      <c r="D910" s="12" t="s">
        <v>2</v>
      </c>
      <c r="E910" s="2" t="s">
        <v>3</v>
      </c>
      <c r="F910" s="13" t="s">
        <v>4</v>
      </c>
      <c r="G910" s="3" t="s">
        <v>5</v>
      </c>
      <c r="H910" s="1" t="s">
        <v>6</v>
      </c>
      <c r="I910" s="5" t="s">
        <v>8</v>
      </c>
      <c r="J910" t="s">
        <v>9</v>
      </c>
      <c r="K910" t="s">
        <v>10</v>
      </c>
      <c r="L910" s="5" t="s">
        <v>11</v>
      </c>
      <c r="M910" s="5" t="s">
        <v>12</v>
      </c>
      <c r="N910" t="s">
        <v>13</v>
      </c>
      <c r="O910" t="s">
        <v>20</v>
      </c>
      <c r="P910" s="1" t="s">
        <v>7</v>
      </c>
      <c r="Q910" s="5" t="s">
        <v>15</v>
      </c>
      <c r="R910" s="14" t="s">
        <v>18</v>
      </c>
      <c r="S910" t="s">
        <v>16</v>
      </c>
      <c r="T910" s="5" t="s">
        <v>14</v>
      </c>
      <c r="U910" s="5" t="s">
        <v>17</v>
      </c>
      <c r="V910" s="5" t="s">
        <v>19</v>
      </c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</row>
    <row r="911" spans="1:37" x14ac:dyDescent="0.25">
      <c r="A911" s="11">
        <f>Table1[[#This Row],[Milk Yield]]-J907</f>
        <v>-348</v>
      </c>
      <c r="B911" t="s">
        <v>24</v>
      </c>
      <c r="C911" s="2">
        <v>1</v>
      </c>
      <c r="D911" s="12">
        <v>45695</v>
      </c>
      <c r="E911" s="2">
        <v>27</v>
      </c>
      <c r="F911" s="13">
        <v>0.33811342592592591</v>
      </c>
      <c r="G911" s="3">
        <v>0.51936342592592588</v>
      </c>
      <c r="H911" s="1">
        <v>0.18124999999999999</v>
      </c>
      <c r="I911" s="5">
        <v>563</v>
      </c>
      <c r="J911">
        <v>5969</v>
      </c>
      <c r="K911">
        <v>129</v>
      </c>
      <c r="L911" s="5">
        <v>38</v>
      </c>
      <c r="M911" s="5">
        <v>563</v>
      </c>
      <c r="N911">
        <v>6</v>
      </c>
      <c r="O911">
        <v>557</v>
      </c>
      <c r="P911" s="1">
        <v>0.27083333333333331</v>
      </c>
      <c r="Q911" s="5">
        <v>1372</v>
      </c>
      <c r="R911" s="14">
        <v>10.7</v>
      </c>
      <c r="S911">
        <v>129</v>
      </c>
      <c r="T911" s="5">
        <v>6</v>
      </c>
      <c r="U911" s="5">
        <v>557</v>
      </c>
      <c r="V911" s="5">
        <v>0</v>
      </c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</row>
    <row r="912" spans="1:37" x14ac:dyDescent="0.25">
      <c r="A912" s="11">
        <f>Table1[[#This Row],[Milk Yield]]-J908</f>
        <v>308</v>
      </c>
      <c r="B912" t="s">
        <v>24</v>
      </c>
      <c r="C912" s="2">
        <v>2</v>
      </c>
      <c r="D912" s="12">
        <v>45695</v>
      </c>
      <c r="E912" s="2">
        <v>26</v>
      </c>
      <c r="F912" s="13">
        <v>0.67965277777777777</v>
      </c>
      <c r="G912" s="3">
        <v>0.87332175925925926</v>
      </c>
      <c r="H912" s="1">
        <v>0.19305555555555556</v>
      </c>
      <c r="I912" s="5">
        <v>562</v>
      </c>
      <c r="J912">
        <v>5373</v>
      </c>
      <c r="K912">
        <v>121</v>
      </c>
      <c r="L912" s="5">
        <v>53</v>
      </c>
      <c r="M912" s="5">
        <v>562</v>
      </c>
      <c r="N912">
        <v>9</v>
      </c>
      <c r="O912">
        <v>553</v>
      </c>
      <c r="P912" s="1">
        <v>0.30208333333333331</v>
      </c>
      <c r="Q912" s="5">
        <v>1156</v>
      </c>
      <c r="R912" s="14">
        <v>9.6</v>
      </c>
      <c r="S912">
        <v>121</v>
      </c>
      <c r="T912" s="5">
        <v>9</v>
      </c>
      <c r="U912" s="5">
        <v>554</v>
      </c>
      <c r="V912" s="5">
        <v>1</v>
      </c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</row>
    <row r="913" spans="1:37" x14ac:dyDescent="0.25">
      <c r="A913" s="11">
        <f>Table1[[#This Row],[Milk Yield]]-J909</f>
        <v>-140</v>
      </c>
      <c r="B913" t="s">
        <v>24</v>
      </c>
      <c r="C913" s="2">
        <v>3</v>
      </c>
      <c r="D913" s="12">
        <v>45695</v>
      </c>
      <c r="E913" s="2">
        <v>29</v>
      </c>
      <c r="F913" s="13">
        <v>1.9907407407407408E-3</v>
      </c>
      <c r="G913" s="3">
        <v>0.20640046296296297</v>
      </c>
      <c r="H913" s="1">
        <v>0.20416666666666666</v>
      </c>
      <c r="I913" s="5">
        <v>567</v>
      </c>
      <c r="J913">
        <v>5520</v>
      </c>
      <c r="K913">
        <v>116</v>
      </c>
      <c r="L913" s="5">
        <v>69</v>
      </c>
      <c r="M913" s="5">
        <v>567</v>
      </c>
      <c r="N913">
        <v>10</v>
      </c>
      <c r="O913">
        <v>557</v>
      </c>
      <c r="P913" s="1">
        <v>0.26944444444444443</v>
      </c>
      <c r="Q913" s="5">
        <v>1125</v>
      </c>
      <c r="R913" s="14">
        <v>9.8000000000000007</v>
      </c>
      <c r="S913">
        <v>116</v>
      </c>
      <c r="T913" s="5">
        <v>10</v>
      </c>
      <c r="U913" s="5">
        <v>558</v>
      </c>
      <c r="V913" s="5">
        <v>1</v>
      </c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</row>
    <row r="914" spans="1:37" x14ac:dyDescent="0.25">
      <c r="A914" s="11" t="e">
        <f>Table1[[#This Row],[Milk Yield]]-J910</f>
        <v>#VALUE!</v>
      </c>
      <c r="B914" t="s">
        <v>0</v>
      </c>
      <c r="C914" s="2" t="s">
        <v>1</v>
      </c>
      <c r="D914" s="12" t="s">
        <v>2</v>
      </c>
      <c r="E914" s="2" t="s">
        <v>3</v>
      </c>
      <c r="F914" s="13" t="s">
        <v>4</v>
      </c>
      <c r="G914" s="3" t="s">
        <v>5</v>
      </c>
      <c r="H914" s="1" t="s">
        <v>6</v>
      </c>
      <c r="I914" s="5" t="s">
        <v>8</v>
      </c>
      <c r="J914" t="s">
        <v>9</v>
      </c>
      <c r="K914" t="s">
        <v>10</v>
      </c>
      <c r="L914" s="5" t="s">
        <v>11</v>
      </c>
      <c r="M914" s="5" t="s">
        <v>12</v>
      </c>
      <c r="N914" t="s">
        <v>13</v>
      </c>
      <c r="O914" t="s">
        <v>20</v>
      </c>
      <c r="P914" s="1" t="s">
        <v>7</v>
      </c>
      <c r="Q914" s="5" t="s">
        <v>15</v>
      </c>
      <c r="R914" s="14" t="s">
        <v>18</v>
      </c>
      <c r="S914" t="s">
        <v>16</v>
      </c>
      <c r="T914" s="5" t="s">
        <v>14</v>
      </c>
      <c r="U914" s="5" t="s">
        <v>17</v>
      </c>
      <c r="V914" s="5" t="s">
        <v>19</v>
      </c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</row>
    <row r="915" spans="1:37" x14ac:dyDescent="0.25">
      <c r="A915" s="11">
        <f>Table1[[#This Row],[Milk Yield]]-J911</f>
        <v>-78</v>
      </c>
      <c r="B915" t="s">
        <v>24</v>
      </c>
      <c r="C915" s="2">
        <v>1</v>
      </c>
      <c r="D915" s="12">
        <v>45696</v>
      </c>
      <c r="E915" s="2">
        <v>28</v>
      </c>
      <c r="F915" s="13">
        <v>0.33555555555555555</v>
      </c>
      <c r="G915" s="3">
        <v>0.54252314814814817</v>
      </c>
      <c r="H915" s="1">
        <v>0.20694444444444443</v>
      </c>
      <c r="I915" s="5">
        <v>564</v>
      </c>
      <c r="J915">
        <v>5891</v>
      </c>
      <c r="K915">
        <v>114</v>
      </c>
      <c r="L915" s="5">
        <v>53</v>
      </c>
      <c r="M915" s="5">
        <v>562</v>
      </c>
      <c r="N915">
        <v>7</v>
      </c>
      <c r="O915">
        <v>555</v>
      </c>
      <c r="P915" s="1">
        <v>0.29444444444444445</v>
      </c>
      <c r="Q915" s="5">
        <v>1186</v>
      </c>
      <c r="R915" s="14">
        <v>10.5</v>
      </c>
      <c r="S915">
        <v>113</v>
      </c>
      <c r="T915" s="5">
        <v>7</v>
      </c>
      <c r="U915" s="5">
        <v>557</v>
      </c>
      <c r="V915" s="5">
        <v>2</v>
      </c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</row>
    <row r="916" spans="1:37" x14ac:dyDescent="0.25">
      <c r="A916" s="11">
        <f>Table1[[#This Row],[Milk Yield]]-J912</f>
        <v>127</v>
      </c>
      <c r="B916" t="s">
        <v>24</v>
      </c>
      <c r="C916" s="2">
        <v>2</v>
      </c>
      <c r="D916" s="12">
        <v>45696</v>
      </c>
      <c r="E916" s="2">
        <v>27</v>
      </c>
      <c r="F916" s="13">
        <v>0.66802083333333329</v>
      </c>
      <c r="G916" s="3">
        <v>0.88895833333333329</v>
      </c>
      <c r="H916" s="1">
        <v>0.22083333333333333</v>
      </c>
      <c r="I916" s="5">
        <v>565</v>
      </c>
      <c r="J916">
        <v>5500</v>
      </c>
      <c r="K916">
        <v>107</v>
      </c>
      <c r="L916" s="5">
        <v>52</v>
      </c>
      <c r="M916" s="5">
        <v>565</v>
      </c>
      <c r="N916">
        <v>7</v>
      </c>
      <c r="O916">
        <v>558</v>
      </c>
      <c r="P916" s="1">
        <v>0.30902777777777779</v>
      </c>
      <c r="Q916" s="5">
        <v>1037</v>
      </c>
      <c r="R916" s="14">
        <v>9.8000000000000007</v>
      </c>
      <c r="S916">
        <v>107</v>
      </c>
      <c r="T916" s="5">
        <v>7</v>
      </c>
      <c r="U916" s="5">
        <v>558</v>
      </c>
      <c r="V916" s="5">
        <v>0</v>
      </c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</row>
    <row r="917" spans="1:37" x14ac:dyDescent="0.25">
      <c r="A917" s="11">
        <f>Table1[[#This Row],[Milk Yield]]-J913</f>
        <v>74</v>
      </c>
      <c r="B917" t="s">
        <v>24</v>
      </c>
      <c r="C917" s="2">
        <v>3</v>
      </c>
      <c r="D917" s="12">
        <v>45696</v>
      </c>
      <c r="E917" s="2">
        <v>29</v>
      </c>
      <c r="F917" s="13">
        <v>4.4212962962962964E-3</v>
      </c>
      <c r="G917" s="3">
        <v>0.22780092592592593</v>
      </c>
      <c r="H917" s="1">
        <v>0.22291666666666668</v>
      </c>
      <c r="I917" s="5">
        <v>567</v>
      </c>
      <c r="J917">
        <v>5594</v>
      </c>
      <c r="K917">
        <v>106</v>
      </c>
      <c r="L917" s="5">
        <v>76</v>
      </c>
      <c r="M917" s="5">
        <v>566</v>
      </c>
      <c r="N917">
        <v>9</v>
      </c>
      <c r="O917">
        <v>557</v>
      </c>
      <c r="P917" s="1">
        <v>0.27361111111111114</v>
      </c>
      <c r="Q917" s="5">
        <v>1043</v>
      </c>
      <c r="R917" s="14">
        <v>9.9</v>
      </c>
      <c r="S917">
        <v>106</v>
      </c>
      <c r="T917" s="5">
        <v>9</v>
      </c>
      <c r="U917" s="5">
        <v>557</v>
      </c>
      <c r="V917" s="5">
        <v>0</v>
      </c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</row>
    <row r="918" spans="1:37" x14ac:dyDescent="0.25">
      <c r="A918" s="11" t="e">
        <f>Table1[[#This Row],[Milk Yield]]-J914</f>
        <v>#VALUE!</v>
      </c>
      <c r="B918" t="s">
        <v>0</v>
      </c>
      <c r="C918" s="2" t="s">
        <v>1</v>
      </c>
      <c r="D918" s="12" t="s">
        <v>2</v>
      </c>
      <c r="E918" s="2" t="s">
        <v>3</v>
      </c>
      <c r="F918" s="13" t="s">
        <v>4</v>
      </c>
      <c r="G918" s="3" t="s">
        <v>5</v>
      </c>
      <c r="H918" s="1" t="s">
        <v>6</v>
      </c>
      <c r="I918" s="5" t="s">
        <v>8</v>
      </c>
      <c r="J918" t="s">
        <v>9</v>
      </c>
      <c r="K918" t="s">
        <v>10</v>
      </c>
      <c r="L918" s="5" t="s">
        <v>11</v>
      </c>
      <c r="M918" s="5" t="s">
        <v>12</v>
      </c>
      <c r="N918" t="s">
        <v>13</v>
      </c>
      <c r="O918" t="s">
        <v>20</v>
      </c>
      <c r="P918" s="1" t="s">
        <v>7</v>
      </c>
      <c r="Q918" s="5" t="s">
        <v>15</v>
      </c>
      <c r="R918" s="14" t="s">
        <v>18</v>
      </c>
      <c r="S918" t="s">
        <v>16</v>
      </c>
      <c r="T918" s="5" t="s">
        <v>14</v>
      </c>
      <c r="U918" s="5" t="s">
        <v>17</v>
      </c>
      <c r="V918" s="5" t="s">
        <v>19</v>
      </c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</row>
    <row r="919" spans="1:37" x14ac:dyDescent="0.25">
      <c r="A919" s="11">
        <f>Table1[[#This Row],[Milk Yield]]-J915</f>
        <v>-251</v>
      </c>
      <c r="B919" t="s">
        <v>24</v>
      </c>
      <c r="C919" s="2">
        <v>1</v>
      </c>
      <c r="D919" s="12">
        <v>45697</v>
      </c>
      <c r="E919" s="2">
        <v>28</v>
      </c>
      <c r="F919" s="13">
        <v>0.33729166666666666</v>
      </c>
      <c r="G919" s="3">
        <v>0.53923611111111114</v>
      </c>
      <c r="H919" s="1">
        <v>0.2013888888888889</v>
      </c>
      <c r="I919" s="5">
        <v>562</v>
      </c>
      <c r="J919">
        <v>5640</v>
      </c>
      <c r="K919">
        <v>116</v>
      </c>
      <c r="L919" s="5">
        <v>28</v>
      </c>
      <c r="M919" s="5">
        <v>561</v>
      </c>
      <c r="N919">
        <v>4</v>
      </c>
      <c r="O919">
        <v>557</v>
      </c>
      <c r="P919" s="1">
        <v>0.2673611111111111</v>
      </c>
      <c r="Q919" s="5">
        <v>1164</v>
      </c>
      <c r="R919" s="14">
        <v>10.1</v>
      </c>
      <c r="S919">
        <v>116</v>
      </c>
      <c r="T919" s="5">
        <v>4</v>
      </c>
      <c r="U919" s="5">
        <v>557</v>
      </c>
      <c r="V919" s="5">
        <v>0</v>
      </c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</row>
    <row r="920" spans="1:37" x14ac:dyDescent="0.25">
      <c r="A920" s="11">
        <f>Table1[[#This Row],[Milk Yield]]-J916</f>
        <v>229</v>
      </c>
      <c r="B920" t="s">
        <v>24</v>
      </c>
      <c r="C920" s="2">
        <v>2</v>
      </c>
      <c r="D920" s="12">
        <v>45697</v>
      </c>
      <c r="E920" s="2">
        <v>28</v>
      </c>
      <c r="F920" s="13">
        <v>0.67068287037037033</v>
      </c>
      <c r="G920" s="3">
        <v>0.91079861111111116</v>
      </c>
      <c r="H920" s="1">
        <v>0.23958333333333334</v>
      </c>
      <c r="I920" s="5">
        <v>559</v>
      </c>
      <c r="J920">
        <v>5729</v>
      </c>
      <c r="K920">
        <v>97</v>
      </c>
      <c r="L920" s="5">
        <v>70</v>
      </c>
      <c r="M920" s="5">
        <v>559</v>
      </c>
      <c r="N920">
        <v>9</v>
      </c>
      <c r="O920">
        <v>550</v>
      </c>
      <c r="P920" s="1">
        <v>0.27847222222222223</v>
      </c>
      <c r="Q920" s="5">
        <v>994</v>
      </c>
      <c r="R920" s="14">
        <v>10.3</v>
      </c>
      <c r="S920">
        <v>97</v>
      </c>
      <c r="T920" s="5">
        <v>9</v>
      </c>
      <c r="U920" s="5">
        <v>550</v>
      </c>
      <c r="V920" s="5">
        <v>0</v>
      </c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</row>
    <row r="921" spans="1:37" x14ac:dyDescent="0.25">
      <c r="A921" s="11">
        <f>Table1[[#This Row],[Milk Yield]]-J917</f>
        <v>-1316</v>
      </c>
      <c r="B921" t="s">
        <v>24</v>
      </c>
      <c r="C921" s="2">
        <v>3</v>
      </c>
      <c r="D921" s="12">
        <v>45697</v>
      </c>
      <c r="E921" s="2">
        <v>30</v>
      </c>
      <c r="F921" s="13">
        <v>2.2569444444444442E-3</v>
      </c>
      <c r="G921" s="3">
        <v>0.19664351851851852</v>
      </c>
      <c r="H921" s="1">
        <v>0.19375000000000001</v>
      </c>
      <c r="I921" s="5">
        <v>545</v>
      </c>
      <c r="J921">
        <v>4278</v>
      </c>
      <c r="K921">
        <v>117</v>
      </c>
      <c r="L921" s="5">
        <v>68</v>
      </c>
      <c r="M921" s="5">
        <v>544</v>
      </c>
      <c r="N921">
        <v>13</v>
      </c>
      <c r="O921">
        <v>531</v>
      </c>
      <c r="P921" s="1">
        <v>0.27013888888888887</v>
      </c>
      <c r="Q921" s="5">
        <v>917</v>
      </c>
      <c r="R921" s="14">
        <v>7.9</v>
      </c>
      <c r="S921">
        <v>117</v>
      </c>
      <c r="T921" s="5">
        <v>13</v>
      </c>
      <c r="U921" s="5">
        <v>531</v>
      </c>
      <c r="V921" s="5">
        <v>0</v>
      </c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</row>
    <row r="922" spans="1:37" x14ac:dyDescent="0.25">
      <c r="A922" s="11" t="e">
        <f>Table1[[#This Row],[Milk Yield]]-J918</f>
        <v>#VALUE!</v>
      </c>
      <c r="B922" t="s">
        <v>0</v>
      </c>
      <c r="C922" s="2" t="s">
        <v>1</v>
      </c>
      <c r="D922" s="12" t="s">
        <v>2</v>
      </c>
      <c r="E922" s="2" t="s">
        <v>3</v>
      </c>
      <c r="F922" s="13" t="s">
        <v>4</v>
      </c>
      <c r="G922" s="3" t="s">
        <v>5</v>
      </c>
      <c r="H922" s="1" t="s">
        <v>6</v>
      </c>
      <c r="I922" s="5" t="s">
        <v>8</v>
      </c>
      <c r="J922" t="s">
        <v>9</v>
      </c>
      <c r="K922" t="s">
        <v>10</v>
      </c>
      <c r="L922" s="5" t="s">
        <v>11</v>
      </c>
      <c r="M922" s="5" t="s">
        <v>12</v>
      </c>
      <c r="N922" t="s">
        <v>13</v>
      </c>
      <c r="O922" t="s">
        <v>20</v>
      </c>
      <c r="P922" s="1" t="s">
        <v>7</v>
      </c>
      <c r="Q922" s="5" t="s">
        <v>15</v>
      </c>
      <c r="R922" s="14" t="s">
        <v>18</v>
      </c>
      <c r="S922" t="s">
        <v>16</v>
      </c>
      <c r="T922" s="5" t="s">
        <v>14</v>
      </c>
      <c r="U922" s="5" t="s">
        <v>17</v>
      </c>
      <c r="V922" s="5" t="s">
        <v>19</v>
      </c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</row>
    <row r="923" spans="1:37" x14ac:dyDescent="0.25">
      <c r="A923" s="11">
        <f>Table1[[#This Row],[Milk Yield]]-J919</f>
        <v>135</v>
      </c>
      <c r="B923" t="s">
        <v>24</v>
      </c>
      <c r="C923" s="2">
        <v>1</v>
      </c>
      <c r="D923" s="12">
        <v>45698</v>
      </c>
      <c r="E923" s="2">
        <v>28</v>
      </c>
      <c r="F923" s="13">
        <v>0.33667824074074076</v>
      </c>
      <c r="G923" s="3">
        <v>0.52189814814814817</v>
      </c>
      <c r="H923" s="1">
        <v>0.18472222222222223</v>
      </c>
      <c r="I923" s="5">
        <v>561</v>
      </c>
      <c r="J923">
        <v>5775</v>
      </c>
      <c r="K923">
        <v>126</v>
      </c>
      <c r="L923" s="5">
        <v>66</v>
      </c>
      <c r="M923" s="5">
        <v>561</v>
      </c>
      <c r="N923">
        <v>6</v>
      </c>
      <c r="O923">
        <v>555</v>
      </c>
      <c r="P923" s="1">
        <v>0.28749999999999998</v>
      </c>
      <c r="Q923" s="5">
        <v>1299</v>
      </c>
      <c r="R923" s="14">
        <v>10.3</v>
      </c>
      <c r="S923">
        <v>126</v>
      </c>
      <c r="T923" s="5">
        <v>6</v>
      </c>
      <c r="U923" s="5">
        <v>555</v>
      </c>
      <c r="V923" s="5">
        <v>0</v>
      </c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</row>
    <row r="924" spans="1:37" x14ac:dyDescent="0.25">
      <c r="A924" s="11">
        <f>Table1[[#This Row],[Milk Yield]]-J920</f>
        <v>-671</v>
      </c>
      <c r="B924" t="s">
        <v>24</v>
      </c>
      <c r="C924" s="2">
        <v>2</v>
      </c>
      <c r="D924" s="12">
        <v>45698</v>
      </c>
      <c r="E924" s="2">
        <v>28</v>
      </c>
      <c r="F924" s="13">
        <v>0.66935185185185186</v>
      </c>
      <c r="G924" s="3">
        <v>0.87766203703703705</v>
      </c>
      <c r="H924" s="1">
        <v>0.2076388888888889</v>
      </c>
      <c r="I924" s="5">
        <v>557</v>
      </c>
      <c r="J924">
        <v>5058</v>
      </c>
      <c r="K924">
        <v>111</v>
      </c>
      <c r="L924" s="5">
        <v>76</v>
      </c>
      <c r="M924" s="5">
        <v>557</v>
      </c>
      <c r="N924">
        <v>11</v>
      </c>
      <c r="O924">
        <v>546</v>
      </c>
      <c r="P924" s="1">
        <v>0.28055555555555556</v>
      </c>
      <c r="Q924" s="5">
        <v>1012</v>
      </c>
      <c r="R924" s="14">
        <v>9.1</v>
      </c>
      <c r="S924">
        <v>111</v>
      </c>
      <c r="T924" s="5">
        <v>11</v>
      </c>
      <c r="U924" s="5">
        <v>546</v>
      </c>
      <c r="V924" s="5">
        <v>0</v>
      </c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</row>
    <row r="925" spans="1:37" x14ac:dyDescent="0.25">
      <c r="A925" s="11">
        <f>Table1[[#This Row],[Milk Yield]]-J921</f>
        <v>1622</v>
      </c>
      <c r="B925" t="s">
        <v>24</v>
      </c>
      <c r="C925" s="2">
        <v>3</v>
      </c>
      <c r="D925" s="12">
        <v>45698</v>
      </c>
      <c r="E925" s="2">
        <v>31</v>
      </c>
      <c r="F925" s="13">
        <v>1.4120370370370369E-3</v>
      </c>
      <c r="G925" s="3">
        <v>0.22915509259259259</v>
      </c>
      <c r="H925" s="1">
        <v>0.22708333333333333</v>
      </c>
      <c r="I925" s="5">
        <v>562</v>
      </c>
      <c r="J925">
        <v>5900</v>
      </c>
      <c r="K925">
        <v>103</v>
      </c>
      <c r="L925" s="5">
        <v>75</v>
      </c>
      <c r="M925" s="5">
        <v>562</v>
      </c>
      <c r="N925">
        <v>10</v>
      </c>
      <c r="O925">
        <v>552</v>
      </c>
      <c r="P925" s="1">
        <v>0.29583333333333334</v>
      </c>
      <c r="Q925" s="5">
        <v>1079</v>
      </c>
      <c r="R925" s="14">
        <v>10.5</v>
      </c>
      <c r="S925">
        <v>103</v>
      </c>
      <c r="T925" s="5">
        <v>10</v>
      </c>
      <c r="U925" s="5">
        <v>552</v>
      </c>
      <c r="V925" s="5">
        <v>0</v>
      </c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</row>
    <row r="926" spans="1:37" x14ac:dyDescent="0.25">
      <c r="A926" s="11" t="e">
        <f>Table1[[#This Row],[Milk Yield]]-J922</f>
        <v>#VALUE!</v>
      </c>
      <c r="B926" t="s">
        <v>0</v>
      </c>
      <c r="C926" s="2" t="s">
        <v>1</v>
      </c>
      <c r="D926" s="12" t="s">
        <v>2</v>
      </c>
      <c r="E926" s="2" t="s">
        <v>3</v>
      </c>
      <c r="F926" s="13" t="s">
        <v>4</v>
      </c>
      <c r="G926" s="3" t="s">
        <v>5</v>
      </c>
      <c r="H926" s="1" t="s">
        <v>6</v>
      </c>
      <c r="I926" s="5" t="s">
        <v>8</v>
      </c>
      <c r="J926" t="s">
        <v>9</v>
      </c>
      <c r="K926" t="s">
        <v>10</v>
      </c>
      <c r="L926" s="5" t="s">
        <v>11</v>
      </c>
      <c r="M926" s="5" t="s">
        <v>12</v>
      </c>
      <c r="N926" t="s">
        <v>13</v>
      </c>
      <c r="O926" t="s">
        <v>20</v>
      </c>
      <c r="P926" s="1" t="s">
        <v>7</v>
      </c>
      <c r="Q926" s="5" t="s">
        <v>15</v>
      </c>
      <c r="R926" s="14" t="s">
        <v>18</v>
      </c>
      <c r="S926" t="s">
        <v>16</v>
      </c>
      <c r="T926" s="5" t="s">
        <v>14</v>
      </c>
      <c r="U926" s="5" t="s">
        <v>17</v>
      </c>
      <c r="V926" s="5" t="s">
        <v>19</v>
      </c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</row>
    <row r="927" spans="1:37" x14ac:dyDescent="0.25">
      <c r="A927" s="11">
        <f>Table1[[#This Row],[Milk Yield]]-J923</f>
        <v>-698</v>
      </c>
      <c r="B927" t="s">
        <v>24</v>
      </c>
      <c r="C927" s="2">
        <v>1</v>
      </c>
      <c r="D927" s="12">
        <v>45699</v>
      </c>
      <c r="E927" s="2">
        <v>27</v>
      </c>
      <c r="F927" s="13">
        <v>0.33725694444444443</v>
      </c>
      <c r="G927" s="3">
        <v>0.50438657407407406</v>
      </c>
      <c r="H927" s="1">
        <v>0.16666666666666666</v>
      </c>
      <c r="I927" s="5">
        <v>556</v>
      </c>
      <c r="J927">
        <v>5077</v>
      </c>
      <c r="K927">
        <v>139</v>
      </c>
      <c r="L927" s="5">
        <v>16</v>
      </c>
      <c r="M927" s="5">
        <v>555</v>
      </c>
      <c r="N927">
        <v>3</v>
      </c>
      <c r="O927">
        <v>552</v>
      </c>
      <c r="P927" s="1">
        <v>0.26874999999999999</v>
      </c>
      <c r="Q927" s="5">
        <v>1266</v>
      </c>
      <c r="R927" s="14">
        <v>9.1999999999999993</v>
      </c>
      <c r="S927">
        <v>138</v>
      </c>
      <c r="T927" s="5">
        <v>3</v>
      </c>
      <c r="U927" s="5">
        <v>552</v>
      </c>
      <c r="V927" s="5">
        <v>0</v>
      </c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</row>
    <row r="928" spans="1:37" x14ac:dyDescent="0.25">
      <c r="A928" s="11">
        <f>Table1[[#This Row],[Milk Yield]]-J924</f>
        <v>446</v>
      </c>
      <c r="B928" t="s">
        <v>24</v>
      </c>
      <c r="C928" s="2">
        <v>2</v>
      </c>
      <c r="D928" s="12">
        <v>45699</v>
      </c>
      <c r="E928" s="2">
        <v>26</v>
      </c>
      <c r="F928" s="13">
        <v>0.66827546296296292</v>
      </c>
      <c r="G928" s="3">
        <v>0.86540509259259257</v>
      </c>
      <c r="H928" s="1">
        <v>0.19652777777777777</v>
      </c>
      <c r="I928" s="5">
        <v>560</v>
      </c>
      <c r="J928">
        <v>5504</v>
      </c>
      <c r="K928">
        <v>118</v>
      </c>
      <c r="L928" s="5">
        <v>116</v>
      </c>
      <c r="M928" s="5">
        <v>560</v>
      </c>
      <c r="N928">
        <v>10</v>
      </c>
      <c r="O928">
        <v>550</v>
      </c>
      <c r="P928" s="1">
        <v>0.37986111111111109</v>
      </c>
      <c r="Q928" s="5">
        <v>1163</v>
      </c>
      <c r="R928" s="14">
        <v>9.9</v>
      </c>
      <c r="S928">
        <v>118</v>
      </c>
      <c r="T928" s="5">
        <v>10</v>
      </c>
      <c r="U928" s="5">
        <v>550</v>
      </c>
      <c r="V928" s="5">
        <v>0</v>
      </c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</row>
    <row r="929" spans="1:37" x14ac:dyDescent="0.25">
      <c r="A929" s="11">
        <f>Table1[[#This Row],[Milk Yield]]-J925</f>
        <v>-182</v>
      </c>
      <c r="B929" t="s">
        <v>24</v>
      </c>
      <c r="C929" s="2">
        <v>3</v>
      </c>
      <c r="D929" s="12">
        <v>45699</v>
      </c>
      <c r="E929" s="2">
        <v>28</v>
      </c>
      <c r="F929" s="13">
        <v>1.4583333333333334E-3</v>
      </c>
      <c r="G929" s="3">
        <v>0.21474537037037036</v>
      </c>
      <c r="H929" s="1">
        <v>0.21319444444444444</v>
      </c>
      <c r="I929" s="5">
        <v>561</v>
      </c>
      <c r="J929">
        <v>5718</v>
      </c>
      <c r="K929">
        <v>110</v>
      </c>
      <c r="L929" s="5">
        <v>49</v>
      </c>
      <c r="M929" s="5">
        <v>561</v>
      </c>
      <c r="N929">
        <v>6</v>
      </c>
      <c r="O929">
        <v>555</v>
      </c>
      <c r="P929" s="1">
        <v>0.28819444444444442</v>
      </c>
      <c r="Q929" s="5">
        <v>1117</v>
      </c>
      <c r="R929" s="14">
        <v>10.199999999999999</v>
      </c>
      <c r="S929">
        <v>110</v>
      </c>
      <c r="T929" s="5">
        <v>6</v>
      </c>
      <c r="U929" s="5">
        <v>555</v>
      </c>
      <c r="V929" s="5">
        <v>0</v>
      </c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</row>
    <row r="930" spans="1:37" x14ac:dyDescent="0.25">
      <c r="A930" s="11" t="e">
        <f>Table1[[#This Row],[Milk Yield]]-J926</f>
        <v>#VALUE!</v>
      </c>
      <c r="B930" t="s">
        <v>0</v>
      </c>
      <c r="C930" s="2" t="s">
        <v>1</v>
      </c>
      <c r="D930" s="12" t="s">
        <v>2</v>
      </c>
      <c r="E930" s="2" t="s">
        <v>3</v>
      </c>
      <c r="F930" s="13" t="s">
        <v>4</v>
      </c>
      <c r="G930" s="3" t="s">
        <v>5</v>
      </c>
      <c r="H930" s="1" t="s">
        <v>6</v>
      </c>
      <c r="I930" s="5" t="s">
        <v>8</v>
      </c>
      <c r="J930" t="s">
        <v>9</v>
      </c>
      <c r="K930" t="s">
        <v>10</v>
      </c>
      <c r="L930" s="5" t="s">
        <v>11</v>
      </c>
      <c r="M930" s="5" t="s">
        <v>12</v>
      </c>
      <c r="N930" t="s">
        <v>13</v>
      </c>
      <c r="O930" t="s">
        <v>20</v>
      </c>
      <c r="P930" s="1" t="s">
        <v>7</v>
      </c>
      <c r="Q930" s="5" t="s">
        <v>15</v>
      </c>
      <c r="R930" s="14" t="s">
        <v>18</v>
      </c>
      <c r="S930" t="s">
        <v>16</v>
      </c>
      <c r="T930" s="5" t="s">
        <v>14</v>
      </c>
      <c r="U930" s="5" t="s">
        <v>17</v>
      </c>
      <c r="V930" s="5" t="s">
        <v>19</v>
      </c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</row>
    <row r="931" spans="1:37" x14ac:dyDescent="0.25">
      <c r="A931" s="11">
        <f>Table1[[#This Row],[Milk Yield]]-J927</f>
        <v>453</v>
      </c>
      <c r="B931" t="s">
        <v>24</v>
      </c>
      <c r="C931" s="2">
        <v>1</v>
      </c>
      <c r="D931" s="12">
        <v>45700</v>
      </c>
      <c r="E931" s="2">
        <v>28</v>
      </c>
      <c r="F931" s="13">
        <v>0.33834490740740741</v>
      </c>
      <c r="G931" s="3">
        <v>0.52394675925925926</v>
      </c>
      <c r="H931" s="1">
        <v>0.18541666666666667</v>
      </c>
      <c r="I931" s="5">
        <v>559</v>
      </c>
      <c r="J931">
        <v>5530</v>
      </c>
      <c r="K931">
        <v>125</v>
      </c>
      <c r="L931" s="5">
        <v>9</v>
      </c>
      <c r="M931" s="5">
        <v>559</v>
      </c>
      <c r="N931">
        <v>2</v>
      </c>
      <c r="O931">
        <v>557</v>
      </c>
      <c r="P931" s="1">
        <v>0.29652777777777778</v>
      </c>
      <c r="Q931" s="5">
        <v>1241</v>
      </c>
      <c r="R931" s="14">
        <v>9.9</v>
      </c>
      <c r="S931">
        <v>125</v>
      </c>
      <c r="T931" s="5">
        <v>2</v>
      </c>
      <c r="U931" s="5">
        <v>557</v>
      </c>
      <c r="V931" s="5">
        <v>0</v>
      </c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</row>
    <row r="932" spans="1:37" x14ac:dyDescent="0.25">
      <c r="A932" s="11">
        <f>Table1[[#This Row],[Milk Yield]]-J928</f>
        <v>171</v>
      </c>
      <c r="B932" t="s">
        <v>24</v>
      </c>
      <c r="C932" s="2">
        <v>2</v>
      </c>
      <c r="D932" s="12">
        <v>45700</v>
      </c>
      <c r="E932" s="2">
        <v>28</v>
      </c>
      <c r="F932" s="13">
        <v>0.66783564814814811</v>
      </c>
      <c r="G932" s="3">
        <v>0.89081018518518518</v>
      </c>
      <c r="H932" s="1">
        <v>0.22291666666666668</v>
      </c>
      <c r="I932" s="5">
        <v>562</v>
      </c>
      <c r="J932">
        <v>5675</v>
      </c>
      <c r="K932">
        <v>105</v>
      </c>
      <c r="L932" s="5">
        <v>56</v>
      </c>
      <c r="M932" s="5">
        <v>562</v>
      </c>
      <c r="N932">
        <v>6</v>
      </c>
      <c r="O932">
        <v>556</v>
      </c>
      <c r="P932" s="1">
        <v>0.42638888888888887</v>
      </c>
      <c r="Q932" s="5">
        <v>1060</v>
      </c>
      <c r="R932" s="14">
        <v>10.1</v>
      </c>
      <c r="S932">
        <v>105</v>
      </c>
      <c r="T932" s="5">
        <v>6</v>
      </c>
      <c r="U932" s="5">
        <v>556</v>
      </c>
      <c r="V932" s="5">
        <v>0</v>
      </c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</row>
    <row r="933" spans="1:37" x14ac:dyDescent="0.25">
      <c r="A933" s="11">
        <f>Table1[[#This Row],[Milk Yield]]-J929</f>
        <v>-457</v>
      </c>
      <c r="B933" t="s">
        <v>24</v>
      </c>
      <c r="C933" s="2">
        <v>3</v>
      </c>
      <c r="D933" s="12">
        <v>45700</v>
      </c>
      <c r="E933" s="2">
        <v>28</v>
      </c>
      <c r="F933" s="13">
        <v>0.99814814814814812</v>
      </c>
      <c r="G933" s="3">
        <v>0.18643518518518518</v>
      </c>
      <c r="H933" s="1">
        <v>0.18819444444444444</v>
      </c>
      <c r="I933" s="5">
        <v>560</v>
      </c>
      <c r="J933">
        <v>5261</v>
      </c>
      <c r="K933">
        <v>124</v>
      </c>
      <c r="L933" s="5">
        <v>25</v>
      </c>
      <c r="M933" s="5">
        <v>560</v>
      </c>
      <c r="N933">
        <v>4</v>
      </c>
      <c r="O933">
        <v>556</v>
      </c>
      <c r="P933" s="1">
        <v>0.28749999999999998</v>
      </c>
      <c r="Q933" s="5">
        <v>1164</v>
      </c>
      <c r="R933" s="14">
        <v>9.4</v>
      </c>
      <c r="S933">
        <v>124</v>
      </c>
      <c r="T933" s="5">
        <v>4</v>
      </c>
      <c r="U933" s="5">
        <v>556</v>
      </c>
      <c r="V933" s="5">
        <v>0</v>
      </c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</row>
    <row r="934" spans="1:37" x14ac:dyDescent="0.25">
      <c r="A934" s="11" t="e">
        <f>Table1[[#This Row],[Milk Yield]]-J930</f>
        <v>#VALUE!</v>
      </c>
      <c r="B934" t="s">
        <v>0</v>
      </c>
      <c r="C934" s="2" t="s">
        <v>1</v>
      </c>
      <c r="D934" s="12" t="s">
        <v>2</v>
      </c>
      <c r="E934" s="2" t="s">
        <v>3</v>
      </c>
      <c r="F934" s="13" t="s">
        <v>4</v>
      </c>
      <c r="G934" s="3" t="s">
        <v>5</v>
      </c>
      <c r="H934" s="1" t="s">
        <v>6</v>
      </c>
      <c r="I934" s="5" t="s">
        <v>8</v>
      </c>
      <c r="J934" t="s">
        <v>9</v>
      </c>
      <c r="K934" t="s">
        <v>10</v>
      </c>
      <c r="L934" s="5" t="s">
        <v>11</v>
      </c>
      <c r="M934" s="5" t="s">
        <v>12</v>
      </c>
      <c r="N934" t="s">
        <v>13</v>
      </c>
      <c r="O934" t="s">
        <v>20</v>
      </c>
      <c r="P934" s="1" t="s">
        <v>7</v>
      </c>
      <c r="Q934" s="5" t="s">
        <v>15</v>
      </c>
      <c r="R934" s="14" t="s">
        <v>18</v>
      </c>
      <c r="S934" t="s">
        <v>16</v>
      </c>
      <c r="T934" s="5" t="s">
        <v>14</v>
      </c>
      <c r="U934" s="5" t="s">
        <v>17</v>
      </c>
      <c r="V934" s="5" t="s">
        <v>19</v>
      </c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</row>
    <row r="935" spans="1:37" x14ac:dyDescent="0.25">
      <c r="A935" s="11">
        <f>Table1[[#This Row],[Milk Yield]]-J931</f>
        <v>259</v>
      </c>
      <c r="B935" t="s">
        <v>24</v>
      </c>
      <c r="C935" s="2">
        <v>1</v>
      </c>
      <c r="D935" s="12">
        <v>45701</v>
      </c>
      <c r="E935" s="2">
        <v>26</v>
      </c>
      <c r="F935" s="13">
        <v>0.35716435185185186</v>
      </c>
      <c r="G935" s="3">
        <v>0.52703703703703708</v>
      </c>
      <c r="H935" s="1">
        <v>0.16944444444444445</v>
      </c>
      <c r="I935" s="5">
        <v>558</v>
      </c>
      <c r="J935">
        <v>5789</v>
      </c>
      <c r="K935">
        <v>137</v>
      </c>
      <c r="L935" s="5">
        <v>26</v>
      </c>
      <c r="M935" s="5">
        <v>558</v>
      </c>
      <c r="N935">
        <v>3</v>
      </c>
      <c r="O935">
        <v>555</v>
      </c>
      <c r="P935" s="1">
        <v>0.31805555555555554</v>
      </c>
      <c r="Q935" s="5">
        <v>1420</v>
      </c>
      <c r="R935" s="14">
        <v>10.4</v>
      </c>
      <c r="S935">
        <v>137</v>
      </c>
      <c r="T935" s="5">
        <v>3</v>
      </c>
      <c r="U935" s="5">
        <v>555</v>
      </c>
      <c r="V935" s="5">
        <v>0</v>
      </c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</row>
    <row r="936" spans="1:37" x14ac:dyDescent="0.25">
      <c r="A936" s="11">
        <f>Table1[[#This Row],[Milk Yield]]-J932</f>
        <v>-324</v>
      </c>
      <c r="B936" t="s">
        <v>24</v>
      </c>
      <c r="C936" s="2">
        <v>2</v>
      </c>
      <c r="D936" s="12">
        <v>45701</v>
      </c>
      <c r="E936" s="2">
        <v>26</v>
      </c>
      <c r="F936" s="13">
        <v>0.66874999999999996</v>
      </c>
      <c r="G936" s="3">
        <v>0.87914351851851846</v>
      </c>
      <c r="H936" s="1">
        <v>0.20972222222222223</v>
      </c>
      <c r="I936" s="5">
        <v>558</v>
      </c>
      <c r="J936">
        <v>5351</v>
      </c>
      <c r="K936">
        <v>111</v>
      </c>
      <c r="L936" s="5">
        <v>97</v>
      </c>
      <c r="M936" s="5">
        <v>557</v>
      </c>
      <c r="N936">
        <v>11</v>
      </c>
      <c r="O936">
        <v>546</v>
      </c>
      <c r="P936" s="1">
        <v>0.35138888888888886</v>
      </c>
      <c r="Q936" s="5">
        <v>1060</v>
      </c>
      <c r="R936" s="14">
        <v>9.6999999999999993</v>
      </c>
      <c r="S936">
        <v>110</v>
      </c>
      <c r="T936" s="5">
        <v>11</v>
      </c>
      <c r="U936" s="5">
        <v>546</v>
      </c>
      <c r="V936" s="5">
        <v>0</v>
      </c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</row>
    <row r="937" spans="1:37" x14ac:dyDescent="0.25">
      <c r="A937" s="11">
        <f>Table1[[#This Row],[Milk Yield]]-J933</f>
        <v>214</v>
      </c>
      <c r="B937" t="s">
        <v>24</v>
      </c>
      <c r="C937" s="2">
        <v>3</v>
      </c>
      <c r="D937" s="12">
        <v>45701</v>
      </c>
      <c r="E937" s="2">
        <v>27</v>
      </c>
      <c r="F937" s="13">
        <v>1.8171296296296297E-3</v>
      </c>
      <c r="G937" s="3">
        <v>0.19646990740740741</v>
      </c>
      <c r="H937" s="1">
        <v>0.19444444444444445</v>
      </c>
      <c r="I937" s="5">
        <v>561</v>
      </c>
      <c r="J937">
        <v>5475</v>
      </c>
      <c r="K937">
        <v>120</v>
      </c>
      <c r="L937" s="5">
        <v>31</v>
      </c>
      <c r="M937" s="5">
        <v>560</v>
      </c>
      <c r="N937">
        <v>5</v>
      </c>
      <c r="O937">
        <v>555</v>
      </c>
      <c r="P937" s="1">
        <v>0.25486111111111109</v>
      </c>
      <c r="Q937" s="5">
        <v>1172</v>
      </c>
      <c r="R937" s="14">
        <v>9.8000000000000007</v>
      </c>
      <c r="S937">
        <v>120</v>
      </c>
      <c r="T937" s="5">
        <v>5</v>
      </c>
      <c r="U937" s="5">
        <v>555</v>
      </c>
      <c r="V937" s="5">
        <v>0</v>
      </c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</row>
    <row r="938" spans="1:37" x14ac:dyDescent="0.25">
      <c r="A938" s="11" t="e">
        <f>Table1[[#This Row],[Milk Yield]]-J934</f>
        <v>#VALUE!</v>
      </c>
      <c r="B938" t="s">
        <v>0</v>
      </c>
      <c r="C938" s="2" t="s">
        <v>1</v>
      </c>
      <c r="D938" s="12" t="s">
        <v>2</v>
      </c>
      <c r="E938" s="2" t="s">
        <v>3</v>
      </c>
      <c r="F938" s="13" t="s">
        <v>4</v>
      </c>
      <c r="G938" s="3" t="s">
        <v>5</v>
      </c>
      <c r="H938" s="1" t="s">
        <v>6</v>
      </c>
      <c r="I938" s="5" t="s">
        <v>8</v>
      </c>
      <c r="J938" t="s">
        <v>9</v>
      </c>
      <c r="K938" t="s">
        <v>10</v>
      </c>
      <c r="L938" s="5" t="s">
        <v>11</v>
      </c>
      <c r="M938" s="5" t="s">
        <v>12</v>
      </c>
      <c r="N938" t="s">
        <v>13</v>
      </c>
      <c r="O938" t="s">
        <v>20</v>
      </c>
      <c r="P938" s="1" t="s">
        <v>7</v>
      </c>
      <c r="Q938" s="5" t="s">
        <v>15</v>
      </c>
      <c r="R938" s="14" t="s">
        <v>18</v>
      </c>
      <c r="S938" t="s">
        <v>16</v>
      </c>
      <c r="T938" s="5" t="s">
        <v>14</v>
      </c>
      <c r="U938" s="5" t="s">
        <v>17</v>
      </c>
      <c r="V938" s="5" t="s">
        <v>19</v>
      </c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</row>
    <row r="939" spans="1:37" x14ac:dyDescent="0.25">
      <c r="A939" s="11">
        <f>Table1[[#This Row],[Milk Yield]]-J935</f>
        <v>86</v>
      </c>
      <c r="B939" t="s">
        <v>24</v>
      </c>
      <c r="C939" s="2">
        <v>1</v>
      </c>
      <c r="D939" s="12">
        <v>45702</v>
      </c>
      <c r="E939" s="2">
        <v>27</v>
      </c>
      <c r="F939" s="13">
        <v>0.35373842592592591</v>
      </c>
      <c r="G939" s="3">
        <v>0.55320601851851847</v>
      </c>
      <c r="H939" s="1">
        <v>0.19930555555555557</v>
      </c>
      <c r="I939" s="5">
        <v>565</v>
      </c>
      <c r="J939">
        <v>5875</v>
      </c>
      <c r="K939">
        <v>118</v>
      </c>
      <c r="L939" s="5">
        <v>91</v>
      </c>
      <c r="M939" s="5">
        <v>565</v>
      </c>
      <c r="N939">
        <v>11</v>
      </c>
      <c r="O939">
        <v>554</v>
      </c>
      <c r="P939" s="1">
        <v>0.33680555555555558</v>
      </c>
      <c r="Q939" s="5">
        <v>1227</v>
      </c>
      <c r="R939" s="14">
        <v>10.4</v>
      </c>
      <c r="S939">
        <v>118</v>
      </c>
      <c r="T939" s="5">
        <v>11</v>
      </c>
      <c r="U939" s="5">
        <v>554</v>
      </c>
      <c r="V939" s="5">
        <v>0</v>
      </c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</row>
    <row r="940" spans="1:37" x14ac:dyDescent="0.25">
      <c r="A940" s="11">
        <f>Table1[[#This Row],[Milk Yield]]-J936</f>
        <v>221</v>
      </c>
      <c r="B940" t="s">
        <v>24</v>
      </c>
      <c r="C940" s="2">
        <v>2</v>
      </c>
      <c r="D940" s="12">
        <v>45702</v>
      </c>
      <c r="E940" s="2">
        <v>27</v>
      </c>
      <c r="F940" s="13">
        <v>0.66636574074074073</v>
      </c>
      <c r="G940" s="3">
        <v>0.88372685185185185</v>
      </c>
      <c r="H940" s="1">
        <v>0.21736111111111112</v>
      </c>
      <c r="I940" s="5">
        <v>566</v>
      </c>
      <c r="J940">
        <v>5572</v>
      </c>
      <c r="K940">
        <v>108</v>
      </c>
      <c r="L940" s="5">
        <v>25</v>
      </c>
      <c r="M940" s="5">
        <v>566</v>
      </c>
      <c r="N940">
        <v>5</v>
      </c>
      <c r="O940">
        <v>561</v>
      </c>
      <c r="P940" s="1">
        <v>0.2722222222222222</v>
      </c>
      <c r="Q940" s="5">
        <v>1068</v>
      </c>
      <c r="R940" s="14">
        <v>9.9</v>
      </c>
      <c r="S940">
        <v>108</v>
      </c>
      <c r="T940" s="5">
        <v>5</v>
      </c>
      <c r="U940" s="5">
        <v>561</v>
      </c>
      <c r="V940" s="5">
        <v>0</v>
      </c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</row>
    <row r="941" spans="1:37" x14ac:dyDescent="0.25">
      <c r="A941" s="11">
        <f>Table1[[#This Row],[Milk Yield]]-J937</f>
        <v>-158</v>
      </c>
      <c r="B941" t="s">
        <v>24</v>
      </c>
      <c r="C941" s="2">
        <v>3</v>
      </c>
      <c r="D941" s="12">
        <v>45702</v>
      </c>
      <c r="E941" s="2">
        <v>29</v>
      </c>
      <c r="F941" s="13">
        <v>2.2569444444444442E-3</v>
      </c>
      <c r="G941" s="3">
        <v>0.21144675925925926</v>
      </c>
      <c r="H941" s="1">
        <v>0.20902777777777778</v>
      </c>
      <c r="I941" s="5">
        <v>568</v>
      </c>
      <c r="J941">
        <v>5317</v>
      </c>
      <c r="K941">
        <v>113</v>
      </c>
      <c r="L941" s="5">
        <v>44</v>
      </c>
      <c r="M941" s="5">
        <v>568</v>
      </c>
      <c r="N941">
        <v>7</v>
      </c>
      <c r="O941">
        <v>561</v>
      </c>
      <c r="P941" s="1">
        <v>0.28055555555555556</v>
      </c>
      <c r="Q941" s="5">
        <v>1059</v>
      </c>
      <c r="R941" s="14">
        <v>9.4</v>
      </c>
      <c r="S941">
        <v>113</v>
      </c>
      <c r="T941" s="5">
        <v>7</v>
      </c>
      <c r="U941" s="5">
        <v>561</v>
      </c>
      <c r="V941" s="5">
        <v>0</v>
      </c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</row>
    <row r="942" spans="1:37" x14ac:dyDescent="0.25">
      <c r="A942" s="11" t="e">
        <f>Table1[[#This Row],[Milk Yield]]-J938</f>
        <v>#VALUE!</v>
      </c>
      <c r="B942" t="s">
        <v>0</v>
      </c>
      <c r="C942" s="2" t="s">
        <v>1</v>
      </c>
      <c r="D942" s="12" t="s">
        <v>2</v>
      </c>
      <c r="E942" s="2" t="s">
        <v>3</v>
      </c>
      <c r="F942" s="13" t="s">
        <v>4</v>
      </c>
      <c r="G942" s="3" t="s">
        <v>5</v>
      </c>
      <c r="H942" s="1" t="s">
        <v>6</v>
      </c>
      <c r="I942" s="5" t="s">
        <v>8</v>
      </c>
      <c r="J942" t="s">
        <v>9</v>
      </c>
      <c r="K942" t="s">
        <v>10</v>
      </c>
      <c r="L942" s="5" t="s">
        <v>11</v>
      </c>
      <c r="M942" s="5" t="s">
        <v>12</v>
      </c>
      <c r="N942" t="s">
        <v>13</v>
      </c>
      <c r="O942" t="s">
        <v>20</v>
      </c>
      <c r="P942" s="1" t="s">
        <v>7</v>
      </c>
      <c r="Q942" s="5" t="s">
        <v>15</v>
      </c>
      <c r="R942" s="14" t="s">
        <v>18</v>
      </c>
      <c r="S942" t="s">
        <v>16</v>
      </c>
      <c r="T942" s="5" t="s">
        <v>14</v>
      </c>
      <c r="U942" s="5" t="s">
        <v>17</v>
      </c>
      <c r="V942" s="5" t="s">
        <v>19</v>
      </c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</row>
    <row r="943" spans="1:37" x14ac:dyDescent="0.25">
      <c r="A943" s="11">
        <f>Table1[[#This Row],[Milk Yield]]-J939</f>
        <v>4652</v>
      </c>
      <c r="B943" t="s">
        <v>24</v>
      </c>
      <c r="C943" s="2">
        <v>1</v>
      </c>
      <c r="D943" s="12">
        <v>45703</v>
      </c>
      <c r="E943" s="2">
        <v>34</v>
      </c>
      <c r="F943" s="13">
        <v>0.36418981481481483</v>
      </c>
      <c r="G943" s="3">
        <v>0.60571759259259261</v>
      </c>
      <c r="H943" s="1">
        <v>0.24097222222222223</v>
      </c>
      <c r="I943" s="5">
        <v>741</v>
      </c>
      <c r="J943">
        <v>10527</v>
      </c>
      <c r="K943">
        <v>128</v>
      </c>
      <c r="L943" s="5">
        <v>3764</v>
      </c>
      <c r="M943" s="5">
        <v>740</v>
      </c>
      <c r="N943">
        <v>137</v>
      </c>
      <c r="O943">
        <v>603</v>
      </c>
      <c r="P943" s="1">
        <v>0.35069444444444442</v>
      </c>
      <c r="Q943" s="5">
        <v>1816</v>
      </c>
      <c r="R943" s="14">
        <v>14.3</v>
      </c>
      <c r="S943">
        <v>128</v>
      </c>
      <c r="T943" s="5">
        <v>137</v>
      </c>
      <c r="U943" s="5">
        <v>603</v>
      </c>
      <c r="V943" s="5">
        <v>0</v>
      </c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</row>
    <row r="944" spans="1:37" x14ac:dyDescent="0.25">
      <c r="A944" s="11">
        <f>Table1[[#This Row],[Milk Yield]]-J940</f>
        <v>502</v>
      </c>
      <c r="B944" t="s">
        <v>24</v>
      </c>
      <c r="C944" s="2">
        <v>2</v>
      </c>
      <c r="D944" s="12">
        <v>45703</v>
      </c>
      <c r="E944" s="2">
        <v>36</v>
      </c>
      <c r="F944" s="13">
        <v>0.67517361111111107</v>
      </c>
      <c r="G944" s="3">
        <v>0.92061342592592588</v>
      </c>
      <c r="H944" s="1">
        <v>0.24513888888888888</v>
      </c>
      <c r="I944" s="5">
        <v>752</v>
      </c>
      <c r="J944">
        <v>6074</v>
      </c>
      <c r="K944">
        <v>128</v>
      </c>
      <c r="L944" s="5">
        <v>148</v>
      </c>
      <c r="M944" s="5">
        <v>729</v>
      </c>
      <c r="N944">
        <v>32</v>
      </c>
      <c r="O944">
        <v>697</v>
      </c>
      <c r="P944" s="1">
        <v>0.27777777777777779</v>
      </c>
      <c r="Q944" s="5">
        <v>1031</v>
      </c>
      <c r="R944" s="14">
        <v>8.4</v>
      </c>
      <c r="S944">
        <v>124</v>
      </c>
      <c r="T944" s="5">
        <v>32</v>
      </c>
      <c r="U944" s="5">
        <v>697</v>
      </c>
      <c r="V944" s="5">
        <v>0</v>
      </c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</row>
    <row r="945" spans="1:37" x14ac:dyDescent="0.25">
      <c r="A945" s="11">
        <f>Table1[[#This Row],[Milk Yield]]-J941</f>
        <v>2365</v>
      </c>
      <c r="B945" t="s">
        <v>24</v>
      </c>
      <c r="C945" s="2">
        <v>3</v>
      </c>
      <c r="D945" s="12">
        <v>45703</v>
      </c>
      <c r="E945" s="2">
        <v>36</v>
      </c>
      <c r="F945" s="13">
        <v>1.5509259259259259E-2</v>
      </c>
      <c r="G945" s="3">
        <v>0.25638888888888889</v>
      </c>
      <c r="H945" s="1">
        <v>0.24027777777777778</v>
      </c>
      <c r="I945" s="5">
        <v>740</v>
      </c>
      <c r="J945">
        <v>7682</v>
      </c>
      <c r="K945">
        <v>128</v>
      </c>
      <c r="L945" s="5">
        <v>71</v>
      </c>
      <c r="M945" s="5">
        <v>738</v>
      </c>
      <c r="N945">
        <v>8</v>
      </c>
      <c r="O945">
        <v>730</v>
      </c>
      <c r="P945" s="1">
        <v>0.2590277777777778</v>
      </c>
      <c r="Q945" s="5">
        <v>1329</v>
      </c>
      <c r="R945" s="14">
        <v>10.5</v>
      </c>
      <c r="S945">
        <v>128</v>
      </c>
      <c r="T945" s="5">
        <v>8</v>
      </c>
      <c r="U945" s="5">
        <v>730</v>
      </c>
      <c r="V945" s="5">
        <v>0</v>
      </c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</row>
    <row r="946" spans="1:37" x14ac:dyDescent="0.25">
      <c r="A946" s="11" t="e">
        <f>Table1[[#This Row],[Milk Yield]]-J942</f>
        <v>#VALUE!</v>
      </c>
      <c r="B946" t="s">
        <v>0</v>
      </c>
      <c r="C946" s="2" t="s">
        <v>1</v>
      </c>
      <c r="D946" s="12" t="s">
        <v>2</v>
      </c>
      <c r="E946" s="2" t="s">
        <v>3</v>
      </c>
      <c r="F946" s="13" t="s">
        <v>4</v>
      </c>
      <c r="G946" s="3" t="s">
        <v>5</v>
      </c>
      <c r="H946" s="1" t="s">
        <v>6</v>
      </c>
      <c r="I946" s="5" t="s">
        <v>8</v>
      </c>
      <c r="J946" t="s">
        <v>9</v>
      </c>
      <c r="K946" t="s">
        <v>10</v>
      </c>
      <c r="L946" s="5" t="s">
        <v>11</v>
      </c>
      <c r="M946" s="5" t="s">
        <v>12</v>
      </c>
      <c r="N946" t="s">
        <v>13</v>
      </c>
      <c r="O946" t="s">
        <v>20</v>
      </c>
      <c r="P946" s="1" t="s">
        <v>7</v>
      </c>
      <c r="Q946" s="5" t="s">
        <v>15</v>
      </c>
      <c r="R946" s="14" t="s">
        <v>18</v>
      </c>
      <c r="S946" t="s">
        <v>16</v>
      </c>
      <c r="T946" s="5" t="s">
        <v>14</v>
      </c>
      <c r="U946" s="5" t="s">
        <v>17</v>
      </c>
      <c r="V946" s="5" t="s">
        <v>19</v>
      </c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</row>
    <row r="947" spans="1:37" x14ac:dyDescent="0.25">
      <c r="A947" s="11">
        <f>Table1[[#This Row],[Milk Yield]]-J943</f>
        <v>-2874</v>
      </c>
      <c r="B947" t="s">
        <v>24</v>
      </c>
      <c r="C947" s="2">
        <v>1</v>
      </c>
      <c r="D947" s="12">
        <v>45704</v>
      </c>
      <c r="E947" s="2">
        <v>37</v>
      </c>
      <c r="F947" s="13">
        <v>0.33523148148148146</v>
      </c>
      <c r="G947" s="3">
        <v>0.57377314814814817</v>
      </c>
      <c r="H947" s="1">
        <v>0.23819444444444443</v>
      </c>
      <c r="I947" s="5">
        <v>741</v>
      </c>
      <c r="J947">
        <v>7653</v>
      </c>
      <c r="K947">
        <v>129</v>
      </c>
      <c r="L947" s="5">
        <v>89</v>
      </c>
      <c r="M947" s="5">
        <v>740</v>
      </c>
      <c r="N947">
        <v>8</v>
      </c>
      <c r="O947">
        <v>732</v>
      </c>
      <c r="P947" s="1">
        <v>0.28402777777777777</v>
      </c>
      <c r="Q947" s="5">
        <v>1337</v>
      </c>
      <c r="R947" s="14">
        <v>10.4</v>
      </c>
      <c r="S947">
        <v>129</v>
      </c>
      <c r="T947" s="5">
        <v>8</v>
      </c>
      <c r="U947" s="5">
        <v>732</v>
      </c>
      <c r="V947" s="5">
        <v>0</v>
      </c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</row>
    <row r="948" spans="1:37" x14ac:dyDescent="0.25">
      <c r="A948" s="11">
        <f>Table1[[#This Row],[Milk Yield]]-J944</f>
        <v>1494</v>
      </c>
      <c r="B948" t="s">
        <v>24</v>
      </c>
      <c r="C948" s="2">
        <v>2</v>
      </c>
      <c r="D948" s="12">
        <v>45704</v>
      </c>
      <c r="E948" s="2">
        <v>35</v>
      </c>
      <c r="F948" s="13">
        <v>0.67103009259259261</v>
      </c>
      <c r="G948" s="3">
        <v>0.89295138888888892</v>
      </c>
      <c r="H948" s="1">
        <v>0.22152777777777777</v>
      </c>
      <c r="I948" s="5">
        <v>740</v>
      </c>
      <c r="J948">
        <v>7568</v>
      </c>
      <c r="K948">
        <v>139</v>
      </c>
      <c r="L948" s="5">
        <v>65</v>
      </c>
      <c r="M948" s="5">
        <v>739</v>
      </c>
      <c r="N948">
        <v>6</v>
      </c>
      <c r="O948">
        <v>733</v>
      </c>
      <c r="P948" s="1">
        <v>0.27569444444444446</v>
      </c>
      <c r="Q948" s="5">
        <v>1421</v>
      </c>
      <c r="R948" s="14">
        <v>10.3</v>
      </c>
      <c r="S948">
        <v>139</v>
      </c>
      <c r="T948" s="5">
        <v>6</v>
      </c>
      <c r="U948" s="5">
        <v>733</v>
      </c>
      <c r="V948" s="5">
        <v>0</v>
      </c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</row>
    <row r="949" spans="1:37" x14ac:dyDescent="0.25">
      <c r="A949" s="11">
        <f>Table1[[#This Row],[Milk Yield]]-J945</f>
        <v>963</v>
      </c>
      <c r="B949" t="s">
        <v>24</v>
      </c>
      <c r="C949" s="2">
        <v>3</v>
      </c>
      <c r="D949" s="12">
        <v>45704</v>
      </c>
      <c r="E949" s="2">
        <v>38</v>
      </c>
      <c r="F949" s="13">
        <v>3.1018518518518517E-3</v>
      </c>
      <c r="G949" s="3">
        <v>0.23866898148148147</v>
      </c>
      <c r="H949" s="1">
        <v>0.23541666666666666</v>
      </c>
      <c r="I949" s="5">
        <v>743</v>
      </c>
      <c r="J949">
        <v>8645</v>
      </c>
      <c r="K949">
        <v>131</v>
      </c>
      <c r="L949" s="5">
        <v>126</v>
      </c>
      <c r="M949" s="5">
        <v>742</v>
      </c>
      <c r="N949">
        <v>15</v>
      </c>
      <c r="O949">
        <v>727</v>
      </c>
      <c r="P949" s="1">
        <v>0.27152777777777776</v>
      </c>
      <c r="Q949" s="5">
        <v>1529</v>
      </c>
      <c r="R949" s="14">
        <v>11.7</v>
      </c>
      <c r="S949">
        <v>131</v>
      </c>
      <c r="T949" s="5">
        <v>15</v>
      </c>
      <c r="U949" s="5">
        <v>727</v>
      </c>
      <c r="V949" s="5">
        <v>0</v>
      </c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</row>
    <row r="950" spans="1:37" x14ac:dyDescent="0.25">
      <c r="A950" s="11" t="e">
        <f>Table1[[#This Row],[Milk Yield]]-J946</f>
        <v>#VALUE!</v>
      </c>
      <c r="B950" t="s">
        <v>0</v>
      </c>
      <c r="C950" s="2" t="s">
        <v>1</v>
      </c>
      <c r="D950" s="12" t="s">
        <v>2</v>
      </c>
      <c r="E950" s="2" t="s">
        <v>3</v>
      </c>
      <c r="F950" s="13" t="s">
        <v>4</v>
      </c>
      <c r="G950" s="3" t="s">
        <v>5</v>
      </c>
      <c r="H950" s="1" t="s">
        <v>6</v>
      </c>
      <c r="I950" s="5" t="s">
        <v>8</v>
      </c>
      <c r="J950" t="s">
        <v>9</v>
      </c>
      <c r="K950" t="s">
        <v>10</v>
      </c>
      <c r="L950" s="5" t="s">
        <v>11</v>
      </c>
      <c r="M950" s="5" t="s">
        <v>12</v>
      </c>
      <c r="N950" t="s">
        <v>13</v>
      </c>
      <c r="O950" t="s">
        <v>20</v>
      </c>
      <c r="P950" s="1" t="s">
        <v>7</v>
      </c>
      <c r="Q950" s="5" t="s">
        <v>15</v>
      </c>
      <c r="R950" s="14" t="s">
        <v>18</v>
      </c>
      <c r="S950" t="s">
        <v>16</v>
      </c>
      <c r="T950" s="5" t="s">
        <v>14</v>
      </c>
      <c r="U950" s="5" t="s">
        <v>17</v>
      </c>
      <c r="V950" s="5" t="s">
        <v>19</v>
      </c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</row>
    <row r="951" spans="1:37" x14ac:dyDescent="0.25">
      <c r="A951" s="11">
        <f>Table1[[#This Row],[Milk Yield]]-J947</f>
        <v>1231</v>
      </c>
      <c r="B951" t="s">
        <v>24</v>
      </c>
      <c r="C951" s="2">
        <v>1</v>
      </c>
      <c r="D951" s="12">
        <v>45705</v>
      </c>
      <c r="E951" s="2">
        <v>38</v>
      </c>
      <c r="F951" s="13">
        <v>0.33899305555555553</v>
      </c>
      <c r="G951" s="3">
        <v>0.59636574074074078</v>
      </c>
      <c r="H951" s="1">
        <v>0.25694444444444442</v>
      </c>
      <c r="I951" s="5">
        <v>750</v>
      </c>
      <c r="J951">
        <v>8884</v>
      </c>
      <c r="K951">
        <v>121</v>
      </c>
      <c r="L951" s="5">
        <v>189</v>
      </c>
      <c r="M951" s="5">
        <v>750</v>
      </c>
      <c r="N951">
        <v>18</v>
      </c>
      <c r="O951">
        <v>732</v>
      </c>
      <c r="P951" s="1">
        <v>0.28680555555555554</v>
      </c>
      <c r="Q951" s="5">
        <v>1438</v>
      </c>
      <c r="R951" s="14">
        <v>11.9</v>
      </c>
      <c r="S951">
        <v>121</v>
      </c>
      <c r="T951" s="5">
        <v>18</v>
      </c>
      <c r="U951" s="5">
        <v>732</v>
      </c>
      <c r="V951" s="5">
        <v>0</v>
      </c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</row>
    <row r="952" spans="1:37" x14ac:dyDescent="0.25">
      <c r="A952" s="11">
        <f>Table1[[#This Row],[Milk Yield]]-J948</f>
        <v>56</v>
      </c>
      <c r="B952" t="s">
        <v>24</v>
      </c>
      <c r="C952" s="2">
        <v>2</v>
      </c>
      <c r="D952" s="12">
        <v>45705</v>
      </c>
      <c r="E952" s="2">
        <v>35</v>
      </c>
      <c r="F952" s="13">
        <v>0.66959490740740746</v>
      </c>
      <c r="G952" s="3">
        <v>0.895625</v>
      </c>
      <c r="H952" s="1">
        <v>0.22569444444444445</v>
      </c>
      <c r="I952" s="5">
        <v>741</v>
      </c>
      <c r="J952">
        <v>7624</v>
      </c>
      <c r="K952">
        <v>137</v>
      </c>
      <c r="L952" s="5">
        <v>91</v>
      </c>
      <c r="M952" s="5">
        <v>741</v>
      </c>
      <c r="N952">
        <v>11</v>
      </c>
      <c r="O952">
        <v>730</v>
      </c>
      <c r="P952" s="1">
        <v>0.25833333333333336</v>
      </c>
      <c r="Q952" s="5">
        <v>1405</v>
      </c>
      <c r="R952" s="14">
        <v>10.3</v>
      </c>
      <c r="S952">
        <v>137</v>
      </c>
      <c r="T952" s="5">
        <v>11</v>
      </c>
      <c r="U952" s="5">
        <v>730</v>
      </c>
      <c r="V952" s="5">
        <v>0</v>
      </c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</row>
    <row r="953" spans="1:37" x14ac:dyDescent="0.25">
      <c r="A953" s="11">
        <f>Table1[[#This Row],[Milk Yield]]-J949</f>
        <v>512</v>
      </c>
      <c r="B953" t="s">
        <v>24</v>
      </c>
      <c r="C953" s="2">
        <v>3</v>
      </c>
      <c r="D953" s="12">
        <v>45705</v>
      </c>
      <c r="E953" s="2">
        <v>38</v>
      </c>
      <c r="F953" s="13">
        <v>5.5439814814814813E-3</v>
      </c>
      <c r="G953" s="3">
        <v>0.26943287037037039</v>
      </c>
      <c r="H953" s="1">
        <v>0.2638888888888889</v>
      </c>
      <c r="I953" s="5">
        <v>746</v>
      </c>
      <c r="J953">
        <v>9157</v>
      </c>
      <c r="K953">
        <v>118</v>
      </c>
      <c r="L953" s="5">
        <v>140</v>
      </c>
      <c r="M953" s="5">
        <v>746</v>
      </c>
      <c r="N953">
        <v>14</v>
      </c>
      <c r="O953">
        <v>732</v>
      </c>
      <c r="P953" s="1">
        <v>0.34305555555555556</v>
      </c>
      <c r="Q953" s="5">
        <v>1446</v>
      </c>
      <c r="R953" s="14">
        <v>12.3</v>
      </c>
      <c r="S953">
        <v>118</v>
      </c>
      <c r="T953" s="5">
        <v>14</v>
      </c>
      <c r="U953" s="5">
        <v>732</v>
      </c>
      <c r="V953" s="5">
        <v>0</v>
      </c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</row>
    <row r="954" spans="1:37" x14ac:dyDescent="0.25">
      <c r="A954" s="11" t="e">
        <f>Table1[[#This Row],[Milk Yield]]-J950</f>
        <v>#VALUE!</v>
      </c>
      <c r="B954" t="s">
        <v>0</v>
      </c>
      <c r="C954" s="2" t="s">
        <v>1</v>
      </c>
      <c r="D954" s="12" t="s">
        <v>2</v>
      </c>
      <c r="E954" s="2" t="s">
        <v>3</v>
      </c>
      <c r="F954" s="13" t="s">
        <v>4</v>
      </c>
      <c r="G954" s="3" t="s">
        <v>5</v>
      </c>
      <c r="H954" s="1" t="s">
        <v>6</v>
      </c>
      <c r="I954" s="5" t="s">
        <v>8</v>
      </c>
      <c r="J954" t="s">
        <v>9</v>
      </c>
      <c r="K954" t="s">
        <v>10</v>
      </c>
      <c r="L954" s="5" t="s">
        <v>11</v>
      </c>
      <c r="M954" s="5" t="s">
        <v>12</v>
      </c>
      <c r="N954" t="s">
        <v>13</v>
      </c>
      <c r="O954" t="s">
        <v>20</v>
      </c>
      <c r="P954" s="1" t="s">
        <v>7</v>
      </c>
      <c r="Q954" s="5" t="s">
        <v>15</v>
      </c>
      <c r="R954" s="14" t="s">
        <v>18</v>
      </c>
      <c r="S954" t="s">
        <v>16</v>
      </c>
      <c r="T954" s="5" t="s">
        <v>14</v>
      </c>
      <c r="U954" s="5" t="s">
        <v>17</v>
      </c>
      <c r="V954" s="5" t="s">
        <v>19</v>
      </c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</row>
    <row r="955" spans="1:37" x14ac:dyDescent="0.25">
      <c r="A955" s="11">
        <f>Table1[[#This Row],[Milk Yield]]-J951</f>
        <v>-353</v>
      </c>
      <c r="B955" t="s">
        <v>24</v>
      </c>
      <c r="C955" s="2">
        <v>1</v>
      </c>
      <c r="D955" s="12">
        <v>45706</v>
      </c>
      <c r="E955" s="2">
        <v>37</v>
      </c>
      <c r="F955" s="13">
        <v>0.34511574074074075</v>
      </c>
      <c r="G955" s="3">
        <v>0.58681712962962962</v>
      </c>
      <c r="H955" s="1">
        <v>0.24166666666666667</v>
      </c>
      <c r="I955" s="5">
        <v>752</v>
      </c>
      <c r="J955">
        <v>8531</v>
      </c>
      <c r="K955">
        <v>130</v>
      </c>
      <c r="L955" s="5">
        <v>135</v>
      </c>
      <c r="M955" s="5">
        <v>751</v>
      </c>
      <c r="N955">
        <v>15</v>
      </c>
      <c r="O955">
        <v>736</v>
      </c>
      <c r="P955" s="1">
        <v>0.2902777777777778</v>
      </c>
      <c r="Q955" s="5">
        <v>1471</v>
      </c>
      <c r="R955" s="14">
        <v>11.4</v>
      </c>
      <c r="S955">
        <v>129</v>
      </c>
      <c r="T955" s="5">
        <v>15</v>
      </c>
      <c r="U955" s="5">
        <v>736</v>
      </c>
      <c r="V955" s="5">
        <v>0</v>
      </c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</row>
    <row r="956" spans="1:37" x14ac:dyDescent="0.25">
      <c r="A956" s="11">
        <f>Table1[[#This Row],[Milk Yield]]-J952</f>
        <v>233</v>
      </c>
      <c r="B956" t="s">
        <v>24</v>
      </c>
      <c r="C956" s="2">
        <v>2</v>
      </c>
      <c r="D956" s="12">
        <v>45706</v>
      </c>
      <c r="E956" s="2">
        <v>35</v>
      </c>
      <c r="F956" s="13">
        <v>0.6708912037037037</v>
      </c>
      <c r="G956" s="3">
        <v>0.90353009259259254</v>
      </c>
      <c r="H956" s="1">
        <v>0.2326388888888889</v>
      </c>
      <c r="I956" s="5">
        <v>770</v>
      </c>
      <c r="J956">
        <v>7857</v>
      </c>
      <c r="K956">
        <v>138</v>
      </c>
      <c r="L956" s="5">
        <v>259</v>
      </c>
      <c r="M956" s="5">
        <v>746</v>
      </c>
      <c r="N956">
        <v>31</v>
      </c>
      <c r="O956">
        <v>715</v>
      </c>
      <c r="P956" s="1">
        <v>0.28888888888888886</v>
      </c>
      <c r="Q956" s="5">
        <v>1407</v>
      </c>
      <c r="R956" s="14">
        <v>10.6</v>
      </c>
      <c r="S956">
        <v>134</v>
      </c>
      <c r="T956" s="5">
        <v>31</v>
      </c>
      <c r="U956" s="5">
        <v>715</v>
      </c>
      <c r="V956" s="5">
        <v>0</v>
      </c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</row>
    <row r="957" spans="1:37" x14ac:dyDescent="0.25">
      <c r="A957" s="11">
        <f>Table1[[#This Row],[Milk Yield]]-J953</f>
        <v>-813</v>
      </c>
      <c r="B957" t="s">
        <v>24</v>
      </c>
      <c r="C957" s="2">
        <v>3</v>
      </c>
      <c r="D957" s="12">
        <v>45706</v>
      </c>
      <c r="E957" s="2">
        <v>35</v>
      </c>
      <c r="F957" s="13">
        <v>0.99905092592592593</v>
      </c>
      <c r="G957" s="3">
        <v>0.22444444444444445</v>
      </c>
      <c r="H957" s="1">
        <v>0.22500000000000001</v>
      </c>
      <c r="I957" s="5">
        <v>750</v>
      </c>
      <c r="J957">
        <v>8344</v>
      </c>
      <c r="K957">
        <v>139</v>
      </c>
      <c r="L957" s="5">
        <v>37</v>
      </c>
      <c r="M957" s="5">
        <v>750</v>
      </c>
      <c r="N957">
        <v>5</v>
      </c>
      <c r="O957">
        <v>745</v>
      </c>
      <c r="P957" s="1">
        <v>0.29305555555555557</v>
      </c>
      <c r="Q957" s="5">
        <v>1542</v>
      </c>
      <c r="R957" s="14">
        <v>11.2</v>
      </c>
      <c r="S957">
        <v>139</v>
      </c>
      <c r="T957" s="5">
        <v>5</v>
      </c>
      <c r="U957" s="5">
        <v>745</v>
      </c>
      <c r="V957" s="5">
        <v>0</v>
      </c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</row>
    <row r="958" spans="1:37" x14ac:dyDescent="0.25">
      <c r="A958" s="11" t="e">
        <f>Table1[[#This Row],[Milk Yield]]-J954</f>
        <v>#VALUE!</v>
      </c>
      <c r="B958" t="s">
        <v>0</v>
      </c>
      <c r="C958" s="2" t="s">
        <v>1</v>
      </c>
      <c r="D958" s="12" t="s">
        <v>2</v>
      </c>
      <c r="E958" s="2" t="s">
        <v>3</v>
      </c>
      <c r="F958" s="13" t="s">
        <v>4</v>
      </c>
      <c r="G958" s="3" t="s">
        <v>5</v>
      </c>
      <c r="H958" s="1" t="s">
        <v>6</v>
      </c>
      <c r="I958" s="5" t="s">
        <v>8</v>
      </c>
      <c r="J958" t="s">
        <v>9</v>
      </c>
      <c r="K958" t="s">
        <v>10</v>
      </c>
      <c r="L958" s="5" t="s">
        <v>11</v>
      </c>
      <c r="M958" s="5" t="s">
        <v>12</v>
      </c>
      <c r="N958" t="s">
        <v>13</v>
      </c>
      <c r="O958" t="s">
        <v>20</v>
      </c>
      <c r="P958" s="1" t="s">
        <v>7</v>
      </c>
      <c r="Q958" s="5" t="s">
        <v>15</v>
      </c>
      <c r="R958" s="14" t="s">
        <v>18</v>
      </c>
      <c r="S958" t="s">
        <v>16</v>
      </c>
      <c r="T958" s="5" t="s">
        <v>14</v>
      </c>
      <c r="U958" s="5" t="s">
        <v>17</v>
      </c>
      <c r="V958" s="5" t="s">
        <v>19</v>
      </c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</row>
    <row r="959" spans="1:37" x14ac:dyDescent="0.25">
      <c r="A959" s="11">
        <f>Table1[[#This Row],[Milk Yield]]-J955</f>
        <v>827</v>
      </c>
      <c r="B959" t="s">
        <v>24</v>
      </c>
      <c r="C959" s="2">
        <v>1</v>
      </c>
      <c r="D959" s="12">
        <v>45707</v>
      </c>
      <c r="E959" s="2">
        <v>38</v>
      </c>
      <c r="F959" s="13">
        <v>0.33726851851851852</v>
      </c>
      <c r="G959" s="3">
        <v>0.59320601851851851</v>
      </c>
      <c r="H959" s="1">
        <v>0.25555555555555554</v>
      </c>
      <c r="I959" s="5">
        <v>757</v>
      </c>
      <c r="J959">
        <v>9358</v>
      </c>
      <c r="K959">
        <v>123</v>
      </c>
      <c r="L959" s="5">
        <v>217</v>
      </c>
      <c r="M959" s="5">
        <v>757</v>
      </c>
      <c r="N959">
        <v>22</v>
      </c>
      <c r="O959">
        <v>735</v>
      </c>
      <c r="P959" s="1">
        <v>0.3</v>
      </c>
      <c r="Q959" s="5">
        <v>1523</v>
      </c>
      <c r="R959" s="14">
        <v>12.4</v>
      </c>
      <c r="S959">
        <v>123</v>
      </c>
      <c r="T959" s="5">
        <v>22</v>
      </c>
      <c r="U959" s="5">
        <v>735</v>
      </c>
      <c r="V959" s="5">
        <v>0</v>
      </c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</row>
    <row r="960" spans="1:37" x14ac:dyDescent="0.25">
      <c r="A960" s="11">
        <f>Table1[[#This Row],[Milk Yield]]-J956</f>
        <v>-271</v>
      </c>
      <c r="B960" t="s">
        <v>24</v>
      </c>
      <c r="C960" s="2">
        <v>2</v>
      </c>
      <c r="D960" s="12">
        <v>45707</v>
      </c>
      <c r="E960" s="2">
        <v>34</v>
      </c>
      <c r="F960" s="13">
        <v>0.66743055555555553</v>
      </c>
      <c r="G960" s="3">
        <v>0.87386574074074075</v>
      </c>
      <c r="H960" s="1">
        <v>0.20624999999999999</v>
      </c>
      <c r="I960" s="5">
        <v>752</v>
      </c>
      <c r="J960">
        <v>7586</v>
      </c>
      <c r="K960">
        <v>152</v>
      </c>
      <c r="L960" s="5">
        <v>173</v>
      </c>
      <c r="M960" s="5">
        <v>750</v>
      </c>
      <c r="N960">
        <v>18</v>
      </c>
      <c r="O960">
        <v>732</v>
      </c>
      <c r="P960" s="1">
        <v>0.27638888888888891</v>
      </c>
      <c r="Q960" s="5">
        <v>1531</v>
      </c>
      <c r="R960" s="14">
        <v>10.199999999999999</v>
      </c>
      <c r="S960">
        <v>151</v>
      </c>
      <c r="T960" s="5">
        <v>18</v>
      </c>
      <c r="U960" s="5">
        <v>732</v>
      </c>
      <c r="V960" s="5">
        <v>0</v>
      </c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</row>
    <row r="961" spans="1:37" x14ac:dyDescent="0.25">
      <c r="A961" s="11">
        <f>Table1[[#This Row],[Milk Yield]]-J957</f>
        <v>611</v>
      </c>
      <c r="B961" t="s">
        <v>24</v>
      </c>
      <c r="C961" s="2">
        <v>3</v>
      </c>
      <c r="D961" s="12">
        <v>45707</v>
      </c>
      <c r="E961" s="2">
        <v>37</v>
      </c>
      <c r="F961" s="13">
        <v>4.1550925925925922E-3</v>
      </c>
      <c r="G961" s="3">
        <v>0.25285879629629632</v>
      </c>
      <c r="H961" s="1">
        <v>0.24861111111111112</v>
      </c>
      <c r="I961" s="5">
        <v>756</v>
      </c>
      <c r="J961">
        <v>8955</v>
      </c>
      <c r="K961">
        <v>127</v>
      </c>
      <c r="L961" s="5">
        <v>170</v>
      </c>
      <c r="M961" s="5">
        <v>756</v>
      </c>
      <c r="N961">
        <v>20</v>
      </c>
      <c r="O961">
        <v>736</v>
      </c>
      <c r="P961" s="1">
        <v>0.29097222222222224</v>
      </c>
      <c r="Q961" s="5">
        <v>1500</v>
      </c>
      <c r="R961" s="14">
        <v>11.9</v>
      </c>
      <c r="S961">
        <v>127</v>
      </c>
      <c r="T961" s="5">
        <v>20</v>
      </c>
      <c r="U961" s="5">
        <v>736</v>
      </c>
      <c r="V961" s="5">
        <v>0</v>
      </c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</row>
    <row r="962" spans="1:37" x14ac:dyDescent="0.25">
      <c r="A962" s="11" t="e">
        <f>Table1[[#This Row],[Milk Yield]]-J958</f>
        <v>#VALUE!</v>
      </c>
      <c r="B962" t="s">
        <v>0</v>
      </c>
      <c r="C962" s="2" t="s">
        <v>1</v>
      </c>
      <c r="D962" s="12" t="s">
        <v>2</v>
      </c>
      <c r="E962" s="2" t="s">
        <v>3</v>
      </c>
      <c r="F962" s="13" t="s">
        <v>4</v>
      </c>
      <c r="G962" s="3" t="s">
        <v>5</v>
      </c>
      <c r="H962" s="1" t="s">
        <v>6</v>
      </c>
      <c r="I962" s="5" t="s">
        <v>8</v>
      </c>
      <c r="J962" t="s">
        <v>9</v>
      </c>
      <c r="K962" t="s">
        <v>10</v>
      </c>
      <c r="L962" s="5" t="s">
        <v>11</v>
      </c>
      <c r="M962" s="5" t="s">
        <v>12</v>
      </c>
      <c r="N962" t="s">
        <v>13</v>
      </c>
      <c r="O962" t="s">
        <v>20</v>
      </c>
      <c r="P962" s="1" t="s">
        <v>7</v>
      </c>
      <c r="Q962" s="5" t="s">
        <v>15</v>
      </c>
      <c r="R962" s="14" t="s">
        <v>18</v>
      </c>
      <c r="S962" t="s">
        <v>16</v>
      </c>
      <c r="T962" s="5" t="s">
        <v>14</v>
      </c>
      <c r="U962" s="5" t="s">
        <v>17</v>
      </c>
      <c r="V962" s="5" t="s">
        <v>19</v>
      </c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</row>
    <row r="963" spans="1:37" x14ac:dyDescent="0.25">
      <c r="A963" s="11">
        <f>Table1[[#This Row],[Milk Yield]]-J959</f>
        <v>-282</v>
      </c>
      <c r="B963" t="s">
        <v>24</v>
      </c>
      <c r="C963" s="2">
        <v>1</v>
      </c>
      <c r="D963" s="12">
        <v>45708</v>
      </c>
      <c r="E963" s="2">
        <v>38</v>
      </c>
      <c r="F963" s="13">
        <v>0.33533564814814815</v>
      </c>
      <c r="G963" s="3">
        <v>0.6004976851851852</v>
      </c>
      <c r="H963" s="1">
        <v>0.26458333333333334</v>
      </c>
      <c r="I963" s="5">
        <v>761</v>
      </c>
      <c r="J963">
        <v>9076</v>
      </c>
      <c r="K963">
        <v>120</v>
      </c>
      <c r="L963" s="5">
        <v>212</v>
      </c>
      <c r="M963" s="5">
        <v>761</v>
      </c>
      <c r="N963">
        <v>22</v>
      </c>
      <c r="O963">
        <v>739</v>
      </c>
      <c r="P963" s="1">
        <v>0.33750000000000002</v>
      </c>
      <c r="Q963" s="5">
        <v>1426</v>
      </c>
      <c r="R963" s="14">
        <v>12</v>
      </c>
      <c r="S963">
        <v>120</v>
      </c>
      <c r="T963" s="5">
        <v>22</v>
      </c>
      <c r="U963" s="5">
        <v>739</v>
      </c>
      <c r="V963" s="5">
        <v>0</v>
      </c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</row>
    <row r="964" spans="1:37" x14ac:dyDescent="0.25">
      <c r="A964" s="11">
        <f>Table1[[#This Row],[Milk Yield]]-J960</f>
        <v>-136</v>
      </c>
      <c r="B964" t="s">
        <v>24</v>
      </c>
      <c r="C964" s="2">
        <v>2</v>
      </c>
      <c r="D964" s="12">
        <v>45708</v>
      </c>
      <c r="E964" s="2">
        <v>35</v>
      </c>
      <c r="F964" s="13">
        <v>0.66961805555555554</v>
      </c>
      <c r="G964" s="3">
        <v>0.8739351851851852</v>
      </c>
      <c r="H964" s="1">
        <v>0.20416666666666666</v>
      </c>
      <c r="I964" s="5">
        <v>743</v>
      </c>
      <c r="J964">
        <v>7450</v>
      </c>
      <c r="K964">
        <v>152</v>
      </c>
      <c r="L964" s="5">
        <v>102</v>
      </c>
      <c r="M964" s="5">
        <v>743</v>
      </c>
      <c r="N964">
        <v>11</v>
      </c>
      <c r="O964">
        <v>732</v>
      </c>
      <c r="P964" s="1">
        <v>0.2673611111111111</v>
      </c>
      <c r="Q964" s="5">
        <v>1519</v>
      </c>
      <c r="R964" s="14">
        <v>10.1</v>
      </c>
      <c r="S964">
        <v>152</v>
      </c>
      <c r="T964" s="5">
        <v>11</v>
      </c>
      <c r="U964" s="5">
        <v>732</v>
      </c>
      <c r="V964" s="5">
        <v>0</v>
      </c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</row>
    <row r="965" spans="1:37" x14ac:dyDescent="0.25">
      <c r="A965" s="11">
        <f>Table1[[#This Row],[Milk Yield]]-J961</f>
        <v>-268</v>
      </c>
      <c r="B965" t="s">
        <v>24</v>
      </c>
      <c r="C965" s="2">
        <v>3</v>
      </c>
      <c r="D965" s="12">
        <v>45708</v>
      </c>
      <c r="E965" s="2">
        <v>36</v>
      </c>
      <c r="F965" s="13">
        <v>0.99903935185185189</v>
      </c>
      <c r="G965" s="3">
        <v>0.2387037037037037</v>
      </c>
      <c r="H965" s="1">
        <v>0.23958333333333334</v>
      </c>
      <c r="I965" s="5">
        <v>755</v>
      </c>
      <c r="J965">
        <v>8687</v>
      </c>
      <c r="K965">
        <v>131</v>
      </c>
      <c r="L965" s="5">
        <v>179</v>
      </c>
      <c r="M965" s="5">
        <v>753</v>
      </c>
      <c r="N965">
        <v>19</v>
      </c>
      <c r="O965">
        <v>734</v>
      </c>
      <c r="P965" s="1">
        <v>0.27430555555555558</v>
      </c>
      <c r="Q965" s="5">
        <v>1510</v>
      </c>
      <c r="R965" s="14">
        <v>11.6</v>
      </c>
      <c r="S965">
        <v>131</v>
      </c>
      <c r="T965" s="5">
        <v>19</v>
      </c>
      <c r="U965" s="5">
        <v>734</v>
      </c>
      <c r="V965" s="5">
        <v>0</v>
      </c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</row>
    <row r="966" spans="1:37" x14ac:dyDescent="0.25">
      <c r="A966" s="11" t="e">
        <f>Table1[[#This Row],[Milk Yield]]-J962</f>
        <v>#VALUE!</v>
      </c>
      <c r="B966" t="s">
        <v>0</v>
      </c>
      <c r="C966" s="2" t="s">
        <v>1</v>
      </c>
      <c r="D966" s="12" t="s">
        <v>2</v>
      </c>
      <c r="E966" s="2" t="s">
        <v>3</v>
      </c>
      <c r="F966" s="13" t="s">
        <v>4</v>
      </c>
      <c r="G966" s="3" t="s">
        <v>5</v>
      </c>
      <c r="H966" s="1" t="s">
        <v>6</v>
      </c>
      <c r="I966" s="5" t="s">
        <v>8</v>
      </c>
      <c r="J966" t="s">
        <v>9</v>
      </c>
      <c r="K966" t="s">
        <v>10</v>
      </c>
      <c r="L966" s="5" t="s">
        <v>11</v>
      </c>
      <c r="M966" s="5" t="s">
        <v>12</v>
      </c>
      <c r="N966" t="s">
        <v>13</v>
      </c>
      <c r="O966" t="s">
        <v>20</v>
      </c>
      <c r="P966" s="1" t="s">
        <v>7</v>
      </c>
      <c r="Q966" s="5" t="s">
        <v>15</v>
      </c>
      <c r="R966" s="14" t="s">
        <v>18</v>
      </c>
      <c r="S966" t="s">
        <v>16</v>
      </c>
      <c r="T966" s="5" t="s">
        <v>14</v>
      </c>
      <c r="U966" s="5" t="s">
        <v>17</v>
      </c>
      <c r="V966" s="5" t="s">
        <v>19</v>
      </c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</row>
    <row r="967" spans="1:37" x14ac:dyDescent="0.25">
      <c r="A967" s="11">
        <f>Table1[[#This Row],[Milk Yield]]-J963</f>
        <v>-121</v>
      </c>
      <c r="B967" t="s">
        <v>24</v>
      </c>
      <c r="C967" s="2">
        <v>1</v>
      </c>
      <c r="D967" s="12">
        <v>45709</v>
      </c>
      <c r="E967" s="2">
        <v>36</v>
      </c>
      <c r="F967" s="13">
        <v>0.33724537037037039</v>
      </c>
      <c r="G967" s="3">
        <v>0.58598379629629627</v>
      </c>
      <c r="H967" s="1">
        <v>0.24861111111111112</v>
      </c>
      <c r="I967" s="5">
        <v>727</v>
      </c>
      <c r="J967">
        <v>8955</v>
      </c>
      <c r="K967">
        <v>122</v>
      </c>
      <c r="L967" s="5">
        <v>125</v>
      </c>
      <c r="M967" s="5">
        <v>727</v>
      </c>
      <c r="N967">
        <v>15</v>
      </c>
      <c r="O967">
        <v>712</v>
      </c>
      <c r="P967" s="1">
        <v>0.30625000000000002</v>
      </c>
      <c r="Q967" s="5">
        <v>1500</v>
      </c>
      <c r="R967" s="14">
        <v>12.4</v>
      </c>
      <c r="S967">
        <v>122</v>
      </c>
      <c r="T967" s="5">
        <v>15</v>
      </c>
      <c r="U967" s="5">
        <v>712</v>
      </c>
      <c r="V967" s="5">
        <v>0</v>
      </c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</row>
    <row r="968" spans="1:37" x14ac:dyDescent="0.25">
      <c r="A968" s="11">
        <f>Table1[[#This Row],[Milk Yield]]-J964</f>
        <v>63</v>
      </c>
      <c r="B968" t="s">
        <v>24</v>
      </c>
      <c r="C968" s="2">
        <v>2</v>
      </c>
      <c r="D968" s="12">
        <v>45709</v>
      </c>
      <c r="E968" s="2">
        <v>33</v>
      </c>
      <c r="F968" s="13">
        <v>0.6696064814814815</v>
      </c>
      <c r="G968" s="3">
        <v>0.87935185185185183</v>
      </c>
      <c r="H968" s="1">
        <v>0.20972222222222223</v>
      </c>
      <c r="I968" s="5">
        <v>710</v>
      </c>
      <c r="J968">
        <v>7513</v>
      </c>
      <c r="K968">
        <v>141</v>
      </c>
      <c r="L968" s="5">
        <v>122</v>
      </c>
      <c r="M968" s="5">
        <v>710</v>
      </c>
      <c r="N968">
        <v>15</v>
      </c>
      <c r="O968">
        <v>695</v>
      </c>
      <c r="P968" s="1">
        <v>0.27430555555555558</v>
      </c>
      <c r="Q968" s="5">
        <v>1492</v>
      </c>
      <c r="R968" s="14">
        <v>10.6</v>
      </c>
      <c r="S968">
        <v>141</v>
      </c>
      <c r="T968" s="5">
        <v>15</v>
      </c>
      <c r="U968" s="5">
        <v>695</v>
      </c>
      <c r="V968" s="5">
        <v>0</v>
      </c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</row>
    <row r="969" spans="1:37" x14ac:dyDescent="0.25">
      <c r="A969" s="11">
        <f>Table1[[#This Row],[Milk Yield]]-J965</f>
        <v>-5</v>
      </c>
      <c r="B969" t="s">
        <v>24</v>
      </c>
      <c r="C969" s="2">
        <v>3</v>
      </c>
      <c r="D969" s="12">
        <v>45709</v>
      </c>
      <c r="E969" s="2">
        <v>36</v>
      </c>
      <c r="F969" s="13">
        <v>2.6041666666666665E-3</v>
      </c>
      <c r="G969" s="3">
        <v>0.24180555555555555</v>
      </c>
      <c r="H969" s="1">
        <v>0.2388888888888889</v>
      </c>
      <c r="I969" s="5">
        <v>716</v>
      </c>
      <c r="J969">
        <v>8682</v>
      </c>
      <c r="K969">
        <v>125</v>
      </c>
      <c r="L969" s="5">
        <v>172</v>
      </c>
      <c r="M969" s="5">
        <v>715</v>
      </c>
      <c r="N969">
        <v>16</v>
      </c>
      <c r="O969">
        <v>699</v>
      </c>
      <c r="P969" s="1">
        <v>0.28958333333333336</v>
      </c>
      <c r="Q969" s="5">
        <v>1512</v>
      </c>
      <c r="R969" s="14">
        <v>12.2</v>
      </c>
      <c r="S969">
        <v>125</v>
      </c>
      <c r="T969" s="5">
        <v>16</v>
      </c>
      <c r="U969" s="5">
        <v>699</v>
      </c>
      <c r="V969" s="5">
        <v>0</v>
      </c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</row>
    <row r="970" spans="1:37" x14ac:dyDescent="0.25">
      <c r="A970" s="11" t="e">
        <f>Table1[[#This Row],[Milk Yield]]-J966</f>
        <v>#VALUE!</v>
      </c>
      <c r="B970" t="s">
        <v>0</v>
      </c>
      <c r="C970" s="2" t="s">
        <v>1</v>
      </c>
      <c r="D970" s="12" t="s">
        <v>2</v>
      </c>
      <c r="E970" s="2" t="s">
        <v>3</v>
      </c>
      <c r="F970" s="13" t="s">
        <v>4</v>
      </c>
      <c r="G970" s="3" t="s">
        <v>5</v>
      </c>
      <c r="H970" s="1" t="s">
        <v>6</v>
      </c>
      <c r="I970" s="5" t="s">
        <v>8</v>
      </c>
      <c r="J970" t="s">
        <v>9</v>
      </c>
      <c r="K970" t="s">
        <v>10</v>
      </c>
      <c r="L970" s="5" t="s">
        <v>11</v>
      </c>
      <c r="M970" s="5" t="s">
        <v>12</v>
      </c>
      <c r="N970" t="s">
        <v>13</v>
      </c>
      <c r="O970" t="s">
        <v>20</v>
      </c>
      <c r="P970" s="1" t="s">
        <v>7</v>
      </c>
      <c r="Q970" s="5" t="s">
        <v>15</v>
      </c>
      <c r="R970" s="14" t="s">
        <v>18</v>
      </c>
      <c r="S970" t="s">
        <v>16</v>
      </c>
      <c r="T970" s="5" t="s">
        <v>14</v>
      </c>
      <c r="U970" s="5" t="s">
        <v>17</v>
      </c>
      <c r="V970" s="5" t="s">
        <v>19</v>
      </c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</row>
    <row r="971" spans="1:37" x14ac:dyDescent="0.25">
      <c r="A971" s="11">
        <f>Table1[[#This Row],[Milk Yield]]-J967</f>
        <v>-5</v>
      </c>
      <c r="B971" t="s">
        <v>24</v>
      </c>
      <c r="C971" s="2">
        <v>1</v>
      </c>
      <c r="D971" s="12">
        <v>45710</v>
      </c>
      <c r="E971" s="2">
        <v>37</v>
      </c>
      <c r="F971" s="13">
        <v>0.34401620370370373</v>
      </c>
      <c r="G971" s="3">
        <v>0.61359953703703707</v>
      </c>
      <c r="H971" s="1">
        <v>0.26944444444444443</v>
      </c>
      <c r="I971" s="5">
        <v>717</v>
      </c>
      <c r="J971">
        <v>8950</v>
      </c>
      <c r="K971">
        <v>111</v>
      </c>
      <c r="L971" s="5">
        <v>177</v>
      </c>
      <c r="M971" s="5">
        <v>715</v>
      </c>
      <c r="N971">
        <v>15</v>
      </c>
      <c r="O971">
        <v>700</v>
      </c>
      <c r="P971" s="1">
        <v>0.3034722222222222</v>
      </c>
      <c r="Q971" s="5">
        <v>1383</v>
      </c>
      <c r="R971" s="14">
        <v>12.6</v>
      </c>
      <c r="S971">
        <v>111</v>
      </c>
      <c r="T971" s="5">
        <v>15</v>
      </c>
      <c r="U971" s="5">
        <v>700</v>
      </c>
      <c r="V971" s="5">
        <v>0</v>
      </c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</row>
    <row r="972" spans="1:37" x14ac:dyDescent="0.25">
      <c r="A972" s="11">
        <f>Table1[[#This Row],[Milk Yield]]-J968</f>
        <v>-477</v>
      </c>
      <c r="B972" t="s">
        <v>24</v>
      </c>
      <c r="C972" s="2">
        <v>2</v>
      </c>
      <c r="D972" s="12">
        <v>45710</v>
      </c>
      <c r="E972" s="2">
        <v>34</v>
      </c>
      <c r="F972" s="13">
        <v>0.67812499999999998</v>
      </c>
      <c r="G972" s="3">
        <v>0.90454861111111107</v>
      </c>
      <c r="H972" s="1">
        <v>0.22638888888888889</v>
      </c>
      <c r="I972" s="5">
        <v>710</v>
      </c>
      <c r="J972">
        <v>7036</v>
      </c>
      <c r="K972">
        <v>131</v>
      </c>
      <c r="L972" s="5">
        <v>47</v>
      </c>
      <c r="M972" s="5">
        <v>709</v>
      </c>
      <c r="N972">
        <v>7</v>
      </c>
      <c r="O972">
        <v>702</v>
      </c>
      <c r="P972" s="1">
        <v>0.26805555555555555</v>
      </c>
      <c r="Q972" s="5">
        <v>1295</v>
      </c>
      <c r="R972" s="14">
        <v>10</v>
      </c>
      <c r="S972">
        <v>130</v>
      </c>
      <c r="T972" s="5">
        <v>7</v>
      </c>
      <c r="U972" s="5">
        <v>702</v>
      </c>
      <c r="V972" s="5">
        <v>0</v>
      </c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</row>
    <row r="973" spans="1:37" x14ac:dyDescent="0.25">
      <c r="A973" s="11">
        <f>Table1[[#This Row],[Milk Yield]]-J969</f>
        <v>-595</v>
      </c>
      <c r="B973" t="s">
        <v>24</v>
      </c>
      <c r="C973" s="2">
        <v>3</v>
      </c>
      <c r="D973" s="12">
        <v>45710</v>
      </c>
      <c r="E973" s="2">
        <v>35</v>
      </c>
      <c r="F973" s="13">
        <v>0.99745370370370368</v>
      </c>
      <c r="G973" s="3">
        <v>0.24721064814814814</v>
      </c>
      <c r="H973" s="1">
        <v>0.24930555555555556</v>
      </c>
      <c r="I973" s="5">
        <v>712</v>
      </c>
      <c r="J973">
        <v>8087</v>
      </c>
      <c r="K973">
        <v>119</v>
      </c>
      <c r="L973" s="5">
        <v>126</v>
      </c>
      <c r="M973" s="5">
        <v>712</v>
      </c>
      <c r="N973">
        <v>14</v>
      </c>
      <c r="O973">
        <v>698</v>
      </c>
      <c r="P973" s="1">
        <v>0.28958333333333336</v>
      </c>
      <c r="Q973" s="5">
        <v>1349</v>
      </c>
      <c r="R973" s="14">
        <v>11.4</v>
      </c>
      <c r="S973">
        <v>119</v>
      </c>
      <c r="T973" s="5">
        <v>14</v>
      </c>
      <c r="U973" s="5">
        <v>698</v>
      </c>
      <c r="V973" s="5">
        <v>0</v>
      </c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</row>
    <row r="974" spans="1:37" x14ac:dyDescent="0.25">
      <c r="A974" s="11" t="e">
        <f>Table1[[#This Row],[Milk Yield]]-J970</f>
        <v>#VALUE!</v>
      </c>
      <c r="B974" t="s">
        <v>0</v>
      </c>
      <c r="C974" s="2" t="s">
        <v>1</v>
      </c>
      <c r="D974" s="12" t="s">
        <v>2</v>
      </c>
      <c r="E974" s="2" t="s">
        <v>3</v>
      </c>
      <c r="F974" s="13" t="s">
        <v>4</v>
      </c>
      <c r="G974" s="3" t="s">
        <v>5</v>
      </c>
      <c r="H974" s="1" t="s">
        <v>6</v>
      </c>
      <c r="I974" s="5" t="s">
        <v>8</v>
      </c>
      <c r="J974" t="s">
        <v>9</v>
      </c>
      <c r="K974" t="s">
        <v>10</v>
      </c>
      <c r="L974" s="5" t="s">
        <v>11</v>
      </c>
      <c r="M974" s="5" t="s">
        <v>12</v>
      </c>
      <c r="N974" t="s">
        <v>13</v>
      </c>
      <c r="O974" t="s">
        <v>20</v>
      </c>
      <c r="P974" s="1" t="s">
        <v>7</v>
      </c>
      <c r="Q974" s="5" t="s">
        <v>15</v>
      </c>
      <c r="R974" s="14" t="s">
        <v>18</v>
      </c>
      <c r="S974" t="s">
        <v>16</v>
      </c>
      <c r="T974" s="5" t="s">
        <v>14</v>
      </c>
      <c r="U974" s="5" t="s">
        <v>17</v>
      </c>
      <c r="V974" s="5" t="s">
        <v>19</v>
      </c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</row>
    <row r="975" spans="1:37" x14ac:dyDescent="0.25">
      <c r="A975" s="11">
        <f>Table1[[#This Row],[Milk Yield]]-J971</f>
        <v>-807</v>
      </c>
      <c r="B975" t="s">
        <v>24</v>
      </c>
      <c r="C975" s="2">
        <v>1</v>
      </c>
      <c r="D975" s="12">
        <v>45711</v>
      </c>
      <c r="E975" s="2">
        <v>34</v>
      </c>
      <c r="F975" s="13">
        <v>0.34453703703703703</v>
      </c>
      <c r="G975" s="3">
        <v>0.57381944444444444</v>
      </c>
      <c r="H975" s="1">
        <v>0.22916666666666666</v>
      </c>
      <c r="I975" s="5">
        <v>672</v>
      </c>
      <c r="J975">
        <v>8143</v>
      </c>
      <c r="K975">
        <v>122</v>
      </c>
      <c r="L975" s="5">
        <v>152</v>
      </c>
      <c r="M975" s="5">
        <v>672</v>
      </c>
      <c r="N975">
        <v>13</v>
      </c>
      <c r="O975">
        <v>659</v>
      </c>
      <c r="P975" s="1">
        <v>0.28958333333333336</v>
      </c>
      <c r="Q975" s="5">
        <v>1480</v>
      </c>
      <c r="R975" s="14">
        <v>12.2</v>
      </c>
      <c r="S975">
        <v>122</v>
      </c>
      <c r="T975" s="5">
        <v>13</v>
      </c>
      <c r="U975" s="5">
        <v>659</v>
      </c>
      <c r="V975" s="5">
        <v>0</v>
      </c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</row>
    <row r="976" spans="1:37" x14ac:dyDescent="0.25">
      <c r="A976" s="11">
        <f>Table1[[#This Row],[Milk Yield]]-J972</f>
        <v>740</v>
      </c>
      <c r="B976" t="s">
        <v>24</v>
      </c>
      <c r="C976" s="2">
        <v>2</v>
      </c>
      <c r="D976" s="12">
        <v>45711</v>
      </c>
      <c r="E976" s="2">
        <v>34</v>
      </c>
      <c r="F976" s="13">
        <v>0.67025462962962967</v>
      </c>
      <c r="G976" s="3">
        <v>0.89501157407407406</v>
      </c>
      <c r="H976" s="1">
        <v>0.22430555555555556</v>
      </c>
      <c r="I976" s="5">
        <v>715</v>
      </c>
      <c r="J976">
        <v>7776</v>
      </c>
      <c r="K976">
        <v>133</v>
      </c>
      <c r="L976" s="5">
        <v>91</v>
      </c>
      <c r="M976" s="5">
        <v>714</v>
      </c>
      <c r="N976">
        <v>7</v>
      </c>
      <c r="O976">
        <v>707</v>
      </c>
      <c r="P976" s="1">
        <v>0.2951388888888889</v>
      </c>
      <c r="Q976" s="5">
        <v>1441</v>
      </c>
      <c r="R976" s="14">
        <v>10.9</v>
      </c>
      <c r="S976">
        <v>132</v>
      </c>
      <c r="T976" s="5">
        <v>7</v>
      </c>
      <c r="U976" s="5">
        <v>707</v>
      </c>
      <c r="V976" s="5">
        <v>0</v>
      </c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</row>
    <row r="977" spans="1:37" x14ac:dyDescent="0.25">
      <c r="A977" s="11">
        <f>Table1[[#This Row],[Milk Yield]]-J973</f>
        <v>119</v>
      </c>
      <c r="B977" t="s">
        <v>24</v>
      </c>
      <c r="C977" s="2">
        <v>3</v>
      </c>
      <c r="D977" s="12">
        <v>45711</v>
      </c>
      <c r="E977" s="2">
        <v>35</v>
      </c>
      <c r="F977" s="13">
        <v>2.8240740740740739E-3</v>
      </c>
      <c r="G977" s="3">
        <v>0.24129629629629629</v>
      </c>
      <c r="H977" s="1">
        <v>0.23819444444444443</v>
      </c>
      <c r="I977" s="5">
        <v>716</v>
      </c>
      <c r="J977">
        <v>8206</v>
      </c>
      <c r="K977">
        <v>125</v>
      </c>
      <c r="L977" s="5">
        <v>125</v>
      </c>
      <c r="M977" s="5">
        <v>716</v>
      </c>
      <c r="N977">
        <v>13</v>
      </c>
      <c r="O977">
        <v>703</v>
      </c>
      <c r="P977" s="1">
        <v>0.27986111111111112</v>
      </c>
      <c r="Q977" s="5">
        <v>1434</v>
      </c>
      <c r="R977" s="14">
        <v>11.5</v>
      </c>
      <c r="S977">
        <v>125</v>
      </c>
      <c r="T977" s="5">
        <v>13</v>
      </c>
      <c r="U977" s="5">
        <v>703</v>
      </c>
      <c r="V977" s="5">
        <v>0</v>
      </c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</row>
    <row r="978" spans="1:37" x14ac:dyDescent="0.25">
      <c r="A978" s="11" t="e">
        <f>Table1[[#This Row],[Milk Yield]]-J974</f>
        <v>#VALUE!</v>
      </c>
      <c r="B978" t="s">
        <v>0</v>
      </c>
      <c r="C978" s="2" t="s">
        <v>1</v>
      </c>
      <c r="D978" s="12" t="s">
        <v>2</v>
      </c>
      <c r="E978" s="2" t="s">
        <v>3</v>
      </c>
      <c r="F978" s="13" t="s">
        <v>4</v>
      </c>
      <c r="G978" s="3" t="s">
        <v>5</v>
      </c>
      <c r="H978" s="1" t="s">
        <v>6</v>
      </c>
      <c r="I978" s="5" t="s">
        <v>8</v>
      </c>
      <c r="J978" t="s">
        <v>9</v>
      </c>
      <c r="K978" t="s">
        <v>10</v>
      </c>
      <c r="L978" s="5" t="s">
        <v>11</v>
      </c>
      <c r="M978" s="5" t="s">
        <v>12</v>
      </c>
      <c r="N978" t="s">
        <v>13</v>
      </c>
      <c r="O978" t="s">
        <v>20</v>
      </c>
      <c r="P978" s="1" t="s">
        <v>7</v>
      </c>
      <c r="Q978" s="5" t="s">
        <v>15</v>
      </c>
      <c r="R978" s="14" t="s">
        <v>18</v>
      </c>
      <c r="S978" t="s">
        <v>16</v>
      </c>
      <c r="T978" s="5" t="s">
        <v>14</v>
      </c>
      <c r="U978" s="5" t="s">
        <v>17</v>
      </c>
      <c r="V978" s="5" t="s">
        <v>19</v>
      </c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</row>
    <row r="979" spans="1:37" x14ac:dyDescent="0.25">
      <c r="A979" s="11">
        <f>Table1[[#This Row],[Milk Yield]]-J975</f>
        <v>1633</v>
      </c>
      <c r="B979" t="s">
        <v>24</v>
      </c>
      <c r="C979" s="2">
        <v>1</v>
      </c>
      <c r="D979" s="12">
        <v>45712</v>
      </c>
      <c r="E979" s="2">
        <v>36</v>
      </c>
      <c r="F979" s="13">
        <v>0.33810185185185188</v>
      </c>
      <c r="G979" s="3">
        <v>0.60162037037037042</v>
      </c>
      <c r="H979" s="1">
        <v>0.26319444444444445</v>
      </c>
      <c r="I979" s="5">
        <v>716</v>
      </c>
      <c r="J979">
        <v>9776</v>
      </c>
      <c r="K979">
        <v>113</v>
      </c>
      <c r="L979" s="5">
        <v>112</v>
      </c>
      <c r="M979" s="5">
        <v>716</v>
      </c>
      <c r="N979">
        <v>12</v>
      </c>
      <c r="O979">
        <v>704</v>
      </c>
      <c r="P979" s="1">
        <v>0.28819444444444442</v>
      </c>
      <c r="Q979" s="5">
        <v>1546</v>
      </c>
      <c r="R979" s="14">
        <v>13.7</v>
      </c>
      <c r="S979">
        <v>113</v>
      </c>
      <c r="T979" s="5">
        <v>12</v>
      </c>
      <c r="U979" s="5">
        <v>704</v>
      </c>
      <c r="V979" s="5">
        <v>0</v>
      </c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</row>
    <row r="980" spans="1:37" x14ac:dyDescent="0.25">
      <c r="A980" s="11">
        <f>Table1[[#This Row],[Milk Yield]]-J976</f>
        <v>-1361</v>
      </c>
      <c r="B980" t="s">
        <v>24</v>
      </c>
      <c r="C980" s="2">
        <v>2</v>
      </c>
      <c r="D980" s="12">
        <v>45712</v>
      </c>
      <c r="E980" s="2">
        <v>34</v>
      </c>
      <c r="F980" s="13">
        <v>0.66898148148148151</v>
      </c>
      <c r="G980" s="3">
        <v>0.89427083333333335</v>
      </c>
      <c r="H980" s="1">
        <v>0.22500000000000001</v>
      </c>
      <c r="I980" s="5">
        <v>711</v>
      </c>
      <c r="J980">
        <v>6415</v>
      </c>
      <c r="K980">
        <v>131</v>
      </c>
      <c r="L980" s="5">
        <v>94</v>
      </c>
      <c r="M980" s="5">
        <v>711</v>
      </c>
      <c r="N980">
        <v>12</v>
      </c>
      <c r="O980">
        <v>699</v>
      </c>
      <c r="P980" s="1">
        <v>0.25972222222222224</v>
      </c>
      <c r="Q980" s="5">
        <v>1186</v>
      </c>
      <c r="R980" s="14">
        <v>9.1</v>
      </c>
      <c r="S980">
        <v>131</v>
      </c>
      <c r="T980" s="5">
        <v>12</v>
      </c>
      <c r="U980" s="5">
        <v>699</v>
      </c>
      <c r="V980" s="5">
        <v>0</v>
      </c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</row>
    <row r="981" spans="1:37" x14ac:dyDescent="0.25">
      <c r="A981" s="11">
        <f>Table1[[#This Row],[Milk Yield]]-J977</f>
        <v>-796</v>
      </c>
      <c r="B981" t="s">
        <v>24</v>
      </c>
      <c r="C981" s="2">
        <v>3</v>
      </c>
      <c r="D981" s="12">
        <v>45712</v>
      </c>
      <c r="E981" s="2">
        <v>34</v>
      </c>
      <c r="F981" s="13">
        <v>0.99994212962962958</v>
      </c>
      <c r="G981" s="3">
        <v>0.22821759259259258</v>
      </c>
      <c r="H981" s="1">
        <v>0.22777777777777777</v>
      </c>
      <c r="I981" s="5">
        <v>688</v>
      </c>
      <c r="J981">
        <v>7410</v>
      </c>
      <c r="K981">
        <v>126</v>
      </c>
      <c r="L981" s="5">
        <v>286</v>
      </c>
      <c r="M981" s="5">
        <v>688</v>
      </c>
      <c r="N981">
        <v>22</v>
      </c>
      <c r="O981">
        <v>666</v>
      </c>
      <c r="P981" s="1">
        <v>0.31874999999999998</v>
      </c>
      <c r="Q981" s="5">
        <v>1352</v>
      </c>
      <c r="R981" s="14">
        <v>10.8</v>
      </c>
      <c r="S981">
        <v>126</v>
      </c>
      <c r="T981" s="5">
        <v>22</v>
      </c>
      <c r="U981" s="5">
        <v>666</v>
      </c>
      <c r="V981" s="5">
        <v>0</v>
      </c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</row>
    <row r="982" spans="1:37" x14ac:dyDescent="0.25">
      <c r="A982" s="11" t="e">
        <f>Table1[[#This Row],[Milk Yield]]-J978</f>
        <v>#VALUE!</v>
      </c>
      <c r="B982" t="s">
        <v>0</v>
      </c>
      <c r="C982" s="2" t="s">
        <v>1</v>
      </c>
      <c r="D982" s="12" t="s">
        <v>2</v>
      </c>
      <c r="E982" s="2" t="s">
        <v>3</v>
      </c>
      <c r="F982" s="13" t="s">
        <v>4</v>
      </c>
      <c r="G982" s="3" t="s">
        <v>5</v>
      </c>
      <c r="H982" s="1" t="s">
        <v>6</v>
      </c>
      <c r="I982" s="5" t="s">
        <v>8</v>
      </c>
      <c r="J982" t="s">
        <v>9</v>
      </c>
      <c r="K982" t="s">
        <v>10</v>
      </c>
      <c r="L982" s="5" t="s">
        <v>11</v>
      </c>
      <c r="M982" s="5" t="s">
        <v>12</v>
      </c>
      <c r="N982" t="s">
        <v>13</v>
      </c>
      <c r="O982" t="s">
        <v>20</v>
      </c>
      <c r="P982" s="1" t="s">
        <v>7</v>
      </c>
      <c r="Q982" s="5" t="s">
        <v>15</v>
      </c>
      <c r="R982" s="14" t="s">
        <v>18</v>
      </c>
      <c r="S982" t="s">
        <v>16</v>
      </c>
      <c r="T982" s="5" t="s">
        <v>14</v>
      </c>
      <c r="U982" s="5" t="s">
        <v>17</v>
      </c>
      <c r="V982" s="5" t="s">
        <v>19</v>
      </c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</row>
    <row r="983" spans="1:37" x14ac:dyDescent="0.25">
      <c r="A983" s="11">
        <f>Table1[[#This Row],[Milk Yield]]-J979</f>
        <v>-400</v>
      </c>
      <c r="B983" t="s">
        <v>24</v>
      </c>
      <c r="C983" s="2">
        <v>1</v>
      </c>
      <c r="D983" s="12">
        <v>45713</v>
      </c>
      <c r="E983" s="2">
        <v>34</v>
      </c>
      <c r="F983" s="13">
        <v>0.33328703703703705</v>
      </c>
      <c r="G983" s="3">
        <v>0.58564814814814814</v>
      </c>
      <c r="H983" s="1">
        <v>0.25208333333333333</v>
      </c>
      <c r="I983" s="5">
        <v>713</v>
      </c>
      <c r="J983">
        <v>9376</v>
      </c>
      <c r="K983">
        <v>118</v>
      </c>
      <c r="L983" s="5">
        <v>116</v>
      </c>
      <c r="M983" s="5">
        <v>713</v>
      </c>
      <c r="N983">
        <v>9</v>
      </c>
      <c r="O983">
        <v>704</v>
      </c>
      <c r="P983" s="1">
        <v>0.33263888888888887</v>
      </c>
      <c r="Q983" s="5">
        <v>1548</v>
      </c>
      <c r="R983" s="14">
        <v>13.2</v>
      </c>
      <c r="S983">
        <v>118</v>
      </c>
      <c r="T983" s="5">
        <v>9</v>
      </c>
      <c r="U983" s="5">
        <v>704</v>
      </c>
      <c r="V983" s="5">
        <v>0</v>
      </c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</row>
    <row r="984" spans="1:37" x14ac:dyDescent="0.25">
      <c r="A984" s="11">
        <f>Table1[[#This Row],[Milk Yield]]-J980</f>
        <v>1208</v>
      </c>
      <c r="B984" t="s">
        <v>24</v>
      </c>
      <c r="C984" s="2">
        <v>2</v>
      </c>
      <c r="D984" s="12">
        <v>45713</v>
      </c>
      <c r="E984" s="2">
        <v>35</v>
      </c>
      <c r="F984" s="13">
        <v>0.6720949074074074</v>
      </c>
      <c r="G984" s="3">
        <v>0.89962962962962967</v>
      </c>
      <c r="H984" s="1">
        <v>0.22708333333333333</v>
      </c>
      <c r="I984" s="5">
        <v>718</v>
      </c>
      <c r="J984">
        <v>7623</v>
      </c>
      <c r="K984">
        <v>131</v>
      </c>
      <c r="L984" s="5">
        <v>157</v>
      </c>
      <c r="M984" s="5">
        <v>718</v>
      </c>
      <c r="N984">
        <v>21</v>
      </c>
      <c r="O984">
        <v>697</v>
      </c>
      <c r="P984" s="1">
        <v>0.26944444444444443</v>
      </c>
      <c r="Q984" s="5">
        <v>1396</v>
      </c>
      <c r="R984" s="14">
        <v>10.7</v>
      </c>
      <c r="S984">
        <v>131</v>
      </c>
      <c r="T984" s="5">
        <v>21</v>
      </c>
      <c r="U984" s="5">
        <v>698</v>
      </c>
      <c r="V984" s="5">
        <v>1</v>
      </c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</row>
    <row r="985" spans="1:37" x14ac:dyDescent="0.25">
      <c r="A985" s="11">
        <f>Table1[[#This Row],[Milk Yield]]-J981</f>
        <v>489</v>
      </c>
      <c r="B985" t="s">
        <v>24</v>
      </c>
      <c r="C985" s="2">
        <v>3</v>
      </c>
      <c r="D985" s="12">
        <v>45713</v>
      </c>
      <c r="E985" s="2">
        <v>33</v>
      </c>
      <c r="F985" s="13">
        <v>3.7511574074074072E-2</v>
      </c>
      <c r="G985" s="3">
        <v>0.24530092592592592</v>
      </c>
      <c r="H985" s="1">
        <v>0.2076388888888889</v>
      </c>
      <c r="I985" s="5">
        <v>691</v>
      </c>
      <c r="J985">
        <v>7899</v>
      </c>
      <c r="K985">
        <v>139</v>
      </c>
      <c r="L985" s="5">
        <v>190</v>
      </c>
      <c r="M985" s="5">
        <v>691</v>
      </c>
      <c r="N985">
        <v>18</v>
      </c>
      <c r="O985">
        <v>673</v>
      </c>
      <c r="P985" s="1">
        <v>0.29930555555555555</v>
      </c>
      <c r="Q985" s="5">
        <v>1584</v>
      </c>
      <c r="R985" s="14">
        <v>11.5</v>
      </c>
      <c r="S985">
        <v>139</v>
      </c>
      <c r="T985" s="5">
        <v>18</v>
      </c>
      <c r="U985" s="5">
        <v>674</v>
      </c>
      <c r="V985" s="5">
        <v>1</v>
      </c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</row>
    <row r="986" spans="1:37" x14ac:dyDescent="0.25">
      <c r="A986" s="11" t="e">
        <f>Table1[[#This Row],[Milk Yield]]-J982</f>
        <v>#VALUE!</v>
      </c>
      <c r="B986" t="s">
        <v>0</v>
      </c>
      <c r="C986" s="2" t="s">
        <v>1</v>
      </c>
      <c r="D986" s="12" t="s">
        <v>2</v>
      </c>
      <c r="E986" s="2" t="s">
        <v>3</v>
      </c>
      <c r="F986" s="13" t="s">
        <v>4</v>
      </c>
      <c r="G986" s="3" t="s">
        <v>5</v>
      </c>
      <c r="H986" s="1" t="s">
        <v>6</v>
      </c>
      <c r="I986" s="5" t="s">
        <v>8</v>
      </c>
      <c r="J986" t="s">
        <v>9</v>
      </c>
      <c r="K986" t="s">
        <v>10</v>
      </c>
      <c r="L986" s="5" t="s">
        <v>11</v>
      </c>
      <c r="M986" s="5" t="s">
        <v>12</v>
      </c>
      <c r="N986" t="s">
        <v>13</v>
      </c>
      <c r="O986" t="s">
        <v>20</v>
      </c>
      <c r="P986" s="1" t="s">
        <v>7</v>
      </c>
      <c r="Q986" s="5" t="s">
        <v>15</v>
      </c>
      <c r="R986" s="14" t="s">
        <v>18</v>
      </c>
      <c r="S986" t="s">
        <v>16</v>
      </c>
      <c r="T986" s="5" t="s">
        <v>14</v>
      </c>
      <c r="U986" s="5" t="s">
        <v>17</v>
      </c>
      <c r="V986" s="5" t="s">
        <v>19</v>
      </c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</row>
    <row r="987" spans="1:37" x14ac:dyDescent="0.25">
      <c r="A987" s="11">
        <f>Table1[[#This Row],[Milk Yield]]-J983</f>
        <v>-884</v>
      </c>
      <c r="B987" t="s">
        <v>24</v>
      </c>
      <c r="C987" s="2">
        <v>1</v>
      </c>
      <c r="D987" s="12">
        <v>45714</v>
      </c>
      <c r="E987" s="2">
        <v>35</v>
      </c>
      <c r="F987" s="13">
        <v>0.33078703703703705</v>
      </c>
      <c r="G987" s="3">
        <v>0.56900462962962961</v>
      </c>
      <c r="H987" s="1">
        <v>0.23819444444444443</v>
      </c>
      <c r="I987" s="5">
        <v>716</v>
      </c>
      <c r="J987">
        <v>8492</v>
      </c>
      <c r="K987">
        <v>125</v>
      </c>
      <c r="L987" s="5">
        <v>91</v>
      </c>
      <c r="M987" s="5">
        <v>716</v>
      </c>
      <c r="N987">
        <v>11</v>
      </c>
      <c r="O987">
        <v>705</v>
      </c>
      <c r="P987" s="1">
        <v>0.30833333333333335</v>
      </c>
      <c r="Q987" s="5">
        <v>1485</v>
      </c>
      <c r="R987" s="14">
        <v>11.9</v>
      </c>
      <c r="S987">
        <v>125</v>
      </c>
      <c r="T987" s="5">
        <v>11</v>
      </c>
      <c r="U987" s="5">
        <v>706</v>
      </c>
      <c r="V987" s="5">
        <v>1</v>
      </c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</row>
    <row r="988" spans="1:37" x14ac:dyDescent="0.25">
      <c r="A988" s="11">
        <f>Table1[[#This Row],[Milk Yield]]-J984</f>
        <v>232</v>
      </c>
      <c r="B988" t="s">
        <v>24</v>
      </c>
      <c r="C988" s="2">
        <v>2</v>
      </c>
      <c r="D988" s="12">
        <v>45714</v>
      </c>
      <c r="E988" s="2">
        <v>34</v>
      </c>
      <c r="F988" s="13">
        <v>0.66981481481481486</v>
      </c>
      <c r="G988" s="3">
        <v>0.90538194444444442</v>
      </c>
      <c r="H988" s="1">
        <v>0.23541666666666666</v>
      </c>
      <c r="I988" s="5">
        <v>720</v>
      </c>
      <c r="J988">
        <v>7855</v>
      </c>
      <c r="K988">
        <v>127</v>
      </c>
      <c r="L988" s="5">
        <v>92</v>
      </c>
      <c r="M988" s="5">
        <v>720</v>
      </c>
      <c r="N988">
        <v>11</v>
      </c>
      <c r="O988">
        <v>709</v>
      </c>
      <c r="P988" s="1">
        <v>0.27777777777777779</v>
      </c>
      <c r="Q988" s="5">
        <v>1389</v>
      </c>
      <c r="R988" s="14">
        <v>11</v>
      </c>
      <c r="S988">
        <v>127</v>
      </c>
      <c r="T988" s="5">
        <v>11</v>
      </c>
      <c r="U988" s="5">
        <v>710</v>
      </c>
      <c r="V988" s="5">
        <v>1</v>
      </c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</row>
    <row r="989" spans="1:37" x14ac:dyDescent="0.25">
      <c r="A989" s="11">
        <f>Table1[[#This Row],[Milk Yield]]-J985</f>
        <v>-520</v>
      </c>
      <c r="B989" t="s">
        <v>24</v>
      </c>
      <c r="C989" s="2">
        <v>3</v>
      </c>
      <c r="D989" s="12">
        <v>45714</v>
      </c>
      <c r="E989" s="2">
        <v>34</v>
      </c>
      <c r="F989" s="13">
        <v>4.7106481481481478E-3</v>
      </c>
      <c r="G989" s="3">
        <v>0.24252314814814815</v>
      </c>
      <c r="H989" s="1">
        <v>0.23749999999999999</v>
      </c>
      <c r="I989" s="5">
        <v>715</v>
      </c>
      <c r="J989">
        <v>7379</v>
      </c>
      <c r="K989">
        <v>125</v>
      </c>
      <c r="L989" s="5">
        <v>118</v>
      </c>
      <c r="M989" s="5">
        <v>712</v>
      </c>
      <c r="N989">
        <v>11</v>
      </c>
      <c r="O989">
        <v>701</v>
      </c>
      <c r="P989" s="1">
        <v>0.27847222222222223</v>
      </c>
      <c r="Q989" s="5">
        <v>1293</v>
      </c>
      <c r="R989" s="14">
        <v>10.4</v>
      </c>
      <c r="S989">
        <v>125</v>
      </c>
      <c r="T989" s="5">
        <v>11</v>
      </c>
      <c r="U989" s="5">
        <v>702</v>
      </c>
      <c r="V989" s="5">
        <v>1</v>
      </c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</row>
    <row r="990" spans="1:37" x14ac:dyDescent="0.25">
      <c r="A990" s="11" t="e">
        <f>Table1[[#This Row],[Milk Yield]]-J986</f>
        <v>#VALUE!</v>
      </c>
      <c r="B990" t="s">
        <v>0</v>
      </c>
      <c r="C990" s="2" t="s">
        <v>1</v>
      </c>
      <c r="D990" s="12" t="s">
        <v>2</v>
      </c>
      <c r="E990" s="2" t="s">
        <v>3</v>
      </c>
      <c r="F990" s="13" t="s">
        <v>4</v>
      </c>
      <c r="G990" s="3" t="s">
        <v>5</v>
      </c>
      <c r="H990" s="1" t="s">
        <v>6</v>
      </c>
      <c r="I990" s="5" t="s">
        <v>8</v>
      </c>
      <c r="J990" t="s">
        <v>9</v>
      </c>
      <c r="K990" t="s">
        <v>10</v>
      </c>
      <c r="L990" s="5" t="s">
        <v>11</v>
      </c>
      <c r="M990" s="5" t="s">
        <v>12</v>
      </c>
      <c r="N990" t="s">
        <v>13</v>
      </c>
      <c r="O990" t="s">
        <v>20</v>
      </c>
      <c r="P990" s="1" t="s">
        <v>7</v>
      </c>
      <c r="Q990" s="5" t="s">
        <v>15</v>
      </c>
      <c r="R990" s="14" t="s">
        <v>18</v>
      </c>
      <c r="S990" t="s">
        <v>16</v>
      </c>
      <c r="T990" s="5" t="s">
        <v>14</v>
      </c>
      <c r="U990" s="5" t="s">
        <v>17</v>
      </c>
      <c r="V990" s="5" t="s">
        <v>19</v>
      </c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</row>
    <row r="991" spans="1:37" x14ac:dyDescent="0.25">
      <c r="A991" s="11">
        <f>Table1[[#This Row],[Milk Yield]]-J987</f>
        <v>300</v>
      </c>
      <c r="B991" t="s">
        <v>24</v>
      </c>
      <c r="C991" s="2">
        <v>1</v>
      </c>
      <c r="D991" s="12">
        <v>45715</v>
      </c>
      <c r="E991" s="2">
        <v>35</v>
      </c>
      <c r="F991" s="13">
        <v>0.33424768518518516</v>
      </c>
      <c r="G991" s="3">
        <v>0.55184027777777778</v>
      </c>
      <c r="H991" s="1">
        <v>0.21736111111111112</v>
      </c>
      <c r="I991" s="5">
        <v>720</v>
      </c>
      <c r="J991">
        <v>8792</v>
      </c>
      <c r="K991">
        <v>138</v>
      </c>
      <c r="L991" s="5">
        <v>81</v>
      </c>
      <c r="M991" s="5">
        <v>717</v>
      </c>
      <c r="N991">
        <v>12</v>
      </c>
      <c r="O991">
        <v>705</v>
      </c>
      <c r="P991" s="1">
        <v>0.27361111111111114</v>
      </c>
      <c r="Q991" s="5">
        <v>1683</v>
      </c>
      <c r="R991" s="14">
        <v>12.3</v>
      </c>
      <c r="S991">
        <v>137</v>
      </c>
      <c r="T991" s="5">
        <v>12</v>
      </c>
      <c r="U991" s="5">
        <v>706</v>
      </c>
      <c r="V991" s="5">
        <v>1</v>
      </c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</row>
    <row r="992" spans="1:37" x14ac:dyDescent="0.25">
      <c r="A992" s="11">
        <f>Table1[[#This Row],[Milk Yield]]-J988</f>
        <v>439</v>
      </c>
      <c r="B992" t="s">
        <v>24</v>
      </c>
      <c r="C992" s="2">
        <v>2</v>
      </c>
      <c r="D992" s="12">
        <v>45715</v>
      </c>
      <c r="E992" s="2">
        <v>34</v>
      </c>
      <c r="F992" s="13">
        <v>0.67785879629629631</v>
      </c>
      <c r="G992" s="3">
        <v>0.91836805555555556</v>
      </c>
      <c r="H992" s="1">
        <v>0.24027777777777778</v>
      </c>
      <c r="I992" s="5">
        <v>717</v>
      </c>
      <c r="J992">
        <v>8294</v>
      </c>
      <c r="K992">
        <v>124</v>
      </c>
      <c r="L992" s="5">
        <v>140</v>
      </c>
      <c r="M992" s="5">
        <v>714</v>
      </c>
      <c r="N992">
        <v>13</v>
      </c>
      <c r="O992">
        <v>701</v>
      </c>
      <c r="P992" s="1">
        <v>0.25694444444444442</v>
      </c>
      <c r="Q992" s="5">
        <v>1437</v>
      </c>
      <c r="R992" s="14">
        <v>11.7</v>
      </c>
      <c r="S992">
        <v>124</v>
      </c>
      <c r="T992" s="5">
        <v>13</v>
      </c>
      <c r="U992" s="5">
        <v>702</v>
      </c>
      <c r="V992" s="5">
        <v>1</v>
      </c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</row>
    <row r="993" spans="1:37" x14ac:dyDescent="0.25">
      <c r="A993" s="11">
        <f>Table1[[#This Row],[Milk Yield]]-J989</f>
        <v>-256</v>
      </c>
      <c r="B993" t="s">
        <v>24</v>
      </c>
      <c r="C993" s="2">
        <v>3</v>
      </c>
      <c r="D993" s="12">
        <v>45715</v>
      </c>
      <c r="E993" s="2">
        <v>34</v>
      </c>
      <c r="F993" s="13">
        <v>3.460648148148148E-3</v>
      </c>
      <c r="G993" s="3">
        <v>0.23472222222222222</v>
      </c>
      <c r="H993" s="1">
        <v>0.23125000000000001</v>
      </c>
      <c r="I993" s="5">
        <v>715</v>
      </c>
      <c r="J993">
        <v>7123</v>
      </c>
      <c r="K993">
        <v>129</v>
      </c>
      <c r="L993" s="5">
        <v>99</v>
      </c>
      <c r="M993" s="5">
        <v>713</v>
      </c>
      <c r="N993">
        <v>13</v>
      </c>
      <c r="O993">
        <v>700</v>
      </c>
      <c r="P993" s="1">
        <v>0.28888888888888886</v>
      </c>
      <c r="Q993" s="5">
        <v>1283</v>
      </c>
      <c r="R993" s="14">
        <v>10</v>
      </c>
      <c r="S993">
        <v>128</v>
      </c>
      <c r="T993" s="5">
        <v>13</v>
      </c>
      <c r="U993" s="5">
        <v>701</v>
      </c>
      <c r="V993" s="5">
        <v>1</v>
      </c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</row>
    <row r="994" spans="1:37" x14ac:dyDescent="0.25">
      <c r="A994" s="11" t="e">
        <f>Table1[[#This Row],[Milk Yield]]-J990</f>
        <v>#VALUE!</v>
      </c>
      <c r="B994" t="s">
        <v>0</v>
      </c>
      <c r="C994" s="2" t="s">
        <v>1</v>
      </c>
      <c r="D994" s="12" t="s">
        <v>2</v>
      </c>
      <c r="E994" s="2" t="s">
        <v>3</v>
      </c>
      <c r="F994" s="13" t="s">
        <v>4</v>
      </c>
      <c r="G994" s="3" t="s">
        <v>5</v>
      </c>
      <c r="H994" s="1" t="s">
        <v>6</v>
      </c>
      <c r="I994" s="5" t="s">
        <v>8</v>
      </c>
      <c r="J994" t="s">
        <v>9</v>
      </c>
      <c r="K994" t="s">
        <v>10</v>
      </c>
      <c r="L994" s="5" t="s">
        <v>11</v>
      </c>
      <c r="M994" s="5" t="s">
        <v>12</v>
      </c>
      <c r="N994" t="s">
        <v>13</v>
      </c>
      <c r="O994" t="s">
        <v>20</v>
      </c>
      <c r="P994" s="1" t="s">
        <v>7</v>
      </c>
      <c r="Q994" s="5" t="s">
        <v>15</v>
      </c>
      <c r="R994" s="14" t="s">
        <v>18</v>
      </c>
      <c r="S994" t="s">
        <v>16</v>
      </c>
      <c r="T994" s="5" t="s">
        <v>14</v>
      </c>
      <c r="U994" s="5" t="s">
        <v>17</v>
      </c>
      <c r="V994" s="5" t="s">
        <v>19</v>
      </c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</row>
    <row r="995" spans="1:37" x14ac:dyDescent="0.25">
      <c r="A995" s="11">
        <f>Table1[[#This Row],[Milk Yield]]-J991</f>
        <v>-249</v>
      </c>
      <c r="B995" t="s">
        <v>24</v>
      </c>
      <c r="C995" s="2">
        <v>1</v>
      </c>
      <c r="D995" s="12">
        <v>45716</v>
      </c>
      <c r="E995" s="2">
        <v>34</v>
      </c>
      <c r="F995" s="13">
        <v>0.33158564814814817</v>
      </c>
      <c r="G995" s="3">
        <v>0.55484953703703699</v>
      </c>
      <c r="H995" s="1">
        <v>0.22291666666666668</v>
      </c>
      <c r="I995" s="5">
        <v>715</v>
      </c>
      <c r="J995">
        <v>8543</v>
      </c>
      <c r="K995">
        <v>133</v>
      </c>
      <c r="L995" s="5">
        <v>94</v>
      </c>
      <c r="M995" s="5">
        <v>714</v>
      </c>
      <c r="N995">
        <v>8</v>
      </c>
      <c r="O995">
        <v>706</v>
      </c>
      <c r="P995" s="1">
        <v>0.27847222222222223</v>
      </c>
      <c r="Q995" s="5">
        <v>1594</v>
      </c>
      <c r="R995" s="14">
        <v>12</v>
      </c>
      <c r="S995">
        <v>133</v>
      </c>
      <c r="T995" s="5">
        <v>8</v>
      </c>
      <c r="U995" s="5">
        <v>707</v>
      </c>
      <c r="V995" s="5">
        <v>1</v>
      </c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</row>
    <row r="996" spans="1:37" x14ac:dyDescent="0.25">
      <c r="A996" s="11">
        <f>Table1[[#This Row],[Milk Yield]]-J992</f>
        <v>-406</v>
      </c>
      <c r="B996" t="s">
        <v>24</v>
      </c>
      <c r="C996" s="2">
        <v>2</v>
      </c>
      <c r="D996" s="12">
        <v>45716</v>
      </c>
      <c r="E996" s="2">
        <v>36</v>
      </c>
      <c r="F996" s="13">
        <v>0.67427083333333337</v>
      </c>
      <c r="G996" s="3">
        <v>0.89642361111111113</v>
      </c>
      <c r="H996" s="1">
        <v>0.22152777777777777</v>
      </c>
      <c r="I996" s="5">
        <v>715</v>
      </c>
      <c r="J996">
        <v>7888</v>
      </c>
      <c r="K996">
        <v>134</v>
      </c>
      <c r="L996" s="5">
        <v>118</v>
      </c>
      <c r="M996" s="5">
        <v>715</v>
      </c>
      <c r="N996">
        <v>12</v>
      </c>
      <c r="O996">
        <v>703</v>
      </c>
      <c r="P996" s="1">
        <v>0.25208333333333333</v>
      </c>
      <c r="Q996" s="5">
        <v>1479</v>
      </c>
      <c r="R996" s="14">
        <v>11.1</v>
      </c>
      <c r="S996">
        <v>134</v>
      </c>
      <c r="T996" s="5">
        <v>12</v>
      </c>
      <c r="U996" s="5">
        <v>704</v>
      </c>
      <c r="V996" s="5">
        <v>1</v>
      </c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</row>
    <row r="997" spans="1:37" x14ac:dyDescent="0.25">
      <c r="A997" s="11">
        <f>Table1[[#This Row],[Milk Yield]]-J993</f>
        <v>109</v>
      </c>
      <c r="B997" t="s">
        <v>24</v>
      </c>
      <c r="C997" s="2">
        <v>3</v>
      </c>
      <c r="D997" s="12">
        <v>45716</v>
      </c>
      <c r="E997" s="2">
        <v>34</v>
      </c>
      <c r="F997" s="13">
        <v>8.3796296296296292E-3</v>
      </c>
      <c r="G997" s="3">
        <v>0.25744212962962965</v>
      </c>
      <c r="H997" s="1">
        <v>0.24861111111111112</v>
      </c>
      <c r="I997" s="5">
        <v>687</v>
      </c>
      <c r="J997">
        <v>7232</v>
      </c>
      <c r="K997">
        <v>115</v>
      </c>
      <c r="L997" s="5">
        <v>133</v>
      </c>
      <c r="M997" s="5">
        <v>687</v>
      </c>
      <c r="N997">
        <v>11</v>
      </c>
      <c r="O997">
        <v>676</v>
      </c>
      <c r="P997" s="1">
        <v>0.25486111111111109</v>
      </c>
      <c r="Q997" s="5">
        <v>1210</v>
      </c>
      <c r="R997" s="14">
        <v>10.6</v>
      </c>
      <c r="S997">
        <v>115</v>
      </c>
      <c r="T997" s="5">
        <v>11</v>
      </c>
      <c r="U997" s="5">
        <v>677</v>
      </c>
      <c r="V997" s="5">
        <v>1</v>
      </c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</row>
    <row r="998" spans="1:37" x14ac:dyDescent="0.25">
      <c r="A998" s="11" t="e">
        <f>Table1[[#This Row],[Milk Yield]]-J994</f>
        <v>#VALUE!</v>
      </c>
      <c r="B998" t="s">
        <v>0</v>
      </c>
      <c r="C998" s="2" t="s">
        <v>1</v>
      </c>
      <c r="D998" s="12" t="s">
        <v>2</v>
      </c>
      <c r="E998" s="2" t="s">
        <v>3</v>
      </c>
      <c r="F998" s="13" t="s">
        <v>4</v>
      </c>
      <c r="G998" s="3" t="s">
        <v>5</v>
      </c>
      <c r="H998" s="1" t="s">
        <v>6</v>
      </c>
      <c r="I998" s="5" t="s">
        <v>8</v>
      </c>
      <c r="J998" t="s">
        <v>9</v>
      </c>
      <c r="K998" t="s">
        <v>10</v>
      </c>
      <c r="L998" s="5" t="s">
        <v>11</v>
      </c>
      <c r="M998" s="5" t="s">
        <v>12</v>
      </c>
      <c r="N998" t="s">
        <v>13</v>
      </c>
      <c r="O998" t="s">
        <v>20</v>
      </c>
      <c r="P998" s="1" t="s">
        <v>7</v>
      </c>
      <c r="Q998" s="5" t="s">
        <v>15</v>
      </c>
      <c r="R998" s="14" t="s">
        <v>18</v>
      </c>
      <c r="S998" t="s">
        <v>16</v>
      </c>
      <c r="T998" s="5" t="s">
        <v>14</v>
      </c>
      <c r="U998" s="5" t="s">
        <v>17</v>
      </c>
      <c r="V998" s="5" t="s">
        <v>19</v>
      </c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</row>
    <row r="999" spans="1:37" x14ac:dyDescent="0.25">
      <c r="A999" s="11">
        <f>Table1[[#This Row],[Milk Yield]]-J995</f>
        <v>283</v>
      </c>
      <c r="B999" t="s">
        <v>24</v>
      </c>
      <c r="C999" s="2">
        <v>1</v>
      </c>
      <c r="D999" s="12">
        <v>45717</v>
      </c>
      <c r="E999" s="2">
        <v>36</v>
      </c>
      <c r="F999" s="13">
        <v>0.33386574074074077</v>
      </c>
      <c r="G999" s="3">
        <v>0.58307870370370374</v>
      </c>
      <c r="H999" s="1">
        <v>0.24861111111111112</v>
      </c>
      <c r="I999" s="5">
        <v>714</v>
      </c>
      <c r="J999">
        <v>8826</v>
      </c>
      <c r="K999">
        <v>119</v>
      </c>
      <c r="L999" s="5">
        <v>109</v>
      </c>
      <c r="M999" s="5">
        <v>714</v>
      </c>
      <c r="N999">
        <v>12</v>
      </c>
      <c r="O999">
        <v>702</v>
      </c>
      <c r="P999" s="1">
        <v>0.3034722222222222</v>
      </c>
      <c r="Q999" s="5">
        <v>1476</v>
      </c>
      <c r="R999" s="14">
        <v>12.4</v>
      </c>
      <c r="S999">
        <v>119</v>
      </c>
      <c r="T999" s="5">
        <v>12</v>
      </c>
      <c r="U999" s="5">
        <v>703</v>
      </c>
      <c r="V999" s="5">
        <v>1</v>
      </c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</row>
    <row r="1000" spans="1:37" x14ac:dyDescent="0.25">
      <c r="A1000" s="11">
        <f>Table1[[#This Row],[Milk Yield]]-J996</f>
        <v>-77</v>
      </c>
      <c r="B1000" t="s">
        <v>24</v>
      </c>
      <c r="C1000" s="2">
        <v>2</v>
      </c>
      <c r="D1000" s="12">
        <v>45717</v>
      </c>
      <c r="E1000" s="2">
        <v>35</v>
      </c>
      <c r="F1000" s="13">
        <v>0.67173611111111109</v>
      </c>
      <c r="G1000" s="3">
        <v>0.93343750000000003</v>
      </c>
      <c r="H1000" s="1">
        <v>0.26111111111111113</v>
      </c>
      <c r="I1000" s="5">
        <v>709</v>
      </c>
      <c r="J1000">
        <v>7811</v>
      </c>
      <c r="K1000">
        <v>113</v>
      </c>
      <c r="L1000" s="5">
        <v>73</v>
      </c>
      <c r="M1000" s="5">
        <v>707</v>
      </c>
      <c r="N1000">
        <v>9</v>
      </c>
      <c r="O1000">
        <v>698</v>
      </c>
      <c r="P1000" s="1">
        <v>0.25624999999999998</v>
      </c>
      <c r="Q1000" s="5">
        <v>1244</v>
      </c>
      <c r="R1000" s="14">
        <v>11.1</v>
      </c>
      <c r="S1000">
        <v>113</v>
      </c>
      <c r="T1000" s="5">
        <v>9</v>
      </c>
      <c r="U1000" s="5">
        <v>698</v>
      </c>
      <c r="V1000" s="5">
        <v>0</v>
      </c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</row>
    <row r="1001" spans="1:37" x14ac:dyDescent="0.25">
      <c r="A1001" s="11">
        <f>Table1[[#This Row],[Milk Yield]]-J997</f>
        <v>52</v>
      </c>
      <c r="B1001" t="s">
        <v>24</v>
      </c>
      <c r="C1001" s="2">
        <v>3</v>
      </c>
      <c r="D1001" s="12">
        <v>45717</v>
      </c>
      <c r="E1001" s="2">
        <v>33</v>
      </c>
      <c r="F1001" s="13">
        <v>1.8217592592592594E-2</v>
      </c>
      <c r="G1001" s="3">
        <v>0.2676736111111111</v>
      </c>
      <c r="H1001" s="1">
        <v>0.24930555555555556</v>
      </c>
      <c r="I1001" s="5">
        <v>709</v>
      </c>
      <c r="J1001">
        <v>7284</v>
      </c>
      <c r="K1001">
        <v>118</v>
      </c>
      <c r="L1001" s="5">
        <v>107</v>
      </c>
      <c r="M1001" s="5">
        <v>709</v>
      </c>
      <c r="N1001">
        <v>13</v>
      </c>
      <c r="O1001">
        <v>696</v>
      </c>
      <c r="P1001" s="1">
        <v>0.24930555555555556</v>
      </c>
      <c r="Q1001" s="5">
        <v>1217</v>
      </c>
      <c r="R1001" s="14">
        <v>10.3</v>
      </c>
      <c r="S1001">
        <v>118</v>
      </c>
      <c r="T1001" s="5">
        <v>13</v>
      </c>
      <c r="U1001" s="5">
        <v>696</v>
      </c>
      <c r="V1001" s="5">
        <v>0</v>
      </c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</row>
    <row r="1002" spans="1:37" x14ac:dyDescent="0.25">
      <c r="A1002" s="11" t="e">
        <f>Table1[[#This Row],[Milk Yield]]-J998</f>
        <v>#VALUE!</v>
      </c>
      <c r="B1002" t="s">
        <v>0</v>
      </c>
      <c r="C1002" s="2" t="s">
        <v>1</v>
      </c>
      <c r="D1002" s="12" t="s">
        <v>2</v>
      </c>
      <c r="E1002" s="2" t="s">
        <v>3</v>
      </c>
      <c r="F1002" s="13" t="s">
        <v>4</v>
      </c>
      <c r="G1002" s="3" t="s">
        <v>5</v>
      </c>
      <c r="H1002" s="1" t="s">
        <v>6</v>
      </c>
      <c r="I1002" s="5" t="s">
        <v>8</v>
      </c>
      <c r="J1002" t="s">
        <v>9</v>
      </c>
      <c r="K1002" t="s">
        <v>10</v>
      </c>
      <c r="L1002" s="5" t="s">
        <v>11</v>
      </c>
      <c r="M1002" s="5" t="s">
        <v>12</v>
      </c>
      <c r="N1002" t="s">
        <v>13</v>
      </c>
      <c r="O1002" t="s">
        <v>20</v>
      </c>
      <c r="P1002" s="1" t="s">
        <v>7</v>
      </c>
      <c r="Q1002" s="5" t="s">
        <v>15</v>
      </c>
      <c r="R1002" s="14" t="s">
        <v>18</v>
      </c>
      <c r="S1002" t="s">
        <v>16</v>
      </c>
      <c r="T1002" s="5" t="s">
        <v>14</v>
      </c>
      <c r="U1002" s="5" t="s">
        <v>17</v>
      </c>
      <c r="V1002" s="5" t="s">
        <v>19</v>
      </c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</row>
    <row r="1003" spans="1:37" x14ac:dyDescent="0.25">
      <c r="A1003" s="11">
        <f>Table1[[#This Row],[Milk Yield]]-J999</f>
        <v>-490</v>
      </c>
      <c r="B1003" t="s">
        <v>24</v>
      </c>
      <c r="C1003" s="2">
        <v>1</v>
      </c>
      <c r="D1003" s="12">
        <v>45718</v>
      </c>
      <c r="E1003" s="2">
        <v>34</v>
      </c>
      <c r="F1003" s="13">
        <v>0.33603009259259259</v>
      </c>
      <c r="G1003" s="3">
        <v>0.57429398148148147</v>
      </c>
      <c r="H1003" s="1">
        <v>0.23819444444444443</v>
      </c>
      <c r="I1003" s="5">
        <v>709</v>
      </c>
      <c r="J1003">
        <v>8336</v>
      </c>
      <c r="K1003">
        <v>124</v>
      </c>
      <c r="L1003" s="5">
        <v>90</v>
      </c>
      <c r="M1003" s="5">
        <v>709</v>
      </c>
      <c r="N1003">
        <v>10</v>
      </c>
      <c r="O1003">
        <v>699</v>
      </c>
      <c r="P1003" s="1">
        <v>0.29166666666666669</v>
      </c>
      <c r="Q1003" s="5">
        <v>1458</v>
      </c>
      <c r="R1003" s="14">
        <v>11.8</v>
      </c>
      <c r="S1003">
        <v>124</v>
      </c>
      <c r="T1003" s="5">
        <v>10</v>
      </c>
      <c r="U1003" s="5">
        <v>699</v>
      </c>
      <c r="V1003" s="5">
        <v>0</v>
      </c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</row>
    <row r="1004" spans="1:37" x14ac:dyDescent="0.25">
      <c r="A1004" s="11">
        <f>Table1[[#This Row],[Milk Yield]]-J1000</f>
        <v>262</v>
      </c>
      <c r="B1004" t="s">
        <v>24</v>
      </c>
      <c r="C1004" s="2">
        <v>2</v>
      </c>
      <c r="D1004" s="12">
        <v>45718</v>
      </c>
      <c r="E1004" s="2">
        <v>36</v>
      </c>
      <c r="F1004" s="13">
        <v>0.67340277777777779</v>
      </c>
      <c r="G1004" s="3">
        <v>0.92700231481481477</v>
      </c>
      <c r="H1004" s="1">
        <v>0.25347222222222221</v>
      </c>
      <c r="I1004" s="5">
        <v>714</v>
      </c>
      <c r="J1004">
        <v>8073</v>
      </c>
      <c r="K1004">
        <v>117</v>
      </c>
      <c r="L1004" s="5">
        <v>108</v>
      </c>
      <c r="M1004" s="5">
        <v>713</v>
      </c>
      <c r="N1004">
        <v>10</v>
      </c>
      <c r="O1004">
        <v>703</v>
      </c>
      <c r="P1004" s="1">
        <v>0.26250000000000001</v>
      </c>
      <c r="Q1004" s="5">
        <v>1326</v>
      </c>
      <c r="R1004" s="14">
        <v>11.4</v>
      </c>
      <c r="S1004">
        <v>117</v>
      </c>
      <c r="T1004" s="5">
        <v>10</v>
      </c>
      <c r="U1004" s="5">
        <v>703</v>
      </c>
      <c r="V1004" s="5">
        <v>0</v>
      </c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</row>
    <row r="1005" spans="1:37" x14ac:dyDescent="0.25">
      <c r="A1005" s="11">
        <f>Table1[[#This Row],[Milk Yield]]-J1001</f>
        <v>-393</v>
      </c>
      <c r="B1005" t="s">
        <v>24</v>
      </c>
      <c r="C1005" s="2">
        <v>3</v>
      </c>
      <c r="D1005" s="12">
        <v>45718</v>
      </c>
      <c r="E1005" s="2">
        <v>33</v>
      </c>
      <c r="F1005" s="13">
        <v>0.99758101851851855</v>
      </c>
      <c r="G1005" s="3">
        <v>0.23837962962962964</v>
      </c>
      <c r="H1005" s="1">
        <v>0.24027777777777778</v>
      </c>
      <c r="I1005" s="5">
        <v>708</v>
      </c>
      <c r="J1005">
        <v>6891</v>
      </c>
      <c r="K1005">
        <v>123</v>
      </c>
      <c r="L1005" s="5">
        <v>136</v>
      </c>
      <c r="M1005" s="5">
        <v>708</v>
      </c>
      <c r="N1005">
        <v>14</v>
      </c>
      <c r="O1005">
        <v>694</v>
      </c>
      <c r="P1005" s="1">
        <v>0.29444444444444445</v>
      </c>
      <c r="Q1005" s="5">
        <v>1192</v>
      </c>
      <c r="R1005" s="14">
        <v>9.8000000000000007</v>
      </c>
      <c r="S1005">
        <v>123</v>
      </c>
      <c r="T1005" s="5">
        <v>14</v>
      </c>
      <c r="U1005" s="5">
        <v>694</v>
      </c>
      <c r="V1005" s="5">
        <v>0</v>
      </c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</row>
    <row r="1006" spans="1:37" x14ac:dyDescent="0.25">
      <c r="A1006" s="11" t="e">
        <f>Table1[[#This Row],[Milk Yield]]-J1002</f>
        <v>#VALUE!</v>
      </c>
      <c r="B1006" t="s">
        <v>0</v>
      </c>
      <c r="C1006" s="2" t="s">
        <v>1</v>
      </c>
      <c r="D1006" s="12" t="s">
        <v>2</v>
      </c>
      <c r="E1006" s="2" t="s">
        <v>3</v>
      </c>
      <c r="F1006" s="13" t="s">
        <v>4</v>
      </c>
      <c r="G1006" s="3" t="s">
        <v>5</v>
      </c>
      <c r="H1006" s="1" t="s">
        <v>6</v>
      </c>
      <c r="I1006" s="5" t="s">
        <v>8</v>
      </c>
      <c r="J1006" t="s">
        <v>9</v>
      </c>
      <c r="K1006" t="s">
        <v>10</v>
      </c>
      <c r="L1006" s="5" t="s">
        <v>11</v>
      </c>
      <c r="M1006" s="5" t="s">
        <v>12</v>
      </c>
      <c r="N1006" t="s">
        <v>13</v>
      </c>
      <c r="O1006" t="s">
        <v>20</v>
      </c>
      <c r="P1006" s="1" t="s">
        <v>7</v>
      </c>
      <c r="Q1006" s="5" t="s">
        <v>15</v>
      </c>
      <c r="R1006" s="14" t="s">
        <v>18</v>
      </c>
      <c r="S1006" t="s">
        <v>16</v>
      </c>
      <c r="T1006" s="5" t="s">
        <v>14</v>
      </c>
      <c r="U1006" s="5" t="s">
        <v>17</v>
      </c>
      <c r="V1006" s="5" t="s">
        <v>19</v>
      </c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</row>
    <row r="1007" spans="1:37" x14ac:dyDescent="0.25">
      <c r="A1007" s="11">
        <f>Table1[[#This Row],[Milk Yield]]-J1003</f>
        <v>251</v>
      </c>
      <c r="B1007" t="s">
        <v>24</v>
      </c>
      <c r="C1007" s="2">
        <v>1</v>
      </c>
      <c r="D1007" s="12">
        <v>45719</v>
      </c>
      <c r="E1007" s="2">
        <v>33</v>
      </c>
      <c r="F1007" s="13">
        <v>0.33504629629629629</v>
      </c>
      <c r="G1007" s="3">
        <v>0.56574074074074077</v>
      </c>
      <c r="H1007" s="1">
        <v>0.23055555555555557</v>
      </c>
      <c r="I1007" s="5">
        <v>708</v>
      </c>
      <c r="J1007">
        <v>8587</v>
      </c>
      <c r="K1007">
        <v>128</v>
      </c>
      <c r="L1007" s="5">
        <v>162</v>
      </c>
      <c r="M1007" s="5">
        <v>706</v>
      </c>
      <c r="N1007">
        <v>15</v>
      </c>
      <c r="O1007">
        <v>691</v>
      </c>
      <c r="P1007" s="1">
        <v>0.27083333333333331</v>
      </c>
      <c r="Q1007" s="5">
        <v>1551</v>
      </c>
      <c r="R1007" s="14">
        <v>12.2</v>
      </c>
      <c r="S1007">
        <v>128</v>
      </c>
      <c r="T1007" s="5">
        <v>15</v>
      </c>
      <c r="U1007" s="5">
        <v>691</v>
      </c>
      <c r="V1007" s="5">
        <v>0</v>
      </c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</row>
    <row r="1008" spans="1:37" x14ac:dyDescent="0.25">
      <c r="A1008" s="11">
        <f>Table1[[#This Row],[Milk Yield]]-J1004</f>
        <v>867</v>
      </c>
      <c r="B1008" t="s">
        <v>24</v>
      </c>
      <c r="C1008" s="2">
        <v>2</v>
      </c>
      <c r="D1008" s="12">
        <v>45719</v>
      </c>
      <c r="E1008" s="2">
        <v>37</v>
      </c>
      <c r="F1008" s="13">
        <v>0.67034722222222221</v>
      </c>
      <c r="G1008" s="3">
        <v>0.98050925925925925</v>
      </c>
      <c r="H1008" s="1">
        <v>0.30972222222222223</v>
      </c>
      <c r="I1008" s="5">
        <v>710</v>
      </c>
      <c r="J1008">
        <v>8940</v>
      </c>
      <c r="K1008">
        <v>95</v>
      </c>
      <c r="L1008" s="5">
        <v>187</v>
      </c>
      <c r="M1008" s="5">
        <v>710</v>
      </c>
      <c r="N1008">
        <v>15</v>
      </c>
      <c r="O1008">
        <v>695</v>
      </c>
      <c r="P1008" s="1">
        <v>0.27500000000000002</v>
      </c>
      <c r="Q1008" s="5">
        <v>1201</v>
      </c>
      <c r="R1008" s="14">
        <v>12.6</v>
      </c>
      <c r="S1008">
        <v>95</v>
      </c>
      <c r="T1008" s="5">
        <v>15</v>
      </c>
      <c r="U1008" s="5">
        <v>695</v>
      </c>
      <c r="V1008" s="5">
        <v>0</v>
      </c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</row>
    <row r="1009" spans="1:37" x14ac:dyDescent="0.25">
      <c r="A1009" s="11">
        <f>Table1[[#This Row],[Milk Yield]]-J1005</f>
        <v>-217</v>
      </c>
      <c r="B1009" t="s">
        <v>24</v>
      </c>
      <c r="C1009" s="2">
        <v>3</v>
      </c>
      <c r="D1009" s="12">
        <v>45719</v>
      </c>
      <c r="E1009" s="2">
        <v>33</v>
      </c>
      <c r="F1009" s="13">
        <v>2.3043981481481481E-2</v>
      </c>
      <c r="G1009" s="3">
        <v>0.24938657407407408</v>
      </c>
      <c r="H1009" s="1">
        <v>0.22569444444444445</v>
      </c>
      <c r="I1009" s="5">
        <v>707</v>
      </c>
      <c r="J1009">
        <v>6674</v>
      </c>
      <c r="K1009">
        <v>130</v>
      </c>
      <c r="L1009" s="5">
        <v>64</v>
      </c>
      <c r="M1009" s="5">
        <v>706</v>
      </c>
      <c r="N1009">
        <v>8</v>
      </c>
      <c r="O1009">
        <v>698</v>
      </c>
      <c r="P1009" s="1">
        <v>0.23194444444444445</v>
      </c>
      <c r="Q1009" s="5">
        <v>1229</v>
      </c>
      <c r="R1009" s="14">
        <v>9.5</v>
      </c>
      <c r="S1009">
        <v>130</v>
      </c>
      <c r="T1009" s="5">
        <v>8</v>
      </c>
      <c r="U1009" s="5">
        <v>698</v>
      </c>
      <c r="V1009" s="5">
        <v>0</v>
      </c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</row>
    <row r="1010" spans="1:37" x14ac:dyDescent="0.25">
      <c r="A1010" s="11" t="e">
        <f>Table1[[#This Row],[Milk Yield]]-J1006</f>
        <v>#VALUE!</v>
      </c>
      <c r="B1010" t="s">
        <v>0</v>
      </c>
      <c r="C1010" s="2" t="s">
        <v>1</v>
      </c>
      <c r="D1010" s="12" t="s">
        <v>2</v>
      </c>
      <c r="E1010" s="2" t="s">
        <v>3</v>
      </c>
      <c r="F1010" s="13" t="s">
        <v>4</v>
      </c>
      <c r="G1010" s="3" t="s">
        <v>5</v>
      </c>
      <c r="H1010" s="1" t="s">
        <v>6</v>
      </c>
      <c r="I1010" s="5" t="s">
        <v>8</v>
      </c>
      <c r="J1010" t="s">
        <v>9</v>
      </c>
      <c r="K1010" t="s">
        <v>10</v>
      </c>
      <c r="L1010" s="5" t="s">
        <v>11</v>
      </c>
      <c r="M1010" s="5" t="s">
        <v>12</v>
      </c>
      <c r="N1010" t="s">
        <v>13</v>
      </c>
      <c r="O1010" t="s">
        <v>20</v>
      </c>
      <c r="P1010" s="1" t="s">
        <v>7</v>
      </c>
      <c r="Q1010" s="5" t="s">
        <v>15</v>
      </c>
      <c r="R1010" s="14" t="s">
        <v>18</v>
      </c>
      <c r="S1010" t="s">
        <v>16</v>
      </c>
      <c r="T1010" s="5" t="s">
        <v>14</v>
      </c>
      <c r="U1010" s="5" t="s">
        <v>17</v>
      </c>
      <c r="V1010" s="5" t="s">
        <v>19</v>
      </c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</row>
    <row r="1011" spans="1:37" x14ac:dyDescent="0.25">
      <c r="A1011" s="11">
        <f>Table1[[#This Row],[Milk Yield]]-J1007</f>
        <v>-349</v>
      </c>
      <c r="B1011" t="s">
        <v>24</v>
      </c>
      <c r="C1011" s="2">
        <v>1</v>
      </c>
      <c r="D1011" s="12">
        <v>45720</v>
      </c>
      <c r="E1011" s="2">
        <v>35</v>
      </c>
      <c r="F1011" s="13">
        <v>0.33586805555555554</v>
      </c>
      <c r="G1011" s="3">
        <v>0.57303240740740746</v>
      </c>
      <c r="H1011" s="1">
        <v>0.23680555555555555</v>
      </c>
      <c r="I1011" s="5">
        <v>712</v>
      </c>
      <c r="J1011">
        <v>8238</v>
      </c>
      <c r="K1011">
        <v>125</v>
      </c>
      <c r="L1011" s="5">
        <v>82</v>
      </c>
      <c r="M1011" s="5">
        <v>711</v>
      </c>
      <c r="N1011">
        <v>9</v>
      </c>
      <c r="O1011">
        <v>702</v>
      </c>
      <c r="P1011" s="1">
        <v>0.29097222222222224</v>
      </c>
      <c r="Q1011" s="5">
        <v>1447</v>
      </c>
      <c r="R1011" s="14">
        <v>11.6</v>
      </c>
      <c r="S1011">
        <v>125</v>
      </c>
      <c r="T1011" s="5">
        <v>9</v>
      </c>
      <c r="U1011" s="5">
        <v>702</v>
      </c>
      <c r="V1011" s="5">
        <v>0</v>
      </c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</row>
    <row r="1012" spans="1:37" x14ac:dyDescent="0.25">
      <c r="A1012" s="11">
        <f>Table1[[#This Row],[Milk Yield]]-J1008</f>
        <v>-1203</v>
      </c>
      <c r="B1012" t="s">
        <v>24</v>
      </c>
      <c r="C1012" s="2">
        <v>2</v>
      </c>
      <c r="D1012" s="12">
        <v>45720</v>
      </c>
      <c r="E1012" s="2">
        <v>35</v>
      </c>
      <c r="F1012" s="13">
        <v>0.67407407407407405</v>
      </c>
      <c r="G1012" s="3">
        <v>0.91226851851851853</v>
      </c>
      <c r="H1012" s="1">
        <v>0.23819444444444443</v>
      </c>
      <c r="I1012" s="5">
        <v>706</v>
      </c>
      <c r="J1012">
        <v>7737</v>
      </c>
      <c r="K1012">
        <v>123</v>
      </c>
      <c r="L1012" s="5">
        <v>151</v>
      </c>
      <c r="M1012" s="5">
        <v>706</v>
      </c>
      <c r="N1012">
        <v>15</v>
      </c>
      <c r="O1012">
        <v>691</v>
      </c>
      <c r="P1012" s="1">
        <v>0.25416666666666665</v>
      </c>
      <c r="Q1012" s="5">
        <v>1353</v>
      </c>
      <c r="R1012" s="14">
        <v>11</v>
      </c>
      <c r="S1012">
        <v>123</v>
      </c>
      <c r="T1012" s="5">
        <v>15</v>
      </c>
      <c r="U1012" s="5">
        <v>691</v>
      </c>
      <c r="V1012" s="5">
        <v>0</v>
      </c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</row>
    <row r="1013" spans="1:37" x14ac:dyDescent="0.25">
      <c r="A1013" s="11">
        <f>Table1[[#This Row],[Milk Yield]]-J1009</f>
        <v>209</v>
      </c>
      <c r="B1013" t="s">
        <v>24</v>
      </c>
      <c r="C1013" s="2">
        <v>3</v>
      </c>
      <c r="D1013" s="12">
        <v>45720</v>
      </c>
      <c r="E1013" s="2">
        <v>32</v>
      </c>
      <c r="F1013" s="13">
        <v>0.99991898148148151</v>
      </c>
      <c r="G1013" s="3">
        <v>0.20087962962962963</v>
      </c>
      <c r="H1013" s="1">
        <v>0.20069444444444445</v>
      </c>
      <c r="I1013" s="5">
        <v>702</v>
      </c>
      <c r="J1013">
        <v>6883</v>
      </c>
      <c r="K1013">
        <v>146</v>
      </c>
      <c r="L1013" s="5">
        <v>105</v>
      </c>
      <c r="M1013" s="5">
        <v>702</v>
      </c>
      <c r="N1013">
        <v>15</v>
      </c>
      <c r="O1013">
        <v>687</v>
      </c>
      <c r="P1013" s="1">
        <v>0.25138888888888888</v>
      </c>
      <c r="Q1013" s="5">
        <v>1427</v>
      </c>
      <c r="R1013" s="14">
        <v>9.9</v>
      </c>
      <c r="S1013">
        <v>146</v>
      </c>
      <c r="T1013" s="5">
        <v>15</v>
      </c>
      <c r="U1013" s="5">
        <v>687</v>
      </c>
      <c r="V1013" s="5">
        <v>0</v>
      </c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</row>
    <row r="1014" spans="1:37" x14ac:dyDescent="0.25">
      <c r="A1014" s="11" t="e">
        <f>Table1[[#This Row],[Milk Yield]]-J1010</f>
        <v>#VALUE!</v>
      </c>
      <c r="B1014" t="s">
        <v>0</v>
      </c>
      <c r="C1014" s="2" t="s">
        <v>1</v>
      </c>
      <c r="D1014" s="12" t="s">
        <v>2</v>
      </c>
      <c r="E1014" s="2" t="s">
        <v>3</v>
      </c>
      <c r="F1014" s="13" t="s">
        <v>4</v>
      </c>
      <c r="G1014" s="3" t="s">
        <v>5</v>
      </c>
      <c r="H1014" s="1" t="s">
        <v>6</v>
      </c>
      <c r="I1014" s="5" t="s">
        <v>8</v>
      </c>
      <c r="J1014" t="s">
        <v>9</v>
      </c>
      <c r="K1014" t="s">
        <v>10</v>
      </c>
      <c r="L1014" s="5" t="s">
        <v>11</v>
      </c>
      <c r="M1014" s="5" t="s">
        <v>12</v>
      </c>
      <c r="N1014" t="s">
        <v>13</v>
      </c>
      <c r="O1014" t="s">
        <v>20</v>
      </c>
      <c r="P1014" s="1" t="s">
        <v>7</v>
      </c>
      <c r="Q1014" s="5" t="s">
        <v>15</v>
      </c>
      <c r="R1014" s="14" t="s">
        <v>18</v>
      </c>
      <c r="S1014" t="s">
        <v>16</v>
      </c>
      <c r="T1014" s="5" t="s">
        <v>14</v>
      </c>
      <c r="U1014" s="5" t="s">
        <v>17</v>
      </c>
      <c r="V1014" s="5" t="s">
        <v>19</v>
      </c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</row>
    <row r="1015" spans="1:37" x14ac:dyDescent="0.25">
      <c r="A1015" s="11">
        <f>Table1[[#This Row],[Milk Yield]]-J1011</f>
        <v>625</v>
      </c>
      <c r="B1015" t="s">
        <v>24</v>
      </c>
      <c r="C1015" s="2">
        <v>1</v>
      </c>
      <c r="D1015" s="12">
        <v>45721</v>
      </c>
      <c r="E1015" s="2">
        <v>36</v>
      </c>
      <c r="F1015" s="13">
        <v>0.33549768518518519</v>
      </c>
      <c r="G1015" s="3">
        <v>0.57641203703703703</v>
      </c>
      <c r="H1015" s="1">
        <v>0.24027777777777778</v>
      </c>
      <c r="I1015" s="5">
        <v>706</v>
      </c>
      <c r="J1015">
        <v>8863</v>
      </c>
      <c r="K1015">
        <v>122</v>
      </c>
      <c r="L1015" s="5">
        <v>105</v>
      </c>
      <c r="M1015" s="5">
        <v>706</v>
      </c>
      <c r="N1015">
        <v>12</v>
      </c>
      <c r="O1015">
        <v>694</v>
      </c>
      <c r="P1015" s="1">
        <v>0.27916666666666667</v>
      </c>
      <c r="Q1015" s="5">
        <v>1533</v>
      </c>
      <c r="R1015" s="14">
        <v>12.6</v>
      </c>
      <c r="S1015">
        <v>122</v>
      </c>
      <c r="T1015" s="5">
        <v>12</v>
      </c>
      <c r="U1015" s="5">
        <v>695</v>
      </c>
      <c r="V1015" s="5">
        <v>1</v>
      </c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</row>
    <row r="1016" spans="1:37" x14ac:dyDescent="0.25">
      <c r="A1016" s="11">
        <f>Table1[[#This Row],[Milk Yield]]-J1012</f>
        <v>455</v>
      </c>
      <c r="B1016" t="s">
        <v>24</v>
      </c>
      <c r="C1016" s="2">
        <v>2</v>
      </c>
      <c r="D1016" s="12">
        <v>45721</v>
      </c>
      <c r="E1016" s="2">
        <v>36</v>
      </c>
      <c r="F1016" s="13">
        <v>0.66731481481481481</v>
      </c>
      <c r="G1016" s="3">
        <v>0.92825231481481485</v>
      </c>
      <c r="H1016" s="1">
        <v>0.26041666666666669</v>
      </c>
      <c r="I1016" s="5">
        <v>712</v>
      </c>
      <c r="J1016">
        <v>8192</v>
      </c>
      <c r="K1016">
        <v>114</v>
      </c>
      <c r="L1016" s="5">
        <v>167</v>
      </c>
      <c r="M1016" s="5">
        <v>712</v>
      </c>
      <c r="N1016">
        <v>17</v>
      </c>
      <c r="O1016">
        <v>695</v>
      </c>
      <c r="P1016" s="1">
        <v>0.34166666666666667</v>
      </c>
      <c r="Q1016" s="5">
        <v>1308</v>
      </c>
      <c r="R1016" s="14">
        <v>11.6</v>
      </c>
      <c r="S1016">
        <v>114</v>
      </c>
      <c r="T1016" s="5">
        <v>17</v>
      </c>
      <c r="U1016" s="5">
        <v>695</v>
      </c>
      <c r="V1016" s="5">
        <v>0</v>
      </c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</row>
    <row r="1017" spans="1:37" x14ac:dyDescent="0.25">
      <c r="A1017" s="11">
        <f>Table1[[#This Row],[Milk Yield]]-J1013</f>
        <v>-248</v>
      </c>
      <c r="B1017" t="s">
        <v>24</v>
      </c>
      <c r="C1017" s="2">
        <v>3</v>
      </c>
      <c r="D1017" s="12">
        <v>45721</v>
      </c>
      <c r="E1017" s="2">
        <v>33</v>
      </c>
      <c r="F1017" s="13">
        <v>4.7916666666666663E-3</v>
      </c>
      <c r="G1017" s="3">
        <v>0.2081712962962963</v>
      </c>
      <c r="H1017" s="1">
        <v>0.20277777777777778</v>
      </c>
      <c r="I1017" s="5">
        <v>705</v>
      </c>
      <c r="J1017">
        <v>6635</v>
      </c>
      <c r="K1017">
        <v>144</v>
      </c>
      <c r="L1017" s="5">
        <v>99</v>
      </c>
      <c r="M1017" s="5">
        <v>703</v>
      </c>
      <c r="N1017">
        <v>12</v>
      </c>
      <c r="O1017">
        <v>691</v>
      </c>
      <c r="P1017" s="1">
        <v>0.25</v>
      </c>
      <c r="Q1017" s="5">
        <v>1359</v>
      </c>
      <c r="R1017" s="14">
        <v>9.5</v>
      </c>
      <c r="S1017">
        <v>144</v>
      </c>
      <c r="T1017" s="5">
        <v>12</v>
      </c>
      <c r="U1017" s="5">
        <v>691</v>
      </c>
      <c r="V1017" s="5">
        <v>0</v>
      </c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</row>
    <row r="1018" spans="1:37" x14ac:dyDescent="0.25">
      <c r="A1018" s="11" t="e">
        <f>Table1[[#This Row],[Milk Yield]]-J1014</f>
        <v>#VALUE!</v>
      </c>
      <c r="B1018" t="s">
        <v>0</v>
      </c>
      <c r="C1018" s="2" t="s">
        <v>1</v>
      </c>
      <c r="D1018" s="12" t="s">
        <v>2</v>
      </c>
      <c r="E1018" s="2" t="s">
        <v>3</v>
      </c>
      <c r="F1018" s="13" t="s">
        <v>4</v>
      </c>
      <c r="G1018" s="3" t="s">
        <v>5</v>
      </c>
      <c r="H1018" s="1" t="s">
        <v>6</v>
      </c>
      <c r="I1018" s="5" t="s">
        <v>8</v>
      </c>
      <c r="J1018" t="s">
        <v>9</v>
      </c>
      <c r="K1018" t="s">
        <v>10</v>
      </c>
      <c r="L1018" s="5" t="s">
        <v>11</v>
      </c>
      <c r="M1018" s="5" t="s">
        <v>12</v>
      </c>
      <c r="N1018" t="s">
        <v>13</v>
      </c>
      <c r="O1018" t="s">
        <v>20</v>
      </c>
      <c r="P1018" s="1" t="s">
        <v>7</v>
      </c>
      <c r="Q1018" s="5" t="s">
        <v>15</v>
      </c>
      <c r="R1018" s="14" t="s">
        <v>18</v>
      </c>
      <c r="S1018" t="s">
        <v>16</v>
      </c>
      <c r="T1018" s="5" t="s">
        <v>14</v>
      </c>
      <c r="U1018" s="5" t="s">
        <v>17</v>
      </c>
      <c r="V1018" s="5" t="s">
        <v>19</v>
      </c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</row>
    <row r="1019" spans="1:37" x14ac:dyDescent="0.25">
      <c r="A1019" s="11">
        <f>Table1[[#This Row],[Milk Yield]]-J1015</f>
        <v>450</v>
      </c>
      <c r="B1019" t="s">
        <v>24</v>
      </c>
      <c r="C1019" s="2">
        <v>1</v>
      </c>
      <c r="D1019" s="12">
        <v>45722</v>
      </c>
      <c r="E1019" s="2">
        <v>34</v>
      </c>
      <c r="F1019" s="13">
        <v>0.33916666666666667</v>
      </c>
      <c r="G1019" s="3">
        <v>0.58497685185185189</v>
      </c>
      <c r="H1019" s="1">
        <v>0.24513888888888888</v>
      </c>
      <c r="I1019" s="5">
        <v>706</v>
      </c>
      <c r="J1019">
        <v>9313</v>
      </c>
      <c r="K1019">
        <v>120</v>
      </c>
      <c r="L1019" s="5">
        <v>99</v>
      </c>
      <c r="M1019" s="5">
        <v>705</v>
      </c>
      <c r="N1019">
        <v>9</v>
      </c>
      <c r="O1019">
        <v>696</v>
      </c>
      <c r="P1019" s="1">
        <v>0.31874999999999998</v>
      </c>
      <c r="Q1019" s="5">
        <v>1579</v>
      </c>
      <c r="R1019" s="14">
        <v>13.3</v>
      </c>
      <c r="S1019">
        <v>119</v>
      </c>
      <c r="T1019" s="5">
        <v>9</v>
      </c>
      <c r="U1019" s="5">
        <v>696</v>
      </c>
      <c r="V1019" s="5">
        <v>0</v>
      </c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</row>
    <row r="1020" spans="1:37" x14ac:dyDescent="0.25">
      <c r="A1020" s="11">
        <f>Table1[[#This Row],[Milk Yield]]-J1016</f>
        <v>-202</v>
      </c>
      <c r="B1020" t="s">
        <v>24</v>
      </c>
      <c r="C1020" s="2">
        <v>2</v>
      </c>
      <c r="D1020" s="12">
        <v>45722</v>
      </c>
      <c r="E1020" s="2">
        <v>35</v>
      </c>
      <c r="F1020" s="13">
        <v>0.67224537037037035</v>
      </c>
      <c r="G1020" s="3">
        <v>0.90894675925925927</v>
      </c>
      <c r="H1020" s="1">
        <v>0.2361111111111111</v>
      </c>
      <c r="I1020" s="5">
        <v>709</v>
      </c>
      <c r="J1020">
        <v>7990</v>
      </c>
      <c r="K1020">
        <v>125</v>
      </c>
      <c r="L1020" s="5">
        <v>425</v>
      </c>
      <c r="M1020" s="5">
        <v>708</v>
      </c>
      <c r="N1020">
        <v>40</v>
      </c>
      <c r="O1020">
        <v>668</v>
      </c>
      <c r="P1020" s="1">
        <v>0.30069444444444443</v>
      </c>
      <c r="Q1020" s="5">
        <v>1406</v>
      </c>
      <c r="R1020" s="14">
        <v>11.3</v>
      </c>
      <c r="S1020">
        <v>125</v>
      </c>
      <c r="T1020" s="5">
        <v>40</v>
      </c>
      <c r="U1020" s="5">
        <v>668</v>
      </c>
      <c r="V1020" s="5">
        <v>0</v>
      </c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</row>
    <row r="1021" spans="1:37" x14ac:dyDescent="0.25">
      <c r="A1021" s="11">
        <f>Table1[[#This Row],[Milk Yield]]-J1017</f>
        <v>333</v>
      </c>
      <c r="B1021" t="s">
        <v>24</v>
      </c>
      <c r="C1021" s="2">
        <v>3</v>
      </c>
      <c r="D1021" s="12">
        <v>45722</v>
      </c>
      <c r="E1021" s="2">
        <v>33</v>
      </c>
      <c r="F1021" s="13">
        <v>0.99818287037037035</v>
      </c>
      <c r="G1021" s="3">
        <v>0.19537037037037036</v>
      </c>
      <c r="H1021" s="1">
        <v>0.19652777777777777</v>
      </c>
      <c r="I1021" s="5">
        <v>706</v>
      </c>
      <c r="J1021">
        <v>6968</v>
      </c>
      <c r="K1021">
        <v>149</v>
      </c>
      <c r="L1021" s="5">
        <v>137</v>
      </c>
      <c r="M1021" s="5">
        <v>706</v>
      </c>
      <c r="N1021">
        <v>14</v>
      </c>
      <c r="O1021">
        <v>692</v>
      </c>
      <c r="P1021" s="1">
        <v>0.26180555555555557</v>
      </c>
      <c r="Q1021" s="5">
        <v>1472</v>
      </c>
      <c r="R1021" s="14">
        <v>9.9</v>
      </c>
      <c r="S1021">
        <v>149</v>
      </c>
      <c r="T1021" s="5">
        <v>14</v>
      </c>
      <c r="U1021" s="5">
        <v>692</v>
      </c>
      <c r="V1021" s="5">
        <v>0</v>
      </c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</row>
    <row r="1022" spans="1:37" x14ac:dyDescent="0.25">
      <c r="A1022" s="11" t="e">
        <f>Table1[[#This Row],[Milk Yield]]-J1018</f>
        <v>#VALUE!</v>
      </c>
      <c r="B1022" t="s">
        <v>0</v>
      </c>
      <c r="C1022" s="2" t="s">
        <v>1</v>
      </c>
      <c r="D1022" s="12" t="s">
        <v>2</v>
      </c>
      <c r="E1022" s="2" t="s">
        <v>3</v>
      </c>
      <c r="F1022" s="13" t="s">
        <v>4</v>
      </c>
      <c r="G1022" s="3" t="s">
        <v>5</v>
      </c>
      <c r="H1022" s="1" t="s">
        <v>6</v>
      </c>
      <c r="I1022" s="5" t="s">
        <v>8</v>
      </c>
      <c r="J1022" t="s">
        <v>9</v>
      </c>
      <c r="K1022" t="s">
        <v>10</v>
      </c>
      <c r="L1022" s="5" t="s">
        <v>11</v>
      </c>
      <c r="M1022" s="5" t="s">
        <v>12</v>
      </c>
      <c r="N1022" t="s">
        <v>13</v>
      </c>
      <c r="O1022" t="s">
        <v>20</v>
      </c>
      <c r="P1022" s="1" t="s">
        <v>7</v>
      </c>
      <c r="Q1022" s="5" t="s">
        <v>15</v>
      </c>
      <c r="R1022" s="14" t="s">
        <v>18</v>
      </c>
      <c r="S1022" t="s">
        <v>16</v>
      </c>
      <c r="T1022" s="5" t="s">
        <v>14</v>
      </c>
      <c r="U1022" s="5" t="s">
        <v>17</v>
      </c>
      <c r="V1022" s="5" t="s">
        <v>19</v>
      </c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</row>
    <row r="1023" spans="1:37" x14ac:dyDescent="0.25">
      <c r="A1023" s="11">
        <f>Table1[[#This Row],[Milk Yield]]-J1019</f>
        <v>-451</v>
      </c>
      <c r="B1023" t="s">
        <v>24</v>
      </c>
      <c r="C1023" s="2">
        <v>1</v>
      </c>
      <c r="D1023" s="12">
        <v>45723</v>
      </c>
      <c r="E1023" s="2">
        <v>34</v>
      </c>
      <c r="F1023" s="13">
        <v>0.3370023148148148</v>
      </c>
      <c r="G1023" s="3">
        <v>0.56111111111111112</v>
      </c>
      <c r="H1023" s="1">
        <v>0.22361111111111112</v>
      </c>
      <c r="I1023" s="5">
        <v>715</v>
      </c>
      <c r="J1023">
        <v>8862</v>
      </c>
      <c r="K1023">
        <v>133</v>
      </c>
      <c r="L1023" s="5">
        <v>151</v>
      </c>
      <c r="M1023" s="5">
        <v>712</v>
      </c>
      <c r="N1023">
        <v>16</v>
      </c>
      <c r="O1023">
        <v>696</v>
      </c>
      <c r="P1023" s="1">
        <v>0.30208333333333331</v>
      </c>
      <c r="Q1023" s="5">
        <v>1647</v>
      </c>
      <c r="R1023" s="14">
        <v>12.5</v>
      </c>
      <c r="S1023">
        <v>132</v>
      </c>
      <c r="T1023" s="5">
        <v>16</v>
      </c>
      <c r="U1023" s="5">
        <v>696</v>
      </c>
      <c r="V1023" s="5">
        <v>0</v>
      </c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</row>
    <row r="1024" spans="1:37" x14ac:dyDescent="0.25">
      <c r="A1024" s="11">
        <f>Table1[[#This Row],[Milk Yield]]-J1020</f>
        <v>371</v>
      </c>
      <c r="B1024" t="s">
        <v>24</v>
      </c>
      <c r="C1024" s="2">
        <v>2</v>
      </c>
      <c r="D1024" s="12">
        <v>45723</v>
      </c>
      <c r="E1024" s="2">
        <v>36</v>
      </c>
      <c r="F1024" s="13">
        <v>0.67644675925925923</v>
      </c>
      <c r="G1024" s="3">
        <v>0.93174768518518514</v>
      </c>
      <c r="H1024" s="1">
        <v>0.25486111111111109</v>
      </c>
      <c r="I1024" s="5">
        <v>716</v>
      </c>
      <c r="J1024">
        <v>8361</v>
      </c>
      <c r="K1024">
        <v>117</v>
      </c>
      <c r="L1024" s="5">
        <v>168</v>
      </c>
      <c r="M1024" s="5">
        <v>716</v>
      </c>
      <c r="N1024">
        <v>18</v>
      </c>
      <c r="O1024">
        <v>698</v>
      </c>
      <c r="P1024" s="1">
        <v>0.28055555555555556</v>
      </c>
      <c r="Q1024" s="5">
        <v>1364</v>
      </c>
      <c r="R1024" s="14">
        <v>11.7</v>
      </c>
      <c r="S1024">
        <v>117</v>
      </c>
      <c r="T1024" s="5">
        <v>18</v>
      </c>
      <c r="U1024" s="5">
        <v>698</v>
      </c>
      <c r="V1024" s="5">
        <v>0</v>
      </c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</row>
    <row r="1025" spans="1:37" x14ac:dyDescent="0.25">
      <c r="A1025" s="11">
        <f>Table1[[#This Row],[Milk Yield]]-J1021</f>
        <v>-260</v>
      </c>
      <c r="B1025" t="s">
        <v>24</v>
      </c>
      <c r="C1025" s="2">
        <v>3</v>
      </c>
      <c r="D1025" s="12">
        <v>45723</v>
      </c>
      <c r="E1025" s="2">
        <v>33</v>
      </c>
      <c r="F1025" s="13">
        <v>0.99988425925925928</v>
      </c>
      <c r="G1025" s="3">
        <v>0.19666666666666666</v>
      </c>
      <c r="H1025" s="1">
        <v>0.19652777777777777</v>
      </c>
      <c r="I1025" s="5">
        <v>688</v>
      </c>
      <c r="J1025">
        <v>6708</v>
      </c>
      <c r="K1025">
        <v>146</v>
      </c>
      <c r="L1025" s="5">
        <v>60</v>
      </c>
      <c r="M1025" s="5">
        <v>687</v>
      </c>
      <c r="N1025">
        <v>8</v>
      </c>
      <c r="O1025">
        <v>679</v>
      </c>
      <c r="P1025" s="1">
        <v>0.25972222222222224</v>
      </c>
      <c r="Q1025" s="5">
        <v>1420</v>
      </c>
      <c r="R1025" s="14">
        <v>9.8000000000000007</v>
      </c>
      <c r="S1025">
        <v>145</v>
      </c>
      <c r="T1025" s="5">
        <v>8</v>
      </c>
      <c r="U1025" s="5">
        <v>679</v>
      </c>
      <c r="V1025" s="5">
        <v>0</v>
      </c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</row>
    <row r="1026" spans="1:37" x14ac:dyDescent="0.25">
      <c r="A1026" s="11" t="e">
        <f>Table1[[#This Row],[Milk Yield]]-J1022</f>
        <v>#VALUE!</v>
      </c>
      <c r="B1026" t="s">
        <v>0</v>
      </c>
      <c r="C1026" s="2" t="s">
        <v>1</v>
      </c>
      <c r="D1026" s="12" t="s">
        <v>2</v>
      </c>
      <c r="E1026" s="2" t="s">
        <v>3</v>
      </c>
      <c r="F1026" s="13" t="s">
        <v>4</v>
      </c>
      <c r="G1026" s="3" t="s">
        <v>5</v>
      </c>
      <c r="H1026" s="1" t="s">
        <v>6</v>
      </c>
      <c r="I1026" s="5" t="s">
        <v>8</v>
      </c>
      <c r="J1026" t="s">
        <v>9</v>
      </c>
      <c r="K1026" t="s">
        <v>10</v>
      </c>
      <c r="L1026" s="5" t="s">
        <v>11</v>
      </c>
      <c r="M1026" s="5" t="s">
        <v>12</v>
      </c>
      <c r="N1026" t="s">
        <v>13</v>
      </c>
      <c r="O1026" t="s">
        <v>20</v>
      </c>
      <c r="P1026" s="1" t="s">
        <v>7</v>
      </c>
      <c r="Q1026" s="5" t="s">
        <v>15</v>
      </c>
      <c r="R1026" s="14" t="s">
        <v>18</v>
      </c>
      <c r="S1026" t="s">
        <v>16</v>
      </c>
      <c r="T1026" s="5" t="s">
        <v>14</v>
      </c>
      <c r="U1026" s="5" t="s">
        <v>17</v>
      </c>
      <c r="V1026" s="5" t="s">
        <v>19</v>
      </c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</row>
    <row r="1027" spans="1:37" x14ac:dyDescent="0.25">
      <c r="A1027" s="11">
        <f>Table1[[#This Row],[Milk Yield]]-J1023</f>
        <v>254</v>
      </c>
      <c r="B1027" t="s">
        <v>24</v>
      </c>
      <c r="C1027" s="2">
        <v>1</v>
      </c>
      <c r="D1027" s="12">
        <v>45724</v>
      </c>
      <c r="E1027" s="2">
        <v>36</v>
      </c>
      <c r="F1027" s="13">
        <v>0.33561342592592591</v>
      </c>
      <c r="G1027" s="3">
        <v>0.57938657407407412</v>
      </c>
      <c r="H1027" s="1">
        <v>0.24374999999999999</v>
      </c>
      <c r="I1027" s="5">
        <v>715</v>
      </c>
      <c r="J1027">
        <v>9116</v>
      </c>
      <c r="K1027">
        <v>122</v>
      </c>
      <c r="L1027" s="5">
        <v>96</v>
      </c>
      <c r="M1027" s="5">
        <v>715</v>
      </c>
      <c r="N1027">
        <v>12</v>
      </c>
      <c r="O1027">
        <v>703</v>
      </c>
      <c r="P1027" s="1">
        <v>0.31319444444444444</v>
      </c>
      <c r="Q1027" s="5">
        <v>1558</v>
      </c>
      <c r="R1027" s="14">
        <v>12.8</v>
      </c>
      <c r="S1027">
        <v>122</v>
      </c>
      <c r="T1027" s="5">
        <v>12</v>
      </c>
      <c r="U1027" s="5">
        <v>703</v>
      </c>
      <c r="V1027" s="5">
        <v>0</v>
      </c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</row>
    <row r="1028" spans="1:37" x14ac:dyDescent="0.25">
      <c r="A1028" s="11">
        <f>Table1[[#This Row],[Milk Yield]]-J1024</f>
        <v>-338</v>
      </c>
      <c r="B1028" t="s">
        <v>24</v>
      </c>
      <c r="C1028" s="2">
        <v>2</v>
      </c>
      <c r="D1028" s="12">
        <v>45724</v>
      </c>
      <c r="E1028" s="2">
        <v>34</v>
      </c>
      <c r="F1028" s="13">
        <v>0.66778935185185184</v>
      </c>
      <c r="G1028" s="3">
        <v>0.92710648148148145</v>
      </c>
      <c r="H1028" s="1">
        <v>0.2590277777777778</v>
      </c>
      <c r="I1028" s="5">
        <v>679</v>
      </c>
      <c r="J1028">
        <v>8023</v>
      </c>
      <c r="K1028">
        <v>109</v>
      </c>
      <c r="L1028" s="5">
        <v>71</v>
      </c>
      <c r="M1028" s="5">
        <v>679</v>
      </c>
      <c r="N1028">
        <v>9</v>
      </c>
      <c r="O1028">
        <v>670</v>
      </c>
      <c r="P1028" s="1">
        <v>0.28263888888888888</v>
      </c>
      <c r="Q1028" s="5">
        <v>1289</v>
      </c>
      <c r="R1028" s="14">
        <v>11.9</v>
      </c>
      <c r="S1028">
        <v>109</v>
      </c>
      <c r="T1028" s="5">
        <v>9</v>
      </c>
      <c r="U1028" s="5">
        <v>670</v>
      </c>
      <c r="V1028" s="5">
        <v>0</v>
      </c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</row>
    <row r="1029" spans="1:37" x14ac:dyDescent="0.25">
      <c r="A1029" s="11">
        <f>Table1[[#This Row],[Milk Yield]]-J1025</f>
        <v>289</v>
      </c>
      <c r="B1029" t="s">
        <v>24</v>
      </c>
      <c r="C1029" s="2">
        <v>3</v>
      </c>
      <c r="D1029" s="12">
        <v>45724</v>
      </c>
      <c r="E1029" s="2">
        <v>34</v>
      </c>
      <c r="F1029" s="13">
        <v>0.99988425925925928</v>
      </c>
      <c r="G1029" s="3">
        <v>0.21287037037037038</v>
      </c>
      <c r="H1029" s="1">
        <v>0.21249999999999999</v>
      </c>
      <c r="I1029" s="5">
        <v>698</v>
      </c>
      <c r="J1029">
        <v>6997</v>
      </c>
      <c r="K1029">
        <v>137</v>
      </c>
      <c r="L1029" s="5">
        <v>67</v>
      </c>
      <c r="M1029" s="5">
        <v>697</v>
      </c>
      <c r="N1029">
        <v>8</v>
      </c>
      <c r="O1029">
        <v>689</v>
      </c>
      <c r="P1029" s="1">
        <v>0.25486111111111109</v>
      </c>
      <c r="Q1029" s="5">
        <v>1369</v>
      </c>
      <c r="R1029" s="14">
        <v>10.1</v>
      </c>
      <c r="S1029">
        <v>136</v>
      </c>
      <c r="T1029" s="5">
        <v>8</v>
      </c>
      <c r="U1029" s="5">
        <v>689</v>
      </c>
      <c r="V1029" s="5">
        <v>0</v>
      </c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</row>
    <row r="1030" spans="1:37" x14ac:dyDescent="0.25">
      <c r="A1030" s="11" t="e">
        <f>Table1[[#This Row],[Milk Yield]]-J1026</f>
        <v>#VALUE!</v>
      </c>
      <c r="B1030" t="s">
        <v>0</v>
      </c>
      <c r="C1030" s="2" t="s">
        <v>1</v>
      </c>
      <c r="D1030" s="12" t="s">
        <v>2</v>
      </c>
      <c r="E1030" s="2" t="s">
        <v>3</v>
      </c>
      <c r="F1030" s="13" t="s">
        <v>4</v>
      </c>
      <c r="G1030" s="3" t="s">
        <v>5</v>
      </c>
      <c r="H1030" s="1" t="s">
        <v>6</v>
      </c>
      <c r="I1030" s="5" t="s">
        <v>8</v>
      </c>
      <c r="J1030" t="s">
        <v>9</v>
      </c>
      <c r="K1030" t="s">
        <v>10</v>
      </c>
      <c r="L1030" s="5" t="s">
        <v>11</v>
      </c>
      <c r="M1030" s="5" t="s">
        <v>12</v>
      </c>
      <c r="N1030" t="s">
        <v>13</v>
      </c>
      <c r="O1030" t="s">
        <v>20</v>
      </c>
      <c r="P1030" s="1" t="s">
        <v>7</v>
      </c>
      <c r="Q1030" s="5" t="s">
        <v>15</v>
      </c>
      <c r="R1030" s="14" t="s">
        <v>18</v>
      </c>
      <c r="S1030" t="s">
        <v>16</v>
      </c>
      <c r="T1030" s="5" t="s">
        <v>14</v>
      </c>
      <c r="U1030" s="5" t="s">
        <v>17</v>
      </c>
      <c r="V1030" s="5" t="s">
        <v>19</v>
      </c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</row>
    <row r="1031" spans="1:37" x14ac:dyDescent="0.25">
      <c r="A1031" s="11">
        <f>Table1[[#This Row],[Milk Yield]]-J1027</f>
        <v>-25</v>
      </c>
      <c r="B1031" t="s">
        <v>24</v>
      </c>
      <c r="C1031" s="2">
        <v>1</v>
      </c>
      <c r="D1031" s="12">
        <v>45725</v>
      </c>
      <c r="E1031" s="2">
        <v>35</v>
      </c>
      <c r="F1031" s="13">
        <v>0.33841435185185187</v>
      </c>
      <c r="G1031" s="3">
        <v>0.57644675925925926</v>
      </c>
      <c r="H1031" s="1">
        <v>0.23749999999999999</v>
      </c>
      <c r="I1031" s="5">
        <v>700</v>
      </c>
      <c r="J1031">
        <v>9091</v>
      </c>
      <c r="K1031">
        <v>123</v>
      </c>
      <c r="L1031" s="5">
        <v>238</v>
      </c>
      <c r="M1031" s="5">
        <v>700</v>
      </c>
      <c r="N1031">
        <v>20</v>
      </c>
      <c r="O1031">
        <v>680</v>
      </c>
      <c r="P1031" s="1">
        <v>0.31736111111111109</v>
      </c>
      <c r="Q1031" s="5">
        <v>1591</v>
      </c>
      <c r="R1031" s="14">
        <v>13</v>
      </c>
      <c r="S1031">
        <v>123</v>
      </c>
      <c r="T1031" s="5">
        <v>20</v>
      </c>
      <c r="U1031" s="5">
        <v>680</v>
      </c>
      <c r="V1031" s="5">
        <v>0</v>
      </c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</row>
    <row r="1032" spans="1:37" x14ac:dyDescent="0.25">
      <c r="A1032" s="11">
        <f>Table1[[#This Row],[Milk Yield]]-J1028</f>
        <v>108</v>
      </c>
      <c r="B1032" t="s">
        <v>24</v>
      </c>
      <c r="C1032" s="2">
        <v>2</v>
      </c>
      <c r="D1032" s="12">
        <v>45725</v>
      </c>
      <c r="E1032" s="2">
        <v>36</v>
      </c>
      <c r="F1032" s="13">
        <v>0.67357638888888893</v>
      </c>
      <c r="G1032" s="3">
        <v>0.92736111111111108</v>
      </c>
      <c r="H1032" s="1">
        <v>0.25347222222222221</v>
      </c>
      <c r="I1032" s="5">
        <v>702</v>
      </c>
      <c r="J1032">
        <v>8131</v>
      </c>
      <c r="K1032">
        <v>115</v>
      </c>
      <c r="L1032" s="5">
        <v>298</v>
      </c>
      <c r="M1032" s="5">
        <v>702</v>
      </c>
      <c r="N1032">
        <v>36</v>
      </c>
      <c r="O1032">
        <v>666</v>
      </c>
      <c r="P1032" s="1">
        <v>0.28541666666666665</v>
      </c>
      <c r="Q1032" s="5">
        <v>1335</v>
      </c>
      <c r="R1032" s="14">
        <v>11.6</v>
      </c>
      <c r="S1032">
        <v>115</v>
      </c>
      <c r="T1032" s="5">
        <v>36</v>
      </c>
      <c r="U1032" s="5">
        <v>666</v>
      </c>
      <c r="V1032" s="5">
        <v>0</v>
      </c>
      <c r="W1032" s="5"/>
      <c r="X1032" s="5"/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</row>
    <row r="1033" spans="1:37" x14ac:dyDescent="0.25">
      <c r="A1033" s="11">
        <f>Table1[[#This Row],[Milk Yield]]-J1029</f>
        <v>443</v>
      </c>
      <c r="B1033" t="s">
        <v>24</v>
      </c>
      <c r="C1033" s="2">
        <v>3</v>
      </c>
      <c r="D1033" s="12">
        <v>45725</v>
      </c>
      <c r="E1033" s="2">
        <v>33</v>
      </c>
      <c r="F1033" s="13">
        <v>2.685185185185185E-3</v>
      </c>
      <c r="G1033" s="3">
        <v>0.22384259259259259</v>
      </c>
      <c r="H1033" s="1">
        <v>0.22083333333333333</v>
      </c>
      <c r="I1033" s="5">
        <v>698</v>
      </c>
      <c r="J1033">
        <v>7440</v>
      </c>
      <c r="K1033">
        <v>132</v>
      </c>
      <c r="L1033" s="5">
        <v>106</v>
      </c>
      <c r="M1033" s="5">
        <v>697</v>
      </c>
      <c r="N1033">
        <v>12</v>
      </c>
      <c r="O1033">
        <v>685</v>
      </c>
      <c r="P1033" s="1">
        <v>0.25277777777777777</v>
      </c>
      <c r="Q1033" s="5">
        <v>1402</v>
      </c>
      <c r="R1033" s="14">
        <v>10.7</v>
      </c>
      <c r="S1033">
        <v>131</v>
      </c>
      <c r="T1033" s="5">
        <v>12</v>
      </c>
      <c r="U1033" s="5">
        <v>685</v>
      </c>
      <c r="V1033" s="5">
        <v>0</v>
      </c>
      <c r="W1033" s="5"/>
      <c r="X1033" s="5"/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</row>
    <row r="1034" spans="1:37" x14ac:dyDescent="0.25">
      <c r="A1034" s="11" t="e">
        <f>Table1[[#This Row],[Milk Yield]]-J1030</f>
        <v>#VALUE!</v>
      </c>
      <c r="B1034" t="s">
        <v>0</v>
      </c>
      <c r="C1034" s="2" t="s">
        <v>1</v>
      </c>
      <c r="D1034" s="12" t="s">
        <v>2</v>
      </c>
      <c r="E1034" s="2" t="s">
        <v>3</v>
      </c>
      <c r="F1034" s="13" t="s">
        <v>4</v>
      </c>
      <c r="G1034" s="3" t="s">
        <v>5</v>
      </c>
      <c r="H1034" s="1" t="s">
        <v>6</v>
      </c>
      <c r="I1034" s="5" t="s">
        <v>8</v>
      </c>
      <c r="J1034" t="s">
        <v>9</v>
      </c>
      <c r="K1034" t="s">
        <v>10</v>
      </c>
      <c r="L1034" s="5" t="s">
        <v>11</v>
      </c>
      <c r="M1034" s="5" t="s">
        <v>12</v>
      </c>
      <c r="N1034" t="s">
        <v>13</v>
      </c>
      <c r="O1034" t="s">
        <v>20</v>
      </c>
      <c r="P1034" s="1" t="s">
        <v>7</v>
      </c>
      <c r="Q1034" s="5" t="s">
        <v>15</v>
      </c>
      <c r="R1034" s="14" t="s">
        <v>18</v>
      </c>
      <c r="S1034" t="s">
        <v>16</v>
      </c>
      <c r="T1034" s="5" t="s">
        <v>14</v>
      </c>
      <c r="U1034" s="5" t="s">
        <v>17</v>
      </c>
      <c r="V1034" s="5" t="s">
        <v>19</v>
      </c>
      <c r="W1034" s="5"/>
      <c r="X1034" s="5"/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</row>
    <row r="1035" spans="1:37" x14ac:dyDescent="0.25">
      <c r="A1035" s="11">
        <f>Table1[[#This Row],[Milk Yield]]-J1031</f>
        <v>-99</v>
      </c>
      <c r="B1035" t="s">
        <v>24</v>
      </c>
      <c r="C1035" s="2">
        <v>1</v>
      </c>
      <c r="D1035" s="12">
        <v>45726</v>
      </c>
      <c r="E1035" s="2">
        <v>33</v>
      </c>
      <c r="F1035" s="13">
        <v>0.33903935185185186</v>
      </c>
      <c r="G1035" s="3">
        <v>0.60337962962962965</v>
      </c>
      <c r="H1035" s="1">
        <v>0.2638888888888889</v>
      </c>
      <c r="I1035" s="5">
        <v>700</v>
      </c>
      <c r="J1035">
        <v>8992</v>
      </c>
      <c r="K1035">
        <v>110</v>
      </c>
      <c r="L1035" s="5">
        <v>122</v>
      </c>
      <c r="M1035" s="5">
        <v>700</v>
      </c>
      <c r="N1035">
        <v>12</v>
      </c>
      <c r="O1035">
        <v>688</v>
      </c>
      <c r="P1035" s="1">
        <v>0.33402777777777776</v>
      </c>
      <c r="Q1035" s="5">
        <v>1417</v>
      </c>
      <c r="R1035" s="14">
        <v>12.9</v>
      </c>
      <c r="S1035">
        <v>110</v>
      </c>
      <c r="T1035" s="5">
        <v>12</v>
      </c>
      <c r="U1035" s="5">
        <v>688</v>
      </c>
      <c r="V1035" s="5">
        <v>0</v>
      </c>
      <c r="W1035" s="5"/>
      <c r="X1035" s="5"/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</row>
    <row r="1036" spans="1:37" x14ac:dyDescent="0.25">
      <c r="A1036" s="11">
        <f>Table1[[#This Row],[Milk Yield]]-J1032</f>
        <v>77</v>
      </c>
      <c r="B1036" t="s">
        <v>24</v>
      </c>
      <c r="C1036" s="2">
        <v>2</v>
      </c>
      <c r="D1036" s="12">
        <v>45726</v>
      </c>
      <c r="E1036" s="2">
        <v>37</v>
      </c>
      <c r="F1036" s="13">
        <v>0.66883101851851856</v>
      </c>
      <c r="G1036" s="3">
        <v>0.94696759259259256</v>
      </c>
      <c r="H1036" s="1">
        <v>0.27777777777777779</v>
      </c>
      <c r="I1036" s="5">
        <v>704</v>
      </c>
      <c r="J1036">
        <v>8208</v>
      </c>
      <c r="K1036">
        <v>105</v>
      </c>
      <c r="L1036" s="5">
        <v>88</v>
      </c>
      <c r="M1036" s="5">
        <v>704</v>
      </c>
      <c r="N1036">
        <v>9</v>
      </c>
      <c r="O1036">
        <v>695</v>
      </c>
      <c r="P1036" s="1">
        <v>0.29375000000000001</v>
      </c>
      <c r="Q1036" s="5">
        <v>1230</v>
      </c>
      <c r="R1036" s="14">
        <v>11.7</v>
      </c>
      <c r="S1036">
        <v>105</v>
      </c>
      <c r="T1036" s="5">
        <v>9</v>
      </c>
      <c r="U1036" s="5">
        <v>695</v>
      </c>
      <c r="V1036" s="5">
        <v>0</v>
      </c>
      <c r="W1036" s="5"/>
      <c r="X1036" s="5"/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</row>
    <row r="1037" spans="1:37" x14ac:dyDescent="0.25">
      <c r="A1037" s="11">
        <f>Table1[[#This Row],[Milk Yield]]-J1033</f>
        <v>-66</v>
      </c>
      <c r="B1037" t="s">
        <v>24</v>
      </c>
      <c r="C1037" s="2">
        <v>3</v>
      </c>
      <c r="D1037" s="12">
        <v>45726</v>
      </c>
      <c r="E1037" s="2">
        <v>34</v>
      </c>
      <c r="F1037" s="13">
        <v>9.6064814814814819E-4</v>
      </c>
      <c r="G1037" s="3">
        <v>0.2761689814814815</v>
      </c>
      <c r="H1037" s="1">
        <v>0.27500000000000002</v>
      </c>
      <c r="I1037" s="5">
        <v>704</v>
      </c>
      <c r="J1037">
        <v>7374</v>
      </c>
      <c r="K1037">
        <v>107</v>
      </c>
      <c r="L1037" s="5">
        <v>122</v>
      </c>
      <c r="M1037" s="5">
        <v>700</v>
      </c>
      <c r="N1037">
        <v>12</v>
      </c>
      <c r="O1037">
        <v>688</v>
      </c>
      <c r="P1037" s="1">
        <v>0.30694444444444446</v>
      </c>
      <c r="Q1037" s="5">
        <v>1116</v>
      </c>
      <c r="R1037" s="14">
        <v>10.6</v>
      </c>
      <c r="S1037">
        <v>106</v>
      </c>
      <c r="T1037" s="5">
        <v>12</v>
      </c>
      <c r="U1037" s="5">
        <v>688</v>
      </c>
      <c r="V1037" s="5">
        <v>0</v>
      </c>
      <c r="W1037" s="5"/>
      <c r="X1037" s="5"/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</row>
    <row r="1038" spans="1:37" x14ac:dyDescent="0.25">
      <c r="A1038" s="11" t="e">
        <f>Table1[[#This Row],[Milk Yield]]-J1034</f>
        <v>#VALUE!</v>
      </c>
      <c r="B1038" t="s">
        <v>0</v>
      </c>
      <c r="C1038" s="2" t="s">
        <v>1</v>
      </c>
      <c r="D1038" s="12" t="s">
        <v>2</v>
      </c>
      <c r="E1038" s="2" t="s">
        <v>3</v>
      </c>
      <c r="F1038" s="13" t="s">
        <v>4</v>
      </c>
      <c r="G1038" s="3" t="s">
        <v>5</v>
      </c>
      <c r="H1038" s="1" t="s">
        <v>6</v>
      </c>
      <c r="I1038" s="5" t="s">
        <v>8</v>
      </c>
      <c r="J1038" t="s">
        <v>9</v>
      </c>
      <c r="K1038" t="s">
        <v>10</v>
      </c>
      <c r="L1038" s="5" t="s">
        <v>11</v>
      </c>
      <c r="M1038" s="5" t="s">
        <v>12</v>
      </c>
      <c r="N1038" t="s">
        <v>13</v>
      </c>
      <c r="O1038" t="s">
        <v>20</v>
      </c>
      <c r="P1038" s="1" t="s">
        <v>7</v>
      </c>
      <c r="Q1038" s="5" t="s">
        <v>15</v>
      </c>
      <c r="R1038" s="14" t="s">
        <v>18</v>
      </c>
      <c r="S1038" t="s">
        <v>16</v>
      </c>
      <c r="T1038" s="5" t="s">
        <v>14</v>
      </c>
      <c r="U1038" s="5" t="s">
        <v>17</v>
      </c>
      <c r="V1038" s="5" t="s">
        <v>19</v>
      </c>
      <c r="W1038" s="5"/>
      <c r="X1038" s="5"/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</row>
    <row r="1039" spans="1:37" x14ac:dyDescent="0.25">
      <c r="A1039" s="11">
        <f>Table1[[#This Row],[Milk Yield]]-J1035</f>
        <v>-570</v>
      </c>
      <c r="B1039" t="s">
        <v>24</v>
      </c>
      <c r="C1039" s="2">
        <v>1</v>
      </c>
      <c r="D1039" s="12">
        <v>45727</v>
      </c>
      <c r="E1039" s="2">
        <v>36</v>
      </c>
      <c r="F1039" s="13">
        <v>0.34031250000000002</v>
      </c>
      <c r="G1039" s="3">
        <v>0.56517361111111108</v>
      </c>
      <c r="H1039" s="1">
        <v>0.22430555555555556</v>
      </c>
      <c r="I1039" s="5">
        <v>668</v>
      </c>
      <c r="J1039">
        <v>8422</v>
      </c>
      <c r="K1039">
        <v>124</v>
      </c>
      <c r="L1039" s="5">
        <v>190</v>
      </c>
      <c r="M1039" s="5">
        <v>667</v>
      </c>
      <c r="N1039">
        <v>17</v>
      </c>
      <c r="O1039">
        <v>650</v>
      </c>
      <c r="P1039" s="1">
        <v>0.3347222222222222</v>
      </c>
      <c r="Q1039" s="5">
        <v>1561</v>
      </c>
      <c r="R1039" s="14">
        <v>12.7</v>
      </c>
      <c r="S1039">
        <v>124</v>
      </c>
      <c r="T1039" s="5">
        <v>17</v>
      </c>
      <c r="U1039" s="5">
        <v>650</v>
      </c>
      <c r="V1039" s="5">
        <v>0</v>
      </c>
      <c r="W1039" s="5"/>
      <c r="X1039" s="5"/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</row>
    <row r="1040" spans="1:37" x14ac:dyDescent="0.25">
      <c r="A1040" s="11">
        <f>Table1[[#This Row],[Milk Yield]]-J1036</f>
        <v>-93</v>
      </c>
      <c r="B1040" t="s">
        <v>24</v>
      </c>
      <c r="C1040" s="2">
        <v>2</v>
      </c>
      <c r="D1040" s="12">
        <v>45727</v>
      </c>
      <c r="E1040" s="2">
        <v>33</v>
      </c>
      <c r="F1040" s="13">
        <v>0.67767361111111113</v>
      </c>
      <c r="G1040" s="3">
        <v>0.92013888888888884</v>
      </c>
      <c r="H1040" s="1">
        <v>0.24236111111111111</v>
      </c>
      <c r="I1040" s="5">
        <v>661</v>
      </c>
      <c r="J1040">
        <v>8115</v>
      </c>
      <c r="K1040">
        <v>114</v>
      </c>
      <c r="L1040" s="5">
        <v>274</v>
      </c>
      <c r="M1040" s="5">
        <v>661</v>
      </c>
      <c r="N1040">
        <v>26</v>
      </c>
      <c r="O1040">
        <v>635</v>
      </c>
      <c r="P1040" s="1">
        <v>0.29722222222222222</v>
      </c>
      <c r="Q1040" s="5">
        <v>1395</v>
      </c>
      <c r="R1040" s="14">
        <v>12.3</v>
      </c>
      <c r="S1040">
        <v>114</v>
      </c>
      <c r="T1040" s="5">
        <v>26</v>
      </c>
      <c r="U1040" s="5">
        <v>635</v>
      </c>
      <c r="V1040" s="5">
        <v>0</v>
      </c>
      <c r="W1040" s="5"/>
      <c r="X1040" s="5"/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</row>
    <row r="1041" spans="1:37" x14ac:dyDescent="0.25">
      <c r="A1041" s="11">
        <f>Table1[[#This Row],[Milk Yield]]-J1037</f>
        <v>-946</v>
      </c>
      <c r="B1041" t="s">
        <v>24</v>
      </c>
      <c r="C1041" s="2">
        <v>3</v>
      </c>
      <c r="D1041" s="12">
        <v>45727</v>
      </c>
      <c r="E1041" s="2">
        <v>33</v>
      </c>
      <c r="F1041" s="13">
        <v>8.4490740740740739E-4</v>
      </c>
      <c r="G1041" s="3">
        <v>0.17828703703703705</v>
      </c>
      <c r="H1041" s="1">
        <v>0.17708333333333334</v>
      </c>
      <c r="I1041" s="5">
        <v>663</v>
      </c>
      <c r="J1041">
        <v>6428</v>
      </c>
      <c r="K1041">
        <v>156</v>
      </c>
      <c r="L1041" s="5">
        <v>53</v>
      </c>
      <c r="M1041" s="5">
        <v>662</v>
      </c>
      <c r="N1041">
        <v>7</v>
      </c>
      <c r="O1041">
        <v>655</v>
      </c>
      <c r="P1041" s="1">
        <v>0.24791666666666667</v>
      </c>
      <c r="Q1041" s="5">
        <v>1509</v>
      </c>
      <c r="R1041" s="14">
        <v>9.8000000000000007</v>
      </c>
      <c r="S1041">
        <v>155</v>
      </c>
      <c r="T1041" s="5">
        <v>7</v>
      </c>
      <c r="U1041" s="5">
        <v>655</v>
      </c>
      <c r="V1041" s="5">
        <v>0</v>
      </c>
      <c r="W1041" s="5"/>
      <c r="X1041" s="5"/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</row>
    <row r="1042" spans="1:37" x14ac:dyDescent="0.25">
      <c r="A1042" s="11" t="e">
        <f>Table1[[#This Row],[Milk Yield]]-J1038</f>
        <v>#VALUE!</v>
      </c>
      <c r="B1042" t="s">
        <v>0</v>
      </c>
      <c r="C1042" s="2" t="s">
        <v>1</v>
      </c>
      <c r="D1042" s="12" t="s">
        <v>2</v>
      </c>
      <c r="E1042" s="2" t="s">
        <v>3</v>
      </c>
      <c r="F1042" s="13" t="s">
        <v>4</v>
      </c>
      <c r="G1042" s="3" t="s">
        <v>5</v>
      </c>
      <c r="H1042" s="1" t="s">
        <v>6</v>
      </c>
      <c r="I1042" s="5" t="s">
        <v>8</v>
      </c>
      <c r="J1042" t="s">
        <v>9</v>
      </c>
      <c r="K1042" t="s">
        <v>10</v>
      </c>
      <c r="L1042" s="5" t="s">
        <v>11</v>
      </c>
      <c r="M1042" s="5" t="s">
        <v>12</v>
      </c>
      <c r="N1042" t="s">
        <v>13</v>
      </c>
      <c r="O1042" t="s">
        <v>20</v>
      </c>
      <c r="P1042" s="1" t="s">
        <v>7</v>
      </c>
      <c r="Q1042" s="5" t="s">
        <v>15</v>
      </c>
      <c r="R1042" s="14" t="s">
        <v>18</v>
      </c>
      <c r="S1042" t="s">
        <v>16</v>
      </c>
      <c r="T1042" s="5" t="s">
        <v>14</v>
      </c>
      <c r="U1042" s="5" t="s">
        <v>17</v>
      </c>
      <c r="V1042" s="5" t="s">
        <v>19</v>
      </c>
      <c r="W1042" s="5"/>
      <c r="X1042" s="5"/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</row>
    <row r="1043" spans="1:37" x14ac:dyDescent="0.25">
      <c r="A1043" s="11">
        <f>Table1[[#This Row],[Milk Yield]]-J1039</f>
        <v>1058</v>
      </c>
      <c r="B1043" t="s">
        <v>24</v>
      </c>
      <c r="C1043" s="2">
        <v>1</v>
      </c>
      <c r="D1043" s="12">
        <v>45728</v>
      </c>
      <c r="E1043" s="2">
        <v>35</v>
      </c>
      <c r="F1043" s="13">
        <v>0.33644675925925926</v>
      </c>
      <c r="G1043" s="3">
        <v>0.5756134259259259</v>
      </c>
      <c r="H1043" s="1">
        <v>0.2388888888888889</v>
      </c>
      <c r="I1043" s="5">
        <v>668</v>
      </c>
      <c r="J1043">
        <v>9480</v>
      </c>
      <c r="K1043">
        <v>116</v>
      </c>
      <c r="L1043" s="5">
        <v>321</v>
      </c>
      <c r="M1043" s="5">
        <v>668</v>
      </c>
      <c r="N1043">
        <v>21</v>
      </c>
      <c r="O1043">
        <v>647</v>
      </c>
      <c r="P1043" s="1">
        <v>0.36944444444444446</v>
      </c>
      <c r="Q1043" s="5">
        <v>1652</v>
      </c>
      <c r="R1043" s="14">
        <v>14.2</v>
      </c>
      <c r="S1043">
        <v>116</v>
      </c>
      <c r="T1043" s="5">
        <v>21</v>
      </c>
      <c r="U1043" s="5">
        <v>647</v>
      </c>
      <c r="V1043" s="5">
        <v>0</v>
      </c>
      <c r="W1043" s="5"/>
      <c r="X1043" s="5"/>
      <c r="Y1043" s="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</row>
    <row r="1044" spans="1:37" x14ac:dyDescent="0.25">
      <c r="A1044" s="11">
        <f>Table1[[#This Row],[Milk Yield]]-J1040</f>
        <v>-613</v>
      </c>
      <c r="B1044" t="s">
        <v>24</v>
      </c>
      <c r="C1044" s="2">
        <v>2</v>
      </c>
      <c r="D1044" s="12">
        <v>45728</v>
      </c>
      <c r="E1044" s="2">
        <v>34</v>
      </c>
      <c r="F1044" s="13">
        <v>0.66689814814814818</v>
      </c>
      <c r="G1044" s="3">
        <v>0.88002314814814819</v>
      </c>
      <c r="H1044" s="1">
        <v>0.21249999999999999</v>
      </c>
      <c r="I1044" s="5">
        <v>663</v>
      </c>
      <c r="J1044">
        <v>7502</v>
      </c>
      <c r="K1044">
        <v>130</v>
      </c>
      <c r="L1044" s="5">
        <v>148</v>
      </c>
      <c r="M1044" s="5">
        <v>663</v>
      </c>
      <c r="N1044">
        <v>15</v>
      </c>
      <c r="O1044">
        <v>648</v>
      </c>
      <c r="P1044" s="1">
        <v>0.27986111111111112</v>
      </c>
      <c r="Q1044" s="5">
        <v>1467</v>
      </c>
      <c r="R1044" s="14">
        <v>11.4</v>
      </c>
      <c r="S1044">
        <v>130</v>
      </c>
      <c r="T1044" s="5">
        <v>15</v>
      </c>
      <c r="U1044" s="5">
        <v>648</v>
      </c>
      <c r="V1044" s="5">
        <v>0</v>
      </c>
      <c r="W1044" s="5"/>
      <c r="X1044" s="5"/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</row>
    <row r="1045" spans="1:37" x14ac:dyDescent="0.25">
      <c r="A1045" s="11">
        <f>Table1[[#This Row],[Milk Yield]]-J1041</f>
        <v>787</v>
      </c>
      <c r="B1045" t="s">
        <v>24</v>
      </c>
      <c r="C1045" s="2">
        <v>3</v>
      </c>
      <c r="D1045" s="12">
        <v>45728</v>
      </c>
      <c r="E1045" s="2">
        <v>32</v>
      </c>
      <c r="F1045" s="13">
        <v>2.0370370370370369E-3</v>
      </c>
      <c r="G1045" s="3">
        <v>0.19258101851851853</v>
      </c>
      <c r="H1045" s="1">
        <v>0.19027777777777777</v>
      </c>
      <c r="I1045" s="5">
        <v>662</v>
      </c>
      <c r="J1045">
        <v>7215</v>
      </c>
      <c r="K1045">
        <v>145</v>
      </c>
      <c r="L1045" s="5">
        <v>70</v>
      </c>
      <c r="M1045" s="5">
        <v>662</v>
      </c>
      <c r="N1045">
        <v>8</v>
      </c>
      <c r="O1045">
        <v>654</v>
      </c>
      <c r="P1045" s="1">
        <v>0.25069444444444444</v>
      </c>
      <c r="Q1045" s="5">
        <v>1578</v>
      </c>
      <c r="R1045" s="14">
        <v>10.9</v>
      </c>
      <c r="S1045">
        <v>145</v>
      </c>
      <c r="T1045" s="5">
        <v>8</v>
      </c>
      <c r="U1045" s="5">
        <v>654</v>
      </c>
      <c r="V1045" s="5">
        <v>0</v>
      </c>
      <c r="W1045" s="5"/>
      <c r="X1045" s="5"/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</row>
    <row r="1046" spans="1:37" x14ac:dyDescent="0.25">
      <c r="A1046" s="11" t="e">
        <f>Table1[[#This Row],[Milk Yield]]-J1042</f>
        <v>#VALUE!</v>
      </c>
      <c r="B1046" t="s">
        <v>0</v>
      </c>
      <c r="C1046" s="2" t="s">
        <v>1</v>
      </c>
      <c r="D1046" s="12" t="s">
        <v>2</v>
      </c>
      <c r="E1046" s="2" t="s">
        <v>3</v>
      </c>
      <c r="F1046" s="13" t="s">
        <v>4</v>
      </c>
      <c r="G1046" s="3" t="s">
        <v>5</v>
      </c>
      <c r="H1046" s="1" t="s">
        <v>6</v>
      </c>
      <c r="I1046" s="5" t="s">
        <v>8</v>
      </c>
      <c r="J1046" t="s">
        <v>9</v>
      </c>
      <c r="K1046" t="s">
        <v>10</v>
      </c>
      <c r="L1046" s="5" t="s">
        <v>11</v>
      </c>
      <c r="M1046" s="5" t="s">
        <v>12</v>
      </c>
      <c r="N1046" t="s">
        <v>13</v>
      </c>
      <c r="O1046" t="s">
        <v>20</v>
      </c>
      <c r="P1046" s="1" t="s">
        <v>7</v>
      </c>
      <c r="Q1046" s="5" t="s">
        <v>15</v>
      </c>
      <c r="R1046" s="14" t="s">
        <v>18</v>
      </c>
      <c r="S1046" t="s">
        <v>16</v>
      </c>
      <c r="T1046" s="5" t="s">
        <v>14</v>
      </c>
      <c r="U1046" s="5" t="s">
        <v>17</v>
      </c>
      <c r="V1046" s="5" t="s">
        <v>19</v>
      </c>
      <c r="W1046" s="5"/>
      <c r="X1046" s="5"/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</row>
    <row r="1047" spans="1:37" x14ac:dyDescent="0.25">
      <c r="A1047" s="11">
        <f>Table1[[#This Row],[Milk Yield]]-J1043</f>
        <v>-542</v>
      </c>
      <c r="B1047" t="s">
        <v>24</v>
      </c>
      <c r="C1047" s="2">
        <v>1</v>
      </c>
      <c r="D1047" s="12">
        <v>45729</v>
      </c>
      <c r="E1047" s="2">
        <v>36</v>
      </c>
      <c r="F1047" s="13">
        <v>0.33528935185185182</v>
      </c>
      <c r="G1047" s="3">
        <v>0.56251157407407404</v>
      </c>
      <c r="H1047" s="1">
        <v>0.22708333333333333</v>
      </c>
      <c r="I1047" s="5">
        <v>677</v>
      </c>
      <c r="J1047">
        <v>8938</v>
      </c>
      <c r="K1047">
        <v>124</v>
      </c>
      <c r="L1047" s="5">
        <v>301</v>
      </c>
      <c r="M1047" s="5">
        <v>675</v>
      </c>
      <c r="N1047">
        <v>32</v>
      </c>
      <c r="O1047">
        <v>643</v>
      </c>
      <c r="P1047" s="1">
        <v>0.33958333333333335</v>
      </c>
      <c r="Q1047" s="5">
        <v>1639</v>
      </c>
      <c r="R1047" s="14">
        <v>13.3</v>
      </c>
      <c r="S1047">
        <v>124</v>
      </c>
      <c r="T1047" s="5">
        <v>32</v>
      </c>
      <c r="U1047" s="5">
        <v>643</v>
      </c>
      <c r="V1047" s="5">
        <v>0</v>
      </c>
      <c r="W1047" s="5"/>
      <c r="X1047" s="5"/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</row>
    <row r="1048" spans="1:37" x14ac:dyDescent="0.25">
      <c r="A1048" s="11">
        <f>Table1[[#This Row],[Milk Yield]]-J1044</f>
        <v>-413</v>
      </c>
      <c r="B1048" t="s">
        <v>24</v>
      </c>
      <c r="C1048" s="2">
        <v>2</v>
      </c>
      <c r="D1048" s="12">
        <v>45729</v>
      </c>
      <c r="E1048" s="2">
        <v>31</v>
      </c>
      <c r="F1048" s="13">
        <v>0.66644675925925922</v>
      </c>
      <c r="G1048" s="3">
        <v>0.86839120370370371</v>
      </c>
      <c r="H1048" s="1">
        <v>0.2013888888888889</v>
      </c>
      <c r="I1048" s="5">
        <v>653</v>
      </c>
      <c r="J1048">
        <v>7089</v>
      </c>
      <c r="K1048">
        <v>135</v>
      </c>
      <c r="L1048" s="5">
        <v>118</v>
      </c>
      <c r="M1048" s="5">
        <v>653</v>
      </c>
      <c r="N1048">
        <v>15</v>
      </c>
      <c r="O1048">
        <v>638</v>
      </c>
      <c r="P1048" s="1">
        <v>0.25763888888888886</v>
      </c>
      <c r="Q1048" s="5">
        <v>1463</v>
      </c>
      <c r="R1048" s="14">
        <v>10.9</v>
      </c>
      <c r="S1048">
        <v>135</v>
      </c>
      <c r="T1048" s="5">
        <v>15</v>
      </c>
      <c r="U1048" s="5">
        <v>638</v>
      </c>
      <c r="V1048" s="5">
        <v>0</v>
      </c>
      <c r="W1048" s="5"/>
      <c r="X1048" s="5"/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</row>
    <row r="1049" spans="1:37" x14ac:dyDescent="0.25">
      <c r="A1049" s="11">
        <f>Table1[[#This Row],[Milk Yield]]-J1045</f>
        <v>246</v>
      </c>
      <c r="B1049" t="s">
        <v>24</v>
      </c>
      <c r="C1049" s="2">
        <v>3</v>
      </c>
      <c r="D1049" s="12">
        <v>45729</v>
      </c>
      <c r="E1049" s="2">
        <v>30</v>
      </c>
      <c r="F1049" s="13">
        <v>0</v>
      </c>
      <c r="G1049" s="3">
        <v>0.19166666666666668</v>
      </c>
      <c r="H1049" s="1">
        <v>0.19166666666666668</v>
      </c>
      <c r="I1049" s="5">
        <v>656</v>
      </c>
      <c r="J1049">
        <v>7461</v>
      </c>
      <c r="K1049">
        <v>143</v>
      </c>
      <c r="L1049" s="5">
        <v>177</v>
      </c>
      <c r="M1049" s="5">
        <v>656</v>
      </c>
      <c r="N1049">
        <v>15</v>
      </c>
      <c r="O1049">
        <v>641</v>
      </c>
      <c r="P1049" s="1">
        <v>0.27291666666666664</v>
      </c>
      <c r="Q1049" s="5">
        <v>1622</v>
      </c>
      <c r="R1049" s="14">
        <v>11.4</v>
      </c>
      <c r="S1049">
        <v>143</v>
      </c>
      <c r="T1049" s="5">
        <v>15</v>
      </c>
      <c r="U1049" s="5">
        <v>641</v>
      </c>
      <c r="V1049" s="5">
        <v>0</v>
      </c>
      <c r="W1049" s="5"/>
      <c r="X1049" s="5"/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</row>
    <row r="1050" spans="1:37" x14ac:dyDescent="0.25">
      <c r="A1050" s="11" t="e">
        <f>Table1[[#This Row],[Milk Yield]]-J1046</f>
        <v>#VALUE!</v>
      </c>
      <c r="B1050" t="s">
        <v>0</v>
      </c>
      <c r="C1050" s="2" t="s">
        <v>1</v>
      </c>
      <c r="D1050" s="12" t="s">
        <v>2</v>
      </c>
      <c r="E1050" s="2" t="s">
        <v>3</v>
      </c>
      <c r="F1050" s="13" t="s">
        <v>4</v>
      </c>
      <c r="G1050" s="3" t="s">
        <v>5</v>
      </c>
      <c r="H1050" s="1" t="s">
        <v>6</v>
      </c>
      <c r="I1050" s="5" t="s">
        <v>8</v>
      </c>
      <c r="J1050" t="s">
        <v>9</v>
      </c>
      <c r="K1050" t="s">
        <v>10</v>
      </c>
      <c r="L1050" s="5" t="s">
        <v>11</v>
      </c>
      <c r="M1050" s="5" t="s">
        <v>12</v>
      </c>
      <c r="N1050" t="s">
        <v>13</v>
      </c>
      <c r="O1050" t="s">
        <v>20</v>
      </c>
      <c r="P1050" s="1" t="s">
        <v>7</v>
      </c>
      <c r="Q1050" s="5" t="s">
        <v>15</v>
      </c>
      <c r="R1050" s="14" t="s">
        <v>18</v>
      </c>
      <c r="S1050" t="s">
        <v>16</v>
      </c>
      <c r="T1050" s="5" t="s">
        <v>14</v>
      </c>
      <c r="U1050" s="5" t="s">
        <v>17</v>
      </c>
      <c r="V1050" s="5" t="s">
        <v>19</v>
      </c>
      <c r="W1050" s="5"/>
      <c r="X1050" s="5"/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</row>
    <row r="1051" spans="1:37" x14ac:dyDescent="0.25">
      <c r="A1051" s="11">
        <f>Table1[[#This Row],[Milk Yield]]-J1047</f>
        <v>-446</v>
      </c>
      <c r="B1051" t="s">
        <v>24</v>
      </c>
      <c r="C1051">
        <v>1</v>
      </c>
      <c r="D1051" s="4">
        <v>45730</v>
      </c>
      <c r="E1051">
        <v>10</v>
      </c>
      <c r="F1051" s="16">
        <v>0.33390046296296294</v>
      </c>
      <c r="G1051" s="16">
        <v>0.54917824074074073</v>
      </c>
      <c r="H1051" s="1">
        <v>0.21527777777777779</v>
      </c>
      <c r="I1051">
        <v>650</v>
      </c>
      <c r="J1051">
        <v>8492</v>
      </c>
      <c r="K1051">
        <v>141</v>
      </c>
      <c r="L1051">
        <v>203</v>
      </c>
      <c r="M1051">
        <v>650</v>
      </c>
      <c r="N1051">
        <v>53</v>
      </c>
      <c r="O1051">
        <v>645</v>
      </c>
      <c r="P1051" s="1">
        <v>0.40833333333333333</v>
      </c>
      <c r="Q1051">
        <v>1563</v>
      </c>
      <c r="R1051">
        <v>14</v>
      </c>
      <c r="S1051">
        <v>112</v>
      </c>
      <c r="T1051">
        <v>19</v>
      </c>
      <c r="U1051">
        <v>645</v>
      </c>
      <c r="V1051">
        <v>0</v>
      </c>
    </row>
    <row r="1052" spans="1:37" x14ac:dyDescent="0.25">
      <c r="A1052" s="11">
        <f>Table1[[#This Row],[Milk Yield]]-J1048</f>
        <v>396</v>
      </c>
      <c r="B1052" t="s">
        <v>24</v>
      </c>
      <c r="C1052" s="2">
        <v>2</v>
      </c>
      <c r="D1052" s="12">
        <v>45730</v>
      </c>
      <c r="E1052" s="2">
        <v>31</v>
      </c>
      <c r="F1052" s="13">
        <v>0.66366898148148146</v>
      </c>
      <c r="G1052" s="3">
        <v>0.86010416666666667</v>
      </c>
      <c r="H1052" s="1">
        <v>0.19583333333333333</v>
      </c>
      <c r="I1052" s="5">
        <v>661</v>
      </c>
      <c r="J1052">
        <v>7485</v>
      </c>
      <c r="K1052">
        <v>140</v>
      </c>
      <c r="L1052" s="5">
        <v>97</v>
      </c>
      <c r="M1052" s="5">
        <v>661</v>
      </c>
      <c r="N1052">
        <v>12</v>
      </c>
      <c r="O1052">
        <v>649</v>
      </c>
      <c r="P1052" s="1">
        <v>0.28611111111111109</v>
      </c>
      <c r="Q1052" s="5">
        <v>1588</v>
      </c>
      <c r="R1052" s="14">
        <v>11.4</v>
      </c>
      <c r="S1052">
        <v>140</v>
      </c>
      <c r="T1052" s="5">
        <v>12</v>
      </c>
      <c r="U1052" s="5">
        <v>649</v>
      </c>
      <c r="V1052" s="5">
        <v>0</v>
      </c>
      <c r="W1052" s="5"/>
      <c r="X1052" s="5"/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</row>
    <row r="1053" spans="1:37" x14ac:dyDescent="0.25">
      <c r="A1053" s="11">
        <f>Table1[[#This Row],[Milk Yield]]-J1049</f>
        <v>-258</v>
      </c>
      <c r="B1053" t="s">
        <v>24</v>
      </c>
      <c r="C1053" s="2">
        <v>3</v>
      </c>
      <c r="D1053" s="12">
        <v>45730</v>
      </c>
      <c r="E1053" s="2">
        <v>30</v>
      </c>
      <c r="F1053" s="13">
        <v>0.99937500000000001</v>
      </c>
      <c r="G1053" s="3">
        <v>0.17277777777777778</v>
      </c>
      <c r="H1053" s="1">
        <v>0.17291666666666666</v>
      </c>
      <c r="I1053" s="5">
        <v>656</v>
      </c>
      <c r="J1053">
        <v>7203</v>
      </c>
      <c r="K1053">
        <v>158</v>
      </c>
      <c r="L1053" s="5">
        <v>59</v>
      </c>
      <c r="M1053" s="5">
        <v>656</v>
      </c>
      <c r="N1053">
        <v>6</v>
      </c>
      <c r="O1053">
        <v>650</v>
      </c>
      <c r="P1053" s="1">
        <v>0.27430555555555558</v>
      </c>
      <c r="Q1053" s="5">
        <v>1731</v>
      </c>
      <c r="R1053" s="14">
        <v>11</v>
      </c>
      <c r="S1053">
        <v>158</v>
      </c>
      <c r="T1053" s="5">
        <v>6</v>
      </c>
      <c r="U1053" s="5">
        <v>651</v>
      </c>
      <c r="V1053" s="5">
        <v>1</v>
      </c>
      <c r="W1053" s="5"/>
      <c r="X1053" s="5"/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</row>
    <row r="1054" spans="1:37" x14ac:dyDescent="0.25">
      <c r="A1054" s="11" t="e">
        <f>Table1[[#This Row],[Milk Yield]]-J1050</f>
        <v>#VALUE!</v>
      </c>
      <c r="B1054" t="s">
        <v>0</v>
      </c>
      <c r="C1054" s="2" t="s">
        <v>1</v>
      </c>
      <c r="D1054" s="12" t="s">
        <v>2</v>
      </c>
      <c r="E1054" s="2" t="s">
        <v>3</v>
      </c>
      <c r="F1054" s="13" t="s">
        <v>4</v>
      </c>
      <c r="G1054" s="3" t="s">
        <v>5</v>
      </c>
      <c r="H1054" s="1" t="s">
        <v>6</v>
      </c>
      <c r="I1054" s="5" t="s">
        <v>8</v>
      </c>
      <c r="J1054" t="s">
        <v>9</v>
      </c>
      <c r="K1054" t="s">
        <v>10</v>
      </c>
      <c r="L1054" s="5" t="s">
        <v>11</v>
      </c>
      <c r="M1054" s="5" t="s">
        <v>12</v>
      </c>
      <c r="N1054" t="s">
        <v>13</v>
      </c>
      <c r="O1054" t="s">
        <v>20</v>
      </c>
      <c r="P1054" s="1" t="s">
        <v>7</v>
      </c>
      <c r="Q1054" s="5" t="s">
        <v>15</v>
      </c>
      <c r="R1054" s="14" t="s">
        <v>18</v>
      </c>
      <c r="S1054" t="s">
        <v>16</v>
      </c>
      <c r="T1054" s="5" t="s">
        <v>14</v>
      </c>
      <c r="U1054" s="5" t="s">
        <v>17</v>
      </c>
      <c r="V1054" s="5" t="s">
        <v>19</v>
      </c>
      <c r="W1054" s="5"/>
      <c r="X1054" s="5"/>
      <c r="Y1054" s="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</row>
    <row r="1055" spans="1:37" x14ac:dyDescent="0.25">
      <c r="A1055" s="11">
        <f>Table1[[#This Row],[Milk Yield]]-J1051</f>
        <v>-155</v>
      </c>
      <c r="B1055" t="s">
        <v>24</v>
      </c>
      <c r="C1055" s="2">
        <v>1</v>
      </c>
      <c r="D1055" s="12">
        <v>45731</v>
      </c>
      <c r="E1055" s="2">
        <v>33</v>
      </c>
      <c r="F1055" s="13">
        <v>0.33678240740740739</v>
      </c>
      <c r="G1055" s="3">
        <v>0.57245370370370374</v>
      </c>
      <c r="H1055" s="1">
        <v>0.23541666666666666</v>
      </c>
      <c r="I1055" s="5">
        <v>652</v>
      </c>
      <c r="J1055">
        <v>8337</v>
      </c>
      <c r="K1055">
        <v>115</v>
      </c>
      <c r="L1055" s="5">
        <v>121</v>
      </c>
      <c r="M1055" s="5">
        <v>652</v>
      </c>
      <c r="N1055">
        <v>18</v>
      </c>
      <c r="O1055">
        <v>634</v>
      </c>
      <c r="P1055" s="1">
        <v>0.3298611111111111</v>
      </c>
      <c r="Q1055" s="5">
        <v>1474</v>
      </c>
      <c r="R1055" s="14">
        <v>12.8</v>
      </c>
      <c r="S1055">
        <v>115</v>
      </c>
      <c r="T1055" s="5">
        <v>18</v>
      </c>
      <c r="U1055" s="5">
        <v>634</v>
      </c>
      <c r="V1055" s="5">
        <v>0</v>
      </c>
      <c r="W1055" s="5"/>
      <c r="X1055" s="5"/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</row>
    <row r="1056" spans="1:37" x14ac:dyDescent="0.25">
      <c r="A1056" s="11">
        <f>Table1[[#This Row],[Milk Yield]]-J1052</f>
        <v>151</v>
      </c>
      <c r="B1056" t="s">
        <v>24</v>
      </c>
      <c r="C1056" s="2">
        <v>2</v>
      </c>
      <c r="D1056" s="12">
        <v>45731</v>
      </c>
      <c r="E1056" s="2">
        <v>27</v>
      </c>
      <c r="F1056" s="13">
        <v>0.66152777777777783</v>
      </c>
      <c r="G1056" s="3">
        <v>0.87190972222222218</v>
      </c>
      <c r="H1056" s="1">
        <v>0.20972222222222223</v>
      </c>
      <c r="I1056" s="5">
        <v>598</v>
      </c>
      <c r="J1056">
        <v>7636</v>
      </c>
      <c r="K1056">
        <v>118</v>
      </c>
      <c r="L1056" s="5">
        <v>57</v>
      </c>
      <c r="M1056" s="5">
        <v>598</v>
      </c>
      <c r="N1056">
        <v>6</v>
      </c>
      <c r="O1056">
        <v>592</v>
      </c>
      <c r="P1056" s="1">
        <v>0.26041666666666669</v>
      </c>
      <c r="Q1056" s="5">
        <v>1512</v>
      </c>
      <c r="R1056" s="14">
        <v>12.8</v>
      </c>
      <c r="S1056">
        <v>118</v>
      </c>
      <c r="T1056" s="5">
        <v>6</v>
      </c>
      <c r="U1056" s="5">
        <v>592</v>
      </c>
      <c r="V1056" s="5">
        <v>0</v>
      </c>
      <c r="W1056" s="5"/>
      <c r="X1056" s="5"/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</row>
    <row r="1057" spans="1:37" x14ac:dyDescent="0.25">
      <c r="A1057" s="11">
        <f>Table1[[#This Row],[Milk Yield]]-J1053</f>
        <v>190</v>
      </c>
      <c r="B1057" t="s">
        <v>24</v>
      </c>
      <c r="C1057" s="2">
        <v>3</v>
      </c>
      <c r="D1057" s="12">
        <v>45731</v>
      </c>
      <c r="E1057" s="2">
        <v>29</v>
      </c>
      <c r="F1057" s="13">
        <v>0.99883101851851852</v>
      </c>
      <c r="G1057" s="3">
        <v>0.19809027777777777</v>
      </c>
      <c r="H1057" s="1">
        <v>0.1986111111111111</v>
      </c>
      <c r="I1057" s="5">
        <v>639</v>
      </c>
      <c r="J1057">
        <v>7393</v>
      </c>
      <c r="K1057">
        <v>134</v>
      </c>
      <c r="L1057" s="5">
        <v>82</v>
      </c>
      <c r="M1057" s="5">
        <v>638</v>
      </c>
      <c r="N1057">
        <v>7</v>
      </c>
      <c r="O1057">
        <v>631</v>
      </c>
      <c r="P1057" s="1">
        <v>0.29375000000000001</v>
      </c>
      <c r="Q1057" s="5">
        <v>1546</v>
      </c>
      <c r="R1057" s="14">
        <v>11.6</v>
      </c>
      <c r="S1057">
        <v>133</v>
      </c>
      <c r="T1057" s="5">
        <v>7</v>
      </c>
      <c r="U1057" s="5">
        <v>631</v>
      </c>
      <c r="V1057" s="5">
        <v>0</v>
      </c>
      <c r="W1057" s="5"/>
      <c r="X1057" s="5"/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</row>
    <row r="1058" spans="1:37" x14ac:dyDescent="0.25">
      <c r="A1058" s="11" t="e">
        <f>Table1[[#This Row],[Milk Yield]]-J1054</f>
        <v>#VALUE!</v>
      </c>
      <c r="B1058" t="s">
        <v>0</v>
      </c>
      <c r="C1058" s="2" t="s">
        <v>1</v>
      </c>
      <c r="D1058" s="12" t="s">
        <v>2</v>
      </c>
      <c r="E1058" s="2" t="s">
        <v>3</v>
      </c>
      <c r="F1058" s="13" t="s">
        <v>4</v>
      </c>
      <c r="G1058" s="3" t="s">
        <v>5</v>
      </c>
      <c r="H1058" s="1" t="s">
        <v>6</v>
      </c>
      <c r="I1058" s="5" t="s">
        <v>8</v>
      </c>
      <c r="J1058" t="s">
        <v>9</v>
      </c>
      <c r="K1058" t="s">
        <v>10</v>
      </c>
      <c r="L1058" s="5" t="s">
        <v>11</v>
      </c>
      <c r="M1058" s="5" t="s">
        <v>12</v>
      </c>
      <c r="N1058" t="s">
        <v>13</v>
      </c>
      <c r="O1058" t="s">
        <v>20</v>
      </c>
      <c r="P1058" s="1" t="s">
        <v>7</v>
      </c>
      <c r="Q1058" s="5" t="s">
        <v>15</v>
      </c>
      <c r="R1058" s="14" t="s">
        <v>18</v>
      </c>
      <c r="S1058" t="s">
        <v>16</v>
      </c>
      <c r="T1058" s="5" t="s">
        <v>14</v>
      </c>
      <c r="U1058" s="5" t="s">
        <v>17</v>
      </c>
      <c r="V1058" s="5" t="s">
        <v>19</v>
      </c>
      <c r="W1058" s="5"/>
      <c r="X1058" s="5"/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</row>
    <row r="1059" spans="1:37" x14ac:dyDescent="0.25">
      <c r="A1059" s="11">
        <f>Table1[[#This Row],[Milk Yield]]-J1055</f>
        <v>559</v>
      </c>
      <c r="B1059" t="s">
        <v>24</v>
      </c>
      <c r="C1059" s="2">
        <v>1</v>
      </c>
      <c r="D1059" s="12">
        <v>45732</v>
      </c>
      <c r="E1059" s="2">
        <v>29</v>
      </c>
      <c r="F1059" s="13">
        <v>0.33506944444444442</v>
      </c>
      <c r="G1059" s="3">
        <v>0.56811342592592595</v>
      </c>
      <c r="H1059" s="1">
        <v>0.2326388888888889</v>
      </c>
      <c r="I1059" s="5">
        <v>641</v>
      </c>
      <c r="J1059">
        <v>8896</v>
      </c>
      <c r="K1059">
        <v>115</v>
      </c>
      <c r="L1059" s="5">
        <v>339</v>
      </c>
      <c r="M1059" s="5">
        <v>640</v>
      </c>
      <c r="N1059">
        <v>23</v>
      </c>
      <c r="O1059">
        <v>617</v>
      </c>
      <c r="P1059" s="1">
        <v>0.40972222222222221</v>
      </c>
      <c r="Q1059" s="5">
        <v>1590</v>
      </c>
      <c r="R1059" s="14">
        <v>13.9</v>
      </c>
      <c r="S1059">
        <v>114</v>
      </c>
      <c r="T1059" s="5">
        <v>23</v>
      </c>
      <c r="U1059" s="5">
        <v>617</v>
      </c>
      <c r="V1059" s="5">
        <v>0</v>
      </c>
      <c r="W1059" s="5"/>
      <c r="X1059" s="5"/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</row>
    <row r="1060" spans="1:37" x14ac:dyDescent="0.25">
      <c r="A1060" s="11">
        <f>Table1[[#This Row],[Milk Yield]]-J1056</f>
        <v>-223</v>
      </c>
      <c r="B1060" t="s">
        <v>24</v>
      </c>
      <c r="C1060" s="2">
        <v>2</v>
      </c>
      <c r="D1060" s="12">
        <v>45732</v>
      </c>
      <c r="E1060" s="2">
        <v>31</v>
      </c>
      <c r="F1060" s="13">
        <v>0.66587962962962965</v>
      </c>
      <c r="G1060" s="3">
        <v>0.87765046296296301</v>
      </c>
      <c r="H1060" s="1">
        <v>0.21111111111111111</v>
      </c>
      <c r="I1060" s="5">
        <v>643</v>
      </c>
      <c r="J1060">
        <v>7413</v>
      </c>
      <c r="K1060">
        <v>127</v>
      </c>
      <c r="L1060" s="5">
        <v>53</v>
      </c>
      <c r="M1060" s="5">
        <v>643</v>
      </c>
      <c r="N1060">
        <v>7</v>
      </c>
      <c r="O1060">
        <v>636</v>
      </c>
      <c r="P1060" s="1">
        <v>0.26597222222222222</v>
      </c>
      <c r="Q1060" s="5">
        <v>1459</v>
      </c>
      <c r="R1060" s="14">
        <v>11.6</v>
      </c>
      <c r="S1060">
        <v>127</v>
      </c>
      <c r="T1060" s="5">
        <v>7</v>
      </c>
      <c r="U1060" s="5">
        <v>636</v>
      </c>
      <c r="V1060" s="5">
        <v>0</v>
      </c>
      <c r="W1060" s="5"/>
      <c r="X1060" s="5"/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</row>
    <row r="1061" spans="1:37" x14ac:dyDescent="0.25">
      <c r="A1061" s="11">
        <f>Table1[[#This Row],[Milk Yield]]-J1057</f>
        <v>-324</v>
      </c>
      <c r="B1061" t="s">
        <v>24</v>
      </c>
      <c r="C1061" s="2">
        <v>3</v>
      </c>
      <c r="D1061" s="12">
        <v>45732</v>
      </c>
      <c r="E1061" s="2">
        <v>29</v>
      </c>
      <c r="F1061" s="13">
        <v>3.7615740740740739E-3</v>
      </c>
      <c r="G1061" s="3">
        <v>0.18857638888888889</v>
      </c>
      <c r="H1061" s="1">
        <v>0.18472222222222223</v>
      </c>
      <c r="I1061" s="5">
        <v>645</v>
      </c>
      <c r="J1061">
        <v>7069</v>
      </c>
      <c r="K1061">
        <v>145</v>
      </c>
      <c r="L1061" s="5">
        <v>144</v>
      </c>
      <c r="M1061" s="5">
        <v>641</v>
      </c>
      <c r="N1061">
        <v>13</v>
      </c>
      <c r="O1061">
        <v>628</v>
      </c>
      <c r="P1061" s="1">
        <v>0.25555555555555554</v>
      </c>
      <c r="Q1061" s="5">
        <v>1594</v>
      </c>
      <c r="R1061" s="14">
        <v>11.1</v>
      </c>
      <c r="S1061">
        <v>145</v>
      </c>
      <c r="T1061" s="5">
        <v>13</v>
      </c>
      <c r="U1061" s="5">
        <v>628</v>
      </c>
      <c r="V1061" s="5">
        <v>0</v>
      </c>
      <c r="W1061" s="5"/>
      <c r="X1061" s="5"/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</row>
    <row r="1062" spans="1:37" x14ac:dyDescent="0.25">
      <c r="A1062" s="11" t="e">
        <f>Table1[[#This Row],[Milk Yield]]-J1058</f>
        <v>#VALUE!</v>
      </c>
      <c r="B1062" t="s">
        <v>0</v>
      </c>
      <c r="C1062" s="2" t="s">
        <v>1</v>
      </c>
      <c r="D1062" s="12" t="s">
        <v>2</v>
      </c>
      <c r="E1062" s="2" t="s">
        <v>3</v>
      </c>
      <c r="F1062" s="13" t="s">
        <v>4</v>
      </c>
      <c r="G1062" s="3" t="s">
        <v>5</v>
      </c>
      <c r="H1062" s="1" t="s">
        <v>6</v>
      </c>
      <c r="I1062" s="5" t="s">
        <v>8</v>
      </c>
      <c r="J1062" t="s">
        <v>9</v>
      </c>
      <c r="K1062" t="s">
        <v>10</v>
      </c>
      <c r="L1062" s="5" t="s">
        <v>11</v>
      </c>
      <c r="M1062" s="5" t="s">
        <v>12</v>
      </c>
      <c r="N1062" t="s">
        <v>13</v>
      </c>
      <c r="O1062" t="s">
        <v>20</v>
      </c>
      <c r="P1062" s="1" t="s">
        <v>7</v>
      </c>
      <c r="Q1062" s="5" t="s">
        <v>15</v>
      </c>
      <c r="R1062" s="14" t="s">
        <v>18</v>
      </c>
      <c r="S1062" t="s">
        <v>16</v>
      </c>
      <c r="T1062" s="5" t="s">
        <v>14</v>
      </c>
      <c r="U1062" s="5" t="s">
        <v>17</v>
      </c>
      <c r="V1062" s="5" t="s">
        <v>19</v>
      </c>
      <c r="W1062" s="5"/>
      <c r="X1062" s="5"/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</row>
    <row r="1063" spans="1:37" x14ac:dyDescent="0.25">
      <c r="A1063" s="11">
        <f>Table1[[#This Row],[Milk Yield]]-J1059</f>
        <v>40</v>
      </c>
      <c r="B1063" t="s">
        <v>24</v>
      </c>
      <c r="C1063" s="2">
        <v>1</v>
      </c>
      <c r="D1063" s="12">
        <v>45733</v>
      </c>
      <c r="E1063" s="2">
        <v>29</v>
      </c>
      <c r="F1063" s="13">
        <v>0.33447916666666666</v>
      </c>
      <c r="G1063" s="3">
        <v>0.56792824074074078</v>
      </c>
      <c r="H1063" s="1">
        <v>0.23333333333333334</v>
      </c>
      <c r="I1063" s="5">
        <v>642</v>
      </c>
      <c r="J1063">
        <v>8936</v>
      </c>
      <c r="K1063">
        <v>115</v>
      </c>
      <c r="L1063" s="5">
        <v>108</v>
      </c>
      <c r="M1063" s="5">
        <v>642</v>
      </c>
      <c r="N1063">
        <v>11</v>
      </c>
      <c r="O1063">
        <v>631</v>
      </c>
      <c r="P1063" s="1">
        <v>0.40138888888888891</v>
      </c>
      <c r="Q1063" s="5">
        <v>1595</v>
      </c>
      <c r="R1063" s="14">
        <v>14</v>
      </c>
      <c r="S1063">
        <v>115</v>
      </c>
      <c r="T1063" s="5">
        <v>11</v>
      </c>
      <c r="U1063" s="5">
        <v>618</v>
      </c>
      <c r="V1063" s="5">
        <v>0</v>
      </c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</row>
    <row r="1064" spans="1:37" x14ac:dyDescent="0.25">
      <c r="A1064" s="11">
        <f>Table1[[#This Row],[Milk Yield]]-J1060</f>
        <v>-53</v>
      </c>
      <c r="B1064" t="s">
        <v>24</v>
      </c>
      <c r="C1064" s="2">
        <v>2</v>
      </c>
      <c r="D1064" s="12">
        <v>45733</v>
      </c>
      <c r="E1064" s="2">
        <v>29</v>
      </c>
      <c r="F1064" s="13">
        <v>0.6664930555555556</v>
      </c>
      <c r="G1064" s="3">
        <v>0.89744212962962966</v>
      </c>
      <c r="H1064" s="1">
        <v>0.23055555555555557</v>
      </c>
      <c r="I1064" s="5">
        <v>647</v>
      </c>
      <c r="J1064">
        <v>7360</v>
      </c>
      <c r="K1064">
        <v>117</v>
      </c>
      <c r="L1064" s="5">
        <v>52</v>
      </c>
      <c r="M1064" s="5">
        <v>647</v>
      </c>
      <c r="N1064">
        <v>5</v>
      </c>
      <c r="O1064">
        <v>642</v>
      </c>
      <c r="P1064" s="1">
        <v>0.28194444444444444</v>
      </c>
      <c r="Q1064" s="5">
        <v>1328</v>
      </c>
      <c r="R1064" s="14">
        <v>11.4</v>
      </c>
      <c r="S1064">
        <v>117</v>
      </c>
      <c r="T1064" s="5">
        <v>5</v>
      </c>
      <c r="U1064" s="5">
        <v>642</v>
      </c>
      <c r="V1064" s="5">
        <v>0</v>
      </c>
      <c r="W1064" s="5"/>
      <c r="X1064" s="5"/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</row>
    <row r="1065" spans="1:37" x14ac:dyDescent="0.25">
      <c r="A1065" s="11">
        <f>Table1[[#This Row],[Milk Yield]]-J1061</f>
        <v>-166</v>
      </c>
      <c r="B1065" t="s">
        <v>24</v>
      </c>
      <c r="C1065" s="2">
        <v>3</v>
      </c>
      <c r="D1065" s="12">
        <v>45733</v>
      </c>
      <c r="E1065" s="2">
        <v>30</v>
      </c>
      <c r="F1065" s="13">
        <v>0.99902777777777774</v>
      </c>
      <c r="G1065" s="3">
        <v>0.20297453703703705</v>
      </c>
      <c r="H1065" s="1">
        <v>0.20347222222222222</v>
      </c>
      <c r="I1065" s="5">
        <v>619</v>
      </c>
      <c r="J1065">
        <v>6903</v>
      </c>
      <c r="K1065">
        <v>126</v>
      </c>
      <c r="L1065" s="5">
        <v>199</v>
      </c>
      <c r="M1065" s="5">
        <v>618</v>
      </c>
      <c r="N1065">
        <v>24</v>
      </c>
      <c r="O1065">
        <v>594</v>
      </c>
      <c r="P1065" s="1">
        <v>0.32222222222222224</v>
      </c>
      <c r="Q1065" s="5">
        <v>1410</v>
      </c>
      <c r="R1065" s="14">
        <v>11.2</v>
      </c>
      <c r="S1065">
        <v>126</v>
      </c>
      <c r="T1065" s="5">
        <v>24</v>
      </c>
      <c r="U1065" s="5">
        <v>594</v>
      </c>
      <c r="V1065" s="5">
        <v>0</v>
      </c>
      <c r="W1065" s="5"/>
      <c r="X1065" s="5"/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</row>
    <row r="1066" spans="1:37" x14ac:dyDescent="0.25">
      <c r="A1066" s="11" t="e">
        <f>Table1[[#This Row],[Milk Yield]]-J1062</f>
        <v>#VALUE!</v>
      </c>
      <c r="B1066" t="s">
        <v>0</v>
      </c>
      <c r="C1066" s="2" t="s">
        <v>1</v>
      </c>
      <c r="D1066" s="12" t="s">
        <v>2</v>
      </c>
      <c r="E1066" s="2" t="s">
        <v>3</v>
      </c>
      <c r="F1066" s="13" t="s">
        <v>4</v>
      </c>
      <c r="G1066" s="3" t="s">
        <v>5</v>
      </c>
      <c r="H1066" s="1" t="s">
        <v>6</v>
      </c>
      <c r="I1066" s="5" t="s">
        <v>8</v>
      </c>
      <c r="J1066" t="s">
        <v>9</v>
      </c>
      <c r="K1066" t="s">
        <v>10</v>
      </c>
      <c r="L1066" s="5" t="s">
        <v>11</v>
      </c>
      <c r="M1066" s="5" t="s">
        <v>12</v>
      </c>
      <c r="N1066" t="s">
        <v>13</v>
      </c>
      <c r="O1066" t="s">
        <v>20</v>
      </c>
      <c r="P1066" s="1" t="s">
        <v>7</v>
      </c>
      <c r="Q1066" s="5" t="s">
        <v>15</v>
      </c>
      <c r="R1066" s="14" t="s">
        <v>18</v>
      </c>
      <c r="S1066" t="s">
        <v>16</v>
      </c>
      <c r="T1066" s="5" t="s">
        <v>14</v>
      </c>
      <c r="U1066" s="5" t="s">
        <v>17</v>
      </c>
      <c r="V1066" s="5" t="s">
        <v>19</v>
      </c>
      <c r="W1066" s="5"/>
      <c r="X1066" s="5"/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</row>
    <row r="1067" spans="1:37" x14ac:dyDescent="0.25">
      <c r="A1067" s="11">
        <f>Table1[[#This Row],[Milk Yield]]-J1063</f>
        <v>-259</v>
      </c>
      <c r="B1067" t="s">
        <v>24</v>
      </c>
      <c r="C1067">
        <v>1</v>
      </c>
      <c r="D1067" s="12">
        <v>45734</v>
      </c>
      <c r="E1067">
        <v>29</v>
      </c>
      <c r="F1067" s="16">
        <v>0.33447916666666666</v>
      </c>
      <c r="G1067" s="16">
        <v>0.5658333333333333</v>
      </c>
      <c r="H1067" s="1">
        <v>0.23125000000000001</v>
      </c>
      <c r="I1067" s="5">
        <v>646</v>
      </c>
      <c r="J1067">
        <v>8677</v>
      </c>
      <c r="K1067">
        <v>130</v>
      </c>
      <c r="L1067">
        <v>151</v>
      </c>
      <c r="M1067" s="5">
        <v>646</v>
      </c>
      <c r="N1067">
        <v>16</v>
      </c>
      <c r="O1067" s="5">
        <v>641</v>
      </c>
      <c r="P1067" s="1">
        <v>0.37847222222222221</v>
      </c>
      <c r="Q1067">
        <v>596</v>
      </c>
      <c r="R1067">
        <v>13.7</v>
      </c>
      <c r="S1067">
        <v>44</v>
      </c>
      <c r="T1067">
        <v>16</v>
      </c>
      <c r="U1067" s="5">
        <v>641</v>
      </c>
      <c r="V1067">
        <v>0</v>
      </c>
    </row>
    <row r="1068" spans="1:37" x14ac:dyDescent="0.25">
      <c r="A1068" s="11">
        <f>Table1[[#This Row],[Milk Yield]]-J1064</f>
        <v>14</v>
      </c>
      <c r="B1068" t="s">
        <v>24</v>
      </c>
      <c r="C1068" s="2">
        <v>2</v>
      </c>
      <c r="D1068" s="12">
        <v>45734</v>
      </c>
      <c r="E1068" s="2">
        <v>30</v>
      </c>
      <c r="F1068" s="16">
        <v>0.67513888888888884</v>
      </c>
      <c r="G1068" s="3">
        <v>0.87667824074074074</v>
      </c>
      <c r="H1068" s="1">
        <v>0.2013888888888889</v>
      </c>
      <c r="I1068" s="5">
        <v>643</v>
      </c>
      <c r="J1068">
        <v>7374</v>
      </c>
      <c r="K1068">
        <v>133</v>
      </c>
      <c r="L1068" s="5">
        <v>27</v>
      </c>
      <c r="M1068" s="5">
        <v>642</v>
      </c>
      <c r="N1068">
        <v>3</v>
      </c>
      <c r="O1068">
        <v>639</v>
      </c>
      <c r="P1068" s="1">
        <v>0.27083333333333331</v>
      </c>
      <c r="Q1068" s="5">
        <v>1524</v>
      </c>
      <c r="R1068" s="14">
        <v>11.5</v>
      </c>
      <c r="S1068">
        <v>133</v>
      </c>
      <c r="T1068" s="5">
        <v>3</v>
      </c>
      <c r="U1068" s="5">
        <v>639</v>
      </c>
      <c r="V1068" s="5">
        <v>0</v>
      </c>
      <c r="W1068" s="5"/>
      <c r="X1068" s="5"/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</row>
    <row r="1069" spans="1:37" x14ac:dyDescent="0.25">
      <c r="A1069" s="11">
        <f>Table1[[#This Row],[Milk Yield]]-J1065</f>
        <v>-400</v>
      </c>
      <c r="B1069" t="s">
        <v>24</v>
      </c>
      <c r="C1069" s="2">
        <v>3</v>
      </c>
      <c r="D1069" s="12">
        <v>45734</v>
      </c>
      <c r="E1069" s="2">
        <v>29</v>
      </c>
      <c r="F1069" s="16">
        <v>4.6296296296296294E-5</v>
      </c>
      <c r="G1069" s="3">
        <v>0.21868055555555554</v>
      </c>
      <c r="H1069" s="1">
        <v>0.21805555555555556</v>
      </c>
      <c r="I1069" s="5">
        <v>591</v>
      </c>
      <c r="J1069">
        <v>6503</v>
      </c>
      <c r="K1069">
        <v>113</v>
      </c>
      <c r="L1069" s="5">
        <v>99</v>
      </c>
      <c r="M1069" s="5">
        <v>589</v>
      </c>
      <c r="N1069">
        <v>8</v>
      </c>
      <c r="O1069">
        <v>581</v>
      </c>
      <c r="P1069" s="1">
        <v>0.28333333333333333</v>
      </c>
      <c r="Q1069" s="5">
        <v>1239</v>
      </c>
      <c r="R1069" s="14">
        <v>11.1</v>
      </c>
      <c r="S1069">
        <v>112</v>
      </c>
      <c r="T1069" s="5">
        <v>8</v>
      </c>
      <c r="U1069" s="5">
        <v>581</v>
      </c>
      <c r="V1069" s="5">
        <v>0</v>
      </c>
      <c r="W1069" s="5"/>
      <c r="X1069" s="5"/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</row>
    <row r="1070" spans="1:37" x14ac:dyDescent="0.25">
      <c r="A1070" s="11" t="e">
        <f>Table1[[#This Row],[Milk Yield]]-J1066</f>
        <v>#VALUE!</v>
      </c>
      <c r="B1070" t="s">
        <v>0</v>
      </c>
      <c r="C1070" s="2" t="s">
        <v>1</v>
      </c>
      <c r="D1070" s="12" t="s">
        <v>2</v>
      </c>
      <c r="E1070" s="2" t="s">
        <v>3</v>
      </c>
      <c r="F1070" s="13" t="s">
        <v>4</v>
      </c>
      <c r="G1070" s="3" t="s">
        <v>5</v>
      </c>
      <c r="H1070" s="1" t="s">
        <v>6</v>
      </c>
      <c r="I1070" s="5" t="s">
        <v>8</v>
      </c>
      <c r="J1070" t="s">
        <v>9</v>
      </c>
      <c r="K1070" t="s">
        <v>10</v>
      </c>
      <c r="L1070" s="5" t="s">
        <v>11</v>
      </c>
      <c r="M1070" s="5" t="s">
        <v>12</v>
      </c>
      <c r="N1070" t="s">
        <v>13</v>
      </c>
      <c r="O1070" t="s">
        <v>20</v>
      </c>
      <c r="P1070" s="1" t="s">
        <v>7</v>
      </c>
      <c r="Q1070" s="5" t="s">
        <v>15</v>
      </c>
      <c r="R1070" s="14" t="s">
        <v>18</v>
      </c>
      <c r="S1070" t="s">
        <v>16</v>
      </c>
      <c r="T1070" s="5" t="s">
        <v>14</v>
      </c>
      <c r="U1070" s="5" t="s">
        <v>17</v>
      </c>
      <c r="V1070" s="5" t="s">
        <v>19</v>
      </c>
      <c r="W1070" s="5"/>
      <c r="X1070" s="5"/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</row>
    <row r="1071" spans="1:37" x14ac:dyDescent="0.25">
      <c r="A1071" s="11">
        <f>Table1[[#This Row],[Milk Yield]]-J1067</f>
        <v>-104</v>
      </c>
      <c r="B1071" t="s">
        <v>24</v>
      </c>
      <c r="C1071" s="2">
        <v>1</v>
      </c>
      <c r="D1071" s="12">
        <v>45735</v>
      </c>
      <c r="E1071" s="2">
        <v>29</v>
      </c>
      <c r="F1071" s="13">
        <v>0.33322916666666669</v>
      </c>
      <c r="G1071" s="3">
        <v>0.53994212962962962</v>
      </c>
      <c r="H1071" s="1">
        <v>0.20624999999999999</v>
      </c>
      <c r="I1071" s="5">
        <v>643</v>
      </c>
      <c r="J1071">
        <v>8573</v>
      </c>
      <c r="K1071">
        <v>130</v>
      </c>
      <c r="L1071" s="5">
        <v>57</v>
      </c>
      <c r="M1071" s="5">
        <v>643</v>
      </c>
      <c r="N1071">
        <v>7</v>
      </c>
      <c r="O1071">
        <v>636</v>
      </c>
      <c r="P1071" s="1">
        <v>0.33819444444444446</v>
      </c>
      <c r="Q1071" s="5">
        <v>1728</v>
      </c>
      <c r="R1071" s="14">
        <v>13.4</v>
      </c>
      <c r="S1071">
        <v>130</v>
      </c>
      <c r="T1071" s="5">
        <v>7</v>
      </c>
      <c r="U1071" s="5">
        <v>636</v>
      </c>
      <c r="V1071" s="5">
        <v>0</v>
      </c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</row>
    <row r="1072" spans="1:37" x14ac:dyDescent="0.25">
      <c r="A1072" s="11">
        <f>Table1[[#This Row],[Milk Yield]]-J1068</f>
        <v>-255</v>
      </c>
      <c r="B1072" t="s">
        <v>24</v>
      </c>
      <c r="C1072" s="2">
        <v>2</v>
      </c>
      <c r="D1072" s="12">
        <v>45735</v>
      </c>
      <c r="E1072" s="2">
        <v>30</v>
      </c>
      <c r="F1072" s="13">
        <v>0.66822916666666665</v>
      </c>
      <c r="G1072" s="3">
        <v>0.85863425925925929</v>
      </c>
      <c r="H1072" s="1">
        <v>0.19027777777777777</v>
      </c>
      <c r="I1072" s="5">
        <v>640</v>
      </c>
      <c r="J1072">
        <v>7119</v>
      </c>
      <c r="K1072">
        <v>140</v>
      </c>
      <c r="L1072" s="5">
        <v>76</v>
      </c>
      <c r="M1072" s="5">
        <v>640</v>
      </c>
      <c r="N1072">
        <v>9</v>
      </c>
      <c r="O1072">
        <v>631</v>
      </c>
      <c r="P1072" s="1">
        <v>0.25416666666666665</v>
      </c>
      <c r="Q1072" s="5">
        <v>1558</v>
      </c>
      <c r="R1072" s="14">
        <v>11.2</v>
      </c>
      <c r="S1072">
        <v>140</v>
      </c>
      <c r="T1072" s="5">
        <v>9</v>
      </c>
      <c r="U1072" s="5">
        <v>631</v>
      </c>
      <c r="V1072" s="5">
        <v>0</v>
      </c>
      <c r="W1072" s="5"/>
      <c r="X1072" s="5"/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</row>
    <row r="1073" spans="1:37" x14ac:dyDescent="0.25">
      <c r="A1073" s="11">
        <f>Table1[[#This Row],[Milk Yield]]-J1069</f>
        <v>339</v>
      </c>
      <c r="B1073" t="s">
        <v>24</v>
      </c>
      <c r="C1073" s="2">
        <v>3</v>
      </c>
      <c r="D1073" s="12">
        <v>45735</v>
      </c>
      <c r="E1073" s="2">
        <v>30</v>
      </c>
      <c r="F1073" s="13">
        <v>0.99966435185185187</v>
      </c>
      <c r="G1073" s="3">
        <v>0.18733796296296296</v>
      </c>
      <c r="H1073" s="1">
        <v>0.1875</v>
      </c>
      <c r="I1073" s="5">
        <v>617</v>
      </c>
      <c r="J1073">
        <v>6842</v>
      </c>
      <c r="K1073">
        <v>137</v>
      </c>
      <c r="L1073" s="5">
        <v>179</v>
      </c>
      <c r="M1073" s="5">
        <v>617</v>
      </c>
      <c r="N1073">
        <v>17</v>
      </c>
      <c r="O1073">
        <v>600</v>
      </c>
      <c r="P1073" s="1">
        <v>0.26111111111111113</v>
      </c>
      <c r="Q1073" s="5">
        <v>1519</v>
      </c>
      <c r="R1073" s="14">
        <v>11.1</v>
      </c>
      <c r="S1073">
        <v>137</v>
      </c>
      <c r="T1073" s="5">
        <v>17</v>
      </c>
      <c r="U1073" s="5">
        <v>600</v>
      </c>
      <c r="V1073" s="5">
        <v>0</v>
      </c>
      <c r="W1073" s="5"/>
      <c r="X1073" s="5"/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</row>
    <row r="1074" spans="1:37" x14ac:dyDescent="0.25">
      <c r="A1074" s="11" t="e">
        <f>Table1[[#This Row],[Milk Yield]]-J1070</f>
        <v>#VALUE!</v>
      </c>
      <c r="B1074" t="s">
        <v>0</v>
      </c>
      <c r="C1074" s="2" t="s">
        <v>1</v>
      </c>
      <c r="D1074" s="12" t="s">
        <v>2</v>
      </c>
      <c r="E1074" s="2" t="s">
        <v>3</v>
      </c>
      <c r="F1074" s="13" t="s">
        <v>4</v>
      </c>
      <c r="G1074" s="3" t="s">
        <v>5</v>
      </c>
      <c r="H1074" s="1" t="s">
        <v>6</v>
      </c>
      <c r="I1074" s="5" t="s">
        <v>8</v>
      </c>
      <c r="J1074" t="s">
        <v>9</v>
      </c>
      <c r="K1074" t="s">
        <v>10</v>
      </c>
      <c r="L1074" s="5" t="s">
        <v>11</v>
      </c>
      <c r="M1074" s="5" t="s">
        <v>12</v>
      </c>
      <c r="N1074" t="s">
        <v>13</v>
      </c>
      <c r="O1074" t="s">
        <v>20</v>
      </c>
      <c r="P1074" s="1" t="s">
        <v>7</v>
      </c>
      <c r="Q1074" s="5" t="s">
        <v>15</v>
      </c>
      <c r="R1074" s="14" t="s">
        <v>18</v>
      </c>
      <c r="S1074" t="s">
        <v>16</v>
      </c>
      <c r="T1074" s="5" t="s">
        <v>14</v>
      </c>
      <c r="U1074" s="5" t="s">
        <v>17</v>
      </c>
      <c r="V1074" s="5" t="s">
        <v>19</v>
      </c>
      <c r="W1074" s="5"/>
      <c r="X1074" s="5"/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</row>
    <row r="1075" spans="1:37" x14ac:dyDescent="0.25">
      <c r="A1075" s="11">
        <f>Table1[[#This Row],[Milk Yield]]-J1071</f>
        <v>663</v>
      </c>
      <c r="B1075" t="s">
        <v>24</v>
      </c>
      <c r="C1075" s="2">
        <v>1</v>
      </c>
      <c r="D1075" s="12">
        <v>45736</v>
      </c>
      <c r="E1075" s="2">
        <v>30</v>
      </c>
      <c r="F1075" s="13">
        <v>0.34775462962962961</v>
      </c>
      <c r="G1075" s="3">
        <v>0.57454861111111111</v>
      </c>
      <c r="H1075" s="1">
        <v>0.22638888888888889</v>
      </c>
      <c r="I1075" s="5">
        <v>655</v>
      </c>
      <c r="J1075">
        <v>9236</v>
      </c>
      <c r="K1075">
        <v>120</v>
      </c>
      <c r="L1075" s="5">
        <v>284</v>
      </c>
      <c r="M1075" s="5">
        <v>655</v>
      </c>
      <c r="N1075">
        <v>24</v>
      </c>
      <c r="O1075">
        <v>631</v>
      </c>
      <c r="P1075" s="1">
        <v>0.33958333333333335</v>
      </c>
      <c r="Q1075" s="5">
        <v>1697</v>
      </c>
      <c r="R1075" s="14">
        <v>14.2</v>
      </c>
      <c r="S1075">
        <v>120</v>
      </c>
      <c r="T1075" s="5">
        <v>24</v>
      </c>
      <c r="U1075" s="5">
        <v>631</v>
      </c>
      <c r="V1075" s="5">
        <v>0</v>
      </c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</row>
    <row r="1076" spans="1:37" x14ac:dyDescent="0.25">
      <c r="A1076" s="11">
        <f>Table1[[#This Row],[Milk Yield]]-J1072</f>
        <v>-438</v>
      </c>
      <c r="B1076" t="s">
        <v>24</v>
      </c>
      <c r="C1076" s="2">
        <v>2</v>
      </c>
      <c r="D1076" s="12">
        <v>45736</v>
      </c>
      <c r="E1076" s="2">
        <v>30</v>
      </c>
      <c r="F1076" s="13">
        <v>0.66827546296296292</v>
      </c>
      <c r="G1076" s="3">
        <v>0.88115740740740744</v>
      </c>
      <c r="H1076" s="1">
        <v>0.21249999999999999</v>
      </c>
      <c r="I1076" s="5">
        <v>641</v>
      </c>
      <c r="J1076">
        <v>6681</v>
      </c>
      <c r="K1076">
        <v>125</v>
      </c>
      <c r="L1076" s="5">
        <v>51</v>
      </c>
      <c r="M1076" s="5">
        <v>641</v>
      </c>
      <c r="N1076">
        <v>5</v>
      </c>
      <c r="O1076">
        <v>636</v>
      </c>
      <c r="P1076" s="1">
        <v>0.25763888888888886</v>
      </c>
      <c r="Q1076" s="5">
        <v>1308</v>
      </c>
      <c r="R1076" s="14">
        <v>10.5</v>
      </c>
      <c r="S1076">
        <v>125</v>
      </c>
      <c r="T1076" s="5">
        <v>5</v>
      </c>
      <c r="U1076" s="5">
        <v>636</v>
      </c>
      <c r="V1076" s="5">
        <v>0</v>
      </c>
      <c r="W1076" s="5"/>
      <c r="X1076" s="5"/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</row>
    <row r="1077" spans="1:37" x14ac:dyDescent="0.25">
      <c r="A1077" s="11">
        <f>Table1[[#This Row],[Milk Yield]]-J1073</f>
        <v>-244</v>
      </c>
      <c r="B1077" t="s">
        <v>24</v>
      </c>
      <c r="C1077" s="2">
        <v>3</v>
      </c>
      <c r="D1077" s="12">
        <v>45736</v>
      </c>
      <c r="E1077" s="2">
        <v>31</v>
      </c>
      <c r="F1077" s="13">
        <v>0.99842592592592594</v>
      </c>
      <c r="G1077" s="3">
        <v>0.17486111111111111</v>
      </c>
      <c r="H1077" s="1">
        <v>0.1763888888888889</v>
      </c>
      <c r="I1077" s="5">
        <v>604</v>
      </c>
      <c r="J1077">
        <v>6598</v>
      </c>
      <c r="K1077">
        <v>143</v>
      </c>
      <c r="L1077" s="5">
        <v>137</v>
      </c>
      <c r="M1077" s="5">
        <v>601</v>
      </c>
      <c r="N1077">
        <v>13</v>
      </c>
      <c r="O1077">
        <v>588</v>
      </c>
      <c r="P1077" s="1">
        <v>0.24791666666666667</v>
      </c>
      <c r="Q1077" s="5">
        <v>1558</v>
      </c>
      <c r="R1077" s="14">
        <v>11</v>
      </c>
      <c r="S1077">
        <v>142</v>
      </c>
      <c r="T1077" s="5">
        <v>13</v>
      </c>
      <c r="U1077" s="5">
        <v>588</v>
      </c>
      <c r="V1077" s="5">
        <v>0</v>
      </c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</row>
    <row r="1078" spans="1:37" x14ac:dyDescent="0.25">
      <c r="A1078" s="11" t="e">
        <f>Table1[[#This Row],[Milk Yield]]-J1074</f>
        <v>#VALUE!</v>
      </c>
      <c r="B1078" t="s">
        <v>0</v>
      </c>
      <c r="C1078" s="2" t="s">
        <v>1</v>
      </c>
      <c r="D1078" s="12" t="s">
        <v>2</v>
      </c>
      <c r="E1078" s="2" t="s">
        <v>3</v>
      </c>
      <c r="F1078" s="13" t="s">
        <v>4</v>
      </c>
      <c r="G1078" s="3" t="s">
        <v>5</v>
      </c>
      <c r="H1078" s="1" t="s">
        <v>6</v>
      </c>
      <c r="I1078" s="5" t="s">
        <v>8</v>
      </c>
      <c r="J1078" t="s">
        <v>9</v>
      </c>
      <c r="K1078" t="s">
        <v>10</v>
      </c>
      <c r="L1078" s="5" t="s">
        <v>11</v>
      </c>
      <c r="M1078" s="5" t="s">
        <v>12</v>
      </c>
      <c r="N1078" t="s">
        <v>13</v>
      </c>
      <c r="O1078" t="s">
        <v>20</v>
      </c>
      <c r="P1078" s="1" t="s">
        <v>7</v>
      </c>
      <c r="Q1078" s="5" t="s">
        <v>15</v>
      </c>
      <c r="R1078" s="14" t="s">
        <v>18</v>
      </c>
      <c r="S1078" t="s">
        <v>16</v>
      </c>
      <c r="T1078" s="5" t="s">
        <v>14</v>
      </c>
      <c r="U1078" s="5" t="s">
        <v>17</v>
      </c>
      <c r="V1078" s="5" t="s">
        <v>19</v>
      </c>
      <c r="W1078" s="5"/>
      <c r="X1078" s="5"/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</row>
    <row r="1079" spans="1:37" x14ac:dyDescent="0.25">
      <c r="A1079" s="11">
        <f>Table1[[#This Row],[Milk Yield]]-J1075</f>
        <v>63</v>
      </c>
      <c r="B1079" t="s">
        <v>24</v>
      </c>
      <c r="C1079" s="2">
        <v>1</v>
      </c>
      <c r="D1079" s="12">
        <v>45737</v>
      </c>
      <c r="E1079" s="2">
        <v>31</v>
      </c>
      <c r="F1079" s="13">
        <v>0.33292824074074073</v>
      </c>
      <c r="G1079" s="3">
        <v>0.57121527777777781</v>
      </c>
      <c r="H1079" s="1">
        <v>0.23819444444444443</v>
      </c>
      <c r="I1079" s="5">
        <v>641</v>
      </c>
      <c r="J1079">
        <v>9299</v>
      </c>
      <c r="K1079">
        <v>112</v>
      </c>
      <c r="L1079" s="5">
        <v>151</v>
      </c>
      <c r="M1079" s="5">
        <v>641</v>
      </c>
      <c r="N1079">
        <v>10</v>
      </c>
      <c r="O1079">
        <v>631</v>
      </c>
      <c r="P1079" s="1">
        <v>0.37708333333333333</v>
      </c>
      <c r="Q1079" s="5">
        <v>1626</v>
      </c>
      <c r="R1079" s="14">
        <v>14.6</v>
      </c>
      <c r="S1079">
        <v>112</v>
      </c>
      <c r="T1079" s="5">
        <v>10</v>
      </c>
      <c r="U1079" s="5">
        <v>631</v>
      </c>
      <c r="V1079" s="5">
        <v>0</v>
      </c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</row>
    <row r="1080" spans="1:37" x14ac:dyDescent="0.25">
      <c r="A1080" s="11">
        <f>Table1[[#This Row],[Milk Yield]]-J1076</f>
        <v>610</v>
      </c>
      <c r="B1080" t="s">
        <v>24</v>
      </c>
      <c r="C1080" s="2">
        <v>2</v>
      </c>
      <c r="D1080" s="12">
        <v>45737</v>
      </c>
      <c r="E1080" s="2">
        <v>28</v>
      </c>
      <c r="F1080" s="13">
        <v>0.66530092592592593</v>
      </c>
      <c r="G1080" s="3">
        <v>0.88177083333333328</v>
      </c>
      <c r="H1080" s="1">
        <v>0.21597222222222223</v>
      </c>
      <c r="I1080" s="5">
        <v>613</v>
      </c>
      <c r="J1080">
        <v>7291</v>
      </c>
      <c r="K1080">
        <v>118</v>
      </c>
      <c r="L1080" s="5">
        <v>126</v>
      </c>
      <c r="M1080" s="5">
        <v>613</v>
      </c>
      <c r="N1080">
        <v>12</v>
      </c>
      <c r="O1080">
        <v>601</v>
      </c>
      <c r="P1080" s="1">
        <v>0.25763888888888886</v>
      </c>
      <c r="Q1080" s="5">
        <v>1403</v>
      </c>
      <c r="R1080" s="14">
        <v>11.9</v>
      </c>
      <c r="S1080">
        <v>118</v>
      </c>
      <c r="T1080" s="5">
        <v>12</v>
      </c>
      <c r="U1080" s="5">
        <v>601</v>
      </c>
      <c r="V1080" s="5">
        <v>0</v>
      </c>
      <c r="W1080" s="5"/>
      <c r="X1080" s="5"/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</row>
    <row r="1081" spans="1:37" x14ac:dyDescent="0.25">
      <c r="A1081" s="11">
        <f>Table1[[#This Row],[Milk Yield]]-J1077</f>
        <v>-304</v>
      </c>
      <c r="B1081" t="s">
        <v>24</v>
      </c>
      <c r="C1081" s="2">
        <v>3</v>
      </c>
      <c r="D1081" s="12">
        <v>45737</v>
      </c>
      <c r="E1081" s="2">
        <v>27</v>
      </c>
      <c r="F1081" s="13">
        <v>0.99875000000000003</v>
      </c>
      <c r="G1081" s="3">
        <v>0.18864583333333335</v>
      </c>
      <c r="H1081" s="1">
        <v>0.18958333333333333</v>
      </c>
      <c r="I1081" s="5">
        <v>578</v>
      </c>
      <c r="J1081">
        <v>6294</v>
      </c>
      <c r="K1081">
        <v>127</v>
      </c>
      <c r="L1081" s="5">
        <v>158</v>
      </c>
      <c r="M1081" s="5">
        <v>577</v>
      </c>
      <c r="N1081">
        <v>15</v>
      </c>
      <c r="O1081">
        <v>562</v>
      </c>
      <c r="P1081" s="1">
        <v>0.25277777777777777</v>
      </c>
      <c r="Q1081" s="5">
        <v>1381</v>
      </c>
      <c r="R1081" s="14">
        <v>11</v>
      </c>
      <c r="S1081">
        <v>127</v>
      </c>
      <c r="T1081" s="5">
        <v>15</v>
      </c>
      <c r="U1081" s="5">
        <v>562</v>
      </c>
      <c r="V1081" s="5">
        <v>0</v>
      </c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</row>
    <row r="1082" spans="1:37" x14ac:dyDescent="0.25">
      <c r="A1082" s="11" t="e">
        <f>Table1[[#This Row],[Milk Yield]]-J1078</f>
        <v>#VALUE!</v>
      </c>
      <c r="B1082" t="s">
        <v>0</v>
      </c>
      <c r="C1082" s="2" t="s">
        <v>1</v>
      </c>
      <c r="D1082" s="12" t="s">
        <v>2</v>
      </c>
      <c r="E1082" s="2" t="s">
        <v>3</v>
      </c>
      <c r="F1082" s="13" t="s">
        <v>4</v>
      </c>
      <c r="G1082" s="3" t="s">
        <v>5</v>
      </c>
      <c r="H1082" s="1" t="s">
        <v>6</v>
      </c>
      <c r="I1082" s="5" t="s">
        <v>8</v>
      </c>
      <c r="J1082" t="s">
        <v>9</v>
      </c>
      <c r="K1082" t="s">
        <v>10</v>
      </c>
      <c r="L1082" s="5" t="s">
        <v>11</v>
      </c>
      <c r="M1082" s="5" t="s">
        <v>12</v>
      </c>
      <c r="N1082" t="s">
        <v>13</v>
      </c>
      <c r="O1082" t="s">
        <v>20</v>
      </c>
      <c r="P1082" s="1" t="s">
        <v>7</v>
      </c>
      <c r="Q1082" s="5" t="s">
        <v>15</v>
      </c>
      <c r="R1082" s="14" t="s">
        <v>18</v>
      </c>
      <c r="S1082" t="s">
        <v>16</v>
      </c>
      <c r="T1082" s="5" t="s">
        <v>14</v>
      </c>
      <c r="U1082" s="5" t="s">
        <v>17</v>
      </c>
      <c r="V1082" s="5" t="s">
        <v>19</v>
      </c>
      <c r="W1082" s="5"/>
      <c r="X1082" s="5"/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</row>
    <row r="1083" spans="1:37" x14ac:dyDescent="0.25">
      <c r="A1083" s="11">
        <f>Table1[[#This Row],[Milk Yield]]-J1079</f>
        <v>-505</v>
      </c>
      <c r="B1083" t="s">
        <v>24</v>
      </c>
      <c r="C1083" s="2">
        <v>1</v>
      </c>
      <c r="D1083" s="12">
        <v>45738</v>
      </c>
      <c r="E1083" s="2">
        <v>30</v>
      </c>
      <c r="F1083" s="13">
        <v>0.33275462962962965</v>
      </c>
      <c r="G1083" s="3">
        <v>0.54420138888888892</v>
      </c>
      <c r="H1083" s="1">
        <v>0.21111111111111111</v>
      </c>
      <c r="I1083" s="5">
        <v>609</v>
      </c>
      <c r="J1083">
        <v>8794</v>
      </c>
      <c r="K1083">
        <v>120</v>
      </c>
      <c r="L1083" s="5">
        <v>56</v>
      </c>
      <c r="M1083" s="5">
        <v>609</v>
      </c>
      <c r="N1083">
        <v>5</v>
      </c>
      <c r="O1083">
        <v>604</v>
      </c>
      <c r="P1083" s="1">
        <v>0.36041666666666666</v>
      </c>
      <c r="Q1083" s="5">
        <v>1733</v>
      </c>
      <c r="R1083" s="14">
        <v>14.5</v>
      </c>
      <c r="S1083">
        <v>120</v>
      </c>
      <c r="T1083" s="5">
        <v>5</v>
      </c>
      <c r="U1083" s="5">
        <v>604</v>
      </c>
      <c r="V1083" s="5">
        <v>0</v>
      </c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</row>
    <row r="1084" spans="1:37" x14ac:dyDescent="0.25">
      <c r="A1084" s="11">
        <f>Table1[[#This Row],[Milk Yield]]-J1080</f>
        <v>230</v>
      </c>
      <c r="B1084" t="s">
        <v>24</v>
      </c>
      <c r="C1084" s="2">
        <v>2</v>
      </c>
      <c r="D1084" s="12">
        <v>45738</v>
      </c>
      <c r="E1084" s="2">
        <v>29</v>
      </c>
      <c r="F1084" s="13">
        <v>0.67163194444444441</v>
      </c>
      <c r="G1084" s="3">
        <v>0.88128472222222221</v>
      </c>
      <c r="H1084" s="1">
        <v>0.20902777777777778</v>
      </c>
      <c r="I1084" s="5">
        <v>612</v>
      </c>
      <c r="J1084">
        <v>7521</v>
      </c>
      <c r="K1084">
        <v>122</v>
      </c>
      <c r="L1084" s="5">
        <v>160</v>
      </c>
      <c r="M1084" s="5">
        <v>611</v>
      </c>
      <c r="N1084">
        <v>18</v>
      </c>
      <c r="O1084">
        <v>593</v>
      </c>
      <c r="P1084" s="1">
        <v>0.28055555555555556</v>
      </c>
      <c r="Q1084" s="5">
        <v>1495</v>
      </c>
      <c r="R1084" s="14">
        <v>12.4</v>
      </c>
      <c r="S1084">
        <v>121</v>
      </c>
      <c r="T1084" s="5">
        <v>18</v>
      </c>
      <c r="U1084" s="5">
        <v>593</v>
      </c>
      <c r="V1084" s="5">
        <v>0</v>
      </c>
      <c r="W1084" s="5"/>
      <c r="X1084" s="5"/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</row>
    <row r="1085" spans="1:37" x14ac:dyDescent="0.25">
      <c r="A1085" s="11">
        <f>Table1[[#This Row],[Milk Yield]]-J1081</f>
        <v>434</v>
      </c>
      <c r="B1085" t="s">
        <v>24</v>
      </c>
      <c r="C1085" s="2">
        <v>3</v>
      </c>
      <c r="D1085" s="12">
        <v>45738</v>
      </c>
      <c r="E1085" s="2">
        <v>28</v>
      </c>
      <c r="F1085" s="13">
        <v>3.0671296296296297E-3</v>
      </c>
      <c r="G1085" s="3">
        <v>0.17309027777777777</v>
      </c>
      <c r="H1085" s="1">
        <v>0.16944444444444445</v>
      </c>
      <c r="I1085" s="5">
        <v>602</v>
      </c>
      <c r="J1085">
        <v>6728</v>
      </c>
      <c r="K1085">
        <v>148</v>
      </c>
      <c r="L1085" s="5">
        <v>190</v>
      </c>
      <c r="M1085" s="5">
        <v>602</v>
      </c>
      <c r="N1085">
        <v>16</v>
      </c>
      <c r="O1085">
        <v>586</v>
      </c>
      <c r="P1085" s="1">
        <v>0.2673611111111111</v>
      </c>
      <c r="Q1085" s="5">
        <v>1649</v>
      </c>
      <c r="R1085" s="14">
        <v>11.2</v>
      </c>
      <c r="S1085">
        <v>148</v>
      </c>
      <c r="T1085" s="5">
        <v>16</v>
      </c>
      <c r="U1085" s="5">
        <v>586</v>
      </c>
      <c r="V1085" s="5">
        <v>0</v>
      </c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</row>
    <row r="1086" spans="1:37" x14ac:dyDescent="0.25">
      <c r="A1086" s="11" t="e">
        <f>Table1[[#This Row],[Milk Yield]]-J1082</f>
        <v>#VALUE!</v>
      </c>
      <c r="B1086" t="s">
        <v>0</v>
      </c>
      <c r="C1086" s="2" t="s">
        <v>1</v>
      </c>
      <c r="D1086" s="12" t="s">
        <v>2</v>
      </c>
      <c r="E1086" s="2" t="s">
        <v>3</v>
      </c>
      <c r="F1086" s="13" t="s">
        <v>4</v>
      </c>
      <c r="G1086" s="3" t="s">
        <v>5</v>
      </c>
      <c r="H1086" s="1" t="s">
        <v>6</v>
      </c>
      <c r="I1086" s="5" t="s">
        <v>8</v>
      </c>
      <c r="J1086" t="s">
        <v>9</v>
      </c>
      <c r="K1086" t="s">
        <v>10</v>
      </c>
      <c r="L1086" s="5" t="s">
        <v>11</v>
      </c>
      <c r="M1086" s="5" t="s">
        <v>12</v>
      </c>
      <c r="N1086" t="s">
        <v>13</v>
      </c>
      <c r="O1086" t="s">
        <v>20</v>
      </c>
      <c r="P1086" s="1" t="s">
        <v>7</v>
      </c>
      <c r="Q1086" s="5" t="s">
        <v>15</v>
      </c>
      <c r="R1086" s="14" t="s">
        <v>18</v>
      </c>
      <c r="S1086" t="s">
        <v>16</v>
      </c>
      <c r="T1086" s="5" t="s">
        <v>14</v>
      </c>
      <c r="U1086" s="5" t="s">
        <v>17</v>
      </c>
      <c r="V1086" s="5" t="s">
        <v>19</v>
      </c>
      <c r="W1086" s="5"/>
      <c r="X1086" s="5"/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</row>
    <row r="1087" spans="1:37" x14ac:dyDescent="0.25">
      <c r="A1087" s="11">
        <f>Table1[[#This Row],[Milk Yield]]-J1083</f>
        <v>-8</v>
      </c>
      <c r="B1087" t="s">
        <v>24</v>
      </c>
      <c r="C1087" s="2">
        <v>1</v>
      </c>
      <c r="D1087" s="12">
        <v>45739</v>
      </c>
      <c r="E1087" s="2">
        <v>28</v>
      </c>
      <c r="F1087" s="13">
        <v>0.32756944444444447</v>
      </c>
      <c r="G1087" s="3">
        <v>0.5572569444444444</v>
      </c>
      <c r="H1087" s="1">
        <v>0.22916666666666666</v>
      </c>
      <c r="I1087" s="5">
        <v>616</v>
      </c>
      <c r="J1087">
        <v>8786</v>
      </c>
      <c r="K1087">
        <v>112</v>
      </c>
      <c r="L1087" s="5">
        <v>63</v>
      </c>
      <c r="M1087" s="5">
        <v>616</v>
      </c>
      <c r="N1087">
        <v>6</v>
      </c>
      <c r="O1087">
        <v>610</v>
      </c>
      <c r="P1087" s="1">
        <v>0.38611111111111113</v>
      </c>
      <c r="Q1087" s="5">
        <v>1594</v>
      </c>
      <c r="R1087" s="14">
        <v>14.3</v>
      </c>
      <c r="S1087">
        <v>112</v>
      </c>
      <c r="T1087" s="5">
        <v>6</v>
      </c>
      <c r="U1087" s="5">
        <v>610</v>
      </c>
      <c r="V1087" s="5">
        <v>0</v>
      </c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</row>
    <row r="1088" spans="1:37" x14ac:dyDescent="0.25">
      <c r="A1088" s="11">
        <f>Table1[[#This Row],[Milk Yield]]-J1084</f>
        <v>-130</v>
      </c>
      <c r="B1088" t="s">
        <v>24</v>
      </c>
      <c r="C1088" s="2">
        <v>2</v>
      </c>
      <c r="D1088" s="12">
        <v>45739</v>
      </c>
      <c r="E1088" s="2">
        <v>29</v>
      </c>
      <c r="F1088" s="13">
        <v>0.6655092592592593</v>
      </c>
      <c r="G1088" s="3">
        <v>0.88548611111111108</v>
      </c>
      <c r="H1088" s="1">
        <v>0.21944444444444444</v>
      </c>
      <c r="I1088" s="5">
        <v>619</v>
      </c>
      <c r="J1088">
        <v>7391</v>
      </c>
      <c r="K1088">
        <v>117</v>
      </c>
      <c r="L1088" s="5">
        <v>81</v>
      </c>
      <c r="M1088" s="5">
        <v>619</v>
      </c>
      <c r="N1088">
        <v>8</v>
      </c>
      <c r="O1088">
        <v>611</v>
      </c>
      <c r="P1088" s="1">
        <v>0.29236111111111113</v>
      </c>
      <c r="Q1088" s="5">
        <v>1400</v>
      </c>
      <c r="R1088" s="14">
        <v>12</v>
      </c>
      <c r="S1088">
        <v>117</v>
      </c>
      <c r="T1088" s="5">
        <v>8</v>
      </c>
      <c r="U1088" s="5">
        <v>611</v>
      </c>
      <c r="V1088" s="5">
        <v>0</v>
      </c>
      <c r="W1088" s="5"/>
      <c r="X1088" s="5"/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</row>
    <row r="1089" spans="1:37" x14ac:dyDescent="0.25">
      <c r="A1089" s="11">
        <f>Table1[[#This Row],[Milk Yield]]-J1085</f>
        <v>209</v>
      </c>
      <c r="B1089" t="s">
        <v>24</v>
      </c>
      <c r="C1089" s="2">
        <v>3</v>
      </c>
      <c r="D1089" s="12">
        <v>45739</v>
      </c>
      <c r="E1089" s="2">
        <v>28</v>
      </c>
      <c r="F1089" s="13">
        <v>1.8634259259259259E-3</v>
      </c>
      <c r="G1089" s="3">
        <v>0.19354166666666667</v>
      </c>
      <c r="H1089" s="1">
        <v>0.19166666666666668</v>
      </c>
      <c r="I1089" s="5">
        <v>616</v>
      </c>
      <c r="J1089">
        <v>6937</v>
      </c>
      <c r="K1089">
        <v>134</v>
      </c>
      <c r="L1089" s="5">
        <v>101</v>
      </c>
      <c r="M1089" s="5">
        <v>615</v>
      </c>
      <c r="N1089">
        <v>8</v>
      </c>
      <c r="O1089">
        <v>607</v>
      </c>
      <c r="P1089" s="1">
        <v>0.24583333333333332</v>
      </c>
      <c r="Q1089" s="5">
        <v>1508</v>
      </c>
      <c r="R1089" s="14">
        <v>11.3</v>
      </c>
      <c r="S1089">
        <v>134</v>
      </c>
      <c r="T1089" s="5">
        <v>8</v>
      </c>
      <c r="U1089" s="5">
        <v>607</v>
      </c>
      <c r="V1089" s="5">
        <v>0</v>
      </c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</row>
    <row r="1090" spans="1:37" x14ac:dyDescent="0.25">
      <c r="A1090" s="11" t="e">
        <f>Table1[[#This Row],[Milk Yield]]-J1086</f>
        <v>#VALUE!</v>
      </c>
      <c r="B1090" t="s">
        <v>0</v>
      </c>
      <c r="C1090" s="2" t="s">
        <v>1</v>
      </c>
      <c r="D1090" s="12" t="s">
        <v>2</v>
      </c>
      <c r="E1090" s="2" t="s">
        <v>3</v>
      </c>
      <c r="F1090" s="13" t="s">
        <v>4</v>
      </c>
      <c r="G1090" s="3" t="s">
        <v>5</v>
      </c>
      <c r="H1090" s="1" t="s">
        <v>6</v>
      </c>
      <c r="I1090" s="5" t="s">
        <v>8</v>
      </c>
      <c r="J1090" t="s">
        <v>9</v>
      </c>
      <c r="K1090" t="s">
        <v>10</v>
      </c>
      <c r="L1090" s="5" t="s">
        <v>11</v>
      </c>
      <c r="M1090" s="5" t="s">
        <v>12</v>
      </c>
      <c r="N1090" t="s">
        <v>13</v>
      </c>
      <c r="O1090" t="s">
        <v>20</v>
      </c>
      <c r="P1090" s="1" t="s">
        <v>7</v>
      </c>
      <c r="Q1090" s="5" t="s">
        <v>15</v>
      </c>
      <c r="R1090" s="14" t="s">
        <v>18</v>
      </c>
      <c r="S1090" t="s">
        <v>16</v>
      </c>
      <c r="T1090" s="5" t="s">
        <v>14</v>
      </c>
      <c r="U1090" s="5" t="s">
        <v>17</v>
      </c>
      <c r="V1090" s="5" t="s">
        <v>19</v>
      </c>
      <c r="W1090" s="5"/>
      <c r="X1090" s="5"/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</row>
    <row r="1091" spans="1:37" x14ac:dyDescent="0.25">
      <c r="A1091" s="11">
        <f>Table1[[#This Row],[Milk Yield]]-J1087</f>
        <v>-519</v>
      </c>
      <c r="B1091" t="s">
        <v>24</v>
      </c>
      <c r="C1091" s="2">
        <v>1</v>
      </c>
      <c r="D1091" s="12">
        <v>45740</v>
      </c>
      <c r="E1091" s="2">
        <v>30</v>
      </c>
      <c r="F1091" s="13">
        <v>0.33496527777777779</v>
      </c>
      <c r="G1091" s="3">
        <v>0.54631944444444447</v>
      </c>
      <c r="H1091" s="1">
        <v>0.21111111111111111</v>
      </c>
      <c r="I1091" s="5">
        <v>615</v>
      </c>
      <c r="J1091">
        <v>8267</v>
      </c>
      <c r="K1091">
        <v>121</v>
      </c>
      <c r="L1091" s="5">
        <v>90</v>
      </c>
      <c r="M1091" s="5">
        <v>614</v>
      </c>
      <c r="N1091">
        <v>7</v>
      </c>
      <c r="O1091">
        <v>607</v>
      </c>
      <c r="P1091" s="1">
        <v>0.3298611111111111</v>
      </c>
      <c r="Q1091" s="5">
        <v>1630</v>
      </c>
      <c r="R1091" s="14">
        <v>13.5</v>
      </c>
      <c r="S1091">
        <v>121</v>
      </c>
      <c r="T1091" s="5">
        <v>7</v>
      </c>
      <c r="U1091" s="5">
        <v>607</v>
      </c>
      <c r="V1091" s="5">
        <v>0</v>
      </c>
      <c r="W1091" s="5"/>
      <c r="X1091" s="5"/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</row>
    <row r="1092" spans="1:37" x14ac:dyDescent="0.25">
      <c r="A1092" s="11">
        <f>Table1[[#This Row],[Milk Yield]]-J1088</f>
        <v>373</v>
      </c>
      <c r="B1092" t="s">
        <v>24</v>
      </c>
      <c r="C1092" s="2">
        <v>2</v>
      </c>
      <c r="D1092" s="12">
        <v>45740</v>
      </c>
      <c r="E1092" s="2">
        <v>31</v>
      </c>
      <c r="F1092" s="13">
        <v>0.66976851851851849</v>
      </c>
      <c r="G1092" s="3">
        <v>0.89251157407407411</v>
      </c>
      <c r="H1092" s="1">
        <v>0.22222222222222221</v>
      </c>
      <c r="I1092" s="5">
        <v>639</v>
      </c>
      <c r="J1092">
        <v>7764</v>
      </c>
      <c r="K1092">
        <v>120</v>
      </c>
      <c r="L1092" s="5">
        <v>434</v>
      </c>
      <c r="M1092" s="5">
        <v>639</v>
      </c>
      <c r="N1092">
        <v>33</v>
      </c>
      <c r="O1092">
        <v>606</v>
      </c>
      <c r="P1092" s="1">
        <v>0.3263888888888889</v>
      </c>
      <c r="Q1092" s="5">
        <v>1452</v>
      </c>
      <c r="R1092" s="14">
        <v>12.2</v>
      </c>
      <c r="S1092">
        <v>120</v>
      </c>
      <c r="T1092" s="5">
        <v>33</v>
      </c>
      <c r="U1092" s="5">
        <v>606</v>
      </c>
      <c r="V1092" s="5">
        <v>0</v>
      </c>
      <c r="W1092" s="5"/>
      <c r="X1092" s="5"/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</row>
    <row r="1093" spans="1:37" x14ac:dyDescent="0.25">
      <c r="A1093" s="11">
        <f>Table1[[#This Row],[Milk Yield]]-J1089</f>
        <v>1317</v>
      </c>
      <c r="B1093" t="s">
        <v>24</v>
      </c>
      <c r="C1093" s="2">
        <v>3</v>
      </c>
      <c r="D1093" s="12">
        <v>45740</v>
      </c>
      <c r="E1093" s="2">
        <v>29</v>
      </c>
      <c r="F1093" s="13">
        <v>4.3287037037037035E-3</v>
      </c>
      <c r="G1093" s="3">
        <v>0.25719907407407405</v>
      </c>
      <c r="H1093" s="1">
        <v>0.25277777777777777</v>
      </c>
      <c r="I1093" s="5">
        <v>616</v>
      </c>
      <c r="J1093">
        <v>8254</v>
      </c>
      <c r="K1093">
        <v>101</v>
      </c>
      <c r="L1093" s="5">
        <v>171</v>
      </c>
      <c r="M1093" s="5">
        <v>613</v>
      </c>
      <c r="N1093">
        <v>14</v>
      </c>
      <c r="O1093">
        <v>599</v>
      </c>
      <c r="P1093" s="1">
        <v>0.29305555555555557</v>
      </c>
      <c r="Q1093" s="5">
        <v>1360</v>
      </c>
      <c r="R1093" s="14">
        <v>13.5</v>
      </c>
      <c r="S1093">
        <v>101</v>
      </c>
      <c r="T1093" s="5">
        <v>14</v>
      </c>
      <c r="U1093" s="5">
        <v>599</v>
      </c>
      <c r="V1093" s="5">
        <v>0</v>
      </c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</row>
    <row r="1094" spans="1:37" x14ac:dyDescent="0.25">
      <c r="A1094" s="11" t="e">
        <f>Table1[[#This Row],[Milk Yield]]-J1090</f>
        <v>#VALUE!</v>
      </c>
      <c r="B1094" t="s">
        <v>0</v>
      </c>
      <c r="C1094" s="2" t="s">
        <v>1</v>
      </c>
      <c r="D1094" s="12" t="s">
        <v>2</v>
      </c>
      <c r="E1094" s="2" t="s">
        <v>3</v>
      </c>
      <c r="F1094" s="13" t="s">
        <v>4</v>
      </c>
      <c r="G1094" s="3" t="s">
        <v>5</v>
      </c>
      <c r="H1094" s="1" t="s">
        <v>6</v>
      </c>
      <c r="I1094" s="5" t="s">
        <v>8</v>
      </c>
      <c r="J1094" t="s">
        <v>9</v>
      </c>
      <c r="K1094" t="s">
        <v>10</v>
      </c>
      <c r="L1094" s="5" t="s">
        <v>11</v>
      </c>
      <c r="M1094" s="5" t="s">
        <v>12</v>
      </c>
      <c r="N1094" t="s">
        <v>13</v>
      </c>
      <c r="O1094" t="s">
        <v>20</v>
      </c>
      <c r="P1094" s="1" t="s">
        <v>7</v>
      </c>
      <c r="Q1094" s="5" t="s">
        <v>15</v>
      </c>
      <c r="R1094" s="14" t="s">
        <v>18</v>
      </c>
      <c r="S1094" t="s">
        <v>16</v>
      </c>
      <c r="T1094" s="5" t="s">
        <v>14</v>
      </c>
      <c r="U1094" s="5" t="s">
        <v>17</v>
      </c>
      <c r="V1094" s="5" t="s">
        <v>19</v>
      </c>
      <c r="W1094" s="5"/>
      <c r="X1094" s="5"/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</row>
    <row r="1095" spans="1:37" x14ac:dyDescent="0.25">
      <c r="A1095" s="11">
        <f>Table1[[#This Row],[Milk Yield]]-J1091</f>
        <v>-816</v>
      </c>
      <c r="B1095" t="s">
        <v>24</v>
      </c>
      <c r="C1095" s="2">
        <v>1</v>
      </c>
      <c r="D1095" s="12">
        <v>45741</v>
      </c>
      <c r="E1095" s="2">
        <v>30</v>
      </c>
      <c r="F1095" s="13">
        <v>0.33975694444444443</v>
      </c>
      <c r="G1095" s="3">
        <v>0.5466550925925926</v>
      </c>
      <c r="H1095" s="1">
        <v>0.20624999999999999</v>
      </c>
      <c r="I1095" s="5">
        <v>615</v>
      </c>
      <c r="J1095">
        <v>7451</v>
      </c>
      <c r="K1095">
        <v>124</v>
      </c>
      <c r="L1095" s="5">
        <v>85</v>
      </c>
      <c r="M1095" s="5">
        <v>615</v>
      </c>
      <c r="N1095">
        <v>9</v>
      </c>
      <c r="O1095">
        <v>606</v>
      </c>
      <c r="P1095" s="1">
        <v>0.30138888888888887</v>
      </c>
      <c r="Q1095" s="5">
        <v>1501</v>
      </c>
      <c r="R1095" s="14">
        <v>12.2</v>
      </c>
      <c r="S1095">
        <v>124</v>
      </c>
      <c r="T1095" s="5">
        <v>9</v>
      </c>
      <c r="U1095" s="5">
        <v>606</v>
      </c>
      <c r="V1095" s="5">
        <v>0</v>
      </c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</row>
    <row r="1096" spans="1:37" x14ac:dyDescent="0.25">
      <c r="A1096" s="11">
        <f>Table1[[#This Row],[Milk Yield]]-J1092</f>
        <v>-661</v>
      </c>
      <c r="B1096" t="s">
        <v>24</v>
      </c>
      <c r="C1096" s="2">
        <v>2</v>
      </c>
      <c r="D1096" s="12">
        <v>45741</v>
      </c>
      <c r="E1096" s="2">
        <v>30</v>
      </c>
      <c r="F1096" s="13">
        <v>0.66806712962962966</v>
      </c>
      <c r="G1096" s="3">
        <v>0.8709837962962963</v>
      </c>
      <c r="H1096" s="1">
        <v>0.20277777777777778</v>
      </c>
      <c r="I1096" s="5">
        <v>608</v>
      </c>
      <c r="J1096">
        <v>7103</v>
      </c>
      <c r="K1096">
        <v>125</v>
      </c>
      <c r="L1096" s="5">
        <v>135</v>
      </c>
      <c r="M1096" s="5">
        <v>607</v>
      </c>
      <c r="N1096">
        <v>17</v>
      </c>
      <c r="O1096">
        <v>590</v>
      </c>
      <c r="P1096" s="1">
        <v>0.31041666666666667</v>
      </c>
      <c r="Q1096" s="5">
        <v>1458</v>
      </c>
      <c r="R1096" s="14">
        <v>11.8</v>
      </c>
      <c r="S1096">
        <v>125</v>
      </c>
      <c r="T1096" s="5">
        <v>17</v>
      </c>
      <c r="U1096" s="5">
        <v>590</v>
      </c>
      <c r="V1096" s="5">
        <v>0</v>
      </c>
      <c r="W1096" s="5"/>
      <c r="X1096" s="5"/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</row>
    <row r="1097" spans="1:37" x14ac:dyDescent="0.25">
      <c r="A1097" s="11">
        <f>Table1[[#This Row],[Milk Yield]]-J1093</f>
        <v>-777</v>
      </c>
      <c r="B1097" t="s">
        <v>24</v>
      </c>
      <c r="C1097" s="2">
        <v>3</v>
      </c>
      <c r="D1097" s="12">
        <v>45741</v>
      </c>
      <c r="E1097" s="2">
        <v>30</v>
      </c>
      <c r="F1097" s="13">
        <v>3.1250000000000001E-4</v>
      </c>
      <c r="G1097" s="3">
        <v>0.20175925925925925</v>
      </c>
      <c r="H1097" s="1">
        <v>0.2013888888888889</v>
      </c>
      <c r="I1097" s="5">
        <v>610</v>
      </c>
      <c r="J1097">
        <v>7477</v>
      </c>
      <c r="K1097">
        <v>126</v>
      </c>
      <c r="L1097" s="5">
        <v>54</v>
      </c>
      <c r="M1097" s="5">
        <v>610</v>
      </c>
      <c r="N1097">
        <v>5</v>
      </c>
      <c r="O1097">
        <v>605</v>
      </c>
      <c r="P1097" s="1">
        <v>0.2986111111111111</v>
      </c>
      <c r="Q1097" s="5">
        <v>1546</v>
      </c>
      <c r="R1097" s="14">
        <v>12.3</v>
      </c>
      <c r="S1097">
        <v>126</v>
      </c>
      <c r="T1097" s="5">
        <v>5</v>
      </c>
      <c r="U1097" s="5">
        <v>605</v>
      </c>
      <c r="V1097" s="5">
        <v>0</v>
      </c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</row>
    <row r="1098" spans="1:37" x14ac:dyDescent="0.25">
      <c r="A1098" s="11" t="e">
        <f>Table1[[#This Row],[Milk Yield]]-J1094</f>
        <v>#VALUE!</v>
      </c>
      <c r="B1098" t="s">
        <v>0</v>
      </c>
      <c r="C1098" s="2" t="s">
        <v>1</v>
      </c>
      <c r="D1098" s="12" t="s">
        <v>2</v>
      </c>
      <c r="E1098" s="2" t="s">
        <v>3</v>
      </c>
      <c r="F1098" s="13" t="s">
        <v>4</v>
      </c>
      <c r="G1098" s="3" t="s">
        <v>5</v>
      </c>
      <c r="H1098" s="1" t="s">
        <v>6</v>
      </c>
      <c r="I1098" s="5" t="s">
        <v>8</v>
      </c>
      <c r="J1098" t="s">
        <v>9</v>
      </c>
      <c r="K1098" t="s">
        <v>10</v>
      </c>
      <c r="L1098" s="5" t="s">
        <v>11</v>
      </c>
      <c r="M1098" s="5" t="s">
        <v>12</v>
      </c>
      <c r="N1098" t="s">
        <v>13</v>
      </c>
      <c r="O1098" t="s">
        <v>20</v>
      </c>
      <c r="P1098" s="1" t="s">
        <v>7</v>
      </c>
      <c r="Q1098" s="5" t="s">
        <v>15</v>
      </c>
      <c r="R1098" s="14" t="s">
        <v>18</v>
      </c>
      <c r="S1098" t="s">
        <v>16</v>
      </c>
      <c r="T1098" s="5" t="s">
        <v>14</v>
      </c>
      <c r="U1098" s="5" t="s">
        <v>17</v>
      </c>
      <c r="V1098" s="5" t="s">
        <v>19</v>
      </c>
      <c r="W1098" s="5"/>
      <c r="X1098" s="5"/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</row>
    <row r="1099" spans="1:37" x14ac:dyDescent="0.25">
      <c r="A1099" s="11">
        <f>Table1[[#This Row],[Milk Yield]]-J1095</f>
        <v>894</v>
      </c>
      <c r="B1099" t="s">
        <v>24</v>
      </c>
      <c r="C1099" s="2">
        <v>1</v>
      </c>
      <c r="D1099" s="12">
        <v>45742</v>
      </c>
      <c r="E1099" s="2">
        <v>28</v>
      </c>
      <c r="F1099" s="13">
        <v>0.33511574074074074</v>
      </c>
      <c r="G1099" s="3">
        <v>0.53704861111111113</v>
      </c>
      <c r="H1099" s="1">
        <v>0.2013888888888889</v>
      </c>
      <c r="I1099" s="5">
        <v>610</v>
      </c>
      <c r="J1099">
        <v>8345</v>
      </c>
      <c r="K1099">
        <v>126</v>
      </c>
      <c r="L1099" s="5">
        <v>90</v>
      </c>
      <c r="M1099" s="5">
        <v>610</v>
      </c>
      <c r="N1099">
        <v>9</v>
      </c>
      <c r="O1099">
        <v>601</v>
      </c>
      <c r="P1099" s="1">
        <v>0.33541666666666664</v>
      </c>
      <c r="Q1099" s="5">
        <v>1722</v>
      </c>
      <c r="R1099" s="14">
        <v>13.7</v>
      </c>
      <c r="S1099">
        <v>126</v>
      </c>
      <c r="T1099" s="5">
        <v>9</v>
      </c>
      <c r="U1099" s="5">
        <v>601</v>
      </c>
      <c r="V1099" s="5">
        <v>0</v>
      </c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</row>
    <row r="1100" spans="1:37" x14ac:dyDescent="0.25">
      <c r="A1100" s="11">
        <f>Table1[[#This Row],[Milk Yield]]-J1096</f>
        <v>292</v>
      </c>
      <c r="B1100" t="s">
        <v>24</v>
      </c>
      <c r="C1100" s="2">
        <v>2</v>
      </c>
      <c r="D1100" s="12">
        <v>45742</v>
      </c>
      <c r="E1100" s="2">
        <v>32</v>
      </c>
      <c r="F1100" s="13">
        <v>0.66857638888888893</v>
      </c>
      <c r="G1100" s="3">
        <v>0.88042824074074078</v>
      </c>
      <c r="H1100" s="1">
        <v>0.21180555555555555</v>
      </c>
      <c r="I1100" s="5">
        <v>599</v>
      </c>
      <c r="J1100">
        <v>7395</v>
      </c>
      <c r="K1100">
        <v>118</v>
      </c>
      <c r="L1100" s="5">
        <v>279</v>
      </c>
      <c r="M1100" s="5">
        <v>597</v>
      </c>
      <c r="N1100">
        <v>23</v>
      </c>
      <c r="O1100">
        <v>574</v>
      </c>
      <c r="P1100" s="1">
        <v>0.30763888888888891</v>
      </c>
      <c r="Q1100" s="5">
        <v>1454</v>
      </c>
      <c r="R1100" s="14">
        <v>12.4</v>
      </c>
      <c r="S1100">
        <v>117</v>
      </c>
      <c r="T1100" s="5">
        <v>23</v>
      </c>
      <c r="U1100" s="5">
        <v>574</v>
      </c>
      <c r="V1100" s="5">
        <v>0</v>
      </c>
      <c r="W1100" s="5"/>
      <c r="X1100" s="5"/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</row>
    <row r="1101" spans="1:37" x14ac:dyDescent="0.25">
      <c r="A1101" s="11">
        <f>Table1[[#This Row],[Milk Yield]]-J1097</f>
        <v>132</v>
      </c>
      <c r="B1101" t="s">
        <v>24</v>
      </c>
      <c r="C1101" s="2">
        <v>3</v>
      </c>
      <c r="D1101" s="12">
        <v>45742</v>
      </c>
      <c r="E1101" s="2">
        <v>31</v>
      </c>
      <c r="F1101" s="13">
        <v>6.5972222222222224E-4</v>
      </c>
      <c r="G1101" s="3">
        <v>0.21031250000000001</v>
      </c>
      <c r="H1101" s="1">
        <v>0.20902777777777778</v>
      </c>
      <c r="I1101" s="5">
        <v>615</v>
      </c>
      <c r="J1101">
        <v>7609</v>
      </c>
      <c r="K1101">
        <v>122</v>
      </c>
      <c r="L1101" s="5">
        <v>77</v>
      </c>
      <c r="M1101" s="5">
        <v>614</v>
      </c>
      <c r="N1101">
        <v>9</v>
      </c>
      <c r="O1101">
        <v>605</v>
      </c>
      <c r="P1101" s="1">
        <v>0.28402777777777777</v>
      </c>
      <c r="Q1101" s="5">
        <v>1512</v>
      </c>
      <c r="R1101" s="14">
        <v>12.4</v>
      </c>
      <c r="S1101">
        <v>122</v>
      </c>
      <c r="T1101" s="5">
        <v>9</v>
      </c>
      <c r="U1101" s="5">
        <v>605</v>
      </c>
      <c r="V1101" s="5">
        <v>0</v>
      </c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</row>
    <row r="1102" spans="1:37" x14ac:dyDescent="0.25">
      <c r="A1102" s="11" t="e">
        <f>Table1[[#This Row],[Milk Yield]]-J1098</f>
        <v>#VALUE!</v>
      </c>
      <c r="B1102" t="s">
        <v>0</v>
      </c>
      <c r="C1102" s="2" t="s">
        <v>1</v>
      </c>
      <c r="D1102" s="12" t="s">
        <v>2</v>
      </c>
      <c r="E1102" s="2" t="s">
        <v>3</v>
      </c>
      <c r="F1102" s="13" t="s">
        <v>4</v>
      </c>
      <c r="G1102" s="3" t="s">
        <v>5</v>
      </c>
      <c r="H1102" s="1" t="s">
        <v>6</v>
      </c>
      <c r="I1102" s="5" t="s">
        <v>8</v>
      </c>
      <c r="J1102" t="s">
        <v>9</v>
      </c>
      <c r="K1102" t="s">
        <v>10</v>
      </c>
      <c r="L1102" s="5" t="s">
        <v>11</v>
      </c>
      <c r="M1102" s="5" t="s">
        <v>12</v>
      </c>
      <c r="N1102" t="s">
        <v>13</v>
      </c>
      <c r="O1102" t="s">
        <v>20</v>
      </c>
      <c r="P1102" s="1" t="s">
        <v>7</v>
      </c>
      <c r="Q1102" s="5" t="s">
        <v>15</v>
      </c>
      <c r="R1102" s="14" t="s">
        <v>18</v>
      </c>
      <c r="S1102" t="s">
        <v>16</v>
      </c>
      <c r="T1102" s="5" t="s">
        <v>14</v>
      </c>
      <c r="U1102" s="5" t="s">
        <v>17</v>
      </c>
      <c r="V1102" s="5" t="s">
        <v>19</v>
      </c>
      <c r="W1102" s="5"/>
      <c r="X1102" s="5"/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</row>
    <row r="1103" spans="1:37" x14ac:dyDescent="0.25">
      <c r="A1103" s="11">
        <f>Table1[[#This Row],[Milk Yield]]-J1099</f>
        <v>-292</v>
      </c>
      <c r="B1103" t="s">
        <v>24</v>
      </c>
      <c r="C1103" s="2">
        <v>1</v>
      </c>
      <c r="D1103" s="12">
        <v>45743</v>
      </c>
      <c r="E1103" s="2">
        <v>31</v>
      </c>
      <c r="F1103" s="13">
        <v>0.33619212962962963</v>
      </c>
      <c r="G1103" s="3">
        <v>0.53877314814814814</v>
      </c>
      <c r="H1103" s="1">
        <v>0.20208333333333334</v>
      </c>
      <c r="I1103" s="5">
        <v>617</v>
      </c>
      <c r="J1103">
        <v>8053</v>
      </c>
      <c r="K1103">
        <v>127</v>
      </c>
      <c r="L1103" s="5">
        <v>49</v>
      </c>
      <c r="M1103" s="5">
        <v>617</v>
      </c>
      <c r="N1103">
        <v>5</v>
      </c>
      <c r="O1103">
        <v>612</v>
      </c>
      <c r="P1103" s="1">
        <v>0.31736111111111109</v>
      </c>
      <c r="Q1103" s="5">
        <v>1656</v>
      </c>
      <c r="R1103" s="14">
        <v>13.1</v>
      </c>
      <c r="S1103">
        <v>127</v>
      </c>
      <c r="T1103" s="5">
        <v>5</v>
      </c>
      <c r="U1103" s="5">
        <v>612</v>
      </c>
      <c r="V1103" s="5">
        <v>0</v>
      </c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</row>
    <row r="1104" spans="1:37" x14ac:dyDescent="0.25">
      <c r="A1104" s="11">
        <f>Table1[[#This Row],[Milk Yield]]-J1100</f>
        <v>368</v>
      </c>
      <c r="B1104" t="s">
        <v>24</v>
      </c>
      <c r="C1104" s="2">
        <v>2</v>
      </c>
      <c r="D1104" s="12">
        <v>45743</v>
      </c>
      <c r="E1104" s="2">
        <v>33</v>
      </c>
      <c r="F1104" s="13">
        <v>0.6654282407407407</v>
      </c>
      <c r="G1104" s="3">
        <v>0.87511574074074072</v>
      </c>
      <c r="H1104" s="1">
        <v>0.20902777777777778</v>
      </c>
      <c r="I1104" s="5">
        <v>619</v>
      </c>
      <c r="J1104">
        <v>7763</v>
      </c>
      <c r="K1104">
        <v>123</v>
      </c>
      <c r="L1104" s="5">
        <v>146</v>
      </c>
      <c r="M1104" s="5">
        <v>619</v>
      </c>
      <c r="N1104">
        <v>12</v>
      </c>
      <c r="O1104">
        <v>607</v>
      </c>
      <c r="P1104" s="1">
        <v>0.27083333333333331</v>
      </c>
      <c r="Q1104" s="5">
        <v>1542</v>
      </c>
      <c r="R1104" s="14">
        <v>12.6</v>
      </c>
      <c r="S1104">
        <v>123</v>
      </c>
      <c r="T1104" s="5">
        <v>12</v>
      </c>
      <c r="U1104" s="5">
        <v>607</v>
      </c>
      <c r="V1104" s="5">
        <v>0</v>
      </c>
      <c r="W1104" s="5"/>
      <c r="X1104" s="5"/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</row>
    <row r="1105" spans="1:37" x14ac:dyDescent="0.25">
      <c r="A1105" s="11">
        <f>Table1[[#This Row],[Milk Yield]]-J1101</f>
        <v>-24</v>
      </c>
      <c r="B1105" t="s">
        <v>24</v>
      </c>
      <c r="C1105" s="2">
        <v>3</v>
      </c>
      <c r="D1105" s="12">
        <v>45743</v>
      </c>
      <c r="E1105" s="2">
        <v>32</v>
      </c>
      <c r="F1105" s="13">
        <v>1.7708333333333332E-3</v>
      </c>
      <c r="G1105" s="3">
        <v>0.19927083333333334</v>
      </c>
      <c r="H1105" s="1">
        <v>0.19722222222222222</v>
      </c>
      <c r="I1105" s="5">
        <v>619</v>
      </c>
      <c r="J1105">
        <v>7585</v>
      </c>
      <c r="K1105">
        <v>131</v>
      </c>
      <c r="L1105" s="5">
        <v>55</v>
      </c>
      <c r="M1105" s="5">
        <v>619</v>
      </c>
      <c r="N1105">
        <v>8</v>
      </c>
      <c r="O1105">
        <v>611</v>
      </c>
      <c r="P1105" s="1">
        <v>0.3</v>
      </c>
      <c r="Q1105" s="5">
        <v>1600</v>
      </c>
      <c r="R1105" s="14">
        <v>12.3</v>
      </c>
      <c r="S1105">
        <v>131</v>
      </c>
      <c r="T1105" s="5">
        <v>8</v>
      </c>
      <c r="U1105" s="5">
        <v>611</v>
      </c>
      <c r="V1105" s="5">
        <v>0</v>
      </c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</row>
    <row r="1106" spans="1:37" x14ac:dyDescent="0.25">
      <c r="A1106" s="11" t="e">
        <f>Table1[[#This Row],[Milk Yield]]-J1102</f>
        <v>#VALUE!</v>
      </c>
      <c r="B1106" t="s">
        <v>0</v>
      </c>
      <c r="C1106" s="2" t="s">
        <v>1</v>
      </c>
      <c r="D1106" s="12" t="s">
        <v>2</v>
      </c>
      <c r="E1106" s="2" t="s">
        <v>3</v>
      </c>
      <c r="F1106" s="13" t="s">
        <v>4</v>
      </c>
      <c r="G1106" s="3" t="s">
        <v>5</v>
      </c>
      <c r="H1106" s="1" t="s">
        <v>6</v>
      </c>
      <c r="I1106" s="5" t="s">
        <v>8</v>
      </c>
      <c r="J1106" t="s">
        <v>9</v>
      </c>
      <c r="K1106" t="s">
        <v>10</v>
      </c>
      <c r="L1106" s="5" t="s">
        <v>11</v>
      </c>
      <c r="M1106" s="5" t="s">
        <v>12</v>
      </c>
      <c r="N1106" t="s">
        <v>13</v>
      </c>
      <c r="O1106" t="s">
        <v>20</v>
      </c>
      <c r="P1106" s="1" t="s">
        <v>7</v>
      </c>
      <c r="Q1106" s="5" t="s">
        <v>15</v>
      </c>
      <c r="R1106" s="14" t="s">
        <v>18</v>
      </c>
      <c r="S1106" t="s">
        <v>16</v>
      </c>
      <c r="T1106" s="5" t="s">
        <v>14</v>
      </c>
      <c r="U1106" s="5" t="s">
        <v>17</v>
      </c>
      <c r="V1106" s="5" t="s">
        <v>19</v>
      </c>
      <c r="W1106" s="5"/>
      <c r="X1106" s="5"/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</row>
    <row r="1107" spans="1:37" x14ac:dyDescent="0.25">
      <c r="A1107" s="11">
        <f>Table1[[#This Row],[Milk Yield]]-J1103</f>
        <v>50</v>
      </c>
      <c r="B1107" t="s">
        <v>24</v>
      </c>
      <c r="C1107" s="2">
        <v>1</v>
      </c>
      <c r="D1107" s="12">
        <v>45744</v>
      </c>
      <c r="E1107" s="2">
        <v>31</v>
      </c>
      <c r="F1107" s="13">
        <v>0.3349421296296296</v>
      </c>
      <c r="G1107" s="3">
        <v>0.5413310185185185</v>
      </c>
      <c r="H1107" s="1">
        <v>0.20624999999999999</v>
      </c>
      <c r="I1107" s="5">
        <v>619</v>
      </c>
      <c r="J1107">
        <v>8103</v>
      </c>
      <c r="K1107">
        <v>125</v>
      </c>
      <c r="L1107" s="5">
        <v>94</v>
      </c>
      <c r="M1107" s="5">
        <v>618</v>
      </c>
      <c r="N1107">
        <v>10</v>
      </c>
      <c r="O1107">
        <v>608</v>
      </c>
      <c r="P1107" s="1">
        <v>0.29375000000000001</v>
      </c>
      <c r="Q1107" s="5">
        <v>1636</v>
      </c>
      <c r="R1107" s="14">
        <v>13.2</v>
      </c>
      <c r="S1107">
        <v>125</v>
      </c>
      <c r="T1107" s="5">
        <v>10</v>
      </c>
      <c r="U1107" s="5">
        <v>608</v>
      </c>
      <c r="V1107" s="5">
        <v>0</v>
      </c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</row>
    <row r="1108" spans="1:37" x14ac:dyDescent="0.25">
      <c r="A1108" s="11">
        <f>Table1[[#This Row],[Milk Yield]]-J1104</f>
        <v>-118</v>
      </c>
      <c r="B1108" t="s">
        <v>24</v>
      </c>
      <c r="C1108" s="2">
        <v>2</v>
      </c>
      <c r="D1108" s="12">
        <v>45744</v>
      </c>
      <c r="E1108" s="2">
        <v>34</v>
      </c>
      <c r="F1108" s="13">
        <v>0.67240740740740745</v>
      </c>
      <c r="G1108" s="3">
        <v>0.89787037037037032</v>
      </c>
      <c r="H1108" s="1">
        <v>0.22500000000000001</v>
      </c>
      <c r="I1108" s="5">
        <v>571</v>
      </c>
      <c r="J1108">
        <v>7645</v>
      </c>
      <c r="K1108">
        <v>106</v>
      </c>
      <c r="L1108" s="5">
        <v>265</v>
      </c>
      <c r="M1108" s="5">
        <v>565</v>
      </c>
      <c r="N1108">
        <v>22</v>
      </c>
      <c r="O1108">
        <v>543</v>
      </c>
      <c r="P1108" s="1">
        <v>0.30486111111111114</v>
      </c>
      <c r="Q1108" s="5">
        <v>1413</v>
      </c>
      <c r="R1108" s="14">
        <v>13.6</v>
      </c>
      <c r="S1108">
        <v>104</v>
      </c>
      <c r="T1108" s="5">
        <v>22</v>
      </c>
      <c r="U1108" s="5">
        <v>543</v>
      </c>
      <c r="V1108" s="5">
        <v>0</v>
      </c>
      <c r="W1108" s="5"/>
      <c r="X1108" s="5"/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</row>
    <row r="1109" spans="1:37" x14ac:dyDescent="0.25">
      <c r="A1109" s="11">
        <f>Table1[[#This Row],[Milk Yield]]-J1105</f>
        <v>-401</v>
      </c>
      <c r="B1109" t="s">
        <v>24</v>
      </c>
      <c r="C1109" s="2">
        <v>3</v>
      </c>
      <c r="D1109" s="12">
        <v>45744</v>
      </c>
      <c r="E1109" s="2">
        <v>31</v>
      </c>
      <c r="F1109" s="13">
        <v>0.99881944444444448</v>
      </c>
      <c r="G1109" s="3">
        <v>0.19054398148148149</v>
      </c>
      <c r="H1109" s="1">
        <v>0.19166666666666668</v>
      </c>
      <c r="I1109" s="5">
        <v>615</v>
      </c>
      <c r="J1109">
        <v>7184</v>
      </c>
      <c r="K1109">
        <v>134</v>
      </c>
      <c r="L1109" s="5">
        <v>103</v>
      </c>
      <c r="M1109" s="5">
        <v>614</v>
      </c>
      <c r="N1109">
        <v>9</v>
      </c>
      <c r="O1109">
        <v>605</v>
      </c>
      <c r="P1109" s="1">
        <v>0.29791666666666666</v>
      </c>
      <c r="Q1109" s="5">
        <v>1561</v>
      </c>
      <c r="R1109" s="14">
        <v>11.8</v>
      </c>
      <c r="S1109">
        <v>133</v>
      </c>
      <c r="T1109" s="5">
        <v>9</v>
      </c>
      <c r="U1109" s="5">
        <v>605</v>
      </c>
      <c r="V1109" s="5">
        <v>0</v>
      </c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</row>
    <row r="1110" spans="1:37" x14ac:dyDescent="0.25">
      <c r="A1110" s="11" t="e">
        <f>Table1[[#This Row],[Milk Yield]]-J1106</f>
        <v>#VALUE!</v>
      </c>
      <c r="B1110" t="s">
        <v>0</v>
      </c>
      <c r="C1110" s="2" t="s">
        <v>1</v>
      </c>
      <c r="D1110" s="12" t="s">
        <v>2</v>
      </c>
      <c r="E1110" s="2" t="s">
        <v>3</v>
      </c>
      <c r="F1110" s="13" t="s">
        <v>4</v>
      </c>
      <c r="G1110" s="3" t="s">
        <v>5</v>
      </c>
      <c r="H1110" s="1" t="s">
        <v>6</v>
      </c>
      <c r="I1110" s="5" t="s">
        <v>8</v>
      </c>
      <c r="J1110" t="s">
        <v>9</v>
      </c>
      <c r="K1110" t="s">
        <v>10</v>
      </c>
      <c r="L1110" s="5" t="s">
        <v>11</v>
      </c>
      <c r="M1110" s="5" t="s">
        <v>12</v>
      </c>
      <c r="N1110" t="s">
        <v>13</v>
      </c>
      <c r="O1110" t="s">
        <v>20</v>
      </c>
      <c r="P1110" s="1" t="s">
        <v>7</v>
      </c>
      <c r="Q1110" s="5" t="s">
        <v>15</v>
      </c>
      <c r="R1110" s="14" t="s">
        <v>18</v>
      </c>
      <c r="S1110" t="s">
        <v>16</v>
      </c>
      <c r="T1110" s="5" t="s">
        <v>14</v>
      </c>
      <c r="U1110" s="5" t="s">
        <v>17</v>
      </c>
      <c r="V1110" s="5" t="s">
        <v>19</v>
      </c>
      <c r="W1110" s="5"/>
      <c r="X1110" s="5"/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</row>
    <row r="1111" spans="1:37" x14ac:dyDescent="0.25">
      <c r="A1111" s="11">
        <f>Table1[[#This Row],[Milk Yield]]-J1107</f>
        <v>205</v>
      </c>
      <c r="B1111" t="s">
        <v>24</v>
      </c>
      <c r="C1111" s="2">
        <v>1</v>
      </c>
      <c r="D1111" s="12">
        <v>45745</v>
      </c>
      <c r="E1111" s="2">
        <v>31</v>
      </c>
      <c r="F1111" s="13">
        <v>0.33642361111111113</v>
      </c>
      <c r="G1111" s="3">
        <v>0.54439814814814813</v>
      </c>
      <c r="H1111" s="1">
        <v>0.2076388888888889</v>
      </c>
      <c r="I1111" s="5">
        <v>618</v>
      </c>
      <c r="J1111">
        <v>8308</v>
      </c>
      <c r="K1111">
        <v>124</v>
      </c>
      <c r="L1111" s="5">
        <v>134</v>
      </c>
      <c r="M1111" s="5">
        <v>618</v>
      </c>
      <c r="N1111">
        <v>10</v>
      </c>
      <c r="O1111">
        <v>608</v>
      </c>
      <c r="P1111" s="1">
        <v>0.28263888888888888</v>
      </c>
      <c r="Q1111" s="5">
        <v>1665</v>
      </c>
      <c r="R1111" s="14">
        <v>13.5</v>
      </c>
      <c r="S1111">
        <v>124</v>
      </c>
      <c r="T1111" s="5">
        <v>10</v>
      </c>
      <c r="U1111" s="5">
        <v>608</v>
      </c>
      <c r="V1111" s="5">
        <v>0</v>
      </c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</row>
    <row r="1112" spans="1:37" x14ac:dyDescent="0.25">
      <c r="A1112" s="11">
        <f>Table1[[#This Row],[Milk Yield]]-J1108</f>
        <v>334</v>
      </c>
      <c r="B1112" t="s">
        <v>24</v>
      </c>
      <c r="C1112" s="2">
        <v>2</v>
      </c>
      <c r="D1112" s="12">
        <v>45745</v>
      </c>
      <c r="E1112" s="2">
        <v>31</v>
      </c>
      <c r="F1112" s="13">
        <v>0.66821759259259261</v>
      </c>
      <c r="G1112" s="3">
        <v>0.89236111111111116</v>
      </c>
      <c r="H1112" s="1">
        <v>0.22361111111111112</v>
      </c>
      <c r="I1112" s="5">
        <v>619</v>
      </c>
      <c r="J1112">
        <v>7979</v>
      </c>
      <c r="K1112">
        <v>115</v>
      </c>
      <c r="L1112" s="5">
        <v>71</v>
      </c>
      <c r="M1112" s="5">
        <v>619</v>
      </c>
      <c r="N1112">
        <v>8</v>
      </c>
      <c r="O1112">
        <v>611</v>
      </c>
      <c r="P1112" s="1">
        <v>0.28680555555555554</v>
      </c>
      <c r="Q1112" s="5">
        <v>1483</v>
      </c>
      <c r="R1112" s="14">
        <v>12.9</v>
      </c>
      <c r="S1112">
        <v>115</v>
      </c>
      <c r="T1112" s="5">
        <v>8</v>
      </c>
      <c r="U1112" s="5">
        <v>611</v>
      </c>
      <c r="V1112" s="5">
        <v>0</v>
      </c>
      <c r="W1112" s="5"/>
      <c r="X1112" s="5"/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</row>
    <row r="1113" spans="1:37" x14ac:dyDescent="0.25">
      <c r="A1113" s="11">
        <f>Table1[[#This Row],[Milk Yield]]-J1109</f>
        <v>196</v>
      </c>
      <c r="B1113" t="s">
        <v>24</v>
      </c>
      <c r="C1113" s="2">
        <v>3</v>
      </c>
      <c r="D1113" s="12">
        <v>45745</v>
      </c>
      <c r="E1113" s="2">
        <v>30</v>
      </c>
      <c r="F1113" s="13">
        <v>0.99892361111111116</v>
      </c>
      <c r="G1113" s="3">
        <v>0.21655092592592592</v>
      </c>
      <c r="H1113" s="1">
        <v>0.21736111111111112</v>
      </c>
      <c r="I1113" s="5">
        <v>619</v>
      </c>
      <c r="J1113">
        <v>7380</v>
      </c>
      <c r="K1113">
        <v>119</v>
      </c>
      <c r="L1113" s="5">
        <v>51</v>
      </c>
      <c r="M1113" s="5">
        <v>619</v>
      </c>
      <c r="N1113">
        <v>5</v>
      </c>
      <c r="O1113">
        <v>614</v>
      </c>
      <c r="P1113" s="1">
        <v>0.27500000000000002</v>
      </c>
      <c r="Q1113" s="5">
        <v>1413</v>
      </c>
      <c r="R1113" s="14">
        <v>12</v>
      </c>
      <c r="S1113">
        <v>119</v>
      </c>
      <c r="T1113" s="5">
        <v>5</v>
      </c>
      <c r="U1113" s="5">
        <v>614</v>
      </c>
      <c r="V1113" s="5">
        <v>0</v>
      </c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</row>
    <row r="1114" spans="1:37" x14ac:dyDescent="0.25">
      <c r="A1114" s="11" t="e">
        <f>Table1[[#This Row],[Milk Yield]]-J1110</f>
        <v>#VALUE!</v>
      </c>
      <c r="B1114" t="s">
        <v>0</v>
      </c>
      <c r="C1114" s="2" t="s">
        <v>1</v>
      </c>
      <c r="D1114" s="12" t="s">
        <v>2</v>
      </c>
      <c r="E1114" s="2" t="s">
        <v>3</v>
      </c>
      <c r="F1114" s="13" t="s">
        <v>4</v>
      </c>
      <c r="G1114" s="3" t="s">
        <v>5</v>
      </c>
      <c r="H1114" s="1" t="s">
        <v>6</v>
      </c>
      <c r="I1114" s="5" t="s">
        <v>8</v>
      </c>
      <c r="J1114" t="s">
        <v>9</v>
      </c>
      <c r="K1114" t="s">
        <v>10</v>
      </c>
      <c r="L1114" s="5" t="s">
        <v>11</v>
      </c>
      <c r="M1114" s="5" t="s">
        <v>12</v>
      </c>
      <c r="N1114" t="s">
        <v>13</v>
      </c>
      <c r="O1114" t="s">
        <v>20</v>
      </c>
      <c r="P1114" s="1" t="s">
        <v>7</v>
      </c>
      <c r="Q1114" s="5" t="s">
        <v>15</v>
      </c>
      <c r="R1114" s="14" t="s">
        <v>18</v>
      </c>
      <c r="S1114" t="s">
        <v>16</v>
      </c>
      <c r="T1114" s="5" t="s">
        <v>14</v>
      </c>
      <c r="U1114" s="5" t="s">
        <v>17</v>
      </c>
      <c r="V1114" s="5" t="s">
        <v>19</v>
      </c>
      <c r="W1114" s="5"/>
      <c r="X1114" s="5"/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</row>
    <row r="1115" spans="1:37" x14ac:dyDescent="0.25">
      <c r="A1115" s="11">
        <f>Table1[[#This Row],[Milk Yield]]-J1111</f>
        <v>-211</v>
      </c>
      <c r="B1115" t="s">
        <v>24</v>
      </c>
      <c r="C1115" s="2">
        <v>1</v>
      </c>
      <c r="D1115" s="12">
        <v>45746</v>
      </c>
      <c r="E1115" s="2">
        <v>31</v>
      </c>
      <c r="F1115" s="13">
        <v>0.33510416666666665</v>
      </c>
      <c r="G1115" s="3">
        <v>0.54271990740740739</v>
      </c>
      <c r="H1115" s="1">
        <v>0.20694444444444443</v>
      </c>
      <c r="I1115" s="5">
        <v>617</v>
      </c>
      <c r="J1115">
        <v>8097</v>
      </c>
      <c r="K1115">
        <v>124</v>
      </c>
      <c r="L1115" s="5">
        <v>96</v>
      </c>
      <c r="M1115" s="5">
        <v>617</v>
      </c>
      <c r="N1115">
        <v>10</v>
      </c>
      <c r="O1115">
        <v>607</v>
      </c>
      <c r="P1115" s="1">
        <v>0.29305555555555557</v>
      </c>
      <c r="Q1115" s="5">
        <v>1625</v>
      </c>
      <c r="R1115" s="14">
        <v>13.2</v>
      </c>
      <c r="S1115">
        <v>124</v>
      </c>
      <c r="T1115" s="5">
        <v>10</v>
      </c>
      <c r="U1115" s="5">
        <v>607</v>
      </c>
      <c r="V1115" s="5">
        <v>0</v>
      </c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</row>
    <row r="1116" spans="1:37" x14ac:dyDescent="0.25">
      <c r="A1116" s="11">
        <f>Table1[[#This Row],[Milk Yield]]-J1112</f>
        <v>-342</v>
      </c>
      <c r="B1116" t="s">
        <v>24</v>
      </c>
      <c r="C1116" s="2">
        <v>2</v>
      </c>
      <c r="D1116" s="12">
        <v>45746</v>
      </c>
      <c r="E1116" s="2">
        <v>33</v>
      </c>
      <c r="F1116" s="13">
        <v>0.66480324074074071</v>
      </c>
      <c r="G1116" s="3">
        <v>0.89070601851851849</v>
      </c>
      <c r="H1116" s="1">
        <v>0.22569444444444445</v>
      </c>
      <c r="I1116" s="5">
        <v>632</v>
      </c>
      <c r="J1116">
        <v>7637</v>
      </c>
      <c r="K1116">
        <v>117</v>
      </c>
      <c r="L1116" s="5">
        <v>114</v>
      </c>
      <c r="M1116" s="5">
        <v>631</v>
      </c>
      <c r="N1116">
        <v>12</v>
      </c>
      <c r="O1116">
        <v>619</v>
      </c>
      <c r="P1116" s="1">
        <v>0.26180555555555557</v>
      </c>
      <c r="Q1116" s="5">
        <v>1409</v>
      </c>
      <c r="R1116" s="14">
        <v>12.2</v>
      </c>
      <c r="S1116">
        <v>116</v>
      </c>
      <c r="T1116" s="5">
        <v>12</v>
      </c>
      <c r="U1116" s="5">
        <v>619</v>
      </c>
      <c r="V1116" s="5">
        <v>0</v>
      </c>
      <c r="W1116" s="5"/>
      <c r="X1116" s="5"/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</row>
    <row r="1117" spans="1:37" x14ac:dyDescent="0.25">
      <c r="A1117" s="11">
        <f>Table1[[#This Row],[Milk Yield]]-J1113</f>
        <v>234</v>
      </c>
      <c r="B1117" t="s">
        <v>24</v>
      </c>
      <c r="C1117" s="2">
        <v>3</v>
      </c>
      <c r="D1117" s="12">
        <v>45746</v>
      </c>
      <c r="E1117" s="2">
        <v>33</v>
      </c>
      <c r="F1117" s="13">
        <v>1.3657407407407407E-3</v>
      </c>
      <c r="G1117" s="3">
        <v>0.22952546296296297</v>
      </c>
      <c r="H1117" s="1">
        <v>0.22777777777777777</v>
      </c>
      <c r="I1117" s="5">
        <v>652</v>
      </c>
      <c r="J1117">
        <v>7614</v>
      </c>
      <c r="K1117">
        <v>119</v>
      </c>
      <c r="L1117" s="5">
        <v>321</v>
      </c>
      <c r="M1117" s="5">
        <v>652</v>
      </c>
      <c r="N1117">
        <v>41</v>
      </c>
      <c r="O1117">
        <v>611</v>
      </c>
      <c r="P1117" s="1">
        <v>0.29583333333333334</v>
      </c>
      <c r="Q1117" s="5">
        <v>1390</v>
      </c>
      <c r="R1117" s="14">
        <v>11.7</v>
      </c>
      <c r="S1117">
        <v>119</v>
      </c>
      <c r="T1117" s="5">
        <v>41</v>
      </c>
      <c r="U1117" s="5">
        <v>611</v>
      </c>
      <c r="V1117" s="5">
        <v>0</v>
      </c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</row>
    <row r="1118" spans="1:37" x14ac:dyDescent="0.25">
      <c r="A1118" s="11" t="e">
        <f>Table1[[#This Row],[Milk Yield]]-J1114</f>
        <v>#VALUE!</v>
      </c>
      <c r="B1118" t="s">
        <v>0</v>
      </c>
      <c r="C1118" s="2" t="s">
        <v>1</v>
      </c>
      <c r="D1118" s="12" t="s">
        <v>2</v>
      </c>
      <c r="E1118" s="2" t="s">
        <v>3</v>
      </c>
      <c r="F1118" s="13" t="s">
        <v>4</v>
      </c>
      <c r="G1118" s="3" t="s">
        <v>5</v>
      </c>
      <c r="H1118" s="1" t="s">
        <v>6</v>
      </c>
      <c r="I1118" s="5" t="s">
        <v>8</v>
      </c>
      <c r="J1118" t="s">
        <v>9</v>
      </c>
      <c r="K1118" t="s">
        <v>10</v>
      </c>
      <c r="L1118" s="5" t="s">
        <v>11</v>
      </c>
      <c r="M1118" s="5" t="s">
        <v>12</v>
      </c>
      <c r="N1118" t="s">
        <v>13</v>
      </c>
      <c r="O1118" t="s">
        <v>20</v>
      </c>
      <c r="P1118" s="1" t="s">
        <v>7</v>
      </c>
      <c r="Q1118" s="5" t="s">
        <v>15</v>
      </c>
      <c r="R1118" s="14" t="s">
        <v>18</v>
      </c>
      <c r="S1118" t="s">
        <v>16</v>
      </c>
      <c r="T1118" s="5" t="s">
        <v>14</v>
      </c>
      <c r="U1118" s="5" t="s">
        <v>17</v>
      </c>
      <c r="V1118" s="5" t="s">
        <v>19</v>
      </c>
      <c r="W1118" s="5"/>
      <c r="X1118" s="5"/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</row>
    <row r="1119" spans="1:37" x14ac:dyDescent="0.25">
      <c r="A1119" s="11">
        <f>Table1[[#This Row],[Milk Yield]]-J1115</f>
        <v>188</v>
      </c>
      <c r="B1119" t="s">
        <v>24</v>
      </c>
      <c r="C1119" s="2">
        <v>1</v>
      </c>
      <c r="D1119" s="12">
        <v>45747</v>
      </c>
      <c r="E1119" s="2">
        <v>31</v>
      </c>
      <c r="F1119" s="13">
        <v>0.33327546296296295</v>
      </c>
      <c r="G1119" s="3">
        <v>0.57600694444444445</v>
      </c>
      <c r="H1119" s="1">
        <v>0.24236111111111111</v>
      </c>
      <c r="I1119" s="5">
        <v>632</v>
      </c>
      <c r="J1119">
        <v>8285</v>
      </c>
      <c r="K1119">
        <v>108</v>
      </c>
      <c r="L1119" s="5">
        <v>167</v>
      </c>
      <c r="M1119" s="5">
        <v>632</v>
      </c>
      <c r="N1119">
        <v>14</v>
      </c>
      <c r="O1119">
        <v>618</v>
      </c>
      <c r="P1119" s="1">
        <v>0.34097222222222223</v>
      </c>
      <c r="Q1119" s="5">
        <v>1422</v>
      </c>
      <c r="R1119" s="14">
        <v>13.2</v>
      </c>
      <c r="S1119">
        <v>108</v>
      </c>
      <c r="T1119" s="5">
        <v>14</v>
      </c>
      <c r="U1119" s="5">
        <v>618</v>
      </c>
      <c r="V1119" s="5">
        <v>0</v>
      </c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</row>
    <row r="1120" spans="1:37" x14ac:dyDescent="0.25">
      <c r="A1120" s="11">
        <f>Table1[[#This Row],[Milk Yield]]-J1116</f>
        <v>-231</v>
      </c>
      <c r="B1120" t="s">
        <v>24</v>
      </c>
      <c r="C1120" s="2">
        <v>2</v>
      </c>
      <c r="D1120" s="12">
        <v>45747</v>
      </c>
      <c r="E1120" s="2">
        <v>32</v>
      </c>
      <c r="F1120" s="13">
        <v>0.67201388888888891</v>
      </c>
      <c r="G1120" s="3">
        <v>0.88952546296296298</v>
      </c>
      <c r="H1120" s="1">
        <v>0.21736111111111112</v>
      </c>
      <c r="I1120" s="5">
        <v>636</v>
      </c>
      <c r="J1120">
        <v>7406</v>
      </c>
      <c r="K1120">
        <v>122</v>
      </c>
      <c r="L1120" s="5">
        <v>257</v>
      </c>
      <c r="M1120" s="5">
        <v>636</v>
      </c>
      <c r="N1120">
        <v>26</v>
      </c>
      <c r="O1120">
        <v>610</v>
      </c>
      <c r="P1120" s="1">
        <v>0.25624999999999998</v>
      </c>
      <c r="Q1120" s="5">
        <v>1419</v>
      </c>
      <c r="R1120" s="14">
        <v>11.7</v>
      </c>
      <c r="S1120">
        <v>122</v>
      </c>
      <c r="T1120" s="5">
        <v>26</v>
      </c>
      <c r="U1120" s="5">
        <v>610</v>
      </c>
      <c r="V1120" s="5">
        <v>0</v>
      </c>
      <c r="W1120" s="5"/>
      <c r="X1120" s="5"/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</row>
    <row r="1121" spans="1:37" x14ac:dyDescent="0.25">
      <c r="A1121" s="11">
        <f>Table1[[#This Row],[Milk Yield]]-J1117</f>
        <v>-56</v>
      </c>
      <c r="B1121" t="s">
        <v>24</v>
      </c>
      <c r="C1121" s="2">
        <v>3</v>
      </c>
      <c r="D1121" s="12">
        <v>45747</v>
      </c>
      <c r="E1121" s="2">
        <v>29</v>
      </c>
      <c r="F1121" s="13">
        <v>0.99900462962962966</v>
      </c>
      <c r="G1121" s="3">
        <v>0.22258101851851853</v>
      </c>
      <c r="H1121" s="1">
        <v>0.22291666666666668</v>
      </c>
      <c r="I1121" s="5">
        <v>624</v>
      </c>
      <c r="J1121">
        <v>7558</v>
      </c>
      <c r="K1121">
        <v>116</v>
      </c>
      <c r="L1121" s="5">
        <v>107</v>
      </c>
      <c r="M1121" s="5">
        <v>624</v>
      </c>
      <c r="N1121">
        <v>9</v>
      </c>
      <c r="O1121">
        <v>615</v>
      </c>
      <c r="P1121" s="1">
        <v>0.29166666666666669</v>
      </c>
      <c r="Q1121" s="5">
        <v>1409</v>
      </c>
      <c r="R1121" s="14">
        <v>12.2</v>
      </c>
      <c r="S1121">
        <v>116</v>
      </c>
      <c r="T1121" s="5">
        <v>9</v>
      </c>
      <c r="U1121" s="5">
        <v>615</v>
      </c>
      <c r="V1121" s="5">
        <v>0</v>
      </c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</row>
    <row r="1122" spans="1:37" x14ac:dyDescent="0.25">
      <c r="A1122" s="11" t="e">
        <f>Table1[[#This Row],[Milk Yield]]-J1118</f>
        <v>#VALUE!</v>
      </c>
      <c r="B1122" t="s">
        <v>0</v>
      </c>
      <c r="C1122" s="2" t="s">
        <v>1</v>
      </c>
      <c r="D1122" s="12" t="s">
        <v>2</v>
      </c>
      <c r="E1122" s="2" t="s">
        <v>3</v>
      </c>
      <c r="F1122" s="13" t="s">
        <v>4</v>
      </c>
      <c r="G1122" s="3" t="s">
        <v>5</v>
      </c>
      <c r="H1122" s="1" t="s">
        <v>6</v>
      </c>
      <c r="I1122" s="5" t="s">
        <v>8</v>
      </c>
      <c r="J1122" t="s">
        <v>9</v>
      </c>
      <c r="K1122" t="s">
        <v>10</v>
      </c>
      <c r="L1122" s="5" t="s">
        <v>11</v>
      </c>
      <c r="M1122" s="5" t="s">
        <v>12</v>
      </c>
      <c r="N1122" t="s">
        <v>13</v>
      </c>
      <c r="O1122" t="s">
        <v>20</v>
      </c>
      <c r="P1122" s="1" t="s">
        <v>7</v>
      </c>
      <c r="Q1122" s="5" t="s">
        <v>15</v>
      </c>
      <c r="R1122" s="14" t="s">
        <v>18</v>
      </c>
      <c r="S1122" t="s">
        <v>16</v>
      </c>
      <c r="T1122" s="5" t="s">
        <v>14</v>
      </c>
      <c r="U1122" s="5" t="s">
        <v>17</v>
      </c>
      <c r="V1122" s="5" t="s">
        <v>19</v>
      </c>
      <c r="W1122" s="5"/>
      <c r="X1122" s="5"/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</row>
    <row r="1123" spans="1:37" x14ac:dyDescent="0.25">
      <c r="A1123" s="11">
        <f>Table1[[#This Row],[Milk Yield]]-J1119</f>
        <v>-231</v>
      </c>
      <c r="B1123" t="s">
        <v>24</v>
      </c>
      <c r="C1123" s="2">
        <v>1</v>
      </c>
      <c r="D1123" s="12">
        <v>45748</v>
      </c>
      <c r="E1123" s="2">
        <v>30</v>
      </c>
      <c r="F1123" s="13">
        <v>0.33730324074074075</v>
      </c>
      <c r="G1123" s="3">
        <v>0.57636574074074076</v>
      </c>
      <c r="H1123" s="1">
        <v>0.2388888888888889</v>
      </c>
      <c r="I1123" s="5">
        <v>599</v>
      </c>
      <c r="J1123">
        <v>8054</v>
      </c>
      <c r="K1123">
        <v>104</v>
      </c>
      <c r="L1123" s="5">
        <v>208</v>
      </c>
      <c r="M1123" s="5">
        <v>599</v>
      </c>
      <c r="N1123">
        <v>17</v>
      </c>
      <c r="O1123">
        <v>582</v>
      </c>
      <c r="P1123" s="1">
        <v>0.34722222222222221</v>
      </c>
      <c r="Q1123" s="5">
        <v>1404</v>
      </c>
      <c r="R1123" s="14">
        <v>13.5</v>
      </c>
      <c r="S1123">
        <v>104</v>
      </c>
      <c r="T1123" s="5">
        <v>17</v>
      </c>
      <c r="U1123" s="5">
        <v>582</v>
      </c>
      <c r="V1123" s="5">
        <v>0</v>
      </c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</row>
    <row r="1124" spans="1:37" x14ac:dyDescent="0.25">
      <c r="A1124" s="11">
        <f>Table1[[#This Row],[Milk Yield]]-J1120</f>
        <v>-292</v>
      </c>
      <c r="B1124" t="s">
        <v>24</v>
      </c>
      <c r="C1124" s="2">
        <v>2</v>
      </c>
      <c r="D1124" s="12">
        <v>45748</v>
      </c>
      <c r="E1124" s="2">
        <v>31</v>
      </c>
      <c r="F1124" s="13">
        <v>0.66571759259259256</v>
      </c>
      <c r="G1124" s="3">
        <v>0.89065972222222223</v>
      </c>
      <c r="H1124" s="1">
        <v>0.22430555555555556</v>
      </c>
      <c r="I1124" s="5">
        <v>620</v>
      </c>
      <c r="J1124">
        <v>7114</v>
      </c>
      <c r="K1124">
        <v>115</v>
      </c>
      <c r="L1124" s="5">
        <v>107</v>
      </c>
      <c r="M1124" s="5">
        <v>619</v>
      </c>
      <c r="N1124">
        <v>11</v>
      </c>
      <c r="O1124">
        <v>608</v>
      </c>
      <c r="P1124" s="1">
        <v>0.29930555555555555</v>
      </c>
      <c r="Q1124" s="5">
        <v>1318</v>
      </c>
      <c r="R1124" s="14">
        <v>11.5</v>
      </c>
      <c r="S1124">
        <v>115</v>
      </c>
      <c r="T1124" s="5">
        <v>11</v>
      </c>
      <c r="U1124" s="5">
        <v>608</v>
      </c>
      <c r="V1124" s="5">
        <v>0</v>
      </c>
      <c r="W1124" s="5"/>
      <c r="X1124" s="5"/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</row>
    <row r="1125" spans="1:37" x14ac:dyDescent="0.25">
      <c r="A1125" s="11">
        <f>Table1[[#This Row],[Milk Yield]]-J1121</f>
        <v>90</v>
      </c>
      <c r="B1125" t="s">
        <v>24</v>
      </c>
      <c r="C1125" s="2">
        <v>3</v>
      </c>
      <c r="D1125" s="12">
        <v>45748</v>
      </c>
      <c r="E1125" s="2">
        <v>32</v>
      </c>
      <c r="F1125" s="13">
        <v>0.9992361111111111</v>
      </c>
      <c r="G1125" s="3">
        <v>0.22298611111111111</v>
      </c>
      <c r="H1125" s="1">
        <v>0.22361111111111112</v>
      </c>
      <c r="I1125" s="5">
        <v>621</v>
      </c>
      <c r="J1125">
        <v>7648</v>
      </c>
      <c r="K1125">
        <v>116</v>
      </c>
      <c r="L1125" s="5">
        <v>130</v>
      </c>
      <c r="M1125" s="5">
        <v>621</v>
      </c>
      <c r="N1125">
        <v>14</v>
      </c>
      <c r="O1125">
        <v>607</v>
      </c>
      <c r="P1125" s="1">
        <v>0.2638888888888889</v>
      </c>
      <c r="Q1125" s="5">
        <v>1424</v>
      </c>
      <c r="R1125" s="14">
        <v>12.4</v>
      </c>
      <c r="S1125">
        <v>116</v>
      </c>
      <c r="T1125" s="5">
        <v>14</v>
      </c>
      <c r="U1125" s="5">
        <v>607</v>
      </c>
      <c r="V1125" s="5">
        <v>0</v>
      </c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</row>
    <row r="1126" spans="1:37" x14ac:dyDescent="0.25">
      <c r="A1126" s="11" t="e">
        <f>Table1[[#This Row],[Milk Yield]]-J1122</f>
        <v>#VALUE!</v>
      </c>
      <c r="B1126" t="s">
        <v>0</v>
      </c>
      <c r="C1126" s="2" t="s">
        <v>1</v>
      </c>
      <c r="D1126" s="12" t="s">
        <v>2</v>
      </c>
      <c r="E1126" s="2" t="s">
        <v>3</v>
      </c>
      <c r="F1126" s="13" t="s">
        <v>4</v>
      </c>
      <c r="G1126" s="3" t="s">
        <v>5</v>
      </c>
      <c r="H1126" s="1" t="s">
        <v>6</v>
      </c>
      <c r="I1126" s="5" t="s">
        <v>8</v>
      </c>
      <c r="J1126" t="s">
        <v>9</v>
      </c>
      <c r="K1126" t="s">
        <v>10</v>
      </c>
      <c r="L1126" s="5" t="s">
        <v>11</v>
      </c>
      <c r="M1126" s="5" t="s">
        <v>12</v>
      </c>
      <c r="N1126" t="s">
        <v>13</v>
      </c>
      <c r="O1126" t="s">
        <v>20</v>
      </c>
      <c r="P1126" s="1" t="s">
        <v>7</v>
      </c>
      <c r="Q1126" s="5" t="s">
        <v>15</v>
      </c>
      <c r="R1126" s="14" t="s">
        <v>18</v>
      </c>
      <c r="S1126" t="s">
        <v>16</v>
      </c>
      <c r="T1126" s="5" t="s">
        <v>14</v>
      </c>
      <c r="U1126" s="5" t="s">
        <v>17</v>
      </c>
      <c r="V1126" s="5" t="s">
        <v>19</v>
      </c>
      <c r="W1126" s="5"/>
      <c r="X1126" s="5"/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</row>
    <row r="1127" spans="1:37" x14ac:dyDescent="0.25">
      <c r="A1127" s="11">
        <f>Table1[[#This Row],[Milk Yield]]-J1123</f>
        <v>765</v>
      </c>
      <c r="B1127" t="s">
        <v>24</v>
      </c>
      <c r="C1127" s="2">
        <v>1</v>
      </c>
      <c r="D1127" s="12">
        <v>45749</v>
      </c>
      <c r="E1127" s="2">
        <v>33</v>
      </c>
      <c r="F1127" s="13">
        <v>0.33813657407407405</v>
      </c>
      <c r="G1127" s="3">
        <v>0.5749305555555555</v>
      </c>
      <c r="H1127" s="1">
        <v>0.23680555555555555</v>
      </c>
      <c r="I1127" s="5">
        <v>630</v>
      </c>
      <c r="J1127">
        <v>8819</v>
      </c>
      <c r="K1127">
        <v>111</v>
      </c>
      <c r="L1127" s="5">
        <v>184</v>
      </c>
      <c r="M1127" s="5">
        <v>629</v>
      </c>
      <c r="N1127">
        <v>17</v>
      </c>
      <c r="O1127">
        <v>612</v>
      </c>
      <c r="P1127" s="1">
        <v>0.33055555555555555</v>
      </c>
      <c r="Q1127" s="5">
        <v>1552</v>
      </c>
      <c r="R1127" s="14">
        <v>14.1</v>
      </c>
      <c r="S1127">
        <v>111</v>
      </c>
      <c r="T1127" s="5">
        <v>17</v>
      </c>
      <c r="U1127" s="5">
        <v>612</v>
      </c>
      <c r="V1127" s="5">
        <v>0</v>
      </c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</row>
    <row r="1128" spans="1:37" x14ac:dyDescent="0.25">
      <c r="A1128" s="11">
        <f>Table1[[#This Row],[Milk Yield]]-J1124</f>
        <v>-161</v>
      </c>
      <c r="B1128" t="s">
        <v>24</v>
      </c>
      <c r="C1128" s="2">
        <v>2</v>
      </c>
      <c r="D1128" s="12">
        <v>45749</v>
      </c>
      <c r="E1128" s="2">
        <v>30</v>
      </c>
      <c r="F1128" s="13">
        <v>0.66781250000000003</v>
      </c>
      <c r="G1128" s="3">
        <v>0.88300925925925922</v>
      </c>
      <c r="H1128" s="1">
        <v>0.21458333333333332</v>
      </c>
      <c r="I1128" s="5">
        <v>620</v>
      </c>
      <c r="J1128">
        <v>6953</v>
      </c>
      <c r="K1128">
        <v>120</v>
      </c>
      <c r="L1128" s="5">
        <v>73</v>
      </c>
      <c r="M1128" s="5">
        <v>620</v>
      </c>
      <c r="N1128">
        <v>9</v>
      </c>
      <c r="O1128">
        <v>611</v>
      </c>
      <c r="P1128" s="1">
        <v>0.29444444444444445</v>
      </c>
      <c r="Q1128" s="5">
        <v>1346</v>
      </c>
      <c r="R1128" s="14">
        <v>11.3</v>
      </c>
      <c r="S1128">
        <v>120</v>
      </c>
      <c r="T1128" s="5">
        <v>9</v>
      </c>
      <c r="U1128" s="5">
        <v>611</v>
      </c>
      <c r="V1128" s="5">
        <v>0</v>
      </c>
      <c r="W1128" s="5"/>
      <c r="X1128" s="5"/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</row>
    <row r="1129" spans="1:37" x14ac:dyDescent="0.25">
      <c r="A1129" s="11">
        <f>Table1[[#This Row],[Milk Yield]]-J1125</f>
        <v>-320</v>
      </c>
      <c r="B1129" t="s">
        <v>24</v>
      </c>
      <c r="C1129" s="2">
        <v>3</v>
      </c>
      <c r="D1129" s="12">
        <v>45749</v>
      </c>
      <c r="E1129" s="2">
        <v>31</v>
      </c>
      <c r="F1129" s="13">
        <v>0.99980324074074078</v>
      </c>
      <c r="G1129" s="3">
        <v>0.19341435185185185</v>
      </c>
      <c r="H1129" s="1">
        <v>0.19305555555555556</v>
      </c>
      <c r="I1129" s="5">
        <v>618</v>
      </c>
      <c r="J1129">
        <v>7328</v>
      </c>
      <c r="K1129">
        <v>133</v>
      </c>
      <c r="L1129" s="5">
        <v>133</v>
      </c>
      <c r="M1129" s="5">
        <v>618</v>
      </c>
      <c r="N1129">
        <v>12</v>
      </c>
      <c r="O1129">
        <v>606</v>
      </c>
      <c r="P1129" s="1">
        <v>0.29305555555555557</v>
      </c>
      <c r="Q1129" s="5">
        <v>1577</v>
      </c>
      <c r="R1129" s="14">
        <v>11.9</v>
      </c>
      <c r="S1129">
        <v>133</v>
      </c>
      <c r="T1129" s="5">
        <v>12</v>
      </c>
      <c r="U1129" s="5">
        <v>605</v>
      </c>
      <c r="V1129" s="5">
        <v>0</v>
      </c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</row>
    <row r="1130" spans="1:37" x14ac:dyDescent="0.25">
      <c r="A1130" s="11" t="e">
        <f>Table1[[#This Row],[Milk Yield]]-J1126</f>
        <v>#VALUE!</v>
      </c>
      <c r="B1130" t="s">
        <v>0</v>
      </c>
      <c r="C1130" s="2" t="s">
        <v>1</v>
      </c>
      <c r="D1130" s="12" t="s">
        <v>2</v>
      </c>
      <c r="E1130" s="2" t="s">
        <v>3</v>
      </c>
      <c r="F1130" s="13" t="s">
        <v>4</v>
      </c>
      <c r="G1130" s="3" t="s">
        <v>5</v>
      </c>
      <c r="H1130" s="1" t="s">
        <v>6</v>
      </c>
      <c r="I1130" s="5" t="s">
        <v>8</v>
      </c>
      <c r="J1130" t="s">
        <v>9</v>
      </c>
      <c r="K1130" t="s">
        <v>10</v>
      </c>
      <c r="L1130" s="5" t="s">
        <v>11</v>
      </c>
      <c r="M1130" s="5" t="s">
        <v>12</v>
      </c>
      <c r="N1130" t="s">
        <v>13</v>
      </c>
      <c r="O1130" t="s">
        <v>20</v>
      </c>
      <c r="P1130" s="1" t="s">
        <v>7</v>
      </c>
      <c r="Q1130" s="5" t="s">
        <v>15</v>
      </c>
      <c r="R1130" s="14" t="s">
        <v>18</v>
      </c>
      <c r="S1130" t="s">
        <v>16</v>
      </c>
      <c r="T1130" s="5" t="s">
        <v>14</v>
      </c>
      <c r="U1130" s="5" t="s">
        <v>17</v>
      </c>
      <c r="V1130" s="5" t="s">
        <v>19</v>
      </c>
      <c r="W1130" s="5"/>
      <c r="X1130" s="5"/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</row>
    <row r="1131" spans="1:37" x14ac:dyDescent="0.25">
      <c r="A1131" s="11">
        <f>Table1[[#This Row],[Milk Yield]]-J1127</f>
        <v>69</v>
      </c>
      <c r="B1131" t="s">
        <v>24</v>
      </c>
      <c r="C1131" s="2">
        <v>1</v>
      </c>
      <c r="D1131" s="12">
        <v>45750</v>
      </c>
      <c r="E1131" s="2">
        <v>34</v>
      </c>
      <c r="F1131" s="13">
        <v>0.33898148148148149</v>
      </c>
      <c r="G1131" s="3">
        <v>0.55629629629629629</v>
      </c>
      <c r="H1131" s="1">
        <v>0.21666666666666667</v>
      </c>
      <c r="I1131" s="5">
        <v>624</v>
      </c>
      <c r="J1131">
        <v>8888</v>
      </c>
      <c r="K1131">
        <v>120</v>
      </c>
      <c r="L1131" s="5">
        <v>230</v>
      </c>
      <c r="M1131" s="5">
        <v>624</v>
      </c>
      <c r="N1131">
        <v>21</v>
      </c>
      <c r="O1131">
        <v>603</v>
      </c>
      <c r="P1131" s="1">
        <v>0.3034722222222222</v>
      </c>
      <c r="Q1131" s="5">
        <v>1704</v>
      </c>
      <c r="R1131" s="14">
        <v>14.3</v>
      </c>
      <c r="S1131">
        <v>120</v>
      </c>
      <c r="T1131" s="5">
        <v>21</v>
      </c>
      <c r="U1131" s="5">
        <v>603</v>
      </c>
      <c r="V1131" s="5">
        <v>0</v>
      </c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</row>
    <row r="1132" spans="1:37" x14ac:dyDescent="0.25">
      <c r="A1132" s="11">
        <f>Table1[[#This Row],[Milk Yield]]-J1128</f>
        <v>-204</v>
      </c>
      <c r="B1132" t="s">
        <v>24</v>
      </c>
      <c r="C1132" s="2">
        <v>2</v>
      </c>
      <c r="D1132" s="12">
        <v>45750</v>
      </c>
      <c r="E1132" s="2">
        <v>32</v>
      </c>
      <c r="F1132" s="13">
        <v>0.66806712962962966</v>
      </c>
      <c r="G1132" s="3">
        <v>0.85118055555555561</v>
      </c>
      <c r="H1132" s="1">
        <v>0.18263888888888888</v>
      </c>
      <c r="I1132" s="5">
        <v>618</v>
      </c>
      <c r="J1132">
        <v>6749</v>
      </c>
      <c r="K1132">
        <v>141</v>
      </c>
      <c r="L1132" s="5">
        <v>72</v>
      </c>
      <c r="M1132" s="5">
        <v>618</v>
      </c>
      <c r="N1132">
        <v>10</v>
      </c>
      <c r="O1132">
        <v>608</v>
      </c>
      <c r="P1132" s="1">
        <v>0.25</v>
      </c>
      <c r="Q1132" s="5">
        <v>1536</v>
      </c>
      <c r="R1132" s="14">
        <v>11</v>
      </c>
      <c r="S1132">
        <v>141</v>
      </c>
      <c r="T1132" s="5">
        <v>10</v>
      </c>
      <c r="U1132" s="5">
        <v>608</v>
      </c>
      <c r="V1132" s="5">
        <v>0</v>
      </c>
      <c r="W1132" s="5"/>
      <c r="X1132" s="5"/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</row>
    <row r="1133" spans="1:37" x14ac:dyDescent="0.25">
      <c r="A1133" s="11">
        <f>Table1[[#This Row],[Milk Yield]]-J1129</f>
        <v>398</v>
      </c>
      <c r="B1133" t="s">
        <v>24</v>
      </c>
      <c r="C1133" s="2">
        <v>3</v>
      </c>
      <c r="D1133" s="12">
        <v>45750</v>
      </c>
      <c r="E1133" s="2">
        <v>32</v>
      </c>
      <c r="F1133" s="13">
        <v>2.4189814814814816E-3</v>
      </c>
      <c r="G1133" s="3">
        <v>0.20300925925925925</v>
      </c>
      <c r="H1133" s="1">
        <v>0.2</v>
      </c>
      <c r="I1133" s="5">
        <v>614</v>
      </c>
      <c r="J1133">
        <v>7726</v>
      </c>
      <c r="K1133">
        <v>128</v>
      </c>
      <c r="L1133" s="5">
        <v>85</v>
      </c>
      <c r="M1133" s="5">
        <v>614</v>
      </c>
      <c r="N1133">
        <v>8</v>
      </c>
      <c r="O1133">
        <v>606</v>
      </c>
      <c r="P1133" s="1">
        <v>0.26944444444444443</v>
      </c>
      <c r="Q1133" s="5">
        <v>1605</v>
      </c>
      <c r="R1133" s="14">
        <v>12.6</v>
      </c>
      <c r="S1133">
        <v>128</v>
      </c>
      <c r="T1133" s="5">
        <v>8</v>
      </c>
      <c r="U1133" s="5">
        <v>606</v>
      </c>
      <c r="V1133" s="5">
        <v>0</v>
      </c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</row>
    <row r="1134" spans="1:37" x14ac:dyDescent="0.25">
      <c r="A1134" s="11" t="e">
        <f>Table1[[#This Row],[Milk Yield]]-J1130</f>
        <v>#VALUE!</v>
      </c>
      <c r="B1134" t="s">
        <v>0</v>
      </c>
      <c r="C1134" s="2" t="s">
        <v>1</v>
      </c>
      <c r="D1134" s="12" t="s">
        <v>2</v>
      </c>
      <c r="E1134" s="2" t="s">
        <v>3</v>
      </c>
      <c r="F1134" s="13" t="s">
        <v>4</v>
      </c>
      <c r="G1134" s="3" t="s">
        <v>5</v>
      </c>
      <c r="H1134" s="1" t="s">
        <v>6</v>
      </c>
      <c r="I1134" s="5" t="s">
        <v>8</v>
      </c>
      <c r="J1134" t="s">
        <v>9</v>
      </c>
      <c r="K1134" t="s">
        <v>10</v>
      </c>
      <c r="L1134" s="5" t="s">
        <v>11</v>
      </c>
      <c r="M1134" s="5" t="s">
        <v>12</v>
      </c>
      <c r="N1134" t="s">
        <v>13</v>
      </c>
      <c r="O1134" t="s">
        <v>20</v>
      </c>
      <c r="P1134" s="1" t="s">
        <v>7</v>
      </c>
      <c r="Q1134" s="5" t="s">
        <v>15</v>
      </c>
      <c r="R1134" s="14" t="s">
        <v>18</v>
      </c>
      <c r="S1134" t="s">
        <v>16</v>
      </c>
      <c r="T1134" s="5" t="s">
        <v>14</v>
      </c>
      <c r="U1134" s="5" t="s">
        <v>17</v>
      </c>
      <c r="V1134" s="5" t="s">
        <v>19</v>
      </c>
      <c r="W1134" s="5"/>
      <c r="X1134" s="5"/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</row>
    <row r="1135" spans="1:37" x14ac:dyDescent="0.25">
      <c r="A1135" s="11">
        <f>Table1[[#This Row],[Milk Yield]]-J1131</f>
        <v>-934</v>
      </c>
      <c r="B1135" t="s">
        <v>24</v>
      </c>
      <c r="C1135" s="2">
        <v>1</v>
      </c>
      <c r="D1135" s="12">
        <v>45751</v>
      </c>
      <c r="E1135" s="2">
        <v>31</v>
      </c>
      <c r="F1135" s="13">
        <v>0.33439814814814817</v>
      </c>
      <c r="G1135" s="3">
        <v>0.57394675925925931</v>
      </c>
      <c r="H1135" s="1">
        <v>0.2388888888888889</v>
      </c>
      <c r="I1135" s="5">
        <v>612</v>
      </c>
      <c r="J1135">
        <v>7954</v>
      </c>
      <c r="K1135">
        <v>106</v>
      </c>
      <c r="L1135" s="5">
        <v>145</v>
      </c>
      <c r="M1135" s="5">
        <v>612</v>
      </c>
      <c r="N1135">
        <v>12</v>
      </c>
      <c r="O1135">
        <v>600</v>
      </c>
      <c r="P1135" s="1">
        <v>0.3125</v>
      </c>
      <c r="Q1135" s="5">
        <v>1383</v>
      </c>
      <c r="R1135" s="14">
        <v>13</v>
      </c>
      <c r="S1135">
        <v>106</v>
      </c>
      <c r="T1135" s="5">
        <v>12</v>
      </c>
      <c r="U1135" s="5">
        <v>600</v>
      </c>
      <c r="V1135" s="5">
        <v>0</v>
      </c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</row>
    <row r="1136" spans="1:37" x14ac:dyDescent="0.25">
      <c r="A1136" s="11">
        <f>Table1[[#This Row],[Milk Yield]]-J1132</f>
        <v>409</v>
      </c>
      <c r="B1136" t="s">
        <v>24</v>
      </c>
      <c r="C1136" s="2">
        <v>2</v>
      </c>
      <c r="D1136" s="12">
        <v>45751</v>
      </c>
      <c r="E1136" s="2">
        <v>32</v>
      </c>
      <c r="F1136" s="13">
        <v>0.67446759259259259</v>
      </c>
      <c r="G1136" s="3">
        <v>0.86368055555555556</v>
      </c>
      <c r="H1136" s="1">
        <v>0.18888888888888888</v>
      </c>
      <c r="I1136" s="5">
        <v>610</v>
      </c>
      <c r="J1136">
        <v>7158</v>
      </c>
      <c r="K1136">
        <v>134</v>
      </c>
      <c r="L1136" s="5">
        <v>122</v>
      </c>
      <c r="M1136" s="5">
        <v>610</v>
      </c>
      <c r="N1136">
        <v>11</v>
      </c>
      <c r="O1136">
        <v>599</v>
      </c>
      <c r="P1136" s="1">
        <v>0.27500000000000002</v>
      </c>
      <c r="Q1136" s="5">
        <v>1576</v>
      </c>
      <c r="R1136" s="14">
        <v>11.8</v>
      </c>
      <c r="S1136">
        <v>134</v>
      </c>
      <c r="T1136" s="5">
        <v>11</v>
      </c>
      <c r="U1136" s="5">
        <v>599</v>
      </c>
      <c r="V1136" s="5">
        <v>0</v>
      </c>
      <c r="W1136" s="5"/>
      <c r="X1136" s="5"/>
      <c r="Y1136" s="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</row>
    <row r="1137" spans="1:37" x14ac:dyDescent="0.25">
      <c r="A1137" s="11">
        <f>Table1[[#This Row],[Milk Yield]]-J1133</f>
        <v>-402</v>
      </c>
      <c r="B1137" t="s">
        <v>24</v>
      </c>
      <c r="C1137" s="2">
        <v>3</v>
      </c>
      <c r="D1137" s="12">
        <v>45751</v>
      </c>
      <c r="E1137" s="2">
        <v>31</v>
      </c>
      <c r="F1137" s="13">
        <v>0.99857638888888889</v>
      </c>
      <c r="G1137" s="3">
        <v>0.20520833333333333</v>
      </c>
      <c r="H1137" s="1">
        <v>0.20624999999999999</v>
      </c>
      <c r="I1137" s="5">
        <v>608</v>
      </c>
      <c r="J1137">
        <v>7324</v>
      </c>
      <c r="K1137">
        <v>123</v>
      </c>
      <c r="L1137" s="5">
        <v>74</v>
      </c>
      <c r="M1137" s="5">
        <v>608</v>
      </c>
      <c r="N1137">
        <v>7</v>
      </c>
      <c r="O1137">
        <v>601</v>
      </c>
      <c r="P1137" s="1">
        <v>0.28611111111111109</v>
      </c>
      <c r="Q1137" s="5">
        <v>1477</v>
      </c>
      <c r="R1137" s="14">
        <v>12.1</v>
      </c>
      <c r="S1137">
        <v>123</v>
      </c>
      <c r="T1137" s="5">
        <v>7</v>
      </c>
      <c r="U1137" s="5">
        <v>601</v>
      </c>
      <c r="V1137" s="5">
        <v>0</v>
      </c>
      <c r="W1137" s="5"/>
      <c r="X1137" s="5"/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</row>
    <row r="1138" spans="1:37" x14ac:dyDescent="0.25">
      <c r="A1138" s="11" t="e">
        <f>Table1[[#This Row],[Milk Yield]]-J1134</f>
        <v>#VALUE!</v>
      </c>
      <c r="B1138" t="s">
        <v>0</v>
      </c>
      <c r="C1138" s="2" t="s">
        <v>1</v>
      </c>
      <c r="D1138" s="12" t="s">
        <v>2</v>
      </c>
      <c r="E1138" s="2" t="s">
        <v>3</v>
      </c>
      <c r="F1138" s="13" t="s">
        <v>4</v>
      </c>
      <c r="G1138" s="3" t="s">
        <v>5</v>
      </c>
      <c r="H1138" s="1" t="s">
        <v>6</v>
      </c>
      <c r="I1138" s="5" t="s">
        <v>8</v>
      </c>
      <c r="J1138" t="s">
        <v>9</v>
      </c>
      <c r="K1138" t="s">
        <v>10</v>
      </c>
      <c r="L1138" s="5" t="s">
        <v>11</v>
      </c>
      <c r="M1138" s="5" t="s">
        <v>12</v>
      </c>
      <c r="N1138" t="s">
        <v>13</v>
      </c>
      <c r="O1138" t="s">
        <v>20</v>
      </c>
      <c r="P1138" s="1" t="s">
        <v>7</v>
      </c>
      <c r="Q1138" s="5" t="s">
        <v>15</v>
      </c>
      <c r="R1138" s="14" t="s">
        <v>18</v>
      </c>
      <c r="S1138" t="s">
        <v>16</v>
      </c>
      <c r="T1138" s="5" t="s">
        <v>14</v>
      </c>
      <c r="U1138" s="5" t="s">
        <v>17</v>
      </c>
      <c r="V1138" s="5" t="s">
        <v>19</v>
      </c>
      <c r="W1138" s="5"/>
      <c r="X1138" s="5"/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</row>
    <row r="1139" spans="1:37" x14ac:dyDescent="0.25">
      <c r="A1139" s="11">
        <f>Table1[[#This Row],[Milk Yield]]-J1135</f>
        <v>725</v>
      </c>
      <c r="B1139" t="s">
        <v>24</v>
      </c>
      <c r="C1139" s="2">
        <v>1</v>
      </c>
      <c r="D1139" s="12">
        <v>45752</v>
      </c>
      <c r="E1139" s="2">
        <v>29</v>
      </c>
      <c r="F1139" s="13">
        <v>0.3382175925925926</v>
      </c>
      <c r="G1139" s="3">
        <v>0.57775462962962965</v>
      </c>
      <c r="H1139" s="1">
        <v>0.2388888888888889</v>
      </c>
      <c r="I1139" s="5">
        <v>589</v>
      </c>
      <c r="J1139">
        <v>8679</v>
      </c>
      <c r="K1139">
        <v>102</v>
      </c>
      <c r="L1139" s="5">
        <v>364</v>
      </c>
      <c r="M1139" s="5">
        <v>588</v>
      </c>
      <c r="N1139">
        <v>33</v>
      </c>
      <c r="O1139">
        <v>555</v>
      </c>
      <c r="P1139" s="1">
        <v>0.35625000000000001</v>
      </c>
      <c r="Q1139" s="5">
        <v>1510</v>
      </c>
      <c r="R1139" s="14">
        <v>14.8</v>
      </c>
      <c r="S1139">
        <v>102</v>
      </c>
      <c r="T1139" s="5">
        <v>33</v>
      </c>
      <c r="U1139" s="5">
        <v>555</v>
      </c>
      <c r="V1139" s="5">
        <v>0</v>
      </c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</row>
    <row r="1140" spans="1:37" x14ac:dyDescent="0.25">
      <c r="A1140" s="11">
        <f>Table1[[#This Row],[Milk Yield]]-J1136</f>
        <v>-117</v>
      </c>
      <c r="B1140" t="s">
        <v>24</v>
      </c>
      <c r="C1140" s="2">
        <v>2</v>
      </c>
      <c r="D1140" s="12">
        <v>45752</v>
      </c>
      <c r="E1140" s="2">
        <v>30</v>
      </c>
      <c r="F1140" s="13">
        <v>0.66045138888888888</v>
      </c>
      <c r="G1140" s="3">
        <v>0.86253472222222227</v>
      </c>
      <c r="H1140" s="1">
        <v>0.20208333333333334</v>
      </c>
      <c r="I1140" s="5">
        <v>645</v>
      </c>
      <c r="J1140">
        <v>7041</v>
      </c>
      <c r="K1140">
        <v>133</v>
      </c>
      <c r="L1140" s="5">
        <v>832</v>
      </c>
      <c r="M1140" s="5">
        <v>636</v>
      </c>
      <c r="N1140">
        <v>52</v>
      </c>
      <c r="O1140">
        <v>584</v>
      </c>
      <c r="P1140" s="1">
        <v>0.29305555555555557</v>
      </c>
      <c r="Q1140" s="5">
        <v>1452</v>
      </c>
      <c r="R1140" s="14">
        <v>11.1</v>
      </c>
      <c r="S1140">
        <v>131</v>
      </c>
      <c r="T1140" s="5">
        <v>52</v>
      </c>
      <c r="U1140" s="5">
        <v>584</v>
      </c>
      <c r="V1140" s="5">
        <v>0</v>
      </c>
      <c r="W1140" s="5"/>
      <c r="X1140" s="5"/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</row>
    <row r="1141" spans="1:37" x14ac:dyDescent="0.25">
      <c r="A1141" s="11">
        <f>Table1[[#This Row],[Milk Yield]]-J1137</f>
        <v>-152</v>
      </c>
      <c r="B1141" t="s">
        <v>24</v>
      </c>
      <c r="C1141" s="2">
        <v>3</v>
      </c>
      <c r="D1141" s="12">
        <v>45752</v>
      </c>
      <c r="E1141" s="2">
        <v>30</v>
      </c>
      <c r="F1141" s="13">
        <v>0.9947569444444444</v>
      </c>
      <c r="G1141" s="3">
        <v>0.19143518518518518</v>
      </c>
      <c r="H1141" s="1">
        <v>0.19652777777777777</v>
      </c>
      <c r="I1141" s="5">
        <v>600</v>
      </c>
      <c r="J1141">
        <v>7172</v>
      </c>
      <c r="K1141">
        <v>127</v>
      </c>
      <c r="L1141" s="5">
        <v>215</v>
      </c>
      <c r="M1141" s="5">
        <v>600</v>
      </c>
      <c r="N1141">
        <v>17</v>
      </c>
      <c r="O1141">
        <v>583</v>
      </c>
      <c r="P1141" s="1">
        <v>0.2722222222222222</v>
      </c>
      <c r="Q1141" s="5">
        <v>1519</v>
      </c>
      <c r="R1141" s="14">
        <v>12</v>
      </c>
      <c r="S1141">
        <v>127</v>
      </c>
      <c r="T1141" s="5">
        <v>17</v>
      </c>
      <c r="U1141" s="5">
        <v>583</v>
      </c>
      <c r="V1141" s="5">
        <v>0</v>
      </c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</row>
    <row r="1142" spans="1:37" x14ac:dyDescent="0.25">
      <c r="A1142" s="11" t="e">
        <f>Table1[[#This Row],[Milk Yield]]-J1138</f>
        <v>#VALUE!</v>
      </c>
      <c r="B1142" t="s">
        <v>0</v>
      </c>
      <c r="C1142" s="2" t="s">
        <v>1</v>
      </c>
      <c r="D1142" s="12" t="s">
        <v>2</v>
      </c>
      <c r="E1142" s="2" t="s">
        <v>3</v>
      </c>
      <c r="F1142" s="13" t="s">
        <v>4</v>
      </c>
      <c r="G1142" s="3" t="s">
        <v>5</v>
      </c>
      <c r="H1142" s="1" t="s">
        <v>6</v>
      </c>
      <c r="I1142" s="5" t="s">
        <v>8</v>
      </c>
      <c r="J1142" t="s">
        <v>9</v>
      </c>
      <c r="K1142" t="s">
        <v>10</v>
      </c>
      <c r="L1142" s="5" t="s">
        <v>11</v>
      </c>
      <c r="M1142" s="5" t="s">
        <v>12</v>
      </c>
      <c r="N1142" t="s">
        <v>13</v>
      </c>
      <c r="O1142" t="s">
        <v>20</v>
      </c>
      <c r="P1142" s="1" t="s">
        <v>7</v>
      </c>
      <c r="Q1142" s="5" t="s">
        <v>15</v>
      </c>
      <c r="R1142" s="14" t="s">
        <v>18</v>
      </c>
      <c r="S1142" t="s">
        <v>16</v>
      </c>
      <c r="T1142" s="5" t="s">
        <v>14</v>
      </c>
      <c r="U1142" s="5" t="s">
        <v>17</v>
      </c>
      <c r="V1142" s="5" t="s">
        <v>19</v>
      </c>
      <c r="W1142" s="5"/>
      <c r="X1142" s="5"/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</row>
    <row r="1143" spans="1:37" x14ac:dyDescent="0.25">
      <c r="A1143" s="11">
        <f>Table1[[#This Row],[Milk Yield]]-J1139</f>
        <v>-31</v>
      </c>
      <c r="B1143" t="s">
        <v>24</v>
      </c>
      <c r="C1143" s="2">
        <v>1</v>
      </c>
      <c r="D1143" s="12">
        <v>45753</v>
      </c>
      <c r="E1143" s="2">
        <v>32</v>
      </c>
      <c r="F1143" s="13">
        <v>0.3357175925925926</v>
      </c>
      <c r="G1143" s="3">
        <v>0.55060185185185184</v>
      </c>
      <c r="H1143" s="1">
        <v>0.21458333333333332</v>
      </c>
      <c r="I1143" s="5">
        <v>593</v>
      </c>
      <c r="J1143">
        <v>8648</v>
      </c>
      <c r="K1143">
        <v>115</v>
      </c>
      <c r="L1143" s="5">
        <v>158</v>
      </c>
      <c r="M1143" s="5">
        <v>593</v>
      </c>
      <c r="N1143">
        <v>14</v>
      </c>
      <c r="O1143">
        <v>579</v>
      </c>
      <c r="P1143" s="1">
        <v>0.33194444444444443</v>
      </c>
      <c r="Q1143" s="5">
        <v>1677</v>
      </c>
      <c r="R1143" s="14">
        <v>14.6</v>
      </c>
      <c r="S1143">
        <v>115</v>
      </c>
      <c r="T1143" s="5">
        <v>14</v>
      </c>
      <c r="U1143" s="5">
        <v>579</v>
      </c>
      <c r="V1143" s="5">
        <v>0</v>
      </c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</row>
    <row r="1144" spans="1:37" x14ac:dyDescent="0.25">
      <c r="A1144" s="11">
        <f>Table1[[#This Row],[Milk Yield]]-J1140</f>
        <v>221</v>
      </c>
      <c r="B1144" t="s">
        <v>24</v>
      </c>
      <c r="C1144" s="2">
        <v>2</v>
      </c>
      <c r="D1144" s="12">
        <v>45753</v>
      </c>
      <c r="E1144" s="2">
        <v>31</v>
      </c>
      <c r="F1144" s="13">
        <v>0.66782407407407407</v>
      </c>
      <c r="G1144" s="3">
        <v>0.85938657407407404</v>
      </c>
      <c r="H1144" s="1">
        <v>0.19097222222222221</v>
      </c>
      <c r="I1144" s="5">
        <v>607</v>
      </c>
      <c r="J1144">
        <v>7262</v>
      </c>
      <c r="K1144">
        <v>132</v>
      </c>
      <c r="L1144" s="5">
        <v>150</v>
      </c>
      <c r="M1144" s="5">
        <v>607</v>
      </c>
      <c r="N1144">
        <v>15</v>
      </c>
      <c r="O1144">
        <v>592</v>
      </c>
      <c r="P1144" s="1">
        <v>0.28333333333333333</v>
      </c>
      <c r="Q1144" s="5">
        <v>1580</v>
      </c>
      <c r="R1144" s="14">
        <v>12</v>
      </c>
      <c r="S1144">
        <v>132</v>
      </c>
      <c r="T1144" s="5">
        <v>15</v>
      </c>
      <c r="U1144" s="5">
        <v>592</v>
      </c>
      <c r="V1144" s="5">
        <v>0</v>
      </c>
      <c r="W1144" s="5"/>
      <c r="X1144" s="5"/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</row>
    <row r="1145" spans="1:37" x14ac:dyDescent="0.25">
      <c r="A1145" s="11">
        <f>Table1[[#This Row],[Milk Yield]]-J1141</f>
        <v>673</v>
      </c>
      <c r="B1145" t="s">
        <v>24</v>
      </c>
      <c r="C1145" s="2">
        <v>3</v>
      </c>
      <c r="D1145" s="12">
        <v>45753</v>
      </c>
      <c r="E1145" s="2">
        <v>32</v>
      </c>
      <c r="F1145" s="13">
        <v>3.2523148148148147E-3</v>
      </c>
      <c r="G1145" s="3">
        <v>0.22274305555555557</v>
      </c>
      <c r="H1145" s="1">
        <v>0.21944444444444444</v>
      </c>
      <c r="I1145" s="5">
        <v>605</v>
      </c>
      <c r="J1145">
        <v>7845</v>
      </c>
      <c r="K1145">
        <v>115</v>
      </c>
      <c r="L1145" s="5">
        <v>113</v>
      </c>
      <c r="M1145" s="5">
        <v>604</v>
      </c>
      <c r="N1145">
        <v>10</v>
      </c>
      <c r="O1145">
        <v>594</v>
      </c>
      <c r="P1145" s="1">
        <v>0.3</v>
      </c>
      <c r="Q1145" s="5">
        <v>1489</v>
      </c>
      <c r="R1145" s="14">
        <v>13</v>
      </c>
      <c r="S1145">
        <v>115</v>
      </c>
      <c r="T1145" s="5">
        <v>10</v>
      </c>
      <c r="U1145" s="5">
        <v>594</v>
      </c>
      <c r="V1145" s="5">
        <v>0</v>
      </c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</row>
    <row r="1146" spans="1:37" x14ac:dyDescent="0.25">
      <c r="A1146" s="11" t="e">
        <f>Table1[[#This Row],[Milk Yield]]-J1142</f>
        <v>#VALUE!</v>
      </c>
      <c r="B1146" t="s">
        <v>0</v>
      </c>
      <c r="C1146" s="2" t="s">
        <v>1</v>
      </c>
      <c r="D1146" s="12" t="s">
        <v>2</v>
      </c>
      <c r="E1146" s="2" t="s">
        <v>3</v>
      </c>
      <c r="F1146" s="13" t="s">
        <v>4</v>
      </c>
      <c r="G1146" s="3" t="s">
        <v>5</v>
      </c>
      <c r="H1146" s="1" t="s">
        <v>6</v>
      </c>
      <c r="I1146" s="5" t="s">
        <v>8</v>
      </c>
      <c r="J1146" t="s">
        <v>9</v>
      </c>
      <c r="K1146" t="s">
        <v>10</v>
      </c>
      <c r="L1146" s="5" t="s">
        <v>11</v>
      </c>
      <c r="M1146" s="5" t="s">
        <v>12</v>
      </c>
      <c r="N1146" t="s">
        <v>13</v>
      </c>
      <c r="O1146" t="s">
        <v>20</v>
      </c>
      <c r="P1146" s="1" t="s">
        <v>7</v>
      </c>
      <c r="Q1146" s="5" t="s">
        <v>15</v>
      </c>
      <c r="R1146" s="14" t="s">
        <v>18</v>
      </c>
      <c r="S1146" t="s">
        <v>16</v>
      </c>
      <c r="T1146" s="5" t="s">
        <v>14</v>
      </c>
      <c r="U1146" s="5" t="s">
        <v>17</v>
      </c>
      <c r="V1146" s="5" t="s">
        <v>19</v>
      </c>
      <c r="W1146" s="5"/>
      <c r="X1146" s="5"/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</row>
    <row r="1147" spans="1:37" x14ac:dyDescent="0.25">
      <c r="A1147" s="11">
        <f>Table1[[#This Row],[Milk Yield]]-J1143</f>
        <v>-491</v>
      </c>
      <c r="B1147" t="s">
        <v>24</v>
      </c>
      <c r="C1147" s="2">
        <v>1</v>
      </c>
      <c r="D1147" s="12">
        <v>45754</v>
      </c>
      <c r="E1147" s="2">
        <v>30</v>
      </c>
      <c r="F1147" s="13">
        <v>0.33671296296296294</v>
      </c>
      <c r="G1147" s="3">
        <v>0.54819444444444443</v>
      </c>
      <c r="H1147" s="1">
        <v>0.21111111111111111</v>
      </c>
      <c r="I1147" s="5">
        <v>607</v>
      </c>
      <c r="J1147">
        <v>8157</v>
      </c>
      <c r="K1147">
        <v>120</v>
      </c>
      <c r="L1147" s="5">
        <v>137</v>
      </c>
      <c r="M1147" s="5">
        <v>607</v>
      </c>
      <c r="N1147">
        <v>11</v>
      </c>
      <c r="O1147">
        <v>596</v>
      </c>
      <c r="P1147" s="1">
        <v>0.29583333333333334</v>
      </c>
      <c r="Q1147" s="5">
        <v>1607</v>
      </c>
      <c r="R1147" s="14">
        <v>13.5</v>
      </c>
      <c r="S1147">
        <v>120</v>
      </c>
      <c r="T1147" s="5">
        <v>11</v>
      </c>
      <c r="U1147" s="5">
        <v>596</v>
      </c>
      <c r="V1147" s="5">
        <v>0</v>
      </c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</row>
    <row r="1148" spans="1:37" x14ac:dyDescent="0.25">
      <c r="A1148" s="11">
        <f>Table1[[#This Row],[Milk Yield]]-J1144</f>
        <v>494</v>
      </c>
      <c r="B1148" t="s">
        <v>24</v>
      </c>
      <c r="C1148" s="2">
        <v>2</v>
      </c>
      <c r="D1148" s="12">
        <v>45754</v>
      </c>
      <c r="E1148" s="2">
        <v>32</v>
      </c>
      <c r="F1148" s="13">
        <v>0.68344907407407407</v>
      </c>
      <c r="G1148" s="3">
        <v>0.8845601851851852</v>
      </c>
      <c r="H1148" s="1">
        <v>0.20069444444444445</v>
      </c>
      <c r="I1148" s="5">
        <v>613</v>
      </c>
      <c r="J1148">
        <v>7756</v>
      </c>
      <c r="K1148">
        <v>127</v>
      </c>
      <c r="L1148" s="5">
        <v>275</v>
      </c>
      <c r="M1148" s="5">
        <v>612</v>
      </c>
      <c r="N1148">
        <v>28</v>
      </c>
      <c r="O1148">
        <v>584</v>
      </c>
      <c r="P1148" s="1">
        <v>0.27430555555555558</v>
      </c>
      <c r="Q1148" s="5">
        <v>1607</v>
      </c>
      <c r="R1148" s="14">
        <v>12.7</v>
      </c>
      <c r="S1148">
        <v>127</v>
      </c>
      <c r="T1148" s="5">
        <v>28</v>
      </c>
      <c r="U1148" s="5">
        <v>584</v>
      </c>
      <c r="V1148" s="5">
        <v>0</v>
      </c>
      <c r="W1148" s="5"/>
      <c r="X1148" s="5"/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</row>
    <row r="1149" spans="1:37" x14ac:dyDescent="0.25">
      <c r="A1149" s="11">
        <f>Table1[[#This Row],[Milk Yield]]-J1145</f>
        <v>-569</v>
      </c>
      <c r="B1149" t="s">
        <v>24</v>
      </c>
      <c r="C1149" s="2">
        <v>3</v>
      </c>
      <c r="D1149" s="12">
        <v>45754</v>
      </c>
      <c r="E1149" s="2">
        <v>30</v>
      </c>
      <c r="F1149" s="13">
        <v>1.0613425925925925E-2</v>
      </c>
      <c r="G1149" s="3">
        <v>0.22621527777777778</v>
      </c>
      <c r="H1149" s="1">
        <v>0.21527777777777779</v>
      </c>
      <c r="I1149" s="5">
        <v>621</v>
      </c>
      <c r="J1149">
        <v>7276</v>
      </c>
      <c r="K1149">
        <v>120</v>
      </c>
      <c r="L1149" s="5">
        <v>277</v>
      </c>
      <c r="M1149" s="5">
        <v>601</v>
      </c>
      <c r="N1149">
        <v>29</v>
      </c>
      <c r="O1149">
        <v>572</v>
      </c>
      <c r="P1149" s="1">
        <v>0.32430555555555557</v>
      </c>
      <c r="Q1149" s="5">
        <v>1406</v>
      </c>
      <c r="R1149" s="14">
        <v>12.2</v>
      </c>
      <c r="S1149">
        <v>116</v>
      </c>
      <c r="T1149" s="5">
        <v>29</v>
      </c>
      <c r="U1149" s="5">
        <v>572</v>
      </c>
      <c r="V1149" s="5">
        <v>0</v>
      </c>
      <c r="W1149" s="5"/>
      <c r="X1149" s="5"/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</row>
    <row r="1150" spans="1:37" x14ac:dyDescent="0.25">
      <c r="A1150" s="11" t="e">
        <f>Table1[[#This Row],[Milk Yield]]-J1146</f>
        <v>#VALUE!</v>
      </c>
      <c r="B1150" t="s">
        <v>0</v>
      </c>
      <c r="C1150" s="2" t="s">
        <v>1</v>
      </c>
      <c r="D1150" s="12" t="s">
        <v>2</v>
      </c>
      <c r="E1150" s="2" t="s">
        <v>3</v>
      </c>
      <c r="F1150" s="13" t="s">
        <v>4</v>
      </c>
      <c r="G1150" s="3" t="s">
        <v>5</v>
      </c>
      <c r="H1150" s="1" t="s">
        <v>6</v>
      </c>
      <c r="I1150" s="5" t="s">
        <v>8</v>
      </c>
      <c r="J1150" t="s">
        <v>9</v>
      </c>
      <c r="K1150" t="s">
        <v>10</v>
      </c>
      <c r="L1150" s="5" t="s">
        <v>11</v>
      </c>
      <c r="M1150" s="5" t="s">
        <v>12</v>
      </c>
      <c r="N1150" t="s">
        <v>13</v>
      </c>
      <c r="O1150" t="s">
        <v>20</v>
      </c>
      <c r="P1150" s="1" t="s">
        <v>7</v>
      </c>
      <c r="Q1150" s="5" t="s">
        <v>15</v>
      </c>
      <c r="R1150" s="14" t="s">
        <v>18</v>
      </c>
      <c r="S1150" t="s">
        <v>16</v>
      </c>
      <c r="T1150" s="5" t="s">
        <v>14</v>
      </c>
      <c r="U1150" s="5" t="s">
        <v>17</v>
      </c>
      <c r="V1150" s="5" t="s">
        <v>19</v>
      </c>
      <c r="W1150" s="5"/>
      <c r="X1150" s="5"/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</row>
    <row r="1151" spans="1:37" x14ac:dyDescent="0.25">
      <c r="A1151" s="11">
        <f>Table1[[#This Row],[Milk Yield]]-J1147</f>
        <v>-332</v>
      </c>
      <c r="B1151" t="s">
        <v>24</v>
      </c>
      <c r="C1151" s="2">
        <v>1</v>
      </c>
      <c r="D1151" s="12">
        <v>45755</v>
      </c>
      <c r="E1151" s="2">
        <v>33</v>
      </c>
      <c r="F1151" s="13">
        <v>0.33452546296296298</v>
      </c>
      <c r="G1151" s="3">
        <v>0.5508912037037037</v>
      </c>
      <c r="H1151" s="1">
        <v>0.21597222222222223</v>
      </c>
      <c r="I1151" s="5">
        <v>607</v>
      </c>
      <c r="J1151">
        <v>7825</v>
      </c>
      <c r="K1151">
        <v>117</v>
      </c>
      <c r="L1151" s="5">
        <v>203</v>
      </c>
      <c r="M1151" s="5">
        <v>607</v>
      </c>
      <c r="N1151">
        <v>19</v>
      </c>
      <c r="O1151">
        <v>588</v>
      </c>
      <c r="P1151" s="1">
        <v>0.34583333333333333</v>
      </c>
      <c r="Q1151" s="5">
        <v>1507</v>
      </c>
      <c r="R1151" s="14">
        <v>12.9</v>
      </c>
      <c r="S1151">
        <v>117</v>
      </c>
      <c r="T1151" s="5">
        <v>19</v>
      </c>
      <c r="U1151" s="5">
        <v>588</v>
      </c>
      <c r="V1151" s="5">
        <v>0</v>
      </c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</row>
    <row r="1152" spans="1:37" x14ac:dyDescent="0.25">
      <c r="A1152" s="11">
        <f>Table1[[#This Row],[Milk Yield]]-J1148</f>
        <v>-231</v>
      </c>
      <c r="B1152" t="s">
        <v>24</v>
      </c>
      <c r="C1152" s="2">
        <v>2</v>
      </c>
      <c r="D1152" s="12">
        <v>45755</v>
      </c>
      <c r="E1152" s="2">
        <v>31</v>
      </c>
      <c r="F1152" s="13">
        <v>0.6673958333333333</v>
      </c>
      <c r="G1152" s="3">
        <v>0.87590277777777781</v>
      </c>
      <c r="H1152" s="1">
        <v>0.20833333333333334</v>
      </c>
      <c r="I1152" s="5">
        <v>606</v>
      </c>
      <c r="J1152">
        <v>7525</v>
      </c>
      <c r="K1152">
        <v>121</v>
      </c>
      <c r="L1152" s="5">
        <v>111</v>
      </c>
      <c r="M1152" s="5">
        <v>606</v>
      </c>
      <c r="N1152">
        <v>11</v>
      </c>
      <c r="O1152">
        <v>595</v>
      </c>
      <c r="P1152" s="1">
        <v>0.27708333333333335</v>
      </c>
      <c r="Q1152" s="5">
        <v>1504</v>
      </c>
      <c r="R1152" s="14">
        <v>12.5</v>
      </c>
      <c r="S1152">
        <v>121</v>
      </c>
      <c r="T1152" s="5">
        <v>11</v>
      </c>
      <c r="U1152" s="5">
        <v>595</v>
      </c>
      <c r="V1152" s="5">
        <v>0</v>
      </c>
      <c r="W1152" s="5"/>
      <c r="X1152" s="5"/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</row>
    <row r="1153" spans="1:37" x14ac:dyDescent="0.25">
      <c r="A1153" s="11">
        <f>Table1[[#This Row],[Milk Yield]]-J1149</f>
        <v>69</v>
      </c>
      <c r="B1153" t="s">
        <v>24</v>
      </c>
      <c r="C1153" s="2">
        <v>3</v>
      </c>
      <c r="D1153" s="12">
        <v>45755</v>
      </c>
      <c r="E1153" s="2">
        <v>30</v>
      </c>
      <c r="F1153" s="13">
        <v>4.6296296296296298E-4</v>
      </c>
      <c r="G1153" s="3">
        <v>0.20173611111111112</v>
      </c>
      <c r="H1153" s="1">
        <v>0.20069444444444445</v>
      </c>
      <c r="I1153" s="5">
        <v>603</v>
      </c>
      <c r="J1153">
        <v>7345</v>
      </c>
      <c r="K1153">
        <v>125</v>
      </c>
      <c r="L1153" s="5">
        <v>75</v>
      </c>
      <c r="M1153" s="5">
        <v>603</v>
      </c>
      <c r="N1153">
        <v>7</v>
      </c>
      <c r="O1153">
        <v>596</v>
      </c>
      <c r="P1153" s="1">
        <v>0.32222222222222224</v>
      </c>
      <c r="Q1153" s="5">
        <v>1521</v>
      </c>
      <c r="R1153" s="14">
        <v>12.2</v>
      </c>
      <c r="S1153">
        <v>125</v>
      </c>
      <c r="T1153" s="5">
        <v>7</v>
      </c>
      <c r="U1153" s="5">
        <v>596</v>
      </c>
      <c r="V1153" s="5">
        <v>0</v>
      </c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</row>
    <row r="1154" spans="1:37" x14ac:dyDescent="0.25">
      <c r="A1154" s="11" t="e">
        <f>Table1[[#This Row],[Milk Yield]]-J1150</f>
        <v>#VALUE!</v>
      </c>
      <c r="B1154" t="s">
        <v>0</v>
      </c>
      <c r="C1154" s="2" t="s">
        <v>1</v>
      </c>
      <c r="D1154" s="12" t="s">
        <v>2</v>
      </c>
      <c r="E1154" s="2" t="s">
        <v>3</v>
      </c>
      <c r="F1154" s="13" t="s">
        <v>4</v>
      </c>
      <c r="G1154" s="3" t="s">
        <v>5</v>
      </c>
      <c r="H1154" s="1" t="s">
        <v>6</v>
      </c>
      <c r="I1154" s="5" t="s">
        <v>9</v>
      </c>
      <c r="J1154" t="s">
        <v>8</v>
      </c>
      <c r="K1154" t="s">
        <v>10</v>
      </c>
      <c r="L1154" s="5" t="s">
        <v>11</v>
      </c>
      <c r="M1154" s="5" t="s">
        <v>12</v>
      </c>
      <c r="N1154" t="s">
        <v>13</v>
      </c>
      <c r="O1154" t="s">
        <v>20</v>
      </c>
      <c r="P1154" s="1" t="s">
        <v>7</v>
      </c>
      <c r="Q1154" s="5" t="s">
        <v>15</v>
      </c>
      <c r="R1154" s="14" t="s">
        <v>18</v>
      </c>
      <c r="S1154" t="s">
        <v>16</v>
      </c>
      <c r="T1154" s="5" t="s">
        <v>14</v>
      </c>
      <c r="U1154" s="5" t="s">
        <v>17</v>
      </c>
      <c r="V1154" s="5" t="s">
        <v>19</v>
      </c>
      <c r="W1154" s="5"/>
      <c r="X1154" s="5"/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</row>
    <row r="1155" spans="1:37" x14ac:dyDescent="0.25">
      <c r="A1155" s="11">
        <f>Table1[[#This Row],[Milk Yield]]-J1151</f>
        <v>3</v>
      </c>
      <c r="B1155" t="s">
        <v>24</v>
      </c>
      <c r="C1155">
        <v>1</v>
      </c>
      <c r="D1155" s="4">
        <v>45756</v>
      </c>
      <c r="E1155">
        <v>32</v>
      </c>
      <c r="F1155" s="16">
        <v>0.33498842592592593</v>
      </c>
      <c r="G1155" s="16">
        <v>0.54886574074074079</v>
      </c>
      <c r="H1155" s="1">
        <f>G1155-F1155</f>
        <v>0.21387731481481487</v>
      </c>
      <c r="I1155">
        <v>601</v>
      </c>
      <c r="J1155">
        <v>7828</v>
      </c>
      <c r="K1155">
        <v>139</v>
      </c>
      <c r="L1155">
        <v>23</v>
      </c>
      <c r="M1155">
        <v>601</v>
      </c>
      <c r="N1155">
        <v>16</v>
      </c>
      <c r="O1155">
        <v>581</v>
      </c>
      <c r="P1155" s="1">
        <v>0.30555555555555558</v>
      </c>
      <c r="Q1155">
        <v>1563</v>
      </c>
      <c r="R1155">
        <v>11.3</v>
      </c>
      <c r="S1155">
        <v>113</v>
      </c>
      <c r="T1155">
        <v>16</v>
      </c>
      <c r="U1155">
        <v>581</v>
      </c>
      <c r="V1155">
        <v>0</v>
      </c>
    </row>
    <row r="1156" spans="1:37" x14ac:dyDescent="0.25">
      <c r="A1156" s="11">
        <f>Table1[[#This Row],[Milk Yield]]-J1152</f>
        <v>-159</v>
      </c>
      <c r="B1156" t="s">
        <v>24</v>
      </c>
      <c r="C1156" s="2">
        <v>2</v>
      </c>
      <c r="D1156" s="12">
        <v>45756</v>
      </c>
      <c r="E1156" s="2">
        <v>32</v>
      </c>
      <c r="F1156" s="13">
        <v>0.67196759259259264</v>
      </c>
      <c r="G1156" s="3">
        <v>0.86752314814814813</v>
      </c>
      <c r="H1156" s="1">
        <v>0.19513888888888889</v>
      </c>
      <c r="I1156" s="5">
        <v>609</v>
      </c>
      <c r="J1156">
        <v>7366</v>
      </c>
      <c r="K1156">
        <v>130</v>
      </c>
      <c r="L1156" s="5">
        <v>74</v>
      </c>
      <c r="M1156" s="5">
        <v>609</v>
      </c>
      <c r="N1156">
        <v>8</v>
      </c>
      <c r="O1156">
        <v>601</v>
      </c>
      <c r="P1156" s="1">
        <v>0.25138888888888888</v>
      </c>
      <c r="Q1156" s="5">
        <v>1569</v>
      </c>
      <c r="R1156" s="14">
        <v>12.1</v>
      </c>
      <c r="S1156">
        <v>130</v>
      </c>
      <c r="T1156" s="5">
        <v>8</v>
      </c>
      <c r="U1156" s="5">
        <v>601</v>
      </c>
      <c r="V1156" s="5">
        <v>0</v>
      </c>
      <c r="W1156" s="5"/>
      <c r="X1156" s="5"/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</row>
    <row r="1157" spans="1:37" x14ac:dyDescent="0.25">
      <c r="A1157" s="11">
        <f>Table1[[#This Row],[Milk Yield]]-J1153</f>
        <v>251</v>
      </c>
      <c r="B1157" t="s">
        <v>24</v>
      </c>
      <c r="C1157" s="2">
        <v>3</v>
      </c>
      <c r="D1157" s="12">
        <v>45756</v>
      </c>
      <c r="E1157" s="2">
        <v>31</v>
      </c>
      <c r="F1157" s="13">
        <v>6.5972222222222224E-4</v>
      </c>
      <c r="G1157" s="3">
        <v>0.21465277777777778</v>
      </c>
      <c r="H1157" s="1">
        <v>0.21388888888888888</v>
      </c>
      <c r="I1157" s="5">
        <v>610</v>
      </c>
      <c r="J1157">
        <v>7596</v>
      </c>
      <c r="K1157">
        <v>119</v>
      </c>
      <c r="L1157" s="5">
        <v>178</v>
      </c>
      <c r="M1157" s="5">
        <v>610</v>
      </c>
      <c r="N1157">
        <v>15</v>
      </c>
      <c r="O1157">
        <v>595</v>
      </c>
      <c r="P1157" s="1">
        <v>0.32013888888888886</v>
      </c>
      <c r="Q1157" s="5">
        <v>1479</v>
      </c>
      <c r="R1157" s="14">
        <v>12.5</v>
      </c>
      <c r="S1157">
        <v>119</v>
      </c>
      <c r="T1157" s="5">
        <v>15</v>
      </c>
      <c r="U1157" s="5">
        <v>595</v>
      </c>
      <c r="V1157" s="5">
        <v>0</v>
      </c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</row>
    <row r="1158" spans="1:37" x14ac:dyDescent="0.25">
      <c r="A1158" s="11" t="e">
        <f>Table1[[#This Row],[Milk Yield]]-J1154</f>
        <v>#VALUE!</v>
      </c>
      <c r="B1158" t="s">
        <v>0</v>
      </c>
      <c r="C1158" s="2" t="s">
        <v>1</v>
      </c>
      <c r="D1158" s="12" t="s">
        <v>2</v>
      </c>
      <c r="E1158" s="2" t="s">
        <v>3</v>
      </c>
      <c r="F1158" s="13" t="s">
        <v>4</v>
      </c>
      <c r="G1158" s="3" t="s">
        <v>5</v>
      </c>
      <c r="H1158" s="1" t="s">
        <v>6</v>
      </c>
      <c r="I1158" s="5" t="s">
        <v>8</v>
      </c>
      <c r="J1158" t="s">
        <v>9</v>
      </c>
      <c r="K1158" t="s">
        <v>10</v>
      </c>
      <c r="L1158" s="5" t="s">
        <v>11</v>
      </c>
      <c r="M1158" s="5" t="s">
        <v>12</v>
      </c>
      <c r="N1158" t="s">
        <v>13</v>
      </c>
      <c r="O1158" t="s">
        <v>20</v>
      </c>
      <c r="P1158" s="1" t="s">
        <v>7</v>
      </c>
      <c r="Q1158" s="5" t="s">
        <v>15</v>
      </c>
      <c r="R1158" s="14" t="s">
        <v>18</v>
      </c>
      <c r="S1158" t="s">
        <v>16</v>
      </c>
      <c r="T1158" s="5" t="s">
        <v>14</v>
      </c>
      <c r="U1158" s="5" t="s">
        <v>17</v>
      </c>
      <c r="V1158" s="5" t="s">
        <v>19</v>
      </c>
      <c r="W1158" s="5"/>
      <c r="X1158" s="5"/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</row>
    <row r="1159" spans="1:37" x14ac:dyDescent="0.25">
      <c r="A1159" s="11">
        <f>Table1[[#This Row],[Milk Yield]]-J1155</f>
        <v>201</v>
      </c>
      <c r="B1159" t="s">
        <v>24</v>
      </c>
      <c r="C1159" s="2">
        <v>1</v>
      </c>
      <c r="D1159" s="12">
        <v>45757</v>
      </c>
      <c r="E1159" s="2">
        <v>31</v>
      </c>
      <c r="F1159" s="13">
        <v>0.33479166666666665</v>
      </c>
      <c r="G1159" s="3">
        <v>0.55377314814814815</v>
      </c>
      <c r="H1159" s="1">
        <v>0.21875</v>
      </c>
      <c r="I1159" s="5">
        <v>609</v>
      </c>
      <c r="J1159">
        <v>8029</v>
      </c>
      <c r="K1159">
        <v>116</v>
      </c>
      <c r="L1159" s="5">
        <v>108</v>
      </c>
      <c r="M1159" s="5">
        <v>609</v>
      </c>
      <c r="N1159">
        <v>11</v>
      </c>
      <c r="O1159">
        <v>598</v>
      </c>
      <c r="P1159" s="1">
        <v>0.30138888888888887</v>
      </c>
      <c r="Q1159" s="5">
        <v>1528</v>
      </c>
      <c r="R1159" s="14">
        <v>13.2</v>
      </c>
      <c r="S1159">
        <v>116</v>
      </c>
      <c r="T1159" s="5">
        <v>11</v>
      </c>
      <c r="U1159" s="5">
        <v>598</v>
      </c>
      <c r="V1159" s="5">
        <v>0</v>
      </c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</row>
    <row r="1160" spans="1:37" x14ac:dyDescent="0.25">
      <c r="A1160" s="11">
        <f>Table1[[#This Row],[Milk Yield]]-J1156</f>
        <v>-286</v>
      </c>
      <c r="B1160" t="s">
        <v>24</v>
      </c>
      <c r="C1160" s="2">
        <v>2</v>
      </c>
      <c r="D1160" s="12">
        <v>45757</v>
      </c>
      <c r="E1160" s="2">
        <v>33</v>
      </c>
      <c r="F1160" s="13">
        <v>0.66881944444444441</v>
      </c>
      <c r="G1160" s="3">
        <v>0.85670138888888892</v>
      </c>
      <c r="H1160" s="1">
        <v>0.1875</v>
      </c>
      <c r="I1160" s="5">
        <v>611</v>
      </c>
      <c r="J1160">
        <v>7080</v>
      </c>
      <c r="K1160">
        <v>135</v>
      </c>
      <c r="L1160" s="5">
        <v>129</v>
      </c>
      <c r="M1160" s="5">
        <v>611</v>
      </c>
      <c r="N1160">
        <v>14</v>
      </c>
      <c r="O1160">
        <v>597</v>
      </c>
      <c r="P1160" s="1">
        <v>0.24583333333333332</v>
      </c>
      <c r="Q1160" s="5">
        <v>1570</v>
      </c>
      <c r="R1160" s="14">
        <v>11.6</v>
      </c>
      <c r="S1160">
        <v>135</v>
      </c>
      <c r="T1160" s="5">
        <v>14</v>
      </c>
      <c r="U1160" s="5">
        <v>598</v>
      </c>
      <c r="V1160" s="5">
        <v>1</v>
      </c>
      <c r="W1160" s="5"/>
      <c r="X1160" s="5"/>
      <c r="Y1160" s="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</row>
    <row r="1161" spans="1:37" x14ac:dyDescent="0.25">
      <c r="A1161" s="11">
        <f>Table1[[#This Row],[Milk Yield]]-J1157</f>
        <v>185</v>
      </c>
      <c r="B1161" t="s">
        <v>24</v>
      </c>
      <c r="C1161" s="2">
        <v>3</v>
      </c>
      <c r="D1161" s="12">
        <v>45757</v>
      </c>
      <c r="E1161" s="2">
        <v>34</v>
      </c>
      <c r="F1161" s="13">
        <v>0.99862268518518515</v>
      </c>
      <c r="G1161" s="3">
        <v>0.21996527777777777</v>
      </c>
      <c r="H1161" s="1">
        <v>0.22083333333333333</v>
      </c>
      <c r="I1161" s="5">
        <v>611</v>
      </c>
      <c r="J1161">
        <v>7781</v>
      </c>
      <c r="K1161">
        <v>115</v>
      </c>
      <c r="L1161" s="5">
        <v>121</v>
      </c>
      <c r="M1161" s="5">
        <v>611</v>
      </c>
      <c r="N1161">
        <v>14</v>
      </c>
      <c r="O1161">
        <v>597</v>
      </c>
      <c r="P1161" s="1">
        <v>0.33333333333333331</v>
      </c>
      <c r="Q1161" s="5">
        <v>1465</v>
      </c>
      <c r="R1161" s="14">
        <v>12.8</v>
      </c>
      <c r="S1161">
        <v>115</v>
      </c>
      <c r="T1161" s="5">
        <v>14</v>
      </c>
      <c r="U1161" s="5">
        <v>598</v>
      </c>
      <c r="V1161" s="5">
        <v>1</v>
      </c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</row>
    <row r="1162" spans="1:37" x14ac:dyDescent="0.25">
      <c r="A1162" s="11" t="e">
        <f>Table1[[#This Row],[Milk Yield]]-J1158</f>
        <v>#VALUE!</v>
      </c>
      <c r="B1162" t="s">
        <v>0</v>
      </c>
      <c r="C1162" s="2" t="s">
        <v>1</v>
      </c>
      <c r="D1162" s="12" t="s">
        <v>2</v>
      </c>
      <c r="E1162" s="2" t="s">
        <v>3</v>
      </c>
      <c r="F1162" s="13" t="s">
        <v>4</v>
      </c>
      <c r="G1162" s="3" t="s">
        <v>5</v>
      </c>
      <c r="H1162" s="1" t="s">
        <v>6</v>
      </c>
      <c r="I1162" s="5" t="s">
        <v>8</v>
      </c>
      <c r="J1162" t="s">
        <v>9</v>
      </c>
      <c r="K1162" t="s">
        <v>10</v>
      </c>
      <c r="L1162" s="5" t="s">
        <v>11</v>
      </c>
      <c r="M1162" s="5" t="s">
        <v>12</v>
      </c>
      <c r="N1162" t="s">
        <v>13</v>
      </c>
      <c r="O1162" t="s">
        <v>20</v>
      </c>
      <c r="P1162" s="1" t="s">
        <v>7</v>
      </c>
      <c r="Q1162" s="5" t="s">
        <v>15</v>
      </c>
      <c r="R1162" s="14" t="s">
        <v>18</v>
      </c>
      <c r="S1162" t="s">
        <v>16</v>
      </c>
      <c r="T1162" s="5" t="s">
        <v>14</v>
      </c>
      <c r="U1162" s="5" t="s">
        <v>17</v>
      </c>
      <c r="V1162" s="5" t="s">
        <v>19</v>
      </c>
      <c r="W1162" s="5"/>
      <c r="X1162" s="5"/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</row>
    <row r="1163" spans="1:37" x14ac:dyDescent="0.25">
      <c r="A1163" s="11">
        <f>Table1[[#This Row],[Milk Yield]]-J1159</f>
        <v>19</v>
      </c>
      <c r="B1163" t="s">
        <v>24</v>
      </c>
      <c r="C1163" s="2">
        <v>1</v>
      </c>
      <c r="D1163" s="12">
        <v>45758</v>
      </c>
      <c r="E1163" s="2">
        <v>31</v>
      </c>
      <c r="F1163" s="13">
        <v>0.33795138888888887</v>
      </c>
      <c r="G1163" s="3">
        <v>0.55122685185185183</v>
      </c>
      <c r="H1163" s="1">
        <v>0.21319444444444444</v>
      </c>
      <c r="I1163" s="5">
        <v>608</v>
      </c>
      <c r="J1163">
        <v>8048</v>
      </c>
      <c r="K1163">
        <v>119</v>
      </c>
      <c r="L1163" s="5">
        <v>154</v>
      </c>
      <c r="M1163" s="5">
        <v>608</v>
      </c>
      <c r="N1163">
        <v>10</v>
      </c>
      <c r="O1163">
        <v>598</v>
      </c>
      <c r="P1163" s="1">
        <v>0.32916666666666666</v>
      </c>
      <c r="Q1163" s="5">
        <v>1572</v>
      </c>
      <c r="R1163" s="14">
        <v>13.3</v>
      </c>
      <c r="S1163">
        <v>119</v>
      </c>
      <c r="T1163" s="5">
        <v>10</v>
      </c>
      <c r="U1163" s="5">
        <v>598</v>
      </c>
      <c r="V1163" s="5">
        <v>1</v>
      </c>
      <c r="W1163" s="5"/>
      <c r="X1163" s="5"/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</row>
    <row r="1164" spans="1:37" x14ac:dyDescent="0.25">
      <c r="A1164" s="11">
        <f>Table1[[#This Row],[Milk Yield]]-J1160</f>
        <v>105</v>
      </c>
      <c r="B1164" t="s">
        <v>24</v>
      </c>
      <c r="C1164" s="2">
        <v>2</v>
      </c>
      <c r="D1164" s="12">
        <v>45758</v>
      </c>
      <c r="E1164" s="2">
        <v>31</v>
      </c>
      <c r="F1164" s="13">
        <v>0.66851851851851851</v>
      </c>
      <c r="G1164" s="3">
        <v>0.87589120370370366</v>
      </c>
      <c r="H1164" s="1">
        <v>0.20694444444444443</v>
      </c>
      <c r="I1164" s="5">
        <v>606</v>
      </c>
      <c r="J1164">
        <v>7185</v>
      </c>
      <c r="K1164">
        <v>122</v>
      </c>
      <c r="L1164" s="5">
        <v>326</v>
      </c>
      <c r="M1164" s="5">
        <v>606</v>
      </c>
      <c r="N1164">
        <v>34</v>
      </c>
      <c r="O1164">
        <v>572</v>
      </c>
      <c r="P1164" s="1">
        <v>0.2902777777777778</v>
      </c>
      <c r="Q1164" s="5">
        <v>1444</v>
      </c>
      <c r="R1164" s="14">
        <v>11.9</v>
      </c>
      <c r="S1164">
        <v>122</v>
      </c>
      <c r="T1164" s="5">
        <v>34</v>
      </c>
      <c r="U1164" s="5">
        <v>572</v>
      </c>
      <c r="V1164" s="5">
        <v>0</v>
      </c>
      <c r="W1164" s="5"/>
      <c r="X1164" s="5"/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</row>
    <row r="1165" spans="1:37" x14ac:dyDescent="0.25">
      <c r="A1165" s="11">
        <f>Table1[[#This Row],[Milk Yield]]-J1161</f>
        <v>-12</v>
      </c>
      <c r="B1165" t="s">
        <v>24</v>
      </c>
      <c r="C1165" s="2">
        <v>3</v>
      </c>
      <c r="D1165" s="12">
        <v>45758</v>
      </c>
      <c r="E1165" s="2">
        <v>29</v>
      </c>
      <c r="F1165" s="13">
        <v>7.2453703703703708E-3</v>
      </c>
      <c r="G1165" s="3">
        <v>0.23192129629629629</v>
      </c>
      <c r="H1165" s="1">
        <v>0.22430555555555556</v>
      </c>
      <c r="I1165" s="5">
        <v>602</v>
      </c>
      <c r="J1165">
        <v>7769</v>
      </c>
      <c r="K1165">
        <v>112</v>
      </c>
      <c r="L1165" s="5">
        <v>171</v>
      </c>
      <c r="M1165" s="5">
        <v>602</v>
      </c>
      <c r="N1165">
        <v>14</v>
      </c>
      <c r="O1165">
        <v>588</v>
      </c>
      <c r="P1165" s="1">
        <v>0.31666666666666665</v>
      </c>
      <c r="Q1165" s="5">
        <v>1441</v>
      </c>
      <c r="R1165" s="14">
        <v>13</v>
      </c>
      <c r="S1165">
        <v>112</v>
      </c>
      <c r="T1165" s="5">
        <v>14</v>
      </c>
      <c r="U1165" s="5">
        <v>589</v>
      </c>
      <c r="V1165" s="5">
        <v>1</v>
      </c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</row>
    <row r="1166" spans="1:37" x14ac:dyDescent="0.25">
      <c r="A1166" s="11" t="e">
        <f>Table1[[#This Row],[Milk Yield]]-J1162</f>
        <v>#VALUE!</v>
      </c>
      <c r="B1166" t="s">
        <v>0</v>
      </c>
      <c r="C1166" s="2" t="s">
        <v>1</v>
      </c>
      <c r="D1166" s="12" t="s">
        <v>2</v>
      </c>
      <c r="E1166" s="2" t="s">
        <v>3</v>
      </c>
      <c r="F1166" s="13" t="s">
        <v>4</v>
      </c>
      <c r="G1166" s="3" t="s">
        <v>5</v>
      </c>
      <c r="H1166" s="1" t="s">
        <v>6</v>
      </c>
      <c r="I1166" s="5" t="s">
        <v>8</v>
      </c>
      <c r="J1166" t="s">
        <v>9</v>
      </c>
      <c r="K1166" t="s">
        <v>10</v>
      </c>
      <c r="L1166" s="5" t="s">
        <v>11</v>
      </c>
      <c r="M1166" s="5" t="s">
        <v>12</v>
      </c>
      <c r="N1166" t="s">
        <v>13</v>
      </c>
      <c r="O1166" t="s">
        <v>20</v>
      </c>
      <c r="P1166" s="1" t="s">
        <v>7</v>
      </c>
      <c r="Q1166" s="5" t="s">
        <v>15</v>
      </c>
      <c r="R1166" s="14" t="s">
        <v>18</v>
      </c>
      <c r="S1166" t="s">
        <v>16</v>
      </c>
      <c r="T1166" s="5" t="s">
        <v>14</v>
      </c>
      <c r="U1166" s="5" t="s">
        <v>17</v>
      </c>
      <c r="V1166" s="5" t="s">
        <v>19</v>
      </c>
      <c r="W1166" s="5"/>
      <c r="X1166" s="5"/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</row>
    <row r="1167" spans="1:37" x14ac:dyDescent="0.25">
      <c r="A1167" s="11">
        <f>Table1[[#This Row],[Milk Yield]]-J1163</f>
        <v>-290</v>
      </c>
      <c r="B1167" t="s">
        <v>24</v>
      </c>
      <c r="C1167" s="2">
        <v>1</v>
      </c>
      <c r="D1167" s="12">
        <v>45759</v>
      </c>
      <c r="E1167" s="2">
        <v>31</v>
      </c>
      <c r="F1167" s="13">
        <v>0.33545138888888887</v>
      </c>
      <c r="G1167" s="3">
        <v>0.53991898148148143</v>
      </c>
      <c r="H1167" s="1">
        <v>0.20416666666666666</v>
      </c>
      <c r="I1167" s="5">
        <v>602</v>
      </c>
      <c r="J1167">
        <v>7758</v>
      </c>
      <c r="K1167">
        <v>123</v>
      </c>
      <c r="L1167" s="5">
        <v>95</v>
      </c>
      <c r="M1167" s="5">
        <v>602</v>
      </c>
      <c r="N1167">
        <v>9</v>
      </c>
      <c r="O1167">
        <v>593</v>
      </c>
      <c r="P1167" s="1">
        <v>0.30625000000000002</v>
      </c>
      <c r="Q1167" s="5">
        <v>1581</v>
      </c>
      <c r="R1167" s="14">
        <v>12.9</v>
      </c>
      <c r="S1167">
        <v>123</v>
      </c>
      <c r="T1167" s="5">
        <v>9</v>
      </c>
      <c r="U1167" s="5">
        <v>594</v>
      </c>
      <c r="V1167" s="5">
        <v>1</v>
      </c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</row>
    <row r="1168" spans="1:37" x14ac:dyDescent="0.25">
      <c r="A1168" s="11">
        <f>Table1[[#This Row],[Milk Yield]]-J1164</f>
        <v>-112</v>
      </c>
      <c r="B1168" t="s">
        <v>24</v>
      </c>
      <c r="C1168" s="2">
        <v>2</v>
      </c>
      <c r="D1168" s="12">
        <v>45759</v>
      </c>
      <c r="E1168" s="2">
        <v>32</v>
      </c>
      <c r="F1168" s="13">
        <v>0.66726851851851854</v>
      </c>
      <c r="G1168" s="3">
        <v>0.85696759259259259</v>
      </c>
      <c r="H1168" s="1">
        <v>0.18958333333333333</v>
      </c>
      <c r="I1168" s="5">
        <v>600</v>
      </c>
      <c r="J1168">
        <v>7073</v>
      </c>
      <c r="K1168">
        <v>132</v>
      </c>
      <c r="L1168" s="5">
        <v>20</v>
      </c>
      <c r="M1168" s="5">
        <v>600</v>
      </c>
      <c r="N1168">
        <v>2</v>
      </c>
      <c r="O1168">
        <v>598</v>
      </c>
      <c r="P1168" s="1">
        <v>0.24652777777777779</v>
      </c>
      <c r="Q1168" s="5">
        <v>1553</v>
      </c>
      <c r="R1168" s="14">
        <v>11.8</v>
      </c>
      <c r="S1168">
        <v>132</v>
      </c>
      <c r="T1168" s="5">
        <v>2</v>
      </c>
      <c r="U1168" s="5">
        <v>598</v>
      </c>
      <c r="V1168" s="5">
        <v>0</v>
      </c>
      <c r="W1168" s="5"/>
      <c r="X1168" s="5"/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</row>
    <row r="1169" spans="1:37" x14ac:dyDescent="0.25">
      <c r="A1169" s="11">
        <f>Table1[[#This Row],[Milk Yield]]-J1165</f>
        <v>115</v>
      </c>
      <c r="B1169" t="s">
        <v>24</v>
      </c>
      <c r="C1169" s="2">
        <v>3</v>
      </c>
      <c r="D1169" s="12">
        <v>45759</v>
      </c>
      <c r="E1169" s="2">
        <v>32</v>
      </c>
      <c r="F1169" s="13">
        <v>2.4652777777777776E-3</v>
      </c>
      <c r="G1169" s="3">
        <v>0.21809027777777779</v>
      </c>
      <c r="H1169" s="1">
        <v>0.21527777777777779</v>
      </c>
      <c r="I1169" s="5">
        <v>603</v>
      </c>
      <c r="J1169">
        <v>7884</v>
      </c>
      <c r="K1169">
        <v>117</v>
      </c>
      <c r="L1169" s="5">
        <v>130</v>
      </c>
      <c r="M1169" s="5">
        <v>602</v>
      </c>
      <c r="N1169">
        <v>12</v>
      </c>
      <c r="O1169">
        <v>590</v>
      </c>
      <c r="P1169" s="1">
        <v>0.33750000000000002</v>
      </c>
      <c r="Q1169" s="5">
        <v>1523</v>
      </c>
      <c r="R1169" s="14">
        <v>13.1</v>
      </c>
      <c r="S1169">
        <v>116</v>
      </c>
      <c r="T1169" s="5">
        <v>12</v>
      </c>
      <c r="U1169" s="5">
        <v>590</v>
      </c>
      <c r="V1169" s="5">
        <v>0</v>
      </c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</row>
    <row r="1170" spans="1:37" x14ac:dyDescent="0.25">
      <c r="A1170" s="11" t="e">
        <f>Table1[[#This Row],[Milk Yield]]-J1166</f>
        <v>#VALUE!</v>
      </c>
      <c r="B1170" t="s">
        <v>0</v>
      </c>
      <c r="C1170" s="2" t="s">
        <v>1</v>
      </c>
      <c r="D1170" s="12" t="s">
        <v>2</v>
      </c>
      <c r="E1170" s="2" t="s">
        <v>3</v>
      </c>
      <c r="F1170" s="13" t="s">
        <v>4</v>
      </c>
      <c r="G1170" s="3" t="s">
        <v>5</v>
      </c>
      <c r="H1170" s="1" t="s">
        <v>6</v>
      </c>
      <c r="I1170" s="5" t="s">
        <v>8</v>
      </c>
      <c r="J1170" t="s">
        <v>9</v>
      </c>
      <c r="K1170" t="s">
        <v>10</v>
      </c>
      <c r="L1170" s="5" t="s">
        <v>11</v>
      </c>
      <c r="M1170" s="5" t="s">
        <v>12</v>
      </c>
      <c r="N1170" t="s">
        <v>13</v>
      </c>
      <c r="O1170" t="s">
        <v>20</v>
      </c>
      <c r="P1170" s="1" t="s">
        <v>7</v>
      </c>
      <c r="Q1170" s="5" t="s">
        <v>15</v>
      </c>
      <c r="R1170" s="14" t="s">
        <v>18</v>
      </c>
      <c r="S1170" t="s">
        <v>16</v>
      </c>
      <c r="T1170" s="5" t="s">
        <v>14</v>
      </c>
      <c r="U1170" s="5" t="s">
        <v>17</v>
      </c>
      <c r="V1170" s="5" t="s">
        <v>19</v>
      </c>
      <c r="W1170" s="5"/>
      <c r="X1170" s="5"/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</row>
    <row r="1171" spans="1:37" x14ac:dyDescent="0.25">
      <c r="A1171" s="11">
        <f>Table1[[#This Row],[Milk Yield]]-J1167</f>
        <v>-239</v>
      </c>
      <c r="B1171" t="s">
        <v>24</v>
      </c>
      <c r="C1171" s="2">
        <v>1</v>
      </c>
      <c r="D1171" s="12">
        <v>45760</v>
      </c>
      <c r="E1171" s="2">
        <v>30</v>
      </c>
      <c r="F1171" s="13">
        <v>0.33216435185185184</v>
      </c>
      <c r="G1171" s="3">
        <v>0.52562500000000001</v>
      </c>
      <c r="H1171" s="1">
        <v>0.19305555555555556</v>
      </c>
      <c r="I1171" s="5">
        <v>584</v>
      </c>
      <c r="J1171">
        <v>7519</v>
      </c>
      <c r="K1171">
        <v>126</v>
      </c>
      <c r="L1171" s="5">
        <v>97</v>
      </c>
      <c r="M1171" s="5">
        <v>583</v>
      </c>
      <c r="N1171">
        <v>9</v>
      </c>
      <c r="O1171">
        <v>574</v>
      </c>
      <c r="P1171" s="1">
        <v>0.28888888888888886</v>
      </c>
      <c r="Q1171" s="5">
        <v>1619</v>
      </c>
      <c r="R1171" s="14">
        <v>12.9</v>
      </c>
      <c r="S1171">
        <v>126</v>
      </c>
      <c r="T1171" s="5">
        <v>9</v>
      </c>
      <c r="U1171" s="5">
        <v>574</v>
      </c>
      <c r="V1171" s="5">
        <v>0</v>
      </c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</row>
    <row r="1172" spans="1:37" x14ac:dyDescent="0.25">
      <c r="A1172" s="11">
        <f>Table1[[#This Row],[Milk Yield]]-J1168</f>
        <v>940</v>
      </c>
      <c r="B1172" t="s">
        <v>24</v>
      </c>
      <c r="C1172" s="2">
        <v>2</v>
      </c>
      <c r="D1172" s="12">
        <v>45760</v>
      </c>
      <c r="E1172" s="2">
        <v>30</v>
      </c>
      <c r="F1172" s="13">
        <v>0.67378472222222219</v>
      </c>
      <c r="G1172" s="3">
        <v>0.88810185185185186</v>
      </c>
      <c r="H1172" s="1">
        <v>0.21388888888888888</v>
      </c>
      <c r="I1172" s="5">
        <v>608</v>
      </c>
      <c r="J1172">
        <v>8013</v>
      </c>
      <c r="K1172">
        <v>118</v>
      </c>
      <c r="L1172" s="5">
        <v>54</v>
      </c>
      <c r="M1172" s="5">
        <v>608</v>
      </c>
      <c r="N1172">
        <v>5</v>
      </c>
      <c r="O1172">
        <v>603</v>
      </c>
      <c r="P1172" s="1">
        <v>0.29444444444444445</v>
      </c>
      <c r="Q1172" s="5">
        <v>1558</v>
      </c>
      <c r="R1172" s="14">
        <v>13.2</v>
      </c>
      <c r="S1172">
        <v>118</v>
      </c>
      <c r="T1172" s="5">
        <v>5</v>
      </c>
      <c r="U1172" s="5">
        <v>603</v>
      </c>
      <c r="V1172" s="5">
        <v>0</v>
      </c>
      <c r="W1172" s="5"/>
      <c r="X1172" s="5"/>
      <c r="Y1172" s="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</row>
    <row r="1173" spans="1:37" x14ac:dyDescent="0.25">
      <c r="A1173" s="11">
        <f>Table1[[#This Row],[Milk Yield]]-J1169</f>
        <v>-859</v>
      </c>
      <c r="B1173" t="s">
        <v>24</v>
      </c>
      <c r="C1173" s="2">
        <v>3</v>
      </c>
      <c r="D1173" s="12">
        <v>45760</v>
      </c>
      <c r="E1173" s="2">
        <v>30</v>
      </c>
      <c r="F1173" s="13">
        <v>0.99914351851851857</v>
      </c>
      <c r="G1173" s="3">
        <v>0.20004629629629631</v>
      </c>
      <c r="H1173" s="1">
        <v>0.20069444444444445</v>
      </c>
      <c r="I1173" s="5">
        <v>630</v>
      </c>
      <c r="J1173">
        <v>7025</v>
      </c>
      <c r="K1173">
        <v>131</v>
      </c>
      <c r="L1173" s="5">
        <v>128</v>
      </c>
      <c r="M1173" s="5">
        <v>629</v>
      </c>
      <c r="N1173">
        <v>26</v>
      </c>
      <c r="O1173">
        <v>603</v>
      </c>
      <c r="P1173" s="1">
        <v>0.29652777777777778</v>
      </c>
      <c r="Q1173" s="5">
        <v>1457</v>
      </c>
      <c r="R1173" s="14">
        <v>11.2</v>
      </c>
      <c r="S1173">
        <v>130</v>
      </c>
      <c r="T1173" s="5">
        <v>26</v>
      </c>
      <c r="U1173" s="5">
        <v>603</v>
      </c>
      <c r="V1173" s="5">
        <v>0</v>
      </c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</row>
    <row r="1174" spans="1:37" x14ac:dyDescent="0.25">
      <c r="A1174" s="11" t="e">
        <f>Table1[[#This Row],[Milk Yield]]-J1170</f>
        <v>#VALUE!</v>
      </c>
      <c r="B1174" t="s">
        <v>0</v>
      </c>
      <c r="C1174" s="2" t="s">
        <v>1</v>
      </c>
      <c r="D1174" s="12" t="s">
        <v>2</v>
      </c>
      <c r="E1174" s="2" t="s">
        <v>3</v>
      </c>
      <c r="F1174" s="13" t="s">
        <v>4</v>
      </c>
      <c r="G1174" s="3" t="s">
        <v>5</v>
      </c>
      <c r="H1174" s="1" t="s">
        <v>6</v>
      </c>
      <c r="I1174" s="5" t="s">
        <v>8</v>
      </c>
      <c r="J1174" t="s">
        <v>9</v>
      </c>
      <c r="K1174" t="s">
        <v>10</v>
      </c>
      <c r="L1174" s="5" t="s">
        <v>11</v>
      </c>
      <c r="M1174" s="5" t="s">
        <v>12</v>
      </c>
      <c r="N1174" t="s">
        <v>13</v>
      </c>
      <c r="O1174" t="s">
        <v>20</v>
      </c>
      <c r="P1174" s="1" t="s">
        <v>7</v>
      </c>
      <c r="Q1174" s="5" t="s">
        <v>15</v>
      </c>
      <c r="R1174" s="14" t="s">
        <v>18</v>
      </c>
      <c r="S1174" t="s">
        <v>16</v>
      </c>
      <c r="T1174" s="5" t="s">
        <v>14</v>
      </c>
      <c r="U1174" s="5" t="s">
        <v>17</v>
      </c>
      <c r="V1174" s="5" t="s">
        <v>19</v>
      </c>
      <c r="W1174" s="5"/>
      <c r="X1174" s="5"/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</row>
    <row r="1175" spans="1:37" x14ac:dyDescent="0.25">
      <c r="A1175" s="11">
        <f>Table1[[#This Row],[Milk Yield]]-J1171</f>
        <v>933</v>
      </c>
      <c r="B1175" t="s">
        <v>24</v>
      </c>
      <c r="C1175" s="2">
        <v>1</v>
      </c>
      <c r="D1175" s="12">
        <v>45761</v>
      </c>
      <c r="E1175" s="2">
        <v>32</v>
      </c>
      <c r="F1175" s="13">
        <v>0.33523148148148146</v>
      </c>
      <c r="G1175" s="3">
        <v>0.52562500000000001</v>
      </c>
      <c r="H1175" s="1">
        <v>0.19305555555555556</v>
      </c>
      <c r="I1175" s="5">
        <v>612</v>
      </c>
      <c r="J1175">
        <v>8452</v>
      </c>
      <c r="K1175">
        <v>126</v>
      </c>
      <c r="L1175" s="5">
        <v>97</v>
      </c>
      <c r="M1175" s="5">
        <v>612</v>
      </c>
      <c r="N1175">
        <v>9</v>
      </c>
      <c r="O1175">
        <v>574</v>
      </c>
      <c r="P1175" s="1">
        <v>0.28888888888888886</v>
      </c>
      <c r="Q1175" s="5">
        <v>1619</v>
      </c>
      <c r="R1175" s="14">
        <v>13.9</v>
      </c>
      <c r="S1175">
        <v>126</v>
      </c>
      <c r="T1175" s="5">
        <v>9</v>
      </c>
      <c r="U1175" s="5">
        <v>574</v>
      </c>
      <c r="V1175" s="5">
        <v>0</v>
      </c>
      <c r="W1175" s="5"/>
      <c r="X1175" s="5"/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</row>
    <row r="1176" spans="1:37" x14ac:dyDescent="0.25">
      <c r="A1176" s="11">
        <f>Table1[[#This Row],[Milk Yield]]-J1172</f>
        <v>-819</v>
      </c>
      <c r="B1176" t="s">
        <v>24</v>
      </c>
      <c r="C1176" s="2">
        <v>2</v>
      </c>
      <c r="D1176" s="12">
        <v>45761</v>
      </c>
      <c r="E1176" s="2">
        <v>33</v>
      </c>
      <c r="F1176" s="13">
        <v>0.67113425925925929</v>
      </c>
      <c r="G1176" s="3">
        <v>0.88810185185185186</v>
      </c>
      <c r="H1176" s="1">
        <v>0.21388888888888888</v>
      </c>
      <c r="I1176" s="5">
        <v>608</v>
      </c>
      <c r="J1176">
        <v>7194</v>
      </c>
      <c r="K1176">
        <v>118</v>
      </c>
      <c r="L1176" s="5">
        <v>54</v>
      </c>
      <c r="M1176" s="5">
        <v>608</v>
      </c>
      <c r="N1176">
        <v>5</v>
      </c>
      <c r="O1176">
        <v>603</v>
      </c>
      <c r="P1176" s="1">
        <v>0.29444444444444445</v>
      </c>
      <c r="Q1176" s="5">
        <v>1558</v>
      </c>
      <c r="R1176" s="14">
        <v>11.8</v>
      </c>
      <c r="S1176">
        <v>118</v>
      </c>
      <c r="T1176" s="5">
        <v>5</v>
      </c>
      <c r="U1176" s="5">
        <v>603</v>
      </c>
      <c r="V1176" s="5">
        <v>0</v>
      </c>
      <c r="W1176" s="5"/>
      <c r="X1176" s="5"/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</row>
    <row r="1177" spans="1:37" x14ac:dyDescent="0.25">
      <c r="A1177" s="11">
        <f>Table1[[#This Row],[Milk Yield]]-J1173</f>
        <v>597</v>
      </c>
      <c r="B1177" t="s">
        <v>24</v>
      </c>
      <c r="C1177" s="2">
        <v>3</v>
      </c>
      <c r="D1177" s="12">
        <v>45761</v>
      </c>
      <c r="E1177" s="2">
        <v>31</v>
      </c>
      <c r="F1177" s="13">
        <v>0.2528009259259259</v>
      </c>
      <c r="G1177" s="3">
        <v>0.20004629629629631</v>
      </c>
      <c r="H1177" s="1">
        <v>0.20069444444444445</v>
      </c>
      <c r="I1177" s="5">
        <v>611</v>
      </c>
      <c r="J1177">
        <v>7622</v>
      </c>
      <c r="K1177">
        <v>131</v>
      </c>
      <c r="L1177" s="5">
        <v>128</v>
      </c>
      <c r="M1177" s="5">
        <v>611</v>
      </c>
      <c r="N1177">
        <v>14</v>
      </c>
      <c r="O1177">
        <v>603</v>
      </c>
      <c r="P1177" s="1">
        <v>0.29652777777777778</v>
      </c>
      <c r="Q1177" s="5">
        <v>1457</v>
      </c>
      <c r="R1177" s="14">
        <v>12.4</v>
      </c>
      <c r="S1177">
        <v>130</v>
      </c>
      <c r="T1177" s="5">
        <v>26</v>
      </c>
      <c r="U1177" s="5">
        <v>603</v>
      </c>
      <c r="V1177" s="5">
        <v>0</v>
      </c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</row>
    <row r="1178" spans="1:37" x14ac:dyDescent="0.25">
      <c r="A1178" s="11" t="e">
        <f>Table1[[#This Row],[Milk Yield]]-J1174</f>
        <v>#VALUE!</v>
      </c>
      <c r="B1178" t="s">
        <v>0</v>
      </c>
      <c r="C1178" s="2" t="s">
        <v>1</v>
      </c>
      <c r="D1178" s="12" t="s">
        <v>2</v>
      </c>
      <c r="E1178" s="2" t="s">
        <v>3</v>
      </c>
      <c r="F1178" s="13" t="s">
        <v>4</v>
      </c>
      <c r="G1178" s="3" t="s">
        <v>5</v>
      </c>
      <c r="H1178" s="1" t="s">
        <v>6</v>
      </c>
      <c r="I1178" s="5" t="s">
        <v>8</v>
      </c>
      <c r="J1178" t="s">
        <v>9</v>
      </c>
      <c r="K1178" t="s">
        <v>10</v>
      </c>
      <c r="L1178" s="5" t="s">
        <v>11</v>
      </c>
      <c r="M1178" s="5" t="s">
        <v>12</v>
      </c>
      <c r="N1178" t="s">
        <v>13</v>
      </c>
      <c r="O1178" t="s">
        <v>20</v>
      </c>
      <c r="P1178" s="1" t="s">
        <v>7</v>
      </c>
      <c r="Q1178" s="5" t="s">
        <v>15</v>
      </c>
      <c r="R1178" s="14" t="s">
        <v>18</v>
      </c>
      <c r="S1178" t="s">
        <v>16</v>
      </c>
      <c r="T1178" s="5" t="s">
        <v>14</v>
      </c>
      <c r="U1178" s="5" t="s">
        <v>17</v>
      </c>
      <c r="V1178" s="5" t="s">
        <v>19</v>
      </c>
      <c r="W1178" s="5"/>
      <c r="X1178" s="5"/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</row>
    <row r="1179" spans="1:37" x14ac:dyDescent="0.25">
      <c r="A1179" s="11">
        <f>Table1[[#This Row],[Milk Yield]]-J1175</f>
        <v>-982</v>
      </c>
      <c r="B1179" t="s">
        <v>24</v>
      </c>
      <c r="C1179">
        <v>1</v>
      </c>
      <c r="D1179" s="12">
        <v>45762</v>
      </c>
      <c r="E1179" s="2">
        <v>30</v>
      </c>
      <c r="F1179" s="13">
        <v>0.33817129629629628</v>
      </c>
      <c r="G1179" s="3">
        <v>0.54467592592592595</v>
      </c>
      <c r="H1179" s="1">
        <v>0.20624999999999999</v>
      </c>
      <c r="I1179" s="5">
        <v>611</v>
      </c>
      <c r="J1179">
        <v>7470</v>
      </c>
      <c r="K1179">
        <v>145</v>
      </c>
      <c r="L1179" s="5">
        <v>58</v>
      </c>
      <c r="M1179" s="5">
        <v>611</v>
      </c>
      <c r="N1179">
        <v>8</v>
      </c>
      <c r="O1179">
        <v>603</v>
      </c>
      <c r="P1179" s="1">
        <v>0.27569444444444446</v>
      </c>
      <c r="Q1179" s="5">
        <v>1507</v>
      </c>
      <c r="R1179">
        <v>12.3</v>
      </c>
      <c r="S1179">
        <v>123</v>
      </c>
      <c r="T1179">
        <v>8</v>
      </c>
      <c r="U1179">
        <v>602</v>
      </c>
      <c r="V1179">
        <v>0</v>
      </c>
    </row>
    <row r="1180" spans="1:37" x14ac:dyDescent="0.25">
      <c r="A1180" s="11">
        <f>Table1[[#This Row],[Milk Yield]]-J1176</f>
        <v>634</v>
      </c>
      <c r="B1180" t="s">
        <v>24</v>
      </c>
      <c r="C1180" s="2">
        <v>2</v>
      </c>
      <c r="D1180" s="12">
        <v>45762</v>
      </c>
      <c r="E1180" s="2">
        <v>29</v>
      </c>
      <c r="F1180" s="13">
        <v>0.6663310185185185</v>
      </c>
      <c r="G1180" s="3">
        <v>0.90619212962962958</v>
      </c>
      <c r="H1180" s="1">
        <v>0.23958333333333334</v>
      </c>
      <c r="I1180" s="5">
        <v>611</v>
      </c>
      <c r="J1180">
        <v>7828</v>
      </c>
      <c r="K1180">
        <v>106</v>
      </c>
      <c r="L1180" s="5">
        <v>55</v>
      </c>
      <c r="M1180" s="5">
        <v>610</v>
      </c>
      <c r="N1180">
        <v>4</v>
      </c>
      <c r="O1180">
        <v>606</v>
      </c>
      <c r="P1180" s="1">
        <v>0.33333333333333331</v>
      </c>
      <c r="Q1180" s="5">
        <v>1360</v>
      </c>
      <c r="R1180" s="14">
        <v>12.9</v>
      </c>
      <c r="S1180">
        <v>106</v>
      </c>
      <c r="T1180" s="5">
        <v>4</v>
      </c>
      <c r="U1180" s="5">
        <v>606</v>
      </c>
      <c r="V1180" s="5">
        <v>0</v>
      </c>
      <c r="W1180" s="5"/>
      <c r="X1180" s="5"/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</row>
    <row r="1181" spans="1:37" x14ac:dyDescent="0.25">
      <c r="A1181" s="11">
        <f>Table1[[#This Row],[Milk Yield]]-J1177</f>
        <v>-483</v>
      </c>
      <c r="B1181" t="s">
        <v>24</v>
      </c>
      <c r="C1181" s="2">
        <v>3</v>
      </c>
      <c r="D1181" s="12">
        <v>45762</v>
      </c>
      <c r="E1181" s="2">
        <v>30</v>
      </c>
      <c r="F1181" s="13">
        <v>0.99834490740740744</v>
      </c>
      <c r="G1181" s="3">
        <v>0.23304398148148148</v>
      </c>
      <c r="H1181" s="1">
        <v>0.23402777777777778</v>
      </c>
      <c r="I1181" s="5">
        <v>611</v>
      </c>
      <c r="J1181">
        <v>7139</v>
      </c>
      <c r="K1181">
        <v>108</v>
      </c>
      <c r="L1181" s="5">
        <v>131</v>
      </c>
      <c r="M1181" s="5">
        <v>611</v>
      </c>
      <c r="N1181">
        <v>14</v>
      </c>
      <c r="O1181">
        <v>597</v>
      </c>
      <c r="P1181" s="1">
        <v>0.2986111111111111</v>
      </c>
      <c r="Q1181" s="5">
        <v>1267</v>
      </c>
      <c r="R1181" s="14">
        <v>11.7</v>
      </c>
      <c r="S1181">
        <v>108</v>
      </c>
      <c r="T1181" s="5">
        <v>14</v>
      </c>
      <c r="U1181" s="5">
        <v>597</v>
      </c>
      <c r="V1181" s="5">
        <v>0</v>
      </c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</row>
    <row r="1182" spans="1:37" x14ac:dyDescent="0.25">
      <c r="A1182" s="11" t="e">
        <f>Table1[[#This Row],[Milk Yield]]-J1178</f>
        <v>#VALUE!</v>
      </c>
      <c r="B1182" t="s">
        <v>0</v>
      </c>
      <c r="C1182" s="2" t="s">
        <v>1</v>
      </c>
      <c r="D1182" s="12" t="s">
        <v>2</v>
      </c>
      <c r="E1182" s="2" t="s">
        <v>3</v>
      </c>
      <c r="F1182" s="13" t="s">
        <v>4</v>
      </c>
      <c r="G1182" s="3" t="s">
        <v>5</v>
      </c>
      <c r="H1182" s="1" t="s">
        <v>6</v>
      </c>
      <c r="I1182" s="5" t="s">
        <v>8</v>
      </c>
      <c r="J1182" t="s">
        <v>9</v>
      </c>
      <c r="K1182" t="s">
        <v>10</v>
      </c>
      <c r="L1182" s="5" t="s">
        <v>11</v>
      </c>
      <c r="M1182" s="5" t="s">
        <v>12</v>
      </c>
      <c r="N1182" t="s">
        <v>13</v>
      </c>
      <c r="O1182" t="s">
        <v>20</v>
      </c>
      <c r="P1182" s="1" t="s">
        <v>7</v>
      </c>
      <c r="Q1182" s="5" t="s">
        <v>15</v>
      </c>
      <c r="R1182" s="14" t="s">
        <v>18</v>
      </c>
      <c r="S1182" t="s">
        <v>16</v>
      </c>
      <c r="T1182" s="5" t="s">
        <v>14</v>
      </c>
      <c r="U1182" s="5" t="s">
        <v>17</v>
      </c>
      <c r="V1182" s="5" t="s">
        <v>19</v>
      </c>
      <c r="W1182" s="5"/>
      <c r="X1182" s="5"/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</row>
    <row r="1183" spans="1:37" x14ac:dyDescent="0.25">
      <c r="A1183" s="11">
        <f>Table1[[#This Row],[Milk Yield]]-J1179</f>
        <v>2491</v>
      </c>
      <c r="B1183" t="s">
        <v>24</v>
      </c>
      <c r="C1183" s="2">
        <v>1</v>
      </c>
      <c r="D1183" s="12">
        <v>45763</v>
      </c>
      <c r="E1183" s="2">
        <v>37</v>
      </c>
      <c r="F1183" s="13">
        <v>0.33636574074074072</v>
      </c>
      <c r="G1183" s="3">
        <v>0.56123842592592588</v>
      </c>
      <c r="H1183" s="1">
        <v>0.22430555555555556</v>
      </c>
      <c r="I1183" s="5">
        <v>736</v>
      </c>
      <c r="J1183">
        <v>9961</v>
      </c>
      <c r="K1183">
        <v>136</v>
      </c>
      <c r="L1183" s="5">
        <v>1714</v>
      </c>
      <c r="M1183" s="5">
        <v>733</v>
      </c>
      <c r="N1183">
        <v>92</v>
      </c>
      <c r="O1183">
        <v>641</v>
      </c>
      <c r="P1183" s="1">
        <v>0.28680555555555554</v>
      </c>
      <c r="Q1183" s="5">
        <v>1846</v>
      </c>
      <c r="R1183" s="14">
        <v>13.6</v>
      </c>
      <c r="S1183">
        <v>136</v>
      </c>
      <c r="T1183" s="5">
        <v>92</v>
      </c>
      <c r="U1183" s="5">
        <v>641</v>
      </c>
      <c r="V1183" s="5">
        <v>0</v>
      </c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</row>
    <row r="1184" spans="1:37" x14ac:dyDescent="0.25">
      <c r="A1184" s="11">
        <f>Table1[[#This Row],[Milk Yield]]-J1180</f>
        <v>698</v>
      </c>
      <c r="B1184" t="s">
        <v>24</v>
      </c>
      <c r="C1184" s="2">
        <v>2</v>
      </c>
      <c r="D1184" s="12">
        <v>45763</v>
      </c>
      <c r="E1184" s="2">
        <v>36</v>
      </c>
      <c r="F1184" s="13">
        <v>0.66613425925925929</v>
      </c>
      <c r="G1184" s="3">
        <v>0.89607638888888885</v>
      </c>
      <c r="H1184" s="1">
        <v>0.2298611111111111</v>
      </c>
      <c r="I1184" s="5">
        <v>730</v>
      </c>
      <c r="J1184">
        <v>8526</v>
      </c>
      <c r="K1184">
        <v>132</v>
      </c>
      <c r="L1184" s="5">
        <v>121</v>
      </c>
      <c r="M1184" s="5">
        <v>730</v>
      </c>
      <c r="N1184">
        <v>16</v>
      </c>
      <c r="O1184">
        <v>714</v>
      </c>
      <c r="P1184" s="1">
        <v>0.26874999999999999</v>
      </c>
      <c r="Q1184" s="5">
        <v>1545</v>
      </c>
      <c r="R1184" s="14">
        <v>11.7</v>
      </c>
      <c r="S1184">
        <v>132</v>
      </c>
      <c r="T1184" s="5">
        <v>16</v>
      </c>
      <c r="U1184" s="5">
        <v>714</v>
      </c>
      <c r="V1184" s="5">
        <v>0</v>
      </c>
      <c r="W1184" s="5"/>
      <c r="X1184" s="5"/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</row>
    <row r="1185" spans="1:37" x14ac:dyDescent="0.25">
      <c r="A1185" s="11">
        <f>Table1[[#This Row],[Milk Yield]]-J1181</f>
        <v>1477</v>
      </c>
      <c r="B1185" t="s">
        <v>24</v>
      </c>
      <c r="C1185" s="2">
        <v>3</v>
      </c>
      <c r="D1185" s="12">
        <v>45763</v>
      </c>
      <c r="E1185" s="2">
        <v>36</v>
      </c>
      <c r="F1185" s="13">
        <v>0.99767361111111108</v>
      </c>
      <c r="G1185" s="3">
        <v>0.24471064814814814</v>
      </c>
      <c r="H1185" s="1">
        <v>0.24652777777777779</v>
      </c>
      <c r="I1185" s="5">
        <v>714</v>
      </c>
      <c r="J1185">
        <v>8616</v>
      </c>
      <c r="K1185">
        <v>120</v>
      </c>
      <c r="L1185" s="5">
        <v>58</v>
      </c>
      <c r="M1185" s="5">
        <v>714</v>
      </c>
      <c r="N1185">
        <v>5</v>
      </c>
      <c r="O1185">
        <v>709</v>
      </c>
      <c r="P1185" s="1">
        <v>0.29930555555555555</v>
      </c>
      <c r="Q1185" s="5">
        <v>1453</v>
      </c>
      <c r="R1185" s="14">
        <v>12.1</v>
      </c>
      <c r="S1185">
        <v>120</v>
      </c>
      <c r="T1185" s="5">
        <v>5</v>
      </c>
      <c r="U1185" s="5">
        <v>708</v>
      </c>
      <c r="V1185" s="5">
        <v>0</v>
      </c>
      <c r="W1185" s="5"/>
      <c r="X1185" s="5"/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</row>
    <row r="1186" spans="1:37" x14ac:dyDescent="0.25">
      <c r="A1186" s="11" t="e">
        <f>Table1[[#This Row],[Milk Yield]]-J1182</f>
        <v>#VALUE!</v>
      </c>
      <c r="B1186" t="s">
        <v>0</v>
      </c>
      <c r="C1186" s="2" t="s">
        <v>1</v>
      </c>
      <c r="D1186" s="12" t="s">
        <v>2</v>
      </c>
      <c r="E1186" s="2" t="s">
        <v>3</v>
      </c>
      <c r="F1186" s="13" t="s">
        <v>4</v>
      </c>
      <c r="G1186" s="3" t="s">
        <v>5</v>
      </c>
      <c r="H1186" s="1" t="s">
        <v>6</v>
      </c>
      <c r="I1186" s="5" t="s">
        <v>8</v>
      </c>
      <c r="J1186" t="s">
        <v>9</v>
      </c>
      <c r="K1186" t="s">
        <v>10</v>
      </c>
      <c r="L1186" s="5" t="s">
        <v>11</v>
      </c>
      <c r="M1186" s="5" t="s">
        <v>12</v>
      </c>
      <c r="N1186" t="s">
        <v>13</v>
      </c>
      <c r="O1186" t="s">
        <v>20</v>
      </c>
      <c r="P1186" s="1" t="s">
        <v>7</v>
      </c>
      <c r="Q1186" s="5" t="s">
        <v>15</v>
      </c>
      <c r="R1186" s="14" t="s">
        <v>18</v>
      </c>
      <c r="S1186" t="s">
        <v>16</v>
      </c>
      <c r="T1186" s="5" t="s">
        <v>14</v>
      </c>
      <c r="U1186" s="5" t="s">
        <v>17</v>
      </c>
      <c r="V1186" s="5" t="s">
        <v>19</v>
      </c>
      <c r="W1186" s="5"/>
      <c r="X1186" s="5"/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</row>
    <row r="1187" spans="1:37" x14ac:dyDescent="0.25">
      <c r="A1187" s="11">
        <f>Table1[[#This Row],[Milk Yield]]-J1183</f>
        <v>-734</v>
      </c>
      <c r="B1187" t="s">
        <v>24</v>
      </c>
      <c r="C1187" s="2">
        <v>1</v>
      </c>
      <c r="D1187" s="12">
        <v>45764</v>
      </c>
      <c r="E1187" s="2">
        <v>36</v>
      </c>
      <c r="F1187" s="13">
        <v>0.33651620370370372</v>
      </c>
      <c r="G1187" s="3">
        <v>0.56692129629629628</v>
      </c>
      <c r="H1187" s="1">
        <v>0.2298611111111111</v>
      </c>
      <c r="I1187" s="5">
        <v>710</v>
      </c>
      <c r="J1187">
        <v>9227</v>
      </c>
      <c r="K1187">
        <v>128</v>
      </c>
      <c r="L1187" s="5">
        <v>258</v>
      </c>
      <c r="M1187" s="5">
        <v>710</v>
      </c>
      <c r="N1187">
        <v>26</v>
      </c>
      <c r="O1187">
        <v>684</v>
      </c>
      <c r="P1187" s="1">
        <v>0.28472222222222221</v>
      </c>
      <c r="Q1187" s="5">
        <v>1669</v>
      </c>
      <c r="R1187" s="14">
        <v>13</v>
      </c>
      <c r="S1187">
        <v>128</v>
      </c>
      <c r="T1187" s="5">
        <v>26</v>
      </c>
      <c r="U1187" s="5">
        <v>684</v>
      </c>
      <c r="V1187" s="5">
        <v>0</v>
      </c>
      <c r="W1187" s="5"/>
      <c r="X1187" s="5"/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</row>
    <row r="1188" spans="1:37" x14ac:dyDescent="0.25">
      <c r="A1188" s="11">
        <f>Table1[[#This Row],[Milk Yield]]-J1184</f>
        <v>629</v>
      </c>
      <c r="B1188" t="s">
        <v>24</v>
      </c>
      <c r="C1188" s="2">
        <v>2</v>
      </c>
      <c r="D1188" s="12">
        <v>45764</v>
      </c>
      <c r="E1188" s="2">
        <v>36</v>
      </c>
      <c r="F1188" s="13">
        <v>0.67473379629629626</v>
      </c>
      <c r="G1188" s="3">
        <v>0.9183217592592593</v>
      </c>
      <c r="H1188" s="1">
        <v>0.24305555555555555</v>
      </c>
      <c r="I1188" s="5">
        <v>733</v>
      </c>
      <c r="J1188">
        <v>9155</v>
      </c>
      <c r="K1188">
        <v>125</v>
      </c>
      <c r="L1188" s="5">
        <v>107</v>
      </c>
      <c r="M1188" s="5">
        <v>733</v>
      </c>
      <c r="N1188">
        <v>10</v>
      </c>
      <c r="O1188">
        <v>723</v>
      </c>
      <c r="P1188" s="1">
        <v>0.27916666666666667</v>
      </c>
      <c r="Q1188" s="5">
        <v>1566</v>
      </c>
      <c r="R1188" s="14">
        <v>12.5</v>
      </c>
      <c r="S1188">
        <v>125</v>
      </c>
      <c r="T1188" s="5">
        <v>10</v>
      </c>
      <c r="U1188" s="5">
        <v>721</v>
      </c>
      <c r="V1188" s="5">
        <v>0</v>
      </c>
      <c r="W1188" s="5"/>
      <c r="X1188" s="5"/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</row>
    <row r="1189" spans="1:37" x14ac:dyDescent="0.25">
      <c r="A1189" s="11">
        <f>Table1[[#This Row],[Milk Yield]]-J1185</f>
        <v>-292</v>
      </c>
      <c r="B1189" t="s">
        <v>24</v>
      </c>
      <c r="C1189" s="2">
        <v>3</v>
      </c>
      <c r="D1189" s="12">
        <v>45764</v>
      </c>
      <c r="E1189" s="2">
        <v>36</v>
      </c>
      <c r="F1189" s="13">
        <v>1.6782407407407408E-3</v>
      </c>
      <c r="G1189" s="3">
        <v>0.22657407407407407</v>
      </c>
      <c r="H1189" s="1">
        <v>0.22430555555555556</v>
      </c>
      <c r="I1189" s="5">
        <v>727</v>
      </c>
      <c r="J1189">
        <v>8324</v>
      </c>
      <c r="K1189">
        <v>135</v>
      </c>
      <c r="L1189" s="5">
        <v>111</v>
      </c>
      <c r="M1189" s="5">
        <v>726</v>
      </c>
      <c r="N1189">
        <v>11</v>
      </c>
      <c r="O1189">
        <v>715</v>
      </c>
      <c r="P1189" s="1">
        <v>0.25555555555555554</v>
      </c>
      <c r="Q1189" s="5">
        <v>1542</v>
      </c>
      <c r="R1189" s="14">
        <v>11.5</v>
      </c>
      <c r="S1189">
        <v>135</v>
      </c>
      <c r="T1189" s="5">
        <v>11</v>
      </c>
      <c r="U1189" s="5">
        <v>715</v>
      </c>
      <c r="V1189" s="5">
        <v>0</v>
      </c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</row>
    <row r="1190" spans="1:37" x14ac:dyDescent="0.25">
      <c r="A1190" s="11" t="e">
        <f>Table1[[#This Row],[Milk Yield]]-J1186</f>
        <v>#VALUE!</v>
      </c>
      <c r="B1190" t="s">
        <v>0</v>
      </c>
      <c r="C1190" s="2" t="s">
        <v>1</v>
      </c>
      <c r="D1190" s="12" t="s">
        <v>2</v>
      </c>
      <c r="E1190" s="2" t="s">
        <v>3</v>
      </c>
      <c r="F1190" s="13" t="s">
        <v>4</v>
      </c>
      <c r="G1190" s="3" t="s">
        <v>5</v>
      </c>
      <c r="H1190" s="1" t="s">
        <v>6</v>
      </c>
      <c r="I1190" s="5" t="s">
        <v>8</v>
      </c>
      <c r="J1190" t="s">
        <v>9</v>
      </c>
      <c r="K1190" t="s">
        <v>10</v>
      </c>
      <c r="L1190" s="5" t="s">
        <v>11</v>
      </c>
      <c r="M1190" s="5" t="s">
        <v>12</v>
      </c>
      <c r="N1190" t="s">
        <v>13</v>
      </c>
      <c r="O1190" t="s">
        <v>20</v>
      </c>
      <c r="P1190" s="1" t="s">
        <v>7</v>
      </c>
      <c r="Q1190" s="5" t="s">
        <v>15</v>
      </c>
      <c r="R1190" s="14" t="s">
        <v>18</v>
      </c>
      <c r="S1190" t="s">
        <v>16</v>
      </c>
      <c r="T1190" s="5" t="s">
        <v>14</v>
      </c>
      <c r="U1190" s="5" t="s">
        <v>17</v>
      </c>
      <c r="V1190" s="5" t="s">
        <v>19</v>
      </c>
      <c r="W1190" s="5"/>
      <c r="X1190" s="5"/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</row>
    <row r="1191" spans="1:37" x14ac:dyDescent="0.25">
      <c r="A1191" s="11">
        <f>Table1[[#This Row],[Milk Yield]]-J1187</f>
        <v>309</v>
      </c>
      <c r="B1191" t="s">
        <v>24</v>
      </c>
      <c r="C1191" s="2">
        <v>1</v>
      </c>
      <c r="D1191" s="12">
        <v>45765</v>
      </c>
      <c r="E1191" s="2">
        <v>35</v>
      </c>
      <c r="F1191" s="13">
        <v>0.3389699074074074</v>
      </c>
      <c r="G1191" s="3">
        <v>0.58064814814814814</v>
      </c>
      <c r="H1191" s="1">
        <v>0.24166666666666667</v>
      </c>
      <c r="I1191" s="5">
        <v>730</v>
      </c>
      <c r="J1191">
        <v>9536</v>
      </c>
      <c r="K1191">
        <v>126</v>
      </c>
      <c r="L1191" s="5">
        <v>50</v>
      </c>
      <c r="M1191" s="5">
        <v>730</v>
      </c>
      <c r="N1191">
        <v>4</v>
      </c>
      <c r="O1191">
        <v>726</v>
      </c>
      <c r="P1191" s="1">
        <v>0.25277777777777777</v>
      </c>
      <c r="Q1191" s="5">
        <v>1644</v>
      </c>
      <c r="R1191" s="14">
        <v>13.1</v>
      </c>
      <c r="S1191">
        <v>126</v>
      </c>
      <c r="T1191" s="5">
        <v>4</v>
      </c>
      <c r="U1191" s="5">
        <v>726</v>
      </c>
      <c r="V1191" s="5">
        <v>0</v>
      </c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</row>
    <row r="1192" spans="1:37" x14ac:dyDescent="0.25">
      <c r="A1192" s="11">
        <f>Table1[[#This Row],[Milk Yield]]-J1188</f>
        <v>-480</v>
      </c>
      <c r="B1192" t="s">
        <v>24</v>
      </c>
      <c r="C1192" s="2">
        <v>2</v>
      </c>
      <c r="D1192" s="12">
        <v>45765</v>
      </c>
      <c r="E1192" s="2">
        <v>34</v>
      </c>
      <c r="F1192" s="13">
        <v>0.6684606481481481</v>
      </c>
      <c r="G1192" s="3">
        <v>0.90718750000000004</v>
      </c>
      <c r="H1192" s="1">
        <v>0.23819444444444443</v>
      </c>
      <c r="I1192" s="5">
        <v>716</v>
      </c>
      <c r="J1192">
        <v>8675</v>
      </c>
      <c r="K1192">
        <v>125</v>
      </c>
      <c r="L1192" s="5">
        <v>89</v>
      </c>
      <c r="M1192" s="5">
        <v>716</v>
      </c>
      <c r="N1192">
        <v>8</v>
      </c>
      <c r="O1192">
        <v>708</v>
      </c>
      <c r="P1192" s="1">
        <v>0.27083333333333331</v>
      </c>
      <c r="Q1192" s="5">
        <v>1514</v>
      </c>
      <c r="R1192" s="14">
        <v>12.2</v>
      </c>
      <c r="S1192">
        <v>125</v>
      </c>
      <c r="T1192" s="5">
        <v>8</v>
      </c>
      <c r="U1192" s="5">
        <v>708</v>
      </c>
      <c r="V1192" s="5">
        <v>0</v>
      </c>
      <c r="W1192" s="5"/>
      <c r="X1192" s="5"/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</row>
    <row r="1193" spans="1:37" x14ac:dyDescent="0.25">
      <c r="A1193" s="11">
        <f>Table1[[#This Row],[Milk Yield]]-J1189</f>
        <v>370</v>
      </c>
      <c r="B1193" t="s">
        <v>24</v>
      </c>
      <c r="C1193" s="2">
        <v>3</v>
      </c>
      <c r="D1193" s="12">
        <v>45765</v>
      </c>
      <c r="E1193" s="2">
        <v>35</v>
      </c>
      <c r="F1193" s="13">
        <v>1.736111111111111E-3</v>
      </c>
      <c r="G1193" s="3">
        <v>0.24555555555555555</v>
      </c>
      <c r="H1193" s="1">
        <v>0.24374999999999999</v>
      </c>
      <c r="I1193" s="5">
        <v>721</v>
      </c>
      <c r="J1193">
        <v>8694</v>
      </c>
      <c r="K1193">
        <v>123</v>
      </c>
      <c r="L1193" s="5">
        <v>167</v>
      </c>
      <c r="M1193" s="5">
        <v>720</v>
      </c>
      <c r="N1193">
        <v>16</v>
      </c>
      <c r="O1193">
        <v>704</v>
      </c>
      <c r="P1193" s="1">
        <v>0.25486111111111109</v>
      </c>
      <c r="Q1193" s="5">
        <v>1486</v>
      </c>
      <c r="R1193" s="14">
        <v>12.1</v>
      </c>
      <c r="S1193">
        <v>123</v>
      </c>
      <c r="T1193" s="5">
        <v>16</v>
      </c>
      <c r="U1193" s="5">
        <v>704</v>
      </c>
      <c r="V1193" s="5">
        <v>0</v>
      </c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</row>
    <row r="1194" spans="1:37" x14ac:dyDescent="0.25">
      <c r="A1194" s="11" t="e">
        <f>Table1[[#This Row],[Milk Yield]]-J1190</f>
        <v>#VALUE!</v>
      </c>
      <c r="B1194" t="s">
        <v>0</v>
      </c>
      <c r="C1194" s="2" t="s">
        <v>1</v>
      </c>
      <c r="D1194" s="12" t="s">
        <v>2</v>
      </c>
      <c r="E1194" s="2" t="s">
        <v>3</v>
      </c>
      <c r="F1194" s="13" t="s">
        <v>4</v>
      </c>
      <c r="G1194" s="3" t="s">
        <v>5</v>
      </c>
      <c r="H1194" s="1" t="s">
        <v>6</v>
      </c>
      <c r="I1194" s="5" t="s">
        <v>8</v>
      </c>
      <c r="J1194" t="s">
        <v>9</v>
      </c>
      <c r="K1194" t="s">
        <v>10</v>
      </c>
      <c r="L1194" s="5" t="s">
        <v>11</v>
      </c>
      <c r="M1194" s="5" t="s">
        <v>12</v>
      </c>
      <c r="N1194" t="s">
        <v>13</v>
      </c>
      <c r="O1194" t="s">
        <v>20</v>
      </c>
      <c r="P1194" s="1" t="s">
        <v>7</v>
      </c>
      <c r="Q1194" s="5" t="s">
        <v>15</v>
      </c>
      <c r="R1194" s="14" t="s">
        <v>18</v>
      </c>
      <c r="S1194" t="s">
        <v>16</v>
      </c>
      <c r="T1194" s="5" t="s">
        <v>14</v>
      </c>
      <c r="U1194" s="5" t="s">
        <v>17</v>
      </c>
      <c r="V1194" s="5" t="s">
        <v>19</v>
      </c>
      <c r="W1194" s="5"/>
      <c r="X1194" s="5"/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</row>
    <row r="1195" spans="1:37" x14ac:dyDescent="0.25">
      <c r="A1195" s="11">
        <f>Table1[[#This Row],[Milk Yield]]-J1191</f>
        <v>73</v>
      </c>
      <c r="B1195" t="s">
        <v>24</v>
      </c>
      <c r="C1195" s="2">
        <v>1</v>
      </c>
      <c r="D1195" s="12">
        <v>45766</v>
      </c>
      <c r="E1195" s="2">
        <v>35</v>
      </c>
      <c r="F1195" s="13">
        <v>0.33812500000000001</v>
      </c>
      <c r="G1195" s="3">
        <v>0.57204861111111116</v>
      </c>
      <c r="H1195" s="1">
        <v>0.23333333333333334</v>
      </c>
      <c r="I1195" s="5">
        <v>717</v>
      </c>
      <c r="J1195">
        <v>9609</v>
      </c>
      <c r="K1195">
        <v>128</v>
      </c>
      <c r="L1195" s="5">
        <v>149</v>
      </c>
      <c r="M1195" s="5">
        <v>717</v>
      </c>
      <c r="N1195">
        <v>15</v>
      </c>
      <c r="O1195">
        <v>702</v>
      </c>
      <c r="P1195" s="1">
        <v>0.27986111111111112</v>
      </c>
      <c r="Q1195" s="5">
        <v>1711</v>
      </c>
      <c r="R1195" s="14">
        <v>13.5</v>
      </c>
      <c r="S1195">
        <v>128</v>
      </c>
      <c r="T1195" s="5">
        <v>15</v>
      </c>
      <c r="U1195" s="5">
        <v>702</v>
      </c>
      <c r="V1195" s="5">
        <v>0</v>
      </c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</row>
    <row r="1196" spans="1:37" x14ac:dyDescent="0.25">
      <c r="A1196" s="11">
        <f>Table1[[#This Row],[Milk Yield]]-J1192</f>
        <v>328</v>
      </c>
      <c r="B1196" t="s">
        <v>24</v>
      </c>
      <c r="C1196" s="2">
        <v>2</v>
      </c>
      <c r="D1196" s="12">
        <v>45766</v>
      </c>
      <c r="E1196" s="2">
        <v>34</v>
      </c>
      <c r="F1196" s="13">
        <v>0.66885416666666664</v>
      </c>
      <c r="G1196" s="3">
        <v>0.92950231481481482</v>
      </c>
      <c r="H1196" s="1">
        <v>0.26041666666666669</v>
      </c>
      <c r="I1196" s="5">
        <v>717</v>
      </c>
      <c r="J1196">
        <v>9003</v>
      </c>
      <c r="K1196">
        <v>115</v>
      </c>
      <c r="L1196" s="5">
        <v>74</v>
      </c>
      <c r="M1196" s="5">
        <v>716</v>
      </c>
      <c r="N1196">
        <v>7</v>
      </c>
      <c r="O1196">
        <v>709</v>
      </c>
      <c r="P1196" s="1">
        <v>0.26597222222222222</v>
      </c>
      <c r="Q1196" s="5">
        <v>1439</v>
      </c>
      <c r="R1196" s="14">
        <v>12.6</v>
      </c>
      <c r="S1196">
        <v>114</v>
      </c>
      <c r="T1196" s="5">
        <v>7</v>
      </c>
      <c r="U1196" s="5">
        <v>709</v>
      </c>
      <c r="V1196" s="5">
        <v>0</v>
      </c>
      <c r="W1196" s="5"/>
      <c r="X1196" s="5"/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</row>
    <row r="1197" spans="1:37" x14ac:dyDescent="0.25">
      <c r="A1197" s="11">
        <f>Table1[[#This Row],[Milk Yield]]-J1193</f>
        <v>-129</v>
      </c>
      <c r="B1197" t="s">
        <v>24</v>
      </c>
      <c r="C1197" s="2">
        <v>3</v>
      </c>
      <c r="D1197" s="12">
        <v>45766</v>
      </c>
      <c r="E1197" s="2">
        <v>34</v>
      </c>
      <c r="F1197" s="13">
        <v>3.3217592592592591E-3</v>
      </c>
      <c r="G1197" s="3">
        <v>0.24737268518518518</v>
      </c>
      <c r="H1197" s="1">
        <v>0.24374999999999999</v>
      </c>
      <c r="I1197" s="5">
        <v>715</v>
      </c>
      <c r="J1197">
        <v>8565</v>
      </c>
      <c r="K1197">
        <v>122</v>
      </c>
      <c r="L1197" s="5">
        <v>155</v>
      </c>
      <c r="M1197" s="5">
        <v>715</v>
      </c>
      <c r="N1197">
        <v>14</v>
      </c>
      <c r="O1197">
        <v>701</v>
      </c>
      <c r="P1197" s="1">
        <v>0.24930555555555556</v>
      </c>
      <c r="Q1197" s="5">
        <v>1462</v>
      </c>
      <c r="R1197" s="14">
        <v>12</v>
      </c>
      <c r="S1197">
        <v>122</v>
      </c>
      <c r="T1197" s="5">
        <v>14</v>
      </c>
      <c r="U1197" s="5">
        <v>701</v>
      </c>
      <c r="V1197" s="5">
        <v>0</v>
      </c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</row>
    <row r="1198" spans="1:37" x14ac:dyDescent="0.25">
      <c r="A1198" s="11" t="e">
        <f>Table1[[#This Row],[Milk Yield]]-J1194</f>
        <v>#VALUE!</v>
      </c>
      <c r="B1198" t="s">
        <v>0</v>
      </c>
      <c r="C1198" s="2" t="s">
        <v>1</v>
      </c>
      <c r="D1198" s="12" t="s">
        <v>2</v>
      </c>
      <c r="E1198" s="2" t="s">
        <v>3</v>
      </c>
      <c r="F1198" s="13" t="s">
        <v>4</v>
      </c>
      <c r="G1198" s="3" t="s">
        <v>5</v>
      </c>
      <c r="H1198" s="1" t="s">
        <v>6</v>
      </c>
      <c r="I1198" s="5" t="s">
        <v>8</v>
      </c>
      <c r="J1198" t="s">
        <v>9</v>
      </c>
      <c r="K1198" t="s">
        <v>10</v>
      </c>
      <c r="L1198" s="5" t="s">
        <v>11</v>
      </c>
      <c r="M1198" s="5" t="s">
        <v>12</v>
      </c>
      <c r="N1198" t="s">
        <v>13</v>
      </c>
      <c r="O1198" t="s">
        <v>20</v>
      </c>
      <c r="P1198" s="1" t="s">
        <v>7</v>
      </c>
      <c r="Q1198" s="5" t="s">
        <v>15</v>
      </c>
      <c r="R1198" s="14" t="s">
        <v>18</v>
      </c>
      <c r="S1198" t="s">
        <v>16</v>
      </c>
      <c r="T1198" s="5" t="s">
        <v>14</v>
      </c>
      <c r="U1198" s="5" t="s">
        <v>17</v>
      </c>
      <c r="V1198" s="5" t="s">
        <v>19</v>
      </c>
      <c r="W1198" s="5"/>
      <c r="X1198" s="5"/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</row>
    <row r="1199" spans="1:37" x14ac:dyDescent="0.25">
      <c r="A1199" s="11">
        <f>Table1[[#This Row],[Milk Yield]]-J1195</f>
        <v>-306</v>
      </c>
      <c r="B1199" t="s">
        <v>24</v>
      </c>
      <c r="C1199" s="2">
        <v>1</v>
      </c>
      <c r="D1199" s="12">
        <v>45767</v>
      </c>
      <c r="E1199" s="2">
        <v>38</v>
      </c>
      <c r="F1199" s="13">
        <v>0.33917824074074077</v>
      </c>
      <c r="G1199" s="3">
        <v>0.57486111111111116</v>
      </c>
      <c r="H1199" s="1">
        <v>0.23541666666666666</v>
      </c>
      <c r="I1199" s="5">
        <v>732</v>
      </c>
      <c r="J1199">
        <v>9303</v>
      </c>
      <c r="K1199">
        <v>129</v>
      </c>
      <c r="L1199" s="5">
        <v>526</v>
      </c>
      <c r="M1199" s="5">
        <v>731</v>
      </c>
      <c r="N1199">
        <v>55</v>
      </c>
      <c r="O1199">
        <v>676</v>
      </c>
      <c r="P1199" s="1">
        <v>0.26180555555555557</v>
      </c>
      <c r="Q1199" s="5">
        <v>1645</v>
      </c>
      <c r="R1199" s="14">
        <v>12.8</v>
      </c>
      <c r="S1199">
        <v>129</v>
      </c>
      <c r="T1199" s="5">
        <v>55</v>
      </c>
      <c r="U1199" s="5">
        <v>676</v>
      </c>
      <c r="V1199" s="5">
        <v>0</v>
      </c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</row>
    <row r="1200" spans="1:37" x14ac:dyDescent="0.25">
      <c r="A1200" s="11">
        <f>Table1[[#This Row],[Milk Yield]]-J1196</f>
        <v>-23</v>
      </c>
      <c r="B1200" t="s">
        <v>24</v>
      </c>
      <c r="C1200" s="2">
        <v>2</v>
      </c>
      <c r="D1200" s="12">
        <v>45767</v>
      </c>
      <c r="E1200" s="2">
        <v>33</v>
      </c>
      <c r="F1200" s="13">
        <v>0.67107638888888888</v>
      </c>
      <c r="G1200" s="3">
        <v>0.92116898148148152</v>
      </c>
      <c r="H1200" s="1">
        <v>0.25</v>
      </c>
      <c r="I1200" s="5">
        <v>720</v>
      </c>
      <c r="J1200">
        <v>8980</v>
      </c>
      <c r="K1200">
        <v>120</v>
      </c>
      <c r="L1200" s="5">
        <v>195</v>
      </c>
      <c r="M1200" s="5">
        <v>720</v>
      </c>
      <c r="N1200">
        <v>15</v>
      </c>
      <c r="O1200">
        <v>705</v>
      </c>
      <c r="P1200" s="1">
        <v>0.28611111111111109</v>
      </c>
      <c r="Q1200" s="5">
        <v>1496</v>
      </c>
      <c r="R1200" s="14">
        <v>12.5</v>
      </c>
      <c r="S1200">
        <v>120</v>
      </c>
      <c r="T1200" s="5">
        <v>15</v>
      </c>
      <c r="U1200" s="5">
        <v>705</v>
      </c>
      <c r="V1200" s="5">
        <v>0</v>
      </c>
      <c r="W1200" s="5"/>
      <c r="X1200" s="5"/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</row>
    <row r="1201" spans="1:37" x14ac:dyDescent="0.25">
      <c r="A1201" s="11">
        <f>Table1[[#This Row],[Milk Yield]]-J1197</f>
        <v>230</v>
      </c>
      <c r="B1201" t="s">
        <v>24</v>
      </c>
      <c r="C1201" s="2">
        <v>3</v>
      </c>
      <c r="D1201" s="12">
        <v>45767</v>
      </c>
      <c r="E1201" s="2">
        <v>33</v>
      </c>
      <c r="F1201" s="13">
        <v>1.1689814814814816E-3</v>
      </c>
      <c r="G1201" s="3">
        <v>0.25206018518518519</v>
      </c>
      <c r="H1201" s="1">
        <v>0.25069444444444444</v>
      </c>
      <c r="I1201" s="5">
        <v>723</v>
      </c>
      <c r="J1201">
        <v>8795</v>
      </c>
      <c r="K1201">
        <v>120</v>
      </c>
      <c r="L1201" s="5">
        <v>133</v>
      </c>
      <c r="M1201" s="5">
        <v>722</v>
      </c>
      <c r="N1201">
        <v>12</v>
      </c>
      <c r="O1201">
        <v>710</v>
      </c>
      <c r="P1201" s="1">
        <v>0.26180555555555557</v>
      </c>
      <c r="Q1201" s="5">
        <v>1461</v>
      </c>
      <c r="R1201" s="14">
        <v>12.2</v>
      </c>
      <c r="S1201">
        <v>120</v>
      </c>
      <c r="T1201" s="5">
        <v>12</v>
      </c>
      <c r="U1201" s="5">
        <v>710</v>
      </c>
      <c r="V1201" s="5">
        <v>0</v>
      </c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</row>
    <row r="1202" spans="1:37" x14ac:dyDescent="0.25">
      <c r="A1202" s="11" t="e">
        <f>Table1[[#This Row],[Milk Yield]]-J1198</f>
        <v>#VALUE!</v>
      </c>
      <c r="B1202" t="s">
        <v>0</v>
      </c>
      <c r="C1202" s="2" t="s">
        <v>1</v>
      </c>
      <c r="D1202" s="12" t="s">
        <v>2</v>
      </c>
      <c r="E1202" s="2" t="s">
        <v>3</v>
      </c>
      <c r="F1202" s="13" t="s">
        <v>4</v>
      </c>
      <c r="G1202" s="3" t="s">
        <v>5</v>
      </c>
      <c r="H1202" s="1" t="s">
        <v>6</v>
      </c>
      <c r="I1202" s="5" t="s">
        <v>8</v>
      </c>
      <c r="J1202" t="s">
        <v>9</v>
      </c>
      <c r="K1202" t="s">
        <v>10</v>
      </c>
      <c r="L1202" s="5" t="s">
        <v>11</v>
      </c>
      <c r="M1202" s="5" t="s">
        <v>12</v>
      </c>
      <c r="N1202" t="s">
        <v>13</v>
      </c>
      <c r="O1202" t="s">
        <v>20</v>
      </c>
      <c r="P1202" s="1" t="s">
        <v>7</v>
      </c>
      <c r="Q1202" s="5" t="s">
        <v>15</v>
      </c>
      <c r="R1202" s="14" t="s">
        <v>18</v>
      </c>
      <c r="S1202" t="s">
        <v>16</v>
      </c>
      <c r="T1202" s="5" t="s">
        <v>14</v>
      </c>
      <c r="U1202" s="5" t="s">
        <v>17</v>
      </c>
      <c r="V1202" s="5" t="s">
        <v>19</v>
      </c>
      <c r="W1202" s="5"/>
      <c r="X1202" s="5"/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</row>
    <row r="1203" spans="1:37" x14ac:dyDescent="0.25">
      <c r="A1203" s="11">
        <f>Table1[[#This Row],[Milk Yield]]-J1199</f>
        <v>-179</v>
      </c>
      <c r="B1203" t="s">
        <v>24</v>
      </c>
      <c r="C1203" s="2">
        <v>1</v>
      </c>
      <c r="D1203" s="12">
        <v>45768</v>
      </c>
      <c r="E1203" s="2">
        <v>33</v>
      </c>
      <c r="F1203" s="13">
        <v>0.33686342592592594</v>
      </c>
      <c r="G1203" s="3">
        <v>0.55829861111111112</v>
      </c>
      <c r="H1203" s="1">
        <v>0.22083333333333333</v>
      </c>
      <c r="I1203" s="5">
        <v>720</v>
      </c>
      <c r="J1203">
        <v>9124</v>
      </c>
      <c r="K1203">
        <v>135</v>
      </c>
      <c r="L1203" s="5">
        <v>187</v>
      </c>
      <c r="M1203" s="5">
        <v>720</v>
      </c>
      <c r="N1203">
        <v>19</v>
      </c>
      <c r="O1203">
        <v>701</v>
      </c>
      <c r="P1203" s="1">
        <v>0.23819444444444443</v>
      </c>
      <c r="Q1203" s="5">
        <v>1717</v>
      </c>
      <c r="R1203" s="14">
        <v>12.7</v>
      </c>
      <c r="S1203">
        <v>135</v>
      </c>
      <c r="T1203" s="5">
        <v>19</v>
      </c>
      <c r="U1203" s="5">
        <v>701</v>
      </c>
      <c r="V1203" s="5">
        <v>0</v>
      </c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</row>
    <row r="1204" spans="1:37" x14ac:dyDescent="0.25">
      <c r="A1204" s="11">
        <f>Table1[[#This Row],[Milk Yield]]-J1200</f>
        <v>6</v>
      </c>
      <c r="B1204" t="s">
        <v>24</v>
      </c>
      <c r="C1204" s="2">
        <v>2</v>
      </c>
      <c r="D1204" s="12">
        <v>45768</v>
      </c>
      <c r="E1204" s="2">
        <v>33</v>
      </c>
      <c r="F1204" s="13">
        <v>0.66898148148148151</v>
      </c>
      <c r="G1204" s="3">
        <v>0.89484953703703707</v>
      </c>
      <c r="H1204" s="1">
        <v>0.22569444444444445</v>
      </c>
      <c r="I1204" s="5">
        <v>697</v>
      </c>
      <c r="J1204">
        <v>8986</v>
      </c>
      <c r="K1204">
        <v>129</v>
      </c>
      <c r="L1204" s="5">
        <v>523</v>
      </c>
      <c r="M1204" s="5">
        <v>697</v>
      </c>
      <c r="N1204">
        <v>43</v>
      </c>
      <c r="O1204">
        <v>654</v>
      </c>
      <c r="P1204" s="1">
        <v>0.23333333333333334</v>
      </c>
      <c r="Q1204" s="5">
        <v>1658</v>
      </c>
      <c r="R1204" s="14">
        <v>12.9</v>
      </c>
      <c r="S1204">
        <v>129</v>
      </c>
      <c r="T1204" s="5">
        <v>43</v>
      </c>
      <c r="U1204" s="5">
        <v>654</v>
      </c>
      <c r="V1204" s="5">
        <v>0</v>
      </c>
      <c r="W1204" s="5"/>
      <c r="X1204" s="5"/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</row>
    <row r="1205" spans="1:37" x14ac:dyDescent="0.25">
      <c r="A1205" s="11">
        <f>Table1[[#This Row],[Milk Yield]]-J1201</f>
        <v>158</v>
      </c>
      <c r="B1205" t="s">
        <v>24</v>
      </c>
      <c r="C1205" s="2">
        <v>3</v>
      </c>
      <c r="D1205" s="12">
        <v>45768</v>
      </c>
      <c r="E1205" s="2">
        <v>33</v>
      </c>
      <c r="F1205" s="13">
        <v>3.8425925925925928E-3</v>
      </c>
      <c r="G1205" s="3">
        <v>0.24254629629629629</v>
      </c>
      <c r="H1205" s="1">
        <v>0.23819444444444443</v>
      </c>
      <c r="I1205" s="5">
        <v>725</v>
      </c>
      <c r="J1205">
        <v>8953</v>
      </c>
      <c r="K1205">
        <v>127</v>
      </c>
      <c r="L1205" s="5">
        <v>186</v>
      </c>
      <c r="M1205" s="5">
        <v>724</v>
      </c>
      <c r="N1205">
        <v>18</v>
      </c>
      <c r="O1205">
        <v>706</v>
      </c>
      <c r="P1205" s="1">
        <v>0.25208333333333333</v>
      </c>
      <c r="Q1205" s="5">
        <v>1563</v>
      </c>
      <c r="R1205" s="14">
        <v>12.4</v>
      </c>
      <c r="S1205">
        <v>126</v>
      </c>
      <c r="T1205" s="5">
        <v>18</v>
      </c>
      <c r="U1205" s="5">
        <v>706</v>
      </c>
      <c r="V1205" s="5">
        <v>0</v>
      </c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</row>
    <row r="1206" spans="1:37" x14ac:dyDescent="0.25">
      <c r="A1206" s="11" t="e">
        <f>Table1[[#This Row],[Milk Yield]]-J1202</f>
        <v>#VALUE!</v>
      </c>
      <c r="B1206" t="s">
        <v>0</v>
      </c>
      <c r="C1206" s="2" t="s">
        <v>1</v>
      </c>
      <c r="D1206" s="12" t="s">
        <v>2</v>
      </c>
      <c r="E1206" s="2" t="s">
        <v>3</v>
      </c>
      <c r="F1206" s="13" t="s">
        <v>4</v>
      </c>
      <c r="G1206" s="3" t="s">
        <v>5</v>
      </c>
      <c r="H1206" s="1" t="s">
        <v>6</v>
      </c>
      <c r="I1206" s="5" t="s">
        <v>8</v>
      </c>
      <c r="J1206" t="s">
        <v>9</v>
      </c>
      <c r="K1206" t="s">
        <v>10</v>
      </c>
      <c r="L1206" s="5" t="s">
        <v>11</v>
      </c>
      <c r="M1206" s="5" t="s">
        <v>12</v>
      </c>
      <c r="N1206" t="s">
        <v>13</v>
      </c>
      <c r="O1206" t="s">
        <v>20</v>
      </c>
      <c r="P1206" s="1" t="s">
        <v>7</v>
      </c>
      <c r="Q1206" s="5" t="s">
        <v>15</v>
      </c>
      <c r="R1206" s="14" t="s">
        <v>18</v>
      </c>
      <c r="S1206" t="s">
        <v>16</v>
      </c>
      <c r="T1206" s="5" t="s">
        <v>14</v>
      </c>
      <c r="U1206" s="5" t="s">
        <v>17</v>
      </c>
      <c r="V1206" s="5" t="s">
        <v>19</v>
      </c>
      <c r="W1206" s="5"/>
      <c r="X1206" s="5"/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</row>
    <row r="1207" spans="1:37" x14ac:dyDescent="0.25">
      <c r="A1207" s="11">
        <f>Table1[[#This Row],[Milk Yield]]-J1203</f>
        <v>-229</v>
      </c>
      <c r="B1207" t="s">
        <v>24</v>
      </c>
      <c r="C1207" s="2">
        <v>1</v>
      </c>
      <c r="D1207" s="12">
        <v>45769</v>
      </c>
      <c r="E1207" s="2">
        <v>32</v>
      </c>
      <c r="F1207" s="13">
        <v>0.34030092592592592</v>
      </c>
      <c r="G1207" s="3">
        <v>0.54505787037037035</v>
      </c>
      <c r="H1207" s="1">
        <v>0.20416666666666666</v>
      </c>
      <c r="I1207" s="5">
        <v>720</v>
      </c>
      <c r="J1207">
        <v>8895</v>
      </c>
      <c r="K1207">
        <v>147</v>
      </c>
      <c r="L1207" s="5">
        <v>284</v>
      </c>
      <c r="M1207" s="5">
        <v>719</v>
      </c>
      <c r="N1207">
        <v>24</v>
      </c>
      <c r="O1207">
        <v>695</v>
      </c>
      <c r="P1207" s="1">
        <v>0.23958333333333334</v>
      </c>
      <c r="Q1207" s="5">
        <v>1810</v>
      </c>
      <c r="R1207" s="14">
        <v>12.4</v>
      </c>
      <c r="S1207">
        <v>146</v>
      </c>
      <c r="T1207" s="5">
        <v>24</v>
      </c>
      <c r="U1207" s="5">
        <v>695</v>
      </c>
      <c r="V1207" s="5">
        <v>0</v>
      </c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</row>
    <row r="1208" spans="1:37" x14ac:dyDescent="0.25">
      <c r="A1208" s="11">
        <f>Table1[[#This Row],[Milk Yield]]-J1204</f>
        <v>-539</v>
      </c>
      <c r="B1208" t="s">
        <v>24</v>
      </c>
      <c r="C1208" s="2">
        <v>2</v>
      </c>
      <c r="D1208" s="12">
        <v>45769</v>
      </c>
      <c r="E1208" s="2">
        <v>40</v>
      </c>
      <c r="F1208" s="13">
        <v>0.67009259259259257</v>
      </c>
      <c r="G1208" s="3">
        <v>0.87032407407407408</v>
      </c>
      <c r="H1208" s="1">
        <v>0.2</v>
      </c>
      <c r="I1208" s="5">
        <v>737</v>
      </c>
      <c r="J1208">
        <v>8447</v>
      </c>
      <c r="K1208">
        <v>153</v>
      </c>
      <c r="L1208" s="5">
        <v>280</v>
      </c>
      <c r="M1208" s="5">
        <v>712</v>
      </c>
      <c r="N1208">
        <v>31</v>
      </c>
      <c r="O1208">
        <v>681</v>
      </c>
      <c r="P1208" s="1">
        <v>0.22708333333333333</v>
      </c>
      <c r="Q1208" s="5">
        <v>1758</v>
      </c>
      <c r="R1208" s="14">
        <v>11.9</v>
      </c>
      <c r="S1208">
        <v>148</v>
      </c>
      <c r="T1208" s="5">
        <v>31</v>
      </c>
      <c r="U1208" s="5">
        <v>681</v>
      </c>
      <c r="V1208" s="5">
        <v>0</v>
      </c>
      <c r="W1208" s="5"/>
      <c r="X1208" s="5"/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</row>
    <row r="1209" spans="1:37" x14ac:dyDescent="0.25">
      <c r="A1209" s="11">
        <f>Table1[[#This Row],[Milk Yield]]-J1205</f>
        <v>-10</v>
      </c>
      <c r="B1209" t="s">
        <v>24</v>
      </c>
      <c r="C1209" s="2">
        <v>3</v>
      </c>
      <c r="D1209" s="12">
        <v>45769</v>
      </c>
      <c r="E1209" s="2">
        <v>34</v>
      </c>
      <c r="F1209" s="13">
        <v>1.8518518518518519E-3</v>
      </c>
      <c r="G1209" s="3">
        <v>0.22035879629629629</v>
      </c>
      <c r="H1209" s="1">
        <v>0.21805555555555556</v>
      </c>
      <c r="I1209" s="5">
        <v>718</v>
      </c>
      <c r="J1209">
        <v>8943</v>
      </c>
      <c r="K1209">
        <v>137</v>
      </c>
      <c r="L1209" s="5">
        <v>205</v>
      </c>
      <c r="M1209" s="5">
        <v>716</v>
      </c>
      <c r="N1209">
        <v>19</v>
      </c>
      <c r="O1209">
        <v>697</v>
      </c>
      <c r="P1209" s="1">
        <v>0.23402777777777778</v>
      </c>
      <c r="Q1209" s="5">
        <v>1705</v>
      </c>
      <c r="R1209" s="14">
        <v>12.5</v>
      </c>
      <c r="S1209">
        <v>137</v>
      </c>
      <c r="T1209" s="5">
        <v>19</v>
      </c>
      <c r="U1209" s="5">
        <v>697</v>
      </c>
      <c r="V1209" s="5">
        <v>0</v>
      </c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</row>
    <row r="1210" spans="1:37" x14ac:dyDescent="0.25">
      <c r="A1210" s="11" t="e">
        <f>Table1[[#This Row],[Milk Yield]]-J1206</f>
        <v>#VALUE!</v>
      </c>
      <c r="B1210" t="s">
        <v>0</v>
      </c>
      <c r="C1210" s="2" t="s">
        <v>1</v>
      </c>
      <c r="D1210" s="12" t="s">
        <v>2</v>
      </c>
      <c r="E1210" s="2" t="s">
        <v>3</v>
      </c>
      <c r="F1210" s="13" t="s">
        <v>4</v>
      </c>
      <c r="G1210" s="3" t="s">
        <v>5</v>
      </c>
      <c r="H1210" s="1" t="s">
        <v>6</v>
      </c>
      <c r="I1210" s="5" t="s">
        <v>8</v>
      </c>
      <c r="J1210" t="s">
        <v>9</v>
      </c>
      <c r="K1210" t="s">
        <v>10</v>
      </c>
      <c r="L1210" s="5" t="s">
        <v>11</v>
      </c>
      <c r="M1210" s="5" t="s">
        <v>12</v>
      </c>
      <c r="N1210" t="s">
        <v>13</v>
      </c>
      <c r="O1210" t="s">
        <v>20</v>
      </c>
      <c r="P1210" s="1" t="s">
        <v>7</v>
      </c>
      <c r="Q1210" s="5" t="s">
        <v>15</v>
      </c>
      <c r="R1210" s="14" t="s">
        <v>18</v>
      </c>
      <c r="S1210" t="s">
        <v>16</v>
      </c>
      <c r="T1210" s="5" t="s">
        <v>14</v>
      </c>
      <c r="U1210" s="5" t="s">
        <v>17</v>
      </c>
      <c r="V1210" s="5" t="s">
        <v>19</v>
      </c>
      <c r="W1210" s="5"/>
      <c r="X1210" s="5"/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</row>
    <row r="1211" spans="1:37" x14ac:dyDescent="0.25">
      <c r="A1211" s="11">
        <f>Table1[[#This Row],[Milk Yield]]-J1207</f>
        <v>518</v>
      </c>
      <c r="B1211" t="s">
        <v>24</v>
      </c>
      <c r="C1211" s="2">
        <v>1</v>
      </c>
      <c r="D1211" s="12">
        <v>45770</v>
      </c>
      <c r="E1211" s="2">
        <v>33</v>
      </c>
      <c r="F1211" s="13">
        <v>0.3385185185185185</v>
      </c>
      <c r="G1211" s="3">
        <v>0.56410879629629629</v>
      </c>
      <c r="H1211" s="1">
        <v>0.22500000000000001</v>
      </c>
      <c r="I1211" s="5">
        <v>716</v>
      </c>
      <c r="J1211">
        <v>9413</v>
      </c>
      <c r="K1211">
        <v>132</v>
      </c>
      <c r="L1211" s="5">
        <v>132</v>
      </c>
      <c r="M1211" s="5">
        <v>715</v>
      </c>
      <c r="N1211">
        <v>11</v>
      </c>
      <c r="O1211">
        <v>704</v>
      </c>
      <c r="P1211" s="1">
        <v>0.24444444444444444</v>
      </c>
      <c r="Q1211" s="5">
        <v>1739</v>
      </c>
      <c r="R1211" s="14">
        <v>13.2</v>
      </c>
      <c r="S1211">
        <v>132</v>
      </c>
      <c r="T1211" s="5">
        <v>11</v>
      </c>
      <c r="U1211" s="5">
        <v>704</v>
      </c>
      <c r="V1211" s="5">
        <v>0</v>
      </c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</row>
    <row r="1212" spans="1:37" x14ac:dyDescent="0.25">
      <c r="A1212" s="11">
        <f>Table1[[#This Row],[Milk Yield]]-J1208</f>
        <v>341</v>
      </c>
      <c r="B1212" t="s">
        <v>24</v>
      </c>
      <c r="C1212" s="2">
        <v>2</v>
      </c>
      <c r="D1212" s="12">
        <v>45770</v>
      </c>
      <c r="E1212" s="2">
        <v>35</v>
      </c>
      <c r="F1212" s="13">
        <v>0.6698263888888889</v>
      </c>
      <c r="G1212" s="3">
        <v>0.91107638888888887</v>
      </c>
      <c r="H1212" s="1">
        <v>0.24097222222222223</v>
      </c>
      <c r="I1212" s="5">
        <v>721</v>
      </c>
      <c r="J1212">
        <v>8788</v>
      </c>
      <c r="K1212">
        <v>125</v>
      </c>
      <c r="L1212" s="5">
        <v>125</v>
      </c>
      <c r="M1212" s="5">
        <v>721</v>
      </c>
      <c r="N1212">
        <v>12</v>
      </c>
      <c r="O1212">
        <v>709</v>
      </c>
      <c r="P1212" s="1">
        <v>0.22916666666666666</v>
      </c>
      <c r="Q1212" s="5">
        <v>1518</v>
      </c>
      <c r="R1212" s="14">
        <v>12.2</v>
      </c>
      <c r="S1212">
        <v>125</v>
      </c>
      <c r="T1212" s="5">
        <v>12</v>
      </c>
      <c r="U1212" s="5">
        <v>710</v>
      </c>
      <c r="V1212" s="5">
        <v>1</v>
      </c>
      <c r="W1212" s="5"/>
      <c r="X1212" s="5"/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</row>
    <row r="1213" spans="1:37" x14ac:dyDescent="0.25">
      <c r="A1213" s="11">
        <f>Table1[[#This Row],[Milk Yield]]-J1209</f>
        <v>-401</v>
      </c>
      <c r="B1213" t="s">
        <v>24</v>
      </c>
      <c r="C1213" s="2">
        <v>3</v>
      </c>
      <c r="D1213" s="12">
        <v>45770</v>
      </c>
      <c r="E1213" s="2">
        <v>33</v>
      </c>
      <c r="F1213" s="13">
        <v>3.1365740740740742E-3</v>
      </c>
      <c r="G1213" s="3">
        <v>0.22196759259259261</v>
      </c>
      <c r="H1213" s="1">
        <v>0.21875</v>
      </c>
      <c r="I1213" s="5">
        <v>715</v>
      </c>
      <c r="J1213">
        <v>8542</v>
      </c>
      <c r="K1213">
        <v>136</v>
      </c>
      <c r="L1213" s="5">
        <v>75</v>
      </c>
      <c r="M1213" s="5">
        <v>714</v>
      </c>
      <c r="N1213">
        <v>7</v>
      </c>
      <c r="O1213">
        <v>707</v>
      </c>
      <c r="P1213" s="1">
        <v>0.24027777777777778</v>
      </c>
      <c r="Q1213" s="5">
        <v>1626</v>
      </c>
      <c r="R1213" s="14">
        <v>12</v>
      </c>
      <c r="S1213">
        <v>136</v>
      </c>
      <c r="T1213" s="5">
        <v>7</v>
      </c>
      <c r="U1213" s="5">
        <v>708</v>
      </c>
      <c r="V1213" s="5">
        <v>1</v>
      </c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</row>
    <row r="1214" spans="1:37" x14ac:dyDescent="0.25">
      <c r="A1214" s="11" t="e">
        <f>Table1[[#This Row],[Milk Yield]]-J1210</f>
        <v>#VALUE!</v>
      </c>
      <c r="B1214" t="s">
        <v>0</v>
      </c>
      <c r="C1214" s="2" t="s">
        <v>1</v>
      </c>
      <c r="D1214" s="12" t="s">
        <v>2</v>
      </c>
      <c r="E1214" s="2" t="s">
        <v>3</v>
      </c>
      <c r="F1214" s="13" t="s">
        <v>4</v>
      </c>
      <c r="G1214" s="3" t="s">
        <v>5</v>
      </c>
      <c r="H1214" s="1" t="s">
        <v>6</v>
      </c>
      <c r="I1214" s="5" t="s">
        <v>8</v>
      </c>
      <c r="J1214" t="s">
        <v>9</v>
      </c>
      <c r="K1214" t="s">
        <v>10</v>
      </c>
      <c r="L1214" s="5" t="s">
        <v>11</v>
      </c>
      <c r="M1214" s="5" t="s">
        <v>12</v>
      </c>
      <c r="N1214" t="s">
        <v>13</v>
      </c>
      <c r="O1214" t="s">
        <v>20</v>
      </c>
      <c r="P1214" s="1" t="s">
        <v>7</v>
      </c>
      <c r="Q1214" s="5" t="s">
        <v>15</v>
      </c>
      <c r="R1214" s="14" t="s">
        <v>18</v>
      </c>
      <c r="S1214" t="s">
        <v>16</v>
      </c>
      <c r="T1214" s="5" t="s">
        <v>14</v>
      </c>
      <c r="U1214" s="5" t="s">
        <v>17</v>
      </c>
      <c r="V1214" s="5" t="s">
        <v>19</v>
      </c>
      <c r="W1214" s="5"/>
      <c r="X1214" s="5"/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</row>
    <row r="1215" spans="1:37" x14ac:dyDescent="0.25">
      <c r="A1215" s="11">
        <f>Table1[[#This Row],[Milk Yield]]-J1211</f>
        <v>-443</v>
      </c>
      <c r="B1215" t="s">
        <v>24</v>
      </c>
      <c r="C1215" s="2">
        <v>1</v>
      </c>
      <c r="D1215" s="12">
        <v>45771</v>
      </c>
      <c r="E1215" s="2">
        <v>34</v>
      </c>
      <c r="F1215" s="13">
        <v>0.33765046296296297</v>
      </c>
      <c r="G1215" s="3">
        <v>0.53674768518518523</v>
      </c>
      <c r="H1215" s="1">
        <v>0.1986111111111111</v>
      </c>
      <c r="I1215" s="5">
        <v>716</v>
      </c>
      <c r="J1215">
        <v>8970</v>
      </c>
      <c r="K1215">
        <v>150</v>
      </c>
      <c r="L1215" s="5">
        <v>261</v>
      </c>
      <c r="M1215" s="5">
        <v>716</v>
      </c>
      <c r="N1215">
        <v>26</v>
      </c>
      <c r="O1215">
        <v>690</v>
      </c>
      <c r="P1215" s="1">
        <v>0.23680555555555555</v>
      </c>
      <c r="Q1215" s="5">
        <v>1877</v>
      </c>
      <c r="R1215" s="14">
        <v>12.6</v>
      </c>
      <c r="S1215">
        <v>150</v>
      </c>
      <c r="T1215" s="5">
        <v>26</v>
      </c>
      <c r="U1215" s="5">
        <v>691</v>
      </c>
      <c r="V1215" s="5">
        <v>1</v>
      </c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</row>
    <row r="1216" spans="1:37" x14ac:dyDescent="0.25">
      <c r="A1216" s="11">
        <f>Table1[[#This Row],[Milk Yield]]-J1212</f>
        <v>429</v>
      </c>
      <c r="B1216" t="s">
        <v>24</v>
      </c>
      <c r="C1216" s="2">
        <v>2</v>
      </c>
      <c r="D1216" s="12">
        <v>45771</v>
      </c>
      <c r="E1216" s="2">
        <v>35</v>
      </c>
      <c r="F1216" s="13">
        <v>0.67214120370370367</v>
      </c>
      <c r="G1216" s="3">
        <v>0.88732638888888893</v>
      </c>
      <c r="H1216" s="1">
        <v>0.21458333333333332</v>
      </c>
      <c r="I1216" s="5">
        <v>722</v>
      </c>
      <c r="J1216">
        <v>9217</v>
      </c>
      <c r="K1216">
        <v>140</v>
      </c>
      <c r="L1216" s="5">
        <v>109</v>
      </c>
      <c r="M1216" s="5">
        <v>720</v>
      </c>
      <c r="N1216">
        <v>13</v>
      </c>
      <c r="O1216">
        <v>707</v>
      </c>
      <c r="P1216" s="1">
        <v>0.2326388888888889</v>
      </c>
      <c r="Q1216" s="5">
        <v>1785</v>
      </c>
      <c r="R1216" s="14">
        <v>12.9</v>
      </c>
      <c r="S1216">
        <v>139</v>
      </c>
      <c r="T1216" s="5">
        <v>13</v>
      </c>
      <c r="U1216" s="5">
        <v>708</v>
      </c>
      <c r="V1216" s="5">
        <v>1</v>
      </c>
      <c r="W1216" s="5"/>
      <c r="X1216" s="5"/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</row>
    <row r="1217" spans="1:37" x14ac:dyDescent="0.25">
      <c r="A1217" s="11">
        <f>Table1[[#This Row],[Milk Yield]]-J1213</f>
        <v>927</v>
      </c>
      <c r="B1217" t="s">
        <v>24</v>
      </c>
      <c r="C1217" s="2">
        <v>3</v>
      </c>
      <c r="D1217" s="12">
        <v>45771</v>
      </c>
      <c r="E1217" s="2">
        <v>34</v>
      </c>
      <c r="F1217" s="13">
        <v>5.138888888888889E-3</v>
      </c>
      <c r="G1217" s="3">
        <v>0.21413194444444444</v>
      </c>
      <c r="H1217" s="1">
        <v>0.20833333333333334</v>
      </c>
      <c r="I1217" s="5">
        <v>718</v>
      </c>
      <c r="J1217">
        <v>9469</v>
      </c>
      <c r="K1217">
        <v>143</v>
      </c>
      <c r="L1217" s="5">
        <v>270</v>
      </c>
      <c r="M1217" s="5">
        <v>716</v>
      </c>
      <c r="N1217">
        <v>25</v>
      </c>
      <c r="O1217">
        <v>691</v>
      </c>
      <c r="P1217" s="1">
        <v>0.2388888888888889</v>
      </c>
      <c r="Q1217" s="5">
        <v>1888</v>
      </c>
      <c r="R1217" s="14">
        <v>13.3</v>
      </c>
      <c r="S1217">
        <v>143</v>
      </c>
      <c r="T1217" s="5">
        <v>25</v>
      </c>
      <c r="U1217" s="5">
        <v>692</v>
      </c>
      <c r="V1217" s="5">
        <v>1</v>
      </c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</row>
    <row r="1218" spans="1:37" x14ac:dyDescent="0.25">
      <c r="A1218" s="11" t="e">
        <f>Table1[[#This Row],[Milk Yield]]-J1214</f>
        <v>#VALUE!</v>
      </c>
      <c r="B1218" t="s">
        <v>0</v>
      </c>
      <c r="C1218" s="2" t="s">
        <v>1</v>
      </c>
      <c r="D1218" s="12" t="s">
        <v>2</v>
      </c>
      <c r="E1218" s="2" t="s">
        <v>3</v>
      </c>
      <c r="F1218" s="13" t="s">
        <v>4</v>
      </c>
      <c r="G1218" s="3" t="s">
        <v>5</v>
      </c>
      <c r="H1218" s="1" t="s">
        <v>6</v>
      </c>
      <c r="I1218" s="5" t="s">
        <v>8</v>
      </c>
      <c r="J1218" t="s">
        <v>9</v>
      </c>
      <c r="K1218" t="s">
        <v>10</v>
      </c>
      <c r="L1218" s="5" t="s">
        <v>11</v>
      </c>
      <c r="M1218" s="5" t="s">
        <v>12</v>
      </c>
      <c r="N1218" t="s">
        <v>13</v>
      </c>
      <c r="O1218" t="s">
        <v>20</v>
      </c>
      <c r="P1218" s="1" t="s">
        <v>7</v>
      </c>
      <c r="Q1218" s="5" t="s">
        <v>15</v>
      </c>
      <c r="R1218" s="14" t="s">
        <v>18</v>
      </c>
      <c r="S1218" t="s">
        <v>16</v>
      </c>
      <c r="T1218" s="5" t="s">
        <v>14</v>
      </c>
      <c r="U1218" s="5" t="s">
        <v>17</v>
      </c>
      <c r="V1218" s="5" t="s">
        <v>19</v>
      </c>
      <c r="W1218" s="5"/>
      <c r="X1218" s="5"/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</row>
    <row r="1219" spans="1:37" x14ac:dyDescent="0.25">
      <c r="A1219" s="11">
        <f>Table1[[#This Row],[Milk Yield]]-J1215</f>
        <v>60</v>
      </c>
      <c r="B1219" t="s">
        <v>24</v>
      </c>
      <c r="C1219" s="2">
        <v>1</v>
      </c>
      <c r="D1219" s="12">
        <v>45772</v>
      </c>
      <c r="E1219" s="2">
        <v>37</v>
      </c>
      <c r="F1219" s="13">
        <v>0.33656249999999999</v>
      </c>
      <c r="G1219" s="3">
        <v>0.56535879629629626</v>
      </c>
      <c r="H1219" s="1">
        <v>0.22847222222222222</v>
      </c>
      <c r="I1219" s="5">
        <v>724</v>
      </c>
      <c r="J1219">
        <v>9030</v>
      </c>
      <c r="K1219">
        <v>132</v>
      </c>
      <c r="L1219" s="5">
        <v>138</v>
      </c>
      <c r="M1219" s="5">
        <v>722</v>
      </c>
      <c r="N1219">
        <v>16</v>
      </c>
      <c r="O1219">
        <v>706</v>
      </c>
      <c r="P1219" s="1">
        <v>0.23749999999999999</v>
      </c>
      <c r="Q1219" s="5">
        <v>1644</v>
      </c>
      <c r="R1219" s="14">
        <v>12.6</v>
      </c>
      <c r="S1219">
        <v>131</v>
      </c>
      <c r="T1219" s="5">
        <v>16</v>
      </c>
      <c r="U1219" s="5">
        <v>707</v>
      </c>
      <c r="V1219" s="5">
        <v>1</v>
      </c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</row>
    <row r="1220" spans="1:37" x14ac:dyDescent="0.25">
      <c r="A1220" s="11">
        <f>Table1[[#This Row],[Milk Yield]]-J1216</f>
        <v>-679</v>
      </c>
      <c r="B1220" t="s">
        <v>24</v>
      </c>
      <c r="C1220" s="2">
        <v>2</v>
      </c>
      <c r="D1220" s="12">
        <v>45772</v>
      </c>
      <c r="E1220" s="2">
        <v>34</v>
      </c>
      <c r="F1220" s="13">
        <v>0.67098379629629634</v>
      </c>
      <c r="G1220" s="3">
        <v>0.86468750000000005</v>
      </c>
      <c r="H1220" s="1">
        <v>0.19305555555555556</v>
      </c>
      <c r="I1220" s="5">
        <v>713</v>
      </c>
      <c r="J1220">
        <v>8538</v>
      </c>
      <c r="K1220">
        <v>153</v>
      </c>
      <c r="L1220" s="5">
        <v>251</v>
      </c>
      <c r="M1220" s="5">
        <v>713</v>
      </c>
      <c r="N1220">
        <v>26</v>
      </c>
      <c r="O1220">
        <v>687</v>
      </c>
      <c r="P1220" s="1">
        <v>0.21944444444444444</v>
      </c>
      <c r="Q1220" s="5">
        <v>1837</v>
      </c>
      <c r="R1220" s="14">
        <v>12</v>
      </c>
      <c r="S1220">
        <v>153</v>
      </c>
      <c r="T1220" s="5">
        <v>26</v>
      </c>
      <c r="U1220" s="5">
        <v>688</v>
      </c>
      <c r="V1220" s="5">
        <v>1</v>
      </c>
      <c r="W1220" s="5"/>
      <c r="X1220" s="5"/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</row>
    <row r="1221" spans="1:37" x14ac:dyDescent="0.25">
      <c r="A1221" s="11">
        <f>Table1[[#This Row],[Milk Yield]]-J1217</f>
        <v>-456</v>
      </c>
      <c r="B1221" t="s">
        <v>24</v>
      </c>
      <c r="C1221" s="2">
        <v>3</v>
      </c>
      <c r="D1221" s="12">
        <v>45772</v>
      </c>
      <c r="E1221" s="2">
        <v>35</v>
      </c>
      <c r="F1221" s="13">
        <v>1.8865740740740742E-3</v>
      </c>
      <c r="G1221" s="3">
        <v>0.22305555555555556</v>
      </c>
      <c r="H1221" s="1">
        <v>0.22083333333333333</v>
      </c>
      <c r="I1221" s="5">
        <v>743</v>
      </c>
      <c r="J1221">
        <v>9013</v>
      </c>
      <c r="K1221">
        <v>140</v>
      </c>
      <c r="L1221" s="5">
        <v>401</v>
      </c>
      <c r="M1221" s="5">
        <v>709</v>
      </c>
      <c r="N1221">
        <v>44</v>
      </c>
      <c r="O1221">
        <v>665</v>
      </c>
      <c r="P1221" s="1">
        <v>0.23194444444444445</v>
      </c>
      <c r="Q1221" s="5">
        <v>1698</v>
      </c>
      <c r="R1221" s="14">
        <v>12.8</v>
      </c>
      <c r="S1221">
        <v>134</v>
      </c>
      <c r="T1221" s="5">
        <v>44</v>
      </c>
      <c r="U1221" s="5">
        <v>666</v>
      </c>
      <c r="V1221" s="5">
        <v>1</v>
      </c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</row>
    <row r="1222" spans="1:37" x14ac:dyDescent="0.25">
      <c r="A1222" s="11" t="e">
        <f>Table1[[#This Row],[Milk Yield]]-J1218</f>
        <v>#VALUE!</v>
      </c>
      <c r="B1222" t="s">
        <v>0</v>
      </c>
      <c r="C1222" s="2" t="s">
        <v>1</v>
      </c>
      <c r="D1222" s="12" t="s">
        <v>2</v>
      </c>
      <c r="E1222" s="2" t="s">
        <v>3</v>
      </c>
      <c r="F1222" s="13" t="s">
        <v>4</v>
      </c>
      <c r="G1222" s="3" t="s">
        <v>5</v>
      </c>
      <c r="H1222" s="1" t="s">
        <v>6</v>
      </c>
      <c r="I1222" s="5" t="s">
        <v>8</v>
      </c>
      <c r="J1222" t="s">
        <v>9</v>
      </c>
      <c r="K1222" t="s">
        <v>10</v>
      </c>
      <c r="L1222" s="5" t="s">
        <v>11</v>
      </c>
      <c r="M1222" s="5" t="s">
        <v>12</v>
      </c>
      <c r="N1222" t="s">
        <v>13</v>
      </c>
      <c r="O1222" t="s">
        <v>20</v>
      </c>
      <c r="P1222" s="1" t="s">
        <v>7</v>
      </c>
      <c r="Q1222" s="5" t="s">
        <v>15</v>
      </c>
      <c r="R1222" s="14" t="s">
        <v>18</v>
      </c>
      <c r="S1222" t="s">
        <v>16</v>
      </c>
      <c r="T1222" s="5" t="s">
        <v>14</v>
      </c>
      <c r="U1222" s="5" t="s">
        <v>17</v>
      </c>
      <c r="V1222" s="5" t="s">
        <v>19</v>
      </c>
      <c r="W1222" s="5"/>
      <c r="X1222" s="5"/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</row>
    <row r="1223" spans="1:37" x14ac:dyDescent="0.25">
      <c r="A1223" s="11">
        <f>Table1[[#This Row],[Milk Yield]]-J1219</f>
        <v>-15</v>
      </c>
      <c r="B1223" t="s">
        <v>24</v>
      </c>
      <c r="C1223" s="2">
        <v>1</v>
      </c>
      <c r="D1223" s="12">
        <v>45773</v>
      </c>
      <c r="E1223" s="2">
        <v>35</v>
      </c>
      <c r="F1223" s="13">
        <v>0.33512731481481484</v>
      </c>
      <c r="G1223" s="3">
        <v>0.54515046296296299</v>
      </c>
      <c r="H1223" s="1">
        <v>0.20972222222222223</v>
      </c>
      <c r="I1223" s="5">
        <v>712</v>
      </c>
      <c r="J1223">
        <v>9015</v>
      </c>
      <c r="K1223">
        <v>141</v>
      </c>
      <c r="L1223" s="5">
        <v>82</v>
      </c>
      <c r="M1223" s="5">
        <v>710</v>
      </c>
      <c r="N1223">
        <v>10</v>
      </c>
      <c r="O1223">
        <v>700</v>
      </c>
      <c r="P1223" s="1">
        <v>0.23541666666666666</v>
      </c>
      <c r="Q1223" s="5">
        <v>1788</v>
      </c>
      <c r="R1223" s="14">
        <v>12.7</v>
      </c>
      <c r="S1223">
        <v>141</v>
      </c>
      <c r="T1223" s="5">
        <v>10</v>
      </c>
      <c r="U1223" s="5">
        <v>700</v>
      </c>
      <c r="V1223" s="5">
        <v>0</v>
      </c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</row>
    <row r="1224" spans="1:37" x14ac:dyDescent="0.25">
      <c r="A1224" s="11">
        <f>Table1[[#This Row],[Milk Yield]]-J1220</f>
        <v>400</v>
      </c>
      <c r="B1224" t="s">
        <v>24</v>
      </c>
      <c r="C1224" s="2">
        <v>2</v>
      </c>
      <c r="D1224" s="12">
        <v>45773</v>
      </c>
      <c r="E1224" s="2">
        <v>35</v>
      </c>
      <c r="F1224" s="13">
        <v>0.66812499999999997</v>
      </c>
      <c r="G1224" s="3">
        <v>0.89270833333333333</v>
      </c>
      <c r="H1224" s="1">
        <v>0.22430555555555556</v>
      </c>
      <c r="I1224" s="5">
        <v>723</v>
      </c>
      <c r="J1224">
        <v>8938</v>
      </c>
      <c r="K1224">
        <v>134</v>
      </c>
      <c r="L1224" s="5">
        <v>262</v>
      </c>
      <c r="M1224" s="5">
        <v>715</v>
      </c>
      <c r="N1224">
        <v>23</v>
      </c>
      <c r="O1224">
        <v>692</v>
      </c>
      <c r="P1224" s="1">
        <v>0.21875</v>
      </c>
      <c r="Q1224" s="5">
        <v>1658</v>
      </c>
      <c r="R1224" s="14">
        <v>12.6</v>
      </c>
      <c r="S1224">
        <v>133</v>
      </c>
      <c r="T1224" s="5">
        <v>23</v>
      </c>
      <c r="U1224" s="5">
        <v>692</v>
      </c>
      <c r="V1224" s="5">
        <v>0</v>
      </c>
      <c r="W1224" s="5"/>
      <c r="X1224" s="5"/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</row>
    <row r="1225" spans="1:37" x14ac:dyDescent="0.25">
      <c r="A1225" s="11">
        <f>Table1[[#This Row],[Milk Yield]]-J1221</f>
        <v>-287</v>
      </c>
      <c r="B1225" t="s">
        <v>24</v>
      </c>
      <c r="C1225" s="2">
        <v>3</v>
      </c>
      <c r="D1225" s="12">
        <v>45773</v>
      </c>
      <c r="E1225" s="2">
        <v>35</v>
      </c>
      <c r="F1225" s="13">
        <v>9.0277777777777774E-4</v>
      </c>
      <c r="G1225" s="3">
        <v>0.21421296296296297</v>
      </c>
      <c r="H1225" s="1">
        <v>0.21319444444444444</v>
      </c>
      <c r="I1225" s="5">
        <v>731</v>
      </c>
      <c r="J1225">
        <v>8726</v>
      </c>
      <c r="K1225">
        <v>143</v>
      </c>
      <c r="L1225" s="5">
        <v>363</v>
      </c>
      <c r="M1225" s="5">
        <v>710</v>
      </c>
      <c r="N1225">
        <v>33</v>
      </c>
      <c r="O1225">
        <v>677</v>
      </c>
      <c r="P1225" s="1">
        <v>0.23472222222222222</v>
      </c>
      <c r="Q1225" s="5">
        <v>1704</v>
      </c>
      <c r="R1225" s="14">
        <v>12.3</v>
      </c>
      <c r="S1225">
        <v>139</v>
      </c>
      <c r="T1225" s="5">
        <v>33</v>
      </c>
      <c r="U1225" s="5">
        <v>677</v>
      </c>
      <c r="V1225" s="5">
        <v>0</v>
      </c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</row>
    <row r="1226" spans="1:37" x14ac:dyDescent="0.25">
      <c r="A1226" s="11" t="e">
        <f>Table1[[#This Row],[Milk Yield]]-J1222</f>
        <v>#VALUE!</v>
      </c>
      <c r="B1226" t="s">
        <v>0</v>
      </c>
      <c r="C1226" s="2" t="s">
        <v>1</v>
      </c>
      <c r="D1226" s="12" t="s">
        <v>2</v>
      </c>
      <c r="E1226" s="2" t="s">
        <v>3</v>
      </c>
      <c r="F1226" s="13" t="s">
        <v>4</v>
      </c>
      <c r="G1226" s="3" t="s">
        <v>5</v>
      </c>
      <c r="H1226" s="1" t="s">
        <v>6</v>
      </c>
      <c r="I1226" s="5" t="s">
        <v>8</v>
      </c>
      <c r="J1226" t="s">
        <v>9</v>
      </c>
      <c r="K1226" t="s">
        <v>10</v>
      </c>
      <c r="L1226" s="5" t="s">
        <v>11</v>
      </c>
      <c r="M1226" s="5" t="s">
        <v>12</v>
      </c>
      <c r="N1226" t="s">
        <v>13</v>
      </c>
      <c r="O1226" t="s">
        <v>20</v>
      </c>
      <c r="P1226" s="1" t="s">
        <v>7</v>
      </c>
      <c r="Q1226" s="5" t="s">
        <v>15</v>
      </c>
      <c r="R1226" s="14" t="s">
        <v>18</v>
      </c>
      <c r="S1226" t="s">
        <v>16</v>
      </c>
      <c r="T1226" s="5" t="s">
        <v>14</v>
      </c>
      <c r="U1226" s="5" t="s">
        <v>17</v>
      </c>
      <c r="V1226" s="5" t="s">
        <v>19</v>
      </c>
      <c r="W1226" s="5"/>
      <c r="X1226" s="5"/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</row>
    <row r="1227" spans="1:37" x14ac:dyDescent="0.25">
      <c r="A1227" s="11">
        <f>Table1[[#This Row],[Milk Yield]]-J1223</f>
        <v>294</v>
      </c>
      <c r="B1227" t="s">
        <v>24</v>
      </c>
      <c r="C1227" s="2">
        <v>1</v>
      </c>
      <c r="D1227" s="12">
        <v>45774</v>
      </c>
      <c r="E1227" s="2">
        <v>37</v>
      </c>
      <c r="F1227" s="13">
        <v>0.33574074074074073</v>
      </c>
      <c r="G1227" s="3">
        <v>0.5618171296296296</v>
      </c>
      <c r="H1227" s="1">
        <v>0.22569444444444445</v>
      </c>
      <c r="I1227" s="5">
        <v>719</v>
      </c>
      <c r="J1227">
        <v>9309</v>
      </c>
      <c r="K1227">
        <v>133</v>
      </c>
      <c r="L1227" s="5">
        <v>249</v>
      </c>
      <c r="M1227" s="5">
        <v>719</v>
      </c>
      <c r="N1227">
        <v>25</v>
      </c>
      <c r="O1227">
        <v>694</v>
      </c>
      <c r="P1227" s="1">
        <v>0.23541666666666666</v>
      </c>
      <c r="Q1227" s="5">
        <v>1716</v>
      </c>
      <c r="R1227" s="14">
        <v>13</v>
      </c>
      <c r="S1227">
        <v>133</v>
      </c>
      <c r="T1227" s="5">
        <v>25</v>
      </c>
      <c r="U1227" s="5">
        <v>694</v>
      </c>
      <c r="V1227" s="5">
        <v>0</v>
      </c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</row>
    <row r="1228" spans="1:37" x14ac:dyDescent="0.25">
      <c r="A1228" s="11">
        <f>Table1[[#This Row],[Milk Yield]]-J1224</f>
        <v>-523</v>
      </c>
      <c r="B1228" t="s">
        <v>24</v>
      </c>
      <c r="C1228" s="2">
        <v>2</v>
      </c>
      <c r="D1228" s="12">
        <v>45774</v>
      </c>
      <c r="E1228" s="2">
        <v>38</v>
      </c>
      <c r="F1228" s="13">
        <v>0.66940972222222217</v>
      </c>
      <c r="G1228" s="3">
        <v>0.88481481481481483</v>
      </c>
      <c r="H1228" s="1">
        <v>0.21527777777777779</v>
      </c>
      <c r="I1228" s="5">
        <v>747</v>
      </c>
      <c r="J1228">
        <v>8415</v>
      </c>
      <c r="K1228">
        <v>144</v>
      </c>
      <c r="L1228" s="5">
        <v>813</v>
      </c>
      <c r="M1228" s="5">
        <v>743</v>
      </c>
      <c r="N1228">
        <v>102</v>
      </c>
      <c r="O1228">
        <v>641</v>
      </c>
      <c r="P1228" s="1">
        <v>0.22708333333333333</v>
      </c>
      <c r="Q1228" s="5">
        <v>1628</v>
      </c>
      <c r="R1228" s="14">
        <v>11.4</v>
      </c>
      <c r="S1228">
        <v>144</v>
      </c>
      <c r="T1228" s="5">
        <v>102</v>
      </c>
      <c r="U1228" s="5">
        <v>641</v>
      </c>
      <c r="V1228" s="5">
        <v>0</v>
      </c>
      <c r="W1228" s="5"/>
      <c r="X1228" s="5"/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</row>
    <row r="1229" spans="1:37" x14ac:dyDescent="0.25">
      <c r="A1229" s="11">
        <f>Table1[[#This Row],[Milk Yield]]-J1225</f>
        <v>-10</v>
      </c>
      <c r="B1229" t="s">
        <v>24</v>
      </c>
      <c r="C1229" s="2">
        <v>3</v>
      </c>
      <c r="D1229" s="12">
        <v>45774</v>
      </c>
      <c r="E1229" s="2">
        <v>30</v>
      </c>
      <c r="F1229" s="13">
        <v>3.0671296296296297E-3</v>
      </c>
      <c r="G1229" s="3">
        <v>0.22177083333333333</v>
      </c>
      <c r="H1229" s="1">
        <v>0.21805555555555556</v>
      </c>
      <c r="I1229" s="5">
        <v>714</v>
      </c>
      <c r="J1229">
        <v>8716</v>
      </c>
      <c r="K1229">
        <v>136</v>
      </c>
      <c r="L1229" s="5">
        <v>380</v>
      </c>
      <c r="M1229" s="5">
        <v>714</v>
      </c>
      <c r="N1229">
        <v>32</v>
      </c>
      <c r="O1229">
        <v>682</v>
      </c>
      <c r="P1229" s="1">
        <v>0.24305555555555555</v>
      </c>
      <c r="Q1229" s="5">
        <v>1661</v>
      </c>
      <c r="R1229" s="14">
        <v>12.3</v>
      </c>
      <c r="S1229">
        <v>136</v>
      </c>
      <c r="T1229" s="5">
        <v>32</v>
      </c>
      <c r="U1229" s="5">
        <v>682</v>
      </c>
      <c r="V1229" s="5">
        <v>0</v>
      </c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</row>
    <row r="1230" spans="1:37" x14ac:dyDescent="0.25">
      <c r="A1230" s="11" t="e">
        <f>Table1[[#This Row],[Milk Yield]]-J1226</f>
        <v>#VALUE!</v>
      </c>
      <c r="B1230" t="s">
        <v>0</v>
      </c>
      <c r="C1230" s="2" t="s">
        <v>1</v>
      </c>
      <c r="D1230" s="12" t="s">
        <v>2</v>
      </c>
      <c r="E1230" s="2" t="s">
        <v>3</v>
      </c>
      <c r="F1230" s="13" t="s">
        <v>4</v>
      </c>
      <c r="G1230" s="3" t="s">
        <v>5</v>
      </c>
      <c r="H1230" s="1" t="s">
        <v>6</v>
      </c>
      <c r="I1230" s="5" t="s">
        <v>8</v>
      </c>
      <c r="J1230" t="s">
        <v>9</v>
      </c>
      <c r="K1230" t="s">
        <v>10</v>
      </c>
      <c r="L1230" s="5" t="s">
        <v>11</v>
      </c>
      <c r="M1230" s="5" t="s">
        <v>12</v>
      </c>
      <c r="N1230" t="s">
        <v>13</v>
      </c>
      <c r="O1230" t="s">
        <v>20</v>
      </c>
      <c r="P1230" s="1" t="s">
        <v>7</v>
      </c>
      <c r="Q1230" s="5" t="s">
        <v>15</v>
      </c>
      <c r="R1230" s="14" t="s">
        <v>18</v>
      </c>
      <c r="S1230" t="s">
        <v>16</v>
      </c>
      <c r="T1230" s="5" t="s">
        <v>14</v>
      </c>
      <c r="U1230" s="5" t="s">
        <v>17</v>
      </c>
      <c r="V1230" s="5" t="s">
        <v>19</v>
      </c>
      <c r="W1230" s="5"/>
      <c r="X1230" s="5"/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</row>
    <row r="1231" spans="1:37" x14ac:dyDescent="0.25">
      <c r="A1231" s="11">
        <f>Table1[[#This Row],[Milk Yield]]-J1227</f>
        <v>-161</v>
      </c>
      <c r="B1231" t="s">
        <v>24</v>
      </c>
      <c r="C1231" s="2">
        <v>1</v>
      </c>
      <c r="D1231" s="12">
        <v>45775</v>
      </c>
      <c r="E1231" s="2">
        <v>35</v>
      </c>
      <c r="F1231" s="13">
        <v>0.33643518518518517</v>
      </c>
      <c r="G1231" s="3">
        <v>0.5489236111111111</v>
      </c>
      <c r="H1231" s="1">
        <v>0.21180555555555555</v>
      </c>
      <c r="I1231" s="5">
        <v>715</v>
      </c>
      <c r="J1231">
        <v>9148</v>
      </c>
      <c r="K1231">
        <v>140</v>
      </c>
      <c r="L1231" s="5">
        <v>94</v>
      </c>
      <c r="M1231" s="5">
        <v>715</v>
      </c>
      <c r="N1231">
        <v>9</v>
      </c>
      <c r="O1231">
        <v>706</v>
      </c>
      <c r="P1231" s="1">
        <v>0.22569444444444445</v>
      </c>
      <c r="Q1231" s="5">
        <v>1794</v>
      </c>
      <c r="R1231" s="14">
        <v>12.8</v>
      </c>
      <c r="S1231">
        <v>140</v>
      </c>
      <c r="T1231" s="5">
        <v>9</v>
      </c>
      <c r="U1231" s="5">
        <v>706</v>
      </c>
      <c r="V1231" s="5">
        <v>0</v>
      </c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</row>
    <row r="1232" spans="1:37" x14ac:dyDescent="0.25">
      <c r="A1232" s="11">
        <f>Table1[[#This Row],[Milk Yield]]-J1228</f>
        <v>193</v>
      </c>
      <c r="B1232" t="s">
        <v>24</v>
      </c>
      <c r="C1232" s="2">
        <v>2</v>
      </c>
      <c r="D1232" s="12">
        <v>45775</v>
      </c>
      <c r="E1232" s="2">
        <v>35</v>
      </c>
      <c r="F1232" s="13">
        <v>0.67049768518518515</v>
      </c>
      <c r="G1232" s="3">
        <v>0.87973379629629633</v>
      </c>
      <c r="H1232" s="1">
        <v>0.20902777777777778</v>
      </c>
      <c r="I1232" s="5">
        <v>718</v>
      </c>
      <c r="J1232">
        <v>8608</v>
      </c>
      <c r="K1232">
        <v>143</v>
      </c>
      <c r="L1232" s="5">
        <v>70</v>
      </c>
      <c r="M1232" s="5">
        <v>718</v>
      </c>
      <c r="N1232">
        <v>7</v>
      </c>
      <c r="O1232">
        <v>711</v>
      </c>
      <c r="P1232" s="1">
        <v>0.22222222222222221</v>
      </c>
      <c r="Q1232" s="5">
        <v>1714</v>
      </c>
      <c r="R1232" s="14">
        <v>12</v>
      </c>
      <c r="S1232">
        <v>143</v>
      </c>
      <c r="T1232" s="5">
        <v>7</v>
      </c>
      <c r="U1232" s="5">
        <v>711</v>
      </c>
      <c r="V1232" s="5">
        <v>0</v>
      </c>
      <c r="W1232" s="5"/>
      <c r="X1232" s="5"/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</row>
    <row r="1233" spans="1:37" x14ac:dyDescent="0.25">
      <c r="A1233" s="11">
        <f>Table1[[#This Row],[Milk Yield]]-J1229</f>
        <v>103</v>
      </c>
      <c r="B1233" t="s">
        <v>24</v>
      </c>
      <c r="C1233" s="2">
        <v>3</v>
      </c>
      <c r="D1233" s="12">
        <v>45775</v>
      </c>
      <c r="E1233" s="2">
        <v>34</v>
      </c>
      <c r="F1233" s="13">
        <v>0.99701388888888887</v>
      </c>
      <c r="G1233" s="3">
        <v>0.22758101851851853</v>
      </c>
      <c r="H1233" s="1">
        <v>0.23055555555555557</v>
      </c>
      <c r="I1233" s="5">
        <v>718</v>
      </c>
      <c r="J1233">
        <v>8819</v>
      </c>
      <c r="K1233">
        <v>130</v>
      </c>
      <c r="L1233" s="5">
        <v>93</v>
      </c>
      <c r="M1233" s="5">
        <v>717</v>
      </c>
      <c r="N1233">
        <v>7</v>
      </c>
      <c r="O1233">
        <v>710</v>
      </c>
      <c r="P1233" s="1">
        <v>0.23333333333333334</v>
      </c>
      <c r="Q1233" s="5">
        <v>1594</v>
      </c>
      <c r="R1233" s="14">
        <v>12.3</v>
      </c>
      <c r="S1233">
        <v>130</v>
      </c>
      <c r="T1233" s="5">
        <v>7</v>
      </c>
      <c r="U1233" s="5">
        <v>710</v>
      </c>
      <c r="V1233" s="5">
        <v>0</v>
      </c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</row>
    <row r="1234" spans="1:37" x14ac:dyDescent="0.25">
      <c r="A1234" s="11" t="e">
        <f>Table1[[#This Row],[Milk Yield]]-J1230</f>
        <v>#VALUE!</v>
      </c>
      <c r="B1234" t="s">
        <v>0</v>
      </c>
      <c r="C1234" s="2" t="s">
        <v>1</v>
      </c>
      <c r="D1234" s="12" t="s">
        <v>2</v>
      </c>
      <c r="E1234" s="2" t="s">
        <v>3</v>
      </c>
      <c r="F1234" s="13" t="s">
        <v>4</v>
      </c>
      <c r="G1234" s="3" t="s">
        <v>5</v>
      </c>
      <c r="H1234" s="1" t="s">
        <v>6</v>
      </c>
      <c r="I1234" s="5" t="s">
        <v>8</v>
      </c>
      <c r="J1234" t="s">
        <v>9</v>
      </c>
      <c r="K1234" t="s">
        <v>10</v>
      </c>
      <c r="L1234" s="5" t="s">
        <v>11</v>
      </c>
      <c r="M1234" s="5" t="s">
        <v>12</v>
      </c>
      <c r="N1234" t="s">
        <v>13</v>
      </c>
      <c r="O1234" t="s">
        <v>20</v>
      </c>
      <c r="P1234" s="1" t="s">
        <v>7</v>
      </c>
      <c r="Q1234" s="5" t="s">
        <v>15</v>
      </c>
      <c r="R1234" s="14" t="s">
        <v>18</v>
      </c>
      <c r="S1234" t="s">
        <v>16</v>
      </c>
      <c r="T1234" s="5" t="s">
        <v>14</v>
      </c>
      <c r="U1234" s="5" t="s">
        <v>17</v>
      </c>
      <c r="V1234" s="5" t="s">
        <v>19</v>
      </c>
      <c r="W1234" s="5"/>
      <c r="X1234" s="5"/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</row>
    <row r="1235" spans="1:37" x14ac:dyDescent="0.25">
      <c r="A1235" s="11">
        <f>Table1[[#This Row],[Milk Yield]]-J1231</f>
        <v>-113</v>
      </c>
      <c r="B1235" t="s">
        <v>24</v>
      </c>
      <c r="C1235" s="2">
        <v>1</v>
      </c>
      <c r="D1235" s="12">
        <v>45776</v>
      </c>
      <c r="E1235" s="2">
        <v>34</v>
      </c>
      <c r="F1235" s="13">
        <v>0.33556712962962965</v>
      </c>
      <c r="G1235" s="3">
        <v>0.53651620370370368</v>
      </c>
      <c r="H1235" s="1">
        <v>0.20069444444444445</v>
      </c>
      <c r="I1235" s="5">
        <v>715</v>
      </c>
      <c r="J1235">
        <v>9035</v>
      </c>
      <c r="K1235">
        <v>148</v>
      </c>
      <c r="L1235" s="5">
        <v>54</v>
      </c>
      <c r="M1235" s="5">
        <v>714</v>
      </c>
      <c r="N1235">
        <v>6</v>
      </c>
      <c r="O1235">
        <v>708</v>
      </c>
      <c r="P1235" s="1">
        <v>0.22500000000000001</v>
      </c>
      <c r="Q1235" s="5">
        <v>1873</v>
      </c>
      <c r="R1235" s="14">
        <v>12.7</v>
      </c>
      <c r="S1235">
        <v>148</v>
      </c>
      <c r="T1235" s="5">
        <v>6</v>
      </c>
      <c r="U1235" s="5">
        <v>708</v>
      </c>
      <c r="V1235" s="5">
        <v>0</v>
      </c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</row>
    <row r="1236" spans="1:37" x14ac:dyDescent="0.25">
      <c r="A1236" s="11">
        <f>Table1[[#This Row],[Milk Yield]]-J1232</f>
        <v>596</v>
      </c>
      <c r="B1236" t="s">
        <v>24</v>
      </c>
      <c r="C1236" s="2">
        <v>2</v>
      </c>
      <c r="D1236" s="12">
        <v>45776</v>
      </c>
      <c r="E1236" s="2">
        <v>36</v>
      </c>
      <c r="F1236" s="13">
        <v>0.67206018518518518</v>
      </c>
      <c r="G1236" s="3">
        <v>0.88432870370370376</v>
      </c>
      <c r="H1236" s="1">
        <v>0.21180555555555555</v>
      </c>
      <c r="I1236" s="5">
        <v>734</v>
      </c>
      <c r="J1236">
        <v>9204</v>
      </c>
      <c r="K1236">
        <v>144</v>
      </c>
      <c r="L1236" s="5">
        <v>279</v>
      </c>
      <c r="M1236" s="5">
        <v>734</v>
      </c>
      <c r="N1236">
        <v>27</v>
      </c>
      <c r="O1236">
        <v>707</v>
      </c>
      <c r="P1236" s="1">
        <v>0.24097222222222223</v>
      </c>
      <c r="Q1236" s="5">
        <v>1807</v>
      </c>
      <c r="R1236" s="14">
        <v>12.6</v>
      </c>
      <c r="S1236">
        <v>144</v>
      </c>
      <c r="T1236" s="5">
        <v>27</v>
      </c>
      <c r="U1236" s="5">
        <v>707</v>
      </c>
      <c r="V1236" s="5">
        <v>0</v>
      </c>
      <c r="W1236" s="5"/>
      <c r="X1236" s="5"/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</row>
    <row r="1237" spans="1:37" x14ac:dyDescent="0.25">
      <c r="A1237" s="11">
        <f>Table1[[#This Row],[Milk Yield]]-J1233</f>
        <v>-654</v>
      </c>
      <c r="B1237" t="s">
        <v>24</v>
      </c>
      <c r="C1237" s="2">
        <v>3</v>
      </c>
      <c r="D1237" s="12">
        <v>45776</v>
      </c>
      <c r="E1237" s="2">
        <v>33</v>
      </c>
      <c r="F1237" s="13">
        <v>1.1226851851851851E-3</v>
      </c>
      <c r="G1237" s="3">
        <v>0.20689814814814814</v>
      </c>
      <c r="H1237" s="1">
        <v>0.20555555555555555</v>
      </c>
      <c r="I1237" s="5">
        <v>696</v>
      </c>
      <c r="J1237">
        <v>8165</v>
      </c>
      <c r="K1237">
        <v>141</v>
      </c>
      <c r="L1237" s="5">
        <v>74</v>
      </c>
      <c r="M1237" s="5">
        <v>695</v>
      </c>
      <c r="N1237">
        <v>7</v>
      </c>
      <c r="O1237">
        <v>688</v>
      </c>
      <c r="P1237" s="1">
        <v>0.21805555555555556</v>
      </c>
      <c r="Q1237" s="5">
        <v>1653</v>
      </c>
      <c r="R1237" s="14">
        <v>11.8</v>
      </c>
      <c r="S1237">
        <v>141</v>
      </c>
      <c r="T1237" s="5">
        <v>7</v>
      </c>
      <c r="U1237" s="5">
        <v>688</v>
      </c>
      <c r="V1237" s="5">
        <v>0</v>
      </c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</row>
    <row r="1238" spans="1:37" x14ac:dyDescent="0.25">
      <c r="A1238" s="11" t="e">
        <f>Table1[[#This Row],[Milk Yield]]-J1234</f>
        <v>#VALUE!</v>
      </c>
      <c r="B1238" t="s">
        <v>0</v>
      </c>
      <c r="C1238" s="2" t="s">
        <v>1</v>
      </c>
      <c r="D1238" s="12" t="s">
        <v>2</v>
      </c>
      <c r="E1238" s="2" t="s">
        <v>3</v>
      </c>
      <c r="F1238" s="13" t="s">
        <v>4</v>
      </c>
      <c r="G1238" s="3" t="s">
        <v>5</v>
      </c>
      <c r="H1238" s="1" t="s">
        <v>6</v>
      </c>
      <c r="I1238" s="5" t="s">
        <v>8</v>
      </c>
      <c r="J1238" t="s">
        <v>9</v>
      </c>
      <c r="K1238" t="s">
        <v>10</v>
      </c>
      <c r="L1238" s="5" t="s">
        <v>11</v>
      </c>
      <c r="M1238" s="5" t="s">
        <v>12</v>
      </c>
      <c r="N1238" t="s">
        <v>13</v>
      </c>
      <c r="O1238" t="s">
        <v>20</v>
      </c>
      <c r="P1238" s="1" t="s">
        <v>7</v>
      </c>
      <c r="Q1238" s="5" t="s">
        <v>15</v>
      </c>
      <c r="R1238" s="14" t="s">
        <v>18</v>
      </c>
      <c r="S1238" t="s">
        <v>16</v>
      </c>
      <c r="T1238" s="5" t="s">
        <v>14</v>
      </c>
      <c r="U1238" s="5" t="s">
        <v>17</v>
      </c>
      <c r="V1238" s="5" t="s">
        <v>19</v>
      </c>
      <c r="W1238" s="5"/>
      <c r="X1238" s="5"/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</row>
    <row r="1239" spans="1:37" x14ac:dyDescent="0.25">
      <c r="A1239" s="11">
        <f>Table1[[#This Row],[Milk Yield]]-J1235</f>
        <v>463</v>
      </c>
      <c r="B1239" t="s">
        <v>24</v>
      </c>
      <c r="C1239" s="2">
        <v>1</v>
      </c>
      <c r="D1239" s="12">
        <v>45777</v>
      </c>
      <c r="E1239" s="2">
        <v>34</v>
      </c>
      <c r="F1239" s="13">
        <v>0.33837962962962964</v>
      </c>
      <c r="G1239" s="3">
        <v>0.54530092592592594</v>
      </c>
      <c r="H1239" s="1">
        <v>0.20624999999999999</v>
      </c>
      <c r="I1239" s="5">
        <v>720</v>
      </c>
      <c r="J1239">
        <v>9498</v>
      </c>
      <c r="K1239">
        <v>145</v>
      </c>
      <c r="L1239" s="5">
        <v>64</v>
      </c>
      <c r="M1239" s="5">
        <v>720</v>
      </c>
      <c r="N1239">
        <v>8</v>
      </c>
      <c r="O1239">
        <v>712</v>
      </c>
      <c r="P1239" s="1">
        <v>0.22916666666666666</v>
      </c>
      <c r="Q1239" s="5">
        <v>1912</v>
      </c>
      <c r="R1239" s="14">
        <v>13.2</v>
      </c>
      <c r="S1239">
        <v>145</v>
      </c>
      <c r="T1239" s="5">
        <v>8</v>
      </c>
      <c r="U1239" s="5">
        <v>712</v>
      </c>
      <c r="V1239" s="5">
        <v>0</v>
      </c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</row>
    <row r="1240" spans="1:37" x14ac:dyDescent="0.25">
      <c r="A1240" s="11">
        <f>Table1[[#This Row],[Milk Yield]]-J1236</f>
        <v>-326</v>
      </c>
      <c r="B1240" t="s">
        <v>24</v>
      </c>
      <c r="C1240" s="2">
        <v>2</v>
      </c>
      <c r="D1240" s="12">
        <v>45777</v>
      </c>
      <c r="E1240" s="2">
        <v>35</v>
      </c>
      <c r="F1240" s="13">
        <v>0.6708912037037037</v>
      </c>
      <c r="G1240" s="3">
        <v>0.87826388888888884</v>
      </c>
      <c r="H1240" s="1">
        <v>0.20694444444444443</v>
      </c>
      <c r="I1240" s="5">
        <v>737</v>
      </c>
      <c r="J1240">
        <v>8878</v>
      </c>
      <c r="K1240">
        <v>148</v>
      </c>
      <c r="L1240" s="5">
        <v>277</v>
      </c>
      <c r="M1240" s="5">
        <v>724</v>
      </c>
      <c r="N1240">
        <v>24</v>
      </c>
      <c r="O1240">
        <v>700</v>
      </c>
      <c r="P1240" s="1">
        <v>0.2388888888888889</v>
      </c>
      <c r="Q1240" s="5">
        <v>1784</v>
      </c>
      <c r="R1240" s="14">
        <v>12.3</v>
      </c>
      <c r="S1240">
        <v>145</v>
      </c>
      <c r="T1240" s="5">
        <v>24</v>
      </c>
      <c r="U1240" s="5">
        <v>700</v>
      </c>
      <c r="V1240" s="5">
        <v>0</v>
      </c>
      <c r="W1240" s="5"/>
      <c r="X1240" s="5"/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</row>
    <row r="1241" spans="1:37" x14ac:dyDescent="0.25">
      <c r="A1241" s="11">
        <f>Table1[[#This Row],[Milk Yield]]-J1237</f>
        <v>701</v>
      </c>
      <c r="B1241" t="s">
        <v>24</v>
      </c>
      <c r="C1241" s="2">
        <v>3</v>
      </c>
      <c r="D1241" s="12">
        <v>45777</v>
      </c>
      <c r="E1241" s="2">
        <v>31</v>
      </c>
      <c r="F1241" s="13">
        <v>0.99965277777777772</v>
      </c>
      <c r="G1241" s="3">
        <v>0.19630787037037037</v>
      </c>
      <c r="H1241" s="1">
        <v>0.19652777777777777</v>
      </c>
      <c r="I1241" s="5">
        <v>698</v>
      </c>
      <c r="J1241">
        <v>8866</v>
      </c>
      <c r="K1241">
        <v>148</v>
      </c>
      <c r="L1241" s="5">
        <v>375</v>
      </c>
      <c r="M1241" s="5">
        <v>697</v>
      </c>
      <c r="N1241">
        <v>35</v>
      </c>
      <c r="O1241">
        <v>662</v>
      </c>
      <c r="P1241" s="1">
        <v>0.25208333333333333</v>
      </c>
      <c r="Q1241" s="5">
        <v>1878</v>
      </c>
      <c r="R1241" s="14">
        <v>12.8</v>
      </c>
      <c r="S1241">
        <v>148</v>
      </c>
      <c r="T1241" s="5">
        <v>35</v>
      </c>
      <c r="U1241" s="5">
        <v>662</v>
      </c>
      <c r="V1241" s="5">
        <v>0</v>
      </c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</row>
    <row r="1242" spans="1:37" x14ac:dyDescent="0.25">
      <c r="A1242" s="11" t="e">
        <f>Table1[[#This Row],[Milk Yield]]-J1238</f>
        <v>#VALUE!</v>
      </c>
      <c r="B1242" t="s">
        <v>0</v>
      </c>
      <c r="C1242" s="2" t="s">
        <v>1</v>
      </c>
      <c r="D1242" s="12" t="s">
        <v>2</v>
      </c>
      <c r="E1242" s="2" t="s">
        <v>3</v>
      </c>
      <c r="F1242" s="13" t="s">
        <v>4</v>
      </c>
      <c r="G1242" s="3" t="s">
        <v>5</v>
      </c>
      <c r="H1242" s="1" t="s">
        <v>6</v>
      </c>
      <c r="I1242" s="5" t="s">
        <v>8</v>
      </c>
      <c r="J1242" t="s">
        <v>9</v>
      </c>
      <c r="K1242" t="s">
        <v>10</v>
      </c>
      <c r="L1242" s="5" t="s">
        <v>11</v>
      </c>
      <c r="M1242" s="5" t="s">
        <v>12</v>
      </c>
      <c r="N1242" t="s">
        <v>13</v>
      </c>
      <c r="O1242" t="s">
        <v>20</v>
      </c>
      <c r="P1242" s="1" t="s">
        <v>7</v>
      </c>
      <c r="Q1242" s="5" t="s">
        <v>15</v>
      </c>
      <c r="R1242" s="14" t="s">
        <v>18</v>
      </c>
      <c r="S1242" t="s">
        <v>16</v>
      </c>
      <c r="T1242" s="5" t="s">
        <v>14</v>
      </c>
      <c r="U1242" s="5" t="s">
        <v>17</v>
      </c>
      <c r="V1242" s="5" t="s">
        <v>19</v>
      </c>
      <c r="W1242" s="5"/>
      <c r="X1242" s="5"/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</row>
    <row r="1243" spans="1:37" x14ac:dyDescent="0.25">
      <c r="A1243" s="11">
        <f>Table1[[#This Row],[Milk Yield]]-J1239</f>
        <v>194</v>
      </c>
      <c r="B1243" t="s">
        <v>24</v>
      </c>
      <c r="C1243" s="2">
        <v>1</v>
      </c>
      <c r="D1243" s="12">
        <v>45778</v>
      </c>
      <c r="E1243" s="2">
        <v>33</v>
      </c>
      <c r="F1243" s="13">
        <v>0.33605324074074072</v>
      </c>
      <c r="G1243" s="3">
        <v>0.5444444444444444</v>
      </c>
      <c r="H1243" s="1">
        <v>0.20833333333333334</v>
      </c>
      <c r="I1243" s="5">
        <v>721</v>
      </c>
      <c r="J1243">
        <v>9692</v>
      </c>
      <c r="K1243">
        <v>144</v>
      </c>
      <c r="L1243" s="5">
        <v>107</v>
      </c>
      <c r="M1243" s="5">
        <v>720</v>
      </c>
      <c r="N1243">
        <v>11</v>
      </c>
      <c r="O1243">
        <v>709</v>
      </c>
      <c r="P1243" s="1">
        <v>0.2298611111111111</v>
      </c>
      <c r="Q1243" s="5">
        <v>1938</v>
      </c>
      <c r="R1243" s="14">
        <v>13.5</v>
      </c>
      <c r="S1243">
        <v>144</v>
      </c>
      <c r="T1243" s="5">
        <v>11</v>
      </c>
      <c r="U1243" s="5">
        <v>709</v>
      </c>
      <c r="V1243" s="5">
        <v>0</v>
      </c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</row>
    <row r="1244" spans="1:37" x14ac:dyDescent="0.25">
      <c r="A1244" s="11">
        <f>Table1[[#This Row],[Milk Yield]]-J1240</f>
        <v>272</v>
      </c>
      <c r="B1244" t="s">
        <v>24</v>
      </c>
      <c r="C1244" s="2">
        <v>2</v>
      </c>
      <c r="D1244" s="12">
        <v>45778</v>
      </c>
      <c r="E1244" s="2">
        <v>33</v>
      </c>
      <c r="F1244" s="13">
        <v>0.66954861111111108</v>
      </c>
      <c r="G1244" s="3">
        <v>0.86987268518518523</v>
      </c>
      <c r="H1244" s="1">
        <v>0.2</v>
      </c>
      <c r="I1244" s="5">
        <v>696</v>
      </c>
      <c r="J1244">
        <v>9150</v>
      </c>
      <c r="K1244">
        <v>145</v>
      </c>
      <c r="L1244" s="5">
        <v>145</v>
      </c>
      <c r="M1244" s="5">
        <v>693</v>
      </c>
      <c r="N1244">
        <v>23</v>
      </c>
      <c r="O1244">
        <v>670</v>
      </c>
      <c r="P1244" s="1">
        <v>0.2673611111111111</v>
      </c>
      <c r="Q1244" s="5">
        <v>1903</v>
      </c>
      <c r="R1244" s="14">
        <v>13.3</v>
      </c>
      <c r="S1244">
        <v>144</v>
      </c>
      <c r="T1244" s="5">
        <v>23</v>
      </c>
      <c r="U1244" s="5">
        <v>670</v>
      </c>
      <c r="V1244" s="5">
        <v>0</v>
      </c>
      <c r="W1244" s="5"/>
      <c r="X1244" s="5"/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</row>
    <row r="1245" spans="1:37" x14ac:dyDescent="0.25">
      <c r="A1245" s="11">
        <f>Table1[[#This Row],[Milk Yield]]-J1241</f>
        <v>295</v>
      </c>
      <c r="B1245" t="s">
        <v>24</v>
      </c>
      <c r="C1245" s="2">
        <v>3</v>
      </c>
      <c r="D1245" s="12">
        <v>45778</v>
      </c>
      <c r="E1245" s="2">
        <v>35</v>
      </c>
      <c r="F1245" s="13">
        <v>1.8171296296296297E-3</v>
      </c>
      <c r="G1245" s="3">
        <v>0.20196759259259259</v>
      </c>
      <c r="H1245" s="1">
        <v>0.2</v>
      </c>
      <c r="I1245" s="5">
        <v>696</v>
      </c>
      <c r="J1245">
        <v>9161</v>
      </c>
      <c r="K1245">
        <v>145</v>
      </c>
      <c r="L1245" s="5">
        <v>581</v>
      </c>
      <c r="M1245" s="5">
        <v>694</v>
      </c>
      <c r="N1245">
        <v>78</v>
      </c>
      <c r="O1245">
        <v>616</v>
      </c>
      <c r="P1245" s="1">
        <v>0.29097222222222224</v>
      </c>
      <c r="Q1245" s="5">
        <v>1907</v>
      </c>
      <c r="R1245" s="14">
        <v>13.2</v>
      </c>
      <c r="S1245">
        <v>144</v>
      </c>
      <c r="T1245" s="5">
        <v>78</v>
      </c>
      <c r="U1245" s="5">
        <v>616</v>
      </c>
      <c r="V1245" s="5">
        <v>0</v>
      </c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</row>
    <row r="1246" spans="1:37" x14ac:dyDescent="0.25">
      <c r="A1246" s="11" t="e">
        <f>Table1[[#This Row],[Milk Yield]]-J1242</f>
        <v>#VALUE!</v>
      </c>
      <c r="B1246" t="s">
        <v>0</v>
      </c>
      <c r="C1246" s="2" t="s">
        <v>1</v>
      </c>
      <c r="D1246" s="12" t="s">
        <v>2</v>
      </c>
      <c r="E1246" s="2" t="s">
        <v>3</v>
      </c>
      <c r="F1246" s="13" t="s">
        <v>4</v>
      </c>
      <c r="G1246" s="3" t="s">
        <v>5</v>
      </c>
      <c r="H1246" s="1" t="s">
        <v>6</v>
      </c>
      <c r="I1246" s="5" t="s">
        <v>8</v>
      </c>
      <c r="J1246" t="s">
        <v>9</v>
      </c>
      <c r="K1246" t="s">
        <v>10</v>
      </c>
      <c r="L1246" s="5" t="s">
        <v>11</v>
      </c>
      <c r="M1246" s="5" t="s">
        <v>12</v>
      </c>
      <c r="N1246" t="s">
        <v>13</v>
      </c>
      <c r="O1246" t="s">
        <v>20</v>
      </c>
      <c r="P1246" s="1" t="s">
        <v>7</v>
      </c>
      <c r="Q1246" s="5" t="s">
        <v>15</v>
      </c>
      <c r="R1246" s="14" t="s">
        <v>18</v>
      </c>
      <c r="S1246" t="s">
        <v>16</v>
      </c>
      <c r="T1246" s="5" t="s">
        <v>14</v>
      </c>
      <c r="U1246" s="5" t="s">
        <v>17</v>
      </c>
      <c r="V1246" s="5" t="s">
        <v>19</v>
      </c>
      <c r="W1246" s="5"/>
      <c r="X1246" s="5"/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</row>
    <row r="1247" spans="1:37" x14ac:dyDescent="0.25">
      <c r="A1247" s="11">
        <f>Table1[[#This Row],[Milk Yield]]-J1243</f>
        <v>-187</v>
      </c>
      <c r="B1247" t="s">
        <v>24</v>
      </c>
      <c r="C1247" s="2">
        <v>1</v>
      </c>
      <c r="D1247" s="12">
        <v>45779</v>
      </c>
      <c r="E1247" s="2">
        <v>35</v>
      </c>
      <c r="F1247" s="13">
        <v>0.33471064814814816</v>
      </c>
      <c r="G1247" s="3">
        <v>0.55457175925925928</v>
      </c>
      <c r="H1247" s="1">
        <v>0.21944444444444444</v>
      </c>
      <c r="I1247" s="5">
        <v>731</v>
      </c>
      <c r="J1247">
        <v>9505</v>
      </c>
      <c r="K1247">
        <v>139</v>
      </c>
      <c r="L1247" s="5">
        <v>258</v>
      </c>
      <c r="M1247" s="5">
        <v>731</v>
      </c>
      <c r="N1247">
        <v>18</v>
      </c>
      <c r="O1247">
        <v>713</v>
      </c>
      <c r="P1247" s="1">
        <v>0.22916666666666666</v>
      </c>
      <c r="Q1247" s="5">
        <v>1801</v>
      </c>
      <c r="R1247" s="14">
        <v>13.1</v>
      </c>
      <c r="S1247">
        <v>139</v>
      </c>
      <c r="T1247" s="5">
        <v>18</v>
      </c>
      <c r="U1247" s="5">
        <v>713</v>
      </c>
      <c r="V1247" s="5">
        <v>0</v>
      </c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</row>
    <row r="1248" spans="1:37" x14ac:dyDescent="0.25">
      <c r="A1248" s="11">
        <f>Table1[[#This Row],[Milk Yield]]-J1244</f>
        <v>-270</v>
      </c>
      <c r="B1248" t="s">
        <v>24</v>
      </c>
      <c r="C1248" s="2">
        <v>2</v>
      </c>
      <c r="D1248" s="12">
        <v>45779</v>
      </c>
      <c r="E1248" s="2">
        <v>33</v>
      </c>
      <c r="F1248" s="13">
        <v>0.67385416666666664</v>
      </c>
      <c r="G1248" s="3">
        <v>0.8843981481481481</v>
      </c>
      <c r="H1248" s="1">
        <v>0.21041666666666667</v>
      </c>
      <c r="I1248" s="5">
        <v>710</v>
      </c>
      <c r="J1248">
        <v>8880</v>
      </c>
      <c r="K1248">
        <v>141</v>
      </c>
      <c r="L1248" s="5">
        <v>189</v>
      </c>
      <c r="M1248" s="5">
        <v>709</v>
      </c>
      <c r="N1248">
        <v>15</v>
      </c>
      <c r="O1248">
        <v>694</v>
      </c>
      <c r="P1248" s="1">
        <v>0.2298611111111111</v>
      </c>
      <c r="Q1248" s="5">
        <v>1757</v>
      </c>
      <c r="R1248" s="14">
        <v>12.6</v>
      </c>
      <c r="S1248">
        <v>140</v>
      </c>
      <c r="T1248" s="5">
        <v>15</v>
      </c>
      <c r="U1248" s="5">
        <v>694</v>
      </c>
      <c r="V1248" s="5">
        <v>0</v>
      </c>
      <c r="W1248" s="5"/>
      <c r="X1248" s="5"/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</row>
    <row r="1249" spans="1:37" x14ac:dyDescent="0.25">
      <c r="A1249" s="11">
        <f>Table1[[#This Row],[Milk Yield]]-J1245</f>
        <v>-811</v>
      </c>
      <c r="B1249" t="s">
        <v>24</v>
      </c>
      <c r="C1249" s="2">
        <v>3</v>
      </c>
      <c r="D1249" s="12">
        <v>45779</v>
      </c>
      <c r="E1249" s="2">
        <v>33</v>
      </c>
      <c r="F1249" s="13">
        <v>3.6458333333333334E-3</v>
      </c>
      <c r="G1249" s="3">
        <v>0.2011226851851852</v>
      </c>
      <c r="H1249" s="1">
        <v>0.19722222222222222</v>
      </c>
      <c r="I1249" s="5">
        <v>709</v>
      </c>
      <c r="J1249">
        <v>8350</v>
      </c>
      <c r="K1249">
        <v>150</v>
      </c>
      <c r="L1249" s="5">
        <v>66</v>
      </c>
      <c r="M1249" s="5">
        <v>707</v>
      </c>
      <c r="N1249">
        <v>6</v>
      </c>
      <c r="O1249">
        <v>701</v>
      </c>
      <c r="P1249" s="1">
        <v>0.21388888888888888</v>
      </c>
      <c r="Q1249" s="5">
        <v>1762</v>
      </c>
      <c r="R1249" s="14">
        <v>11.9</v>
      </c>
      <c r="S1249">
        <v>149</v>
      </c>
      <c r="T1249" s="5">
        <v>6</v>
      </c>
      <c r="U1249" s="5">
        <v>701</v>
      </c>
      <c r="V1249" s="5">
        <v>0</v>
      </c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</row>
    <row r="1250" spans="1:37" x14ac:dyDescent="0.25">
      <c r="A1250" s="11" t="e">
        <f>Table1[[#This Row],[Milk Yield]]-J1246</f>
        <v>#VALUE!</v>
      </c>
      <c r="B1250" t="s">
        <v>0</v>
      </c>
      <c r="C1250" s="2" t="s">
        <v>1</v>
      </c>
      <c r="D1250" s="12" t="s">
        <v>2</v>
      </c>
      <c r="E1250" s="2" t="s">
        <v>3</v>
      </c>
      <c r="F1250" s="13" t="s">
        <v>4</v>
      </c>
      <c r="G1250" s="3" t="s">
        <v>5</v>
      </c>
      <c r="H1250" s="1" t="s">
        <v>6</v>
      </c>
      <c r="I1250" s="5" t="s">
        <v>8</v>
      </c>
      <c r="J1250" t="s">
        <v>9</v>
      </c>
      <c r="K1250" t="s">
        <v>10</v>
      </c>
      <c r="L1250" s="5" t="s">
        <v>11</v>
      </c>
      <c r="M1250" s="5" t="s">
        <v>12</v>
      </c>
      <c r="N1250" t="s">
        <v>13</v>
      </c>
      <c r="O1250" t="s">
        <v>20</v>
      </c>
      <c r="P1250" s="1" t="s">
        <v>7</v>
      </c>
      <c r="Q1250" s="5" t="s">
        <v>15</v>
      </c>
      <c r="R1250" s="14" t="s">
        <v>18</v>
      </c>
      <c r="S1250" t="s">
        <v>16</v>
      </c>
      <c r="T1250" s="5" t="s">
        <v>14</v>
      </c>
      <c r="U1250" s="5" t="s">
        <v>17</v>
      </c>
      <c r="V1250" s="5" t="s">
        <v>19</v>
      </c>
      <c r="W1250" s="5"/>
      <c r="X1250" s="5"/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</row>
    <row r="1251" spans="1:37" x14ac:dyDescent="0.25">
      <c r="A1251" s="11">
        <f>Table1[[#This Row],[Milk Yield]]-J1247</f>
        <v>556</v>
      </c>
      <c r="B1251" t="s">
        <v>24</v>
      </c>
      <c r="C1251" s="2">
        <v>1</v>
      </c>
      <c r="D1251" s="12">
        <v>45780</v>
      </c>
      <c r="E1251" s="2">
        <v>34</v>
      </c>
      <c r="F1251" s="13">
        <v>0.33758101851851852</v>
      </c>
      <c r="G1251" s="3">
        <v>0.57523148148148151</v>
      </c>
      <c r="H1251" s="1">
        <v>0.23749999999999999</v>
      </c>
      <c r="I1251" s="5">
        <v>704</v>
      </c>
      <c r="J1251">
        <v>10061</v>
      </c>
      <c r="K1251">
        <v>123</v>
      </c>
      <c r="L1251" s="5">
        <v>88</v>
      </c>
      <c r="M1251" s="5">
        <v>703</v>
      </c>
      <c r="N1251">
        <v>9</v>
      </c>
      <c r="O1251">
        <v>694</v>
      </c>
      <c r="P1251" s="1">
        <v>0.24374999999999999</v>
      </c>
      <c r="Q1251" s="5">
        <v>1764</v>
      </c>
      <c r="R1251" s="14">
        <v>14.4</v>
      </c>
      <c r="S1251">
        <v>123</v>
      </c>
      <c r="T1251" s="5">
        <v>9</v>
      </c>
      <c r="U1251" s="5">
        <v>694</v>
      </c>
      <c r="V1251" s="5">
        <v>0</v>
      </c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</row>
    <row r="1252" spans="1:37" x14ac:dyDescent="0.25">
      <c r="A1252" s="11">
        <f>Table1[[#This Row],[Milk Yield]]-J1248</f>
        <v>-399</v>
      </c>
      <c r="B1252" t="s">
        <v>24</v>
      </c>
      <c r="C1252" s="2">
        <v>2</v>
      </c>
      <c r="D1252" s="12">
        <v>45780</v>
      </c>
      <c r="E1252" s="2">
        <v>35</v>
      </c>
      <c r="F1252" s="13">
        <v>0.67354166666666671</v>
      </c>
      <c r="G1252" s="3">
        <v>0.87928240740740737</v>
      </c>
      <c r="H1252" s="1">
        <v>0.20555555555555555</v>
      </c>
      <c r="I1252" s="5">
        <v>709</v>
      </c>
      <c r="J1252">
        <v>8481</v>
      </c>
      <c r="K1252">
        <v>144</v>
      </c>
      <c r="L1252" s="5">
        <v>361</v>
      </c>
      <c r="M1252" s="5">
        <v>708</v>
      </c>
      <c r="N1252">
        <v>30</v>
      </c>
      <c r="O1252">
        <v>678</v>
      </c>
      <c r="P1252" s="1">
        <v>0.21944444444444444</v>
      </c>
      <c r="Q1252" s="5">
        <v>1717</v>
      </c>
      <c r="R1252" s="14">
        <v>12</v>
      </c>
      <c r="S1252">
        <v>143</v>
      </c>
      <c r="T1252" s="5">
        <v>30</v>
      </c>
      <c r="U1252" s="5">
        <v>678</v>
      </c>
      <c r="V1252" s="5">
        <v>0</v>
      </c>
      <c r="W1252" s="5"/>
      <c r="X1252" s="5"/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</row>
    <row r="1253" spans="1:37" x14ac:dyDescent="0.25">
      <c r="A1253" s="11">
        <f>Table1[[#This Row],[Milk Yield]]-J1249</f>
        <v>804</v>
      </c>
      <c r="B1253" t="s">
        <v>24</v>
      </c>
      <c r="C1253" s="2">
        <v>3</v>
      </c>
      <c r="D1253" s="12">
        <v>45780</v>
      </c>
      <c r="E1253" s="2">
        <v>35</v>
      </c>
      <c r="F1253" s="13">
        <v>4.8726851851851848E-3</v>
      </c>
      <c r="G1253" s="3">
        <v>0.22936342592592593</v>
      </c>
      <c r="H1253" s="1">
        <v>0.22430555555555556</v>
      </c>
      <c r="I1253" s="5">
        <v>711</v>
      </c>
      <c r="J1253">
        <v>9154</v>
      </c>
      <c r="K1253">
        <v>132</v>
      </c>
      <c r="L1253" s="5">
        <v>264</v>
      </c>
      <c r="M1253" s="5">
        <v>710</v>
      </c>
      <c r="N1253">
        <v>21</v>
      </c>
      <c r="O1253">
        <v>689</v>
      </c>
      <c r="P1253" s="1">
        <v>0.23819444444444443</v>
      </c>
      <c r="Q1253" s="5">
        <v>1699</v>
      </c>
      <c r="R1253" s="14">
        <v>12.9</v>
      </c>
      <c r="S1253">
        <v>132</v>
      </c>
      <c r="T1253" s="5">
        <v>21</v>
      </c>
      <c r="U1253" s="5">
        <v>689</v>
      </c>
      <c r="V1253" s="5">
        <v>0</v>
      </c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</row>
    <row r="1254" spans="1:37" x14ac:dyDescent="0.25">
      <c r="A1254" s="11" t="e">
        <f>Table1[[#This Row],[Milk Yield]]-J1250</f>
        <v>#VALUE!</v>
      </c>
      <c r="B1254" t="s">
        <v>0</v>
      </c>
      <c r="C1254" s="2" t="s">
        <v>1</v>
      </c>
      <c r="D1254" s="12" t="s">
        <v>2</v>
      </c>
      <c r="E1254" s="2" t="s">
        <v>3</v>
      </c>
      <c r="F1254" s="13" t="s">
        <v>4</v>
      </c>
      <c r="G1254" s="3" t="s">
        <v>5</v>
      </c>
      <c r="H1254" s="1" t="s">
        <v>6</v>
      </c>
      <c r="I1254" s="5" t="s">
        <v>8</v>
      </c>
      <c r="J1254" t="s">
        <v>9</v>
      </c>
      <c r="K1254" t="s">
        <v>10</v>
      </c>
      <c r="L1254" s="5" t="s">
        <v>11</v>
      </c>
      <c r="M1254" s="5" t="s">
        <v>12</v>
      </c>
      <c r="N1254" t="s">
        <v>13</v>
      </c>
      <c r="O1254" t="s">
        <v>20</v>
      </c>
      <c r="P1254" s="1" t="s">
        <v>7</v>
      </c>
      <c r="Q1254" s="5" t="s">
        <v>15</v>
      </c>
      <c r="R1254" s="14" t="s">
        <v>18</v>
      </c>
      <c r="S1254" t="s">
        <v>16</v>
      </c>
      <c r="T1254" s="5" t="s">
        <v>14</v>
      </c>
      <c r="U1254" s="5" t="s">
        <v>17</v>
      </c>
      <c r="V1254" s="5" t="s">
        <v>19</v>
      </c>
      <c r="W1254" s="5"/>
      <c r="X1254" s="5"/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</row>
    <row r="1255" spans="1:37" x14ac:dyDescent="0.25">
      <c r="A1255" s="11">
        <f>Table1[[#This Row],[Milk Yield]]-J1251</f>
        <v>-889</v>
      </c>
      <c r="B1255" t="s">
        <v>24</v>
      </c>
      <c r="C1255" s="2">
        <v>1</v>
      </c>
      <c r="D1255" s="12">
        <v>45781</v>
      </c>
      <c r="E1255" s="2">
        <v>35</v>
      </c>
      <c r="F1255" s="13">
        <v>0.33900462962962963</v>
      </c>
      <c r="G1255" s="3">
        <v>0.54504629629629631</v>
      </c>
      <c r="H1255" s="1">
        <v>0.20555555555555555</v>
      </c>
      <c r="I1255" s="5">
        <v>705</v>
      </c>
      <c r="J1255">
        <v>9172</v>
      </c>
      <c r="K1255">
        <v>143</v>
      </c>
      <c r="L1255" s="5">
        <v>125</v>
      </c>
      <c r="M1255" s="5">
        <v>705</v>
      </c>
      <c r="N1255">
        <v>10</v>
      </c>
      <c r="O1255">
        <v>695</v>
      </c>
      <c r="P1255" s="1">
        <v>0.23333333333333334</v>
      </c>
      <c r="Q1255" s="5">
        <v>1855</v>
      </c>
      <c r="R1255" s="14">
        <v>13.1</v>
      </c>
      <c r="S1255">
        <v>143</v>
      </c>
      <c r="T1255" s="5">
        <v>10</v>
      </c>
      <c r="U1255" s="5">
        <v>695</v>
      </c>
      <c r="V1255" s="5">
        <v>0</v>
      </c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</row>
    <row r="1256" spans="1:37" x14ac:dyDescent="0.25">
      <c r="A1256" s="11">
        <f>Table1[[#This Row],[Milk Yield]]-J1252</f>
        <v>473</v>
      </c>
      <c r="B1256" t="s">
        <v>24</v>
      </c>
      <c r="C1256" s="2">
        <v>2</v>
      </c>
      <c r="D1256" s="12">
        <v>45781</v>
      </c>
      <c r="E1256" s="2">
        <v>36</v>
      </c>
      <c r="F1256" s="13">
        <v>0.67126157407407405</v>
      </c>
      <c r="G1256" s="3">
        <v>0.87730324074074073</v>
      </c>
      <c r="H1256" s="1">
        <v>0.20555555555555555</v>
      </c>
      <c r="I1256" s="5">
        <v>720</v>
      </c>
      <c r="J1256">
        <v>8954</v>
      </c>
      <c r="K1256">
        <v>146</v>
      </c>
      <c r="L1256" s="5">
        <v>237</v>
      </c>
      <c r="M1256" s="5">
        <v>718</v>
      </c>
      <c r="N1256">
        <v>22</v>
      </c>
      <c r="O1256">
        <v>696</v>
      </c>
      <c r="P1256" s="1">
        <v>0.22500000000000001</v>
      </c>
      <c r="Q1256" s="5">
        <v>1811</v>
      </c>
      <c r="R1256" s="14">
        <v>12.5</v>
      </c>
      <c r="S1256">
        <v>145</v>
      </c>
      <c r="T1256" s="5">
        <v>22</v>
      </c>
      <c r="U1256" s="5">
        <v>697</v>
      </c>
      <c r="V1256" s="5">
        <v>1</v>
      </c>
      <c r="W1256" s="5"/>
      <c r="X1256" s="5"/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</row>
    <row r="1257" spans="1:37" x14ac:dyDescent="0.25">
      <c r="A1257" s="11">
        <f>Table1[[#This Row],[Milk Yield]]-J1253</f>
        <v>41</v>
      </c>
      <c r="B1257" t="s">
        <v>24</v>
      </c>
      <c r="C1257" s="2">
        <v>3</v>
      </c>
      <c r="D1257" s="12">
        <v>45781</v>
      </c>
      <c r="E1257" s="2">
        <v>34</v>
      </c>
      <c r="F1257" s="13">
        <v>3.7847222222222223E-3</v>
      </c>
      <c r="G1257" s="3">
        <v>0.23810185185185184</v>
      </c>
      <c r="H1257" s="1">
        <v>0.23402777777777778</v>
      </c>
      <c r="I1257" s="5">
        <v>707</v>
      </c>
      <c r="J1257">
        <v>9195</v>
      </c>
      <c r="K1257">
        <v>126</v>
      </c>
      <c r="L1257" s="5">
        <v>103</v>
      </c>
      <c r="M1257" s="5">
        <v>707</v>
      </c>
      <c r="N1257">
        <v>10</v>
      </c>
      <c r="O1257">
        <v>697</v>
      </c>
      <c r="P1257" s="1">
        <v>0.23125000000000001</v>
      </c>
      <c r="Q1257" s="5">
        <v>1635</v>
      </c>
      <c r="R1257" s="14">
        <v>13.1</v>
      </c>
      <c r="S1257">
        <v>126</v>
      </c>
      <c r="T1257" s="5">
        <v>10</v>
      </c>
      <c r="U1257" s="5">
        <v>698</v>
      </c>
      <c r="V1257" s="5">
        <v>1</v>
      </c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</row>
    <row r="1258" spans="1:37" x14ac:dyDescent="0.25">
      <c r="A1258" s="11" t="e">
        <f>Table1[[#This Row],[Milk Yield]]-J1254</f>
        <v>#VALUE!</v>
      </c>
      <c r="B1258" t="s">
        <v>0</v>
      </c>
      <c r="C1258" s="2" t="s">
        <v>1</v>
      </c>
      <c r="D1258" s="12" t="s">
        <v>2</v>
      </c>
      <c r="E1258" s="2" t="s">
        <v>3</v>
      </c>
      <c r="F1258" s="13" t="s">
        <v>4</v>
      </c>
      <c r="G1258" s="3" t="s">
        <v>5</v>
      </c>
      <c r="H1258" s="1" t="s">
        <v>6</v>
      </c>
      <c r="I1258" s="5" t="s">
        <v>8</v>
      </c>
      <c r="J1258" t="s">
        <v>9</v>
      </c>
      <c r="K1258" t="s">
        <v>10</v>
      </c>
      <c r="L1258" s="5" t="s">
        <v>11</v>
      </c>
      <c r="M1258" s="5" t="s">
        <v>12</v>
      </c>
      <c r="N1258" t="s">
        <v>13</v>
      </c>
      <c r="O1258" t="s">
        <v>20</v>
      </c>
      <c r="P1258" s="1" t="s">
        <v>7</v>
      </c>
      <c r="Q1258" s="5" t="s">
        <v>15</v>
      </c>
      <c r="R1258" s="14" t="s">
        <v>18</v>
      </c>
      <c r="S1258" t="s">
        <v>16</v>
      </c>
      <c r="T1258" s="5" t="s">
        <v>14</v>
      </c>
      <c r="U1258" s="5" t="s">
        <v>17</v>
      </c>
      <c r="V1258" s="5" t="s">
        <v>19</v>
      </c>
      <c r="W1258" s="5"/>
      <c r="X1258" s="5"/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</row>
    <row r="1259" spans="1:37" x14ac:dyDescent="0.25">
      <c r="A1259" s="11">
        <f>Table1[[#This Row],[Milk Yield]]-J1255</f>
        <v>-32</v>
      </c>
      <c r="B1259" t="s">
        <v>24</v>
      </c>
      <c r="C1259" s="2">
        <v>1</v>
      </c>
      <c r="D1259" s="12">
        <v>45782</v>
      </c>
      <c r="E1259" s="2">
        <v>33</v>
      </c>
      <c r="F1259" s="13">
        <v>0.33635416666666668</v>
      </c>
      <c r="G1259" s="3">
        <v>0.53773148148148153</v>
      </c>
      <c r="H1259" s="1">
        <v>0.2013888888888889</v>
      </c>
      <c r="I1259" s="5">
        <v>696</v>
      </c>
      <c r="J1259">
        <v>9140</v>
      </c>
      <c r="K1259">
        <v>144</v>
      </c>
      <c r="L1259" s="5">
        <v>605</v>
      </c>
      <c r="M1259" s="5">
        <v>696</v>
      </c>
      <c r="N1259">
        <v>31</v>
      </c>
      <c r="O1259">
        <v>665</v>
      </c>
      <c r="P1259" s="1">
        <v>0.23333333333333334</v>
      </c>
      <c r="Q1259" s="5">
        <v>1891</v>
      </c>
      <c r="R1259" s="14">
        <v>13.2</v>
      </c>
      <c r="S1259">
        <v>144</v>
      </c>
      <c r="T1259" s="5">
        <v>31</v>
      </c>
      <c r="U1259" s="5">
        <v>666</v>
      </c>
      <c r="V1259" s="5">
        <v>1</v>
      </c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</row>
    <row r="1260" spans="1:37" x14ac:dyDescent="0.25">
      <c r="A1260" s="11">
        <f>Table1[[#This Row],[Milk Yield]]-J1256</f>
        <v>688</v>
      </c>
      <c r="B1260" t="s">
        <v>24</v>
      </c>
      <c r="C1260" s="2">
        <v>2</v>
      </c>
      <c r="D1260" s="12">
        <v>45782</v>
      </c>
      <c r="E1260" s="2">
        <v>36</v>
      </c>
      <c r="F1260" s="13">
        <v>0.67694444444444446</v>
      </c>
      <c r="G1260" s="3">
        <v>0.92052083333333334</v>
      </c>
      <c r="H1260" s="1">
        <v>0.24305555555555555</v>
      </c>
      <c r="I1260" s="5">
        <v>732</v>
      </c>
      <c r="J1260">
        <v>9642</v>
      </c>
      <c r="K1260">
        <v>125</v>
      </c>
      <c r="L1260" s="5">
        <v>295</v>
      </c>
      <c r="M1260" s="5">
        <v>732</v>
      </c>
      <c r="N1260">
        <v>29</v>
      </c>
      <c r="O1260">
        <v>703</v>
      </c>
      <c r="P1260" s="1">
        <v>0.2361111111111111</v>
      </c>
      <c r="Q1260" s="5">
        <v>1649</v>
      </c>
      <c r="R1260" s="14">
        <v>13.2</v>
      </c>
      <c r="S1260">
        <v>125</v>
      </c>
      <c r="T1260" s="5">
        <v>29</v>
      </c>
      <c r="U1260" s="5">
        <v>704</v>
      </c>
      <c r="V1260" s="5">
        <v>1</v>
      </c>
      <c r="W1260" s="5"/>
      <c r="X1260" s="5"/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</row>
    <row r="1261" spans="1:37" x14ac:dyDescent="0.25">
      <c r="A1261" s="11">
        <f>Table1[[#This Row],[Milk Yield]]-J1257</f>
        <v>-871</v>
      </c>
      <c r="B1261" t="s">
        <v>24</v>
      </c>
      <c r="C1261" s="2">
        <v>3</v>
      </c>
      <c r="D1261" s="12">
        <v>45782</v>
      </c>
      <c r="E1261" s="2">
        <v>34</v>
      </c>
      <c r="F1261" s="13">
        <v>1.6782407407407408E-3</v>
      </c>
      <c r="G1261" s="3">
        <v>0.21652777777777779</v>
      </c>
      <c r="H1261" s="1">
        <v>0.21458333333333332</v>
      </c>
      <c r="I1261" s="5">
        <v>715</v>
      </c>
      <c r="J1261">
        <v>8324</v>
      </c>
      <c r="K1261">
        <v>139</v>
      </c>
      <c r="L1261" s="5">
        <v>257</v>
      </c>
      <c r="M1261" s="5">
        <v>712</v>
      </c>
      <c r="N1261">
        <v>24</v>
      </c>
      <c r="O1261">
        <v>688</v>
      </c>
      <c r="P1261" s="1">
        <v>0.22500000000000001</v>
      </c>
      <c r="Q1261" s="5">
        <v>1614</v>
      </c>
      <c r="R1261" s="14">
        <v>11.7</v>
      </c>
      <c r="S1261">
        <v>138</v>
      </c>
      <c r="T1261" s="5">
        <v>24</v>
      </c>
      <c r="U1261" s="5">
        <v>689</v>
      </c>
      <c r="V1261" s="5">
        <v>1</v>
      </c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</row>
    <row r="1262" spans="1:37" x14ac:dyDescent="0.25">
      <c r="A1262" s="11" t="e">
        <f>Table1[[#This Row],[Milk Yield]]-J1258</f>
        <v>#VALUE!</v>
      </c>
      <c r="B1262" t="s">
        <v>0</v>
      </c>
      <c r="C1262" s="2" t="s">
        <v>1</v>
      </c>
      <c r="D1262" s="12" t="s">
        <v>2</v>
      </c>
      <c r="E1262" s="2" t="s">
        <v>3</v>
      </c>
      <c r="F1262" s="13" t="s">
        <v>4</v>
      </c>
      <c r="G1262" s="3" t="s">
        <v>5</v>
      </c>
      <c r="H1262" s="1" t="s">
        <v>6</v>
      </c>
      <c r="I1262" s="5" t="s">
        <v>8</v>
      </c>
      <c r="J1262" t="s">
        <v>9</v>
      </c>
      <c r="K1262" t="s">
        <v>10</v>
      </c>
      <c r="L1262" s="5" t="s">
        <v>11</v>
      </c>
      <c r="M1262" s="5" t="s">
        <v>12</v>
      </c>
      <c r="N1262" t="s">
        <v>13</v>
      </c>
      <c r="O1262" t="s">
        <v>20</v>
      </c>
      <c r="P1262" s="1" t="s">
        <v>7</v>
      </c>
      <c r="Q1262" s="5" t="s">
        <v>15</v>
      </c>
      <c r="R1262" s="14" t="s">
        <v>18</v>
      </c>
      <c r="S1262" t="s">
        <v>16</v>
      </c>
      <c r="T1262" s="5" t="s">
        <v>14</v>
      </c>
      <c r="U1262" s="5" t="s">
        <v>17</v>
      </c>
      <c r="V1262" s="5" t="s">
        <v>19</v>
      </c>
      <c r="W1262" s="5"/>
      <c r="X1262" s="5"/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</row>
    <row r="1263" spans="1:37" x14ac:dyDescent="0.25">
      <c r="A1263" s="11">
        <f>Table1[[#This Row],[Milk Yield]]-J1259</f>
        <v>289</v>
      </c>
      <c r="B1263" t="s">
        <v>24</v>
      </c>
      <c r="C1263" s="2">
        <v>1</v>
      </c>
      <c r="D1263" s="12">
        <v>45783</v>
      </c>
      <c r="E1263" s="2">
        <v>36</v>
      </c>
      <c r="F1263" s="13">
        <v>0.33515046296296297</v>
      </c>
      <c r="G1263" s="3">
        <v>0.53696759259259264</v>
      </c>
      <c r="H1263" s="1">
        <v>0.2013888888888889</v>
      </c>
      <c r="I1263" s="5">
        <v>716</v>
      </c>
      <c r="J1263">
        <v>9429</v>
      </c>
      <c r="K1263">
        <v>148</v>
      </c>
      <c r="L1263" s="5">
        <v>77</v>
      </c>
      <c r="M1263" s="5">
        <v>716</v>
      </c>
      <c r="N1263">
        <v>8</v>
      </c>
      <c r="O1263">
        <v>708</v>
      </c>
      <c r="P1263" s="1">
        <v>0.21944444444444444</v>
      </c>
      <c r="Q1263" s="5">
        <v>1947</v>
      </c>
      <c r="R1263" s="14">
        <v>13.2</v>
      </c>
      <c r="S1263">
        <v>148</v>
      </c>
      <c r="T1263" s="5">
        <v>8</v>
      </c>
      <c r="U1263" s="5">
        <v>709</v>
      </c>
      <c r="V1263" s="5">
        <v>1</v>
      </c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</row>
    <row r="1264" spans="1:37" x14ac:dyDescent="0.25">
      <c r="A1264" s="11">
        <f>Table1[[#This Row],[Milk Yield]]-J1260</f>
        <v>-727</v>
      </c>
      <c r="B1264" t="s">
        <v>24</v>
      </c>
      <c r="C1264" s="2">
        <v>2</v>
      </c>
      <c r="D1264" s="12">
        <v>45783</v>
      </c>
      <c r="E1264" s="2">
        <v>34</v>
      </c>
      <c r="F1264" s="13">
        <v>0.66983796296296294</v>
      </c>
      <c r="G1264" s="3">
        <v>0.86724537037037042</v>
      </c>
      <c r="H1264" s="1">
        <v>0.19722222222222222</v>
      </c>
      <c r="I1264" s="5">
        <v>717</v>
      </c>
      <c r="J1264">
        <v>8915</v>
      </c>
      <c r="K1264">
        <v>151</v>
      </c>
      <c r="L1264" s="5">
        <v>146</v>
      </c>
      <c r="M1264" s="5">
        <v>716</v>
      </c>
      <c r="N1264">
        <v>14</v>
      </c>
      <c r="O1264">
        <v>702</v>
      </c>
      <c r="P1264" s="1">
        <v>0.22430555555555556</v>
      </c>
      <c r="Q1264" s="5">
        <v>1882</v>
      </c>
      <c r="R1264" s="14">
        <v>12.5</v>
      </c>
      <c r="S1264">
        <v>151</v>
      </c>
      <c r="T1264" s="5">
        <v>14</v>
      </c>
      <c r="U1264" s="5">
        <v>703</v>
      </c>
      <c r="V1264" s="5">
        <v>1</v>
      </c>
      <c r="W1264" s="5"/>
      <c r="X1264" s="5"/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</row>
    <row r="1265" spans="1:37" x14ac:dyDescent="0.25">
      <c r="A1265" s="11">
        <f>Table1[[#This Row],[Milk Yield]]-J1261</f>
        <v>588</v>
      </c>
      <c r="B1265" t="s">
        <v>24</v>
      </c>
      <c r="C1265" s="2">
        <v>3</v>
      </c>
      <c r="D1265" s="12">
        <v>45783</v>
      </c>
      <c r="E1265" s="2">
        <v>34</v>
      </c>
      <c r="F1265" s="13">
        <v>1.1921296296296296E-3</v>
      </c>
      <c r="G1265" s="3">
        <v>0.17498842592592592</v>
      </c>
      <c r="H1265" s="1">
        <v>0.1736111111111111</v>
      </c>
      <c r="I1265" s="5">
        <v>710</v>
      </c>
      <c r="J1265">
        <v>8912</v>
      </c>
      <c r="K1265">
        <v>170</v>
      </c>
      <c r="L1265" s="5">
        <v>1458</v>
      </c>
      <c r="M1265" s="5">
        <v>710</v>
      </c>
      <c r="N1265">
        <v>102</v>
      </c>
      <c r="O1265">
        <v>608</v>
      </c>
      <c r="P1265" s="1">
        <v>0.26874999999999999</v>
      </c>
      <c r="Q1265" s="5">
        <v>2137</v>
      </c>
      <c r="R1265" s="14">
        <v>12.6</v>
      </c>
      <c r="S1265">
        <v>170</v>
      </c>
      <c r="T1265" s="5">
        <v>102</v>
      </c>
      <c r="U1265" s="5">
        <v>609</v>
      </c>
      <c r="V1265" s="5">
        <v>1</v>
      </c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</row>
    <row r="1266" spans="1:37" x14ac:dyDescent="0.25">
      <c r="A1266" s="11" t="e">
        <f>Table1[[#This Row],[Milk Yield]]-J1262</f>
        <v>#VALUE!</v>
      </c>
      <c r="B1266" t="s">
        <v>0</v>
      </c>
      <c r="C1266" s="2" t="s">
        <v>1</v>
      </c>
      <c r="D1266" s="12" t="s">
        <v>2</v>
      </c>
      <c r="E1266" s="2" t="s">
        <v>3</v>
      </c>
      <c r="F1266" s="13" t="s">
        <v>4</v>
      </c>
      <c r="G1266" s="3" t="s">
        <v>5</v>
      </c>
      <c r="H1266" s="1" t="s">
        <v>6</v>
      </c>
      <c r="I1266" s="5" t="s">
        <v>8</v>
      </c>
      <c r="J1266" t="s">
        <v>9</v>
      </c>
      <c r="K1266" t="s">
        <v>10</v>
      </c>
      <c r="L1266" s="5" t="s">
        <v>11</v>
      </c>
      <c r="M1266" s="5" t="s">
        <v>12</v>
      </c>
      <c r="N1266" t="s">
        <v>13</v>
      </c>
      <c r="O1266" t="s">
        <v>20</v>
      </c>
      <c r="P1266" s="1" t="s">
        <v>7</v>
      </c>
      <c r="Q1266" s="5" t="s">
        <v>15</v>
      </c>
      <c r="R1266" s="14" t="s">
        <v>18</v>
      </c>
      <c r="S1266" t="s">
        <v>16</v>
      </c>
      <c r="T1266" s="5" t="s">
        <v>14</v>
      </c>
      <c r="U1266" s="5" t="s">
        <v>17</v>
      </c>
      <c r="V1266" s="5" t="s">
        <v>19</v>
      </c>
      <c r="W1266" s="5"/>
      <c r="X1266" s="5"/>
      <c r="Y1266" s="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</row>
    <row r="1267" spans="1:37" x14ac:dyDescent="0.25">
      <c r="A1267" s="11">
        <f>Table1[[#This Row],[Milk Yield]]-J1263</f>
        <v>319</v>
      </c>
      <c r="B1267" t="s">
        <v>24</v>
      </c>
      <c r="C1267" s="2">
        <v>1</v>
      </c>
      <c r="D1267" s="12">
        <v>45784</v>
      </c>
      <c r="E1267" s="2">
        <v>33</v>
      </c>
      <c r="F1267" s="13">
        <v>0.3366898148148148</v>
      </c>
      <c r="G1267" s="3">
        <v>0.52969907407407413</v>
      </c>
      <c r="H1267" s="1">
        <v>0.19236111111111112</v>
      </c>
      <c r="I1267" s="5">
        <v>702</v>
      </c>
      <c r="J1267">
        <v>9748</v>
      </c>
      <c r="K1267">
        <v>152</v>
      </c>
      <c r="L1267" s="5">
        <v>518</v>
      </c>
      <c r="M1267" s="5">
        <v>702</v>
      </c>
      <c r="N1267">
        <v>36</v>
      </c>
      <c r="O1267">
        <v>666</v>
      </c>
      <c r="P1267" s="1">
        <v>0.22708333333333333</v>
      </c>
      <c r="Q1267" s="5">
        <v>2104</v>
      </c>
      <c r="R1267" s="14">
        <v>13.9</v>
      </c>
      <c r="S1267">
        <v>152</v>
      </c>
      <c r="T1267" s="5">
        <v>36</v>
      </c>
      <c r="U1267" s="5">
        <v>667</v>
      </c>
      <c r="V1267" s="5">
        <v>1</v>
      </c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</row>
    <row r="1268" spans="1:37" x14ac:dyDescent="0.25">
      <c r="A1268" s="11">
        <f>Table1[[#This Row],[Milk Yield]]-J1264</f>
        <v>78</v>
      </c>
      <c r="B1268" t="s">
        <v>24</v>
      </c>
      <c r="C1268" s="2">
        <v>2</v>
      </c>
      <c r="D1268" s="12">
        <v>45784</v>
      </c>
      <c r="E1268" s="2">
        <v>35</v>
      </c>
      <c r="F1268" s="13">
        <v>0.66964120370370372</v>
      </c>
      <c r="G1268" s="3">
        <v>0.87233796296296295</v>
      </c>
      <c r="H1268" s="1">
        <v>0.20208333333333334</v>
      </c>
      <c r="I1268" s="5">
        <v>719</v>
      </c>
      <c r="J1268">
        <v>8993</v>
      </c>
      <c r="K1268">
        <v>148</v>
      </c>
      <c r="L1268" s="5">
        <v>157</v>
      </c>
      <c r="M1268" s="5">
        <v>717</v>
      </c>
      <c r="N1268">
        <v>16</v>
      </c>
      <c r="O1268">
        <v>701</v>
      </c>
      <c r="P1268" s="1">
        <v>0.22777777777777777</v>
      </c>
      <c r="Q1268" s="5">
        <v>1849</v>
      </c>
      <c r="R1268" s="14">
        <v>12.6</v>
      </c>
      <c r="S1268">
        <v>147</v>
      </c>
      <c r="T1268" s="5">
        <v>16</v>
      </c>
      <c r="U1268" s="5">
        <v>702</v>
      </c>
      <c r="V1268" s="5">
        <v>1</v>
      </c>
      <c r="W1268" s="5"/>
      <c r="X1268" s="5"/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</row>
    <row r="1269" spans="1:37" x14ac:dyDescent="0.25">
      <c r="A1269" s="11">
        <f>Table1[[#This Row],[Milk Yield]]-J1265</f>
        <v>-169</v>
      </c>
      <c r="B1269" t="s">
        <v>24</v>
      </c>
      <c r="C1269" s="2">
        <v>3</v>
      </c>
      <c r="D1269" s="12">
        <v>45784</v>
      </c>
      <c r="E1269" s="2">
        <v>34</v>
      </c>
      <c r="F1269" s="13">
        <v>0.99836805555555552</v>
      </c>
      <c r="G1269" s="3">
        <v>0.18123842592592593</v>
      </c>
      <c r="H1269" s="1">
        <v>0.18263888888888888</v>
      </c>
      <c r="I1269" s="5">
        <v>713</v>
      </c>
      <c r="J1269">
        <v>8743</v>
      </c>
      <c r="K1269">
        <v>162</v>
      </c>
      <c r="L1269" s="5">
        <v>152</v>
      </c>
      <c r="M1269" s="5">
        <v>713</v>
      </c>
      <c r="N1269">
        <v>15</v>
      </c>
      <c r="O1269">
        <v>698</v>
      </c>
      <c r="P1269" s="1">
        <v>0.22638888888888889</v>
      </c>
      <c r="Q1269" s="5">
        <v>1992</v>
      </c>
      <c r="R1269" s="14">
        <v>12.3</v>
      </c>
      <c r="S1269">
        <v>162</v>
      </c>
      <c r="T1269" s="5">
        <v>15</v>
      </c>
      <c r="U1269" s="5">
        <v>699</v>
      </c>
      <c r="V1269" s="5">
        <v>1</v>
      </c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</row>
    <row r="1270" spans="1:37" x14ac:dyDescent="0.25">
      <c r="A1270" s="11" t="e">
        <f>Table1[[#This Row],[Milk Yield]]-J1266</f>
        <v>#VALUE!</v>
      </c>
      <c r="B1270" t="s">
        <v>0</v>
      </c>
      <c r="C1270" s="2" t="s">
        <v>1</v>
      </c>
      <c r="D1270" s="12" t="s">
        <v>2</v>
      </c>
      <c r="E1270" s="2" t="s">
        <v>3</v>
      </c>
      <c r="F1270" s="13" t="s">
        <v>4</v>
      </c>
      <c r="G1270" s="3" t="s">
        <v>5</v>
      </c>
      <c r="H1270" s="1" t="s">
        <v>6</v>
      </c>
      <c r="I1270" s="5" t="s">
        <v>8</v>
      </c>
      <c r="J1270" t="s">
        <v>9</v>
      </c>
      <c r="K1270" t="s">
        <v>10</v>
      </c>
      <c r="L1270" s="5" t="s">
        <v>11</v>
      </c>
      <c r="M1270" s="5" t="s">
        <v>12</v>
      </c>
      <c r="N1270" t="s">
        <v>13</v>
      </c>
      <c r="O1270" t="s">
        <v>20</v>
      </c>
      <c r="P1270" s="1" t="s">
        <v>7</v>
      </c>
      <c r="Q1270" s="5" t="s">
        <v>15</v>
      </c>
      <c r="R1270" s="14" t="s">
        <v>18</v>
      </c>
      <c r="S1270" t="s">
        <v>16</v>
      </c>
      <c r="T1270" s="5" t="s">
        <v>14</v>
      </c>
      <c r="U1270" s="5" t="s">
        <v>17</v>
      </c>
      <c r="V1270" s="5" t="s">
        <v>19</v>
      </c>
      <c r="W1270" s="5"/>
      <c r="X1270" s="5"/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</row>
    <row r="1271" spans="1:37" x14ac:dyDescent="0.25">
      <c r="A1271" s="11">
        <f>Table1[[#This Row],[Milk Yield]]-J1267</f>
        <v>-454</v>
      </c>
      <c r="B1271" t="s">
        <v>24</v>
      </c>
      <c r="C1271" s="2">
        <v>1</v>
      </c>
      <c r="D1271" s="12">
        <v>45785</v>
      </c>
      <c r="E1271" s="2">
        <v>33</v>
      </c>
      <c r="F1271" s="13">
        <v>0.33899305555555553</v>
      </c>
      <c r="G1271" s="3">
        <v>0.52989583333333334</v>
      </c>
      <c r="H1271" s="1">
        <v>0.19027777777777777</v>
      </c>
      <c r="I1271" s="5">
        <v>715</v>
      </c>
      <c r="J1271">
        <v>9294</v>
      </c>
      <c r="K1271">
        <v>156</v>
      </c>
      <c r="L1271" s="5">
        <v>246</v>
      </c>
      <c r="M1271" s="5">
        <v>715</v>
      </c>
      <c r="N1271">
        <v>22</v>
      </c>
      <c r="O1271">
        <v>693</v>
      </c>
      <c r="P1271" s="1">
        <v>0.21875</v>
      </c>
      <c r="Q1271" s="5">
        <v>2029</v>
      </c>
      <c r="R1271" s="14">
        <v>13</v>
      </c>
      <c r="S1271">
        <v>156</v>
      </c>
      <c r="T1271" s="5">
        <v>22</v>
      </c>
      <c r="U1271" s="5">
        <v>694</v>
      </c>
      <c r="V1271" s="5">
        <v>1</v>
      </c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</row>
    <row r="1272" spans="1:37" x14ac:dyDescent="0.25">
      <c r="A1272" s="11">
        <f>Table1[[#This Row],[Milk Yield]]-J1268</f>
        <v>1</v>
      </c>
      <c r="B1272" t="s">
        <v>24</v>
      </c>
      <c r="C1272" s="2">
        <v>2</v>
      </c>
      <c r="D1272" s="12">
        <v>45785</v>
      </c>
      <c r="E1272" s="2">
        <v>35</v>
      </c>
      <c r="F1272" s="13">
        <v>0.66741898148148149</v>
      </c>
      <c r="G1272" s="3">
        <v>0.86019675925925931</v>
      </c>
      <c r="H1272" s="1">
        <v>0.19236111111111112</v>
      </c>
      <c r="I1272" s="5">
        <v>725</v>
      </c>
      <c r="J1272">
        <v>8994</v>
      </c>
      <c r="K1272">
        <v>157</v>
      </c>
      <c r="L1272" s="5">
        <v>315</v>
      </c>
      <c r="M1272" s="5">
        <v>723</v>
      </c>
      <c r="N1272">
        <v>30</v>
      </c>
      <c r="O1272">
        <v>693</v>
      </c>
      <c r="P1272" s="1">
        <v>0.22708333333333333</v>
      </c>
      <c r="Q1272" s="5">
        <v>1944</v>
      </c>
      <c r="R1272" s="14">
        <v>12.5</v>
      </c>
      <c r="S1272">
        <v>156</v>
      </c>
      <c r="T1272" s="5">
        <v>30</v>
      </c>
      <c r="U1272" s="5">
        <v>693</v>
      </c>
      <c r="V1272" s="5">
        <v>0</v>
      </c>
      <c r="W1272" s="5"/>
      <c r="X1272" s="5"/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</row>
    <row r="1273" spans="1:37" x14ac:dyDescent="0.25">
      <c r="A1273" s="11">
        <f>Table1[[#This Row],[Milk Yield]]-J1269</f>
        <v>499</v>
      </c>
      <c r="B1273" t="s">
        <v>24</v>
      </c>
      <c r="C1273" s="2">
        <v>3</v>
      </c>
      <c r="D1273" s="12">
        <v>45785</v>
      </c>
      <c r="E1273" s="2">
        <v>33</v>
      </c>
      <c r="F1273" s="13">
        <v>3.5648148148148149E-3</v>
      </c>
      <c r="G1273" s="3">
        <v>0.19092592592592592</v>
      </c>
      <c r="H1273" s="1">
        <v>0.18680555555555556</v>
      </c>
      <c r="I1273" s="5">
        <v>713</v>
      </c>
      <c r="J1273">
        <v>9242</v>
      </c>
      <c r="K1273">
        <v>159</v>
      </c>
      <c r="L1273" s="5">
        <v>33</v>
      </c>
      <c r="M1273" s="5">
        <v>712</v>
      </c>
      <c r="N1273">
        <v>3</v>
      </c>
      <c r="O1273">
        <v>709</v>
      </c>
      <c r="P1273" s="1">
        <v>0.23333333333333334</v>
      </c>
      <c r="Q1273" s="5">
        <v>2055</v>
      </c>
      <c r="R1273" s="14">
        <v>13</v>
      </c>
      <c r="S1273">
        <v>158</v>
      </c>
      <c r="T1273" s="5">
        <v>3</v>
      </c>
      <c r="U1273" s="5">
        <v>709</v>
      </c>
      <c r="V1273" s="5">
        <v>0</v>
      </c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</row>
    <row r="1274" spans="1:37" x14ac:dyDescent="0.25">
      <c r="A1274" s="11" t="e">
        <f>Table1[[#This Row],[Milk Yield]]-J1270</f>
        <v>#VALUE!</v>
      </c>
      <c r="B1274" t="s">
        <v>0</v>
      </c>
      <c r="C1274" s="2" t="s">
        <v>1</v>
      </c>
      <c r="D1274" s="12" t="s">
        <v>2</v>
      </c>
      <c r="E1274" s="2" t="s">
        <v>3</v>
      </c>
      <c r="F1274" s="13" t="s">
        <v>4</v>
      </c>
      <c r="G1274" s="3" t="s">
        <v>5</v>
      </c>
      <c r="H1274" s="1" t="s">
        <v>6</v>
      </c>
      <c r="I1274" s="5" t="s">
        <v>8</v>
      </c>
      <c r="J1274" t="s">
        <v>9</v>
      </c>
      <c r="K1274" t="s">
        <v>10</v>
      </c>
      <c r="L1274" s="5" t="s">
        <v>11</v>
      </c>
      <c r="M1274" s="5" t="s">
        <v>12</v>
      </c>
      <c r="N1274" t="s">
        <v>13</v>
      </c>
      <c r="O1274" t="s">
        <v>20</v>
      </c>
      <c r="P1274" s="1" t="s">
        <v>7</v>
      </c>
      <c r="Q1274" s="5" t="s">
        <v>15</v>
      </c>
      <c r="R1274" s="14" t="s">
        <v>18</v>
      </c>
      <c r="S1274" t="s">
        <v>16</v>
      </c>
      <c r="T1274" s="5" t="s">
        <v>14</v>
      </c>
      <c r="U1274" s="5" t="s">
        <v>17</v>
      </c>
      <c r="V1274" s="5" t="s">
        <v>19</v>
      </c>
      <c r="W1274" s="5"/>
      <c r="X1274" s="5"/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</row>
    <row r="1275" spans="1:37" x14ac:dyDescent="0.25">
      <c r="A1275" s="11">
        <f>Table1[[#This Row],[Milk Yield]]-J1271</f>
        <v>195</v>
      </c>
      <c r="B1275" t="s">
        <v>24</v>
      </c>
      <c r="C1275" s="2">
        <v>1</v>
      </c>
      <c r="D1275" s="12">
        <v>45786</v>
      </c>
      <c r="E1275" s="2">
        <v>35</v>
      </c>
      <c r="F1275" s="13">
        <v>0.33949074074074076</v>
      </c>
      <c r="G1275" s="3">
        <v>0.53813657407407411</v>
      </c>
      <c r="H1275" s="1">
        <v>0.1986111111111111</v>
      </c>
      <c r="I1275" s="5">
        <v>715</v>
      </c>
      <c r="J1275">
        <v>9489</v>
      </c>
      <c r="K1275">
        <v>150</v>
      </c>
      <c r="L1275" s="5">
        <v>899</v>
      </c>
      <c r="M1275" s="5">
        <v>714</v>
      </c>
      <c r="N1275">
        <v>71</v>
      </c>
      <c r="O1275">
        <v>643</v>
      </c>
      <c r="P1275" s="1">
        <v>0.23541666666666666</v>
      </c>
      <c r="Q1275" s="5">
        <v>1990</v>
      </c>
      <c r="R1275" s="14">
        <v>13.3</v>
      </c>
      <c r="S1275">
        <v>150</v>
      </c>
      <c r="T1275" s="5">
        <v>71</v>
      </c>
      <c r="U1275" s="5">
        <v>643</v>
      </c>
      <c r="V1275" s="5">
        <v>0</v>
      </c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</row>
    <row r="1276" spans="1:37" x14ac:dyDescent="0.25">
      <c r="A1276" s="11">
        <f>Table1[[#This Row],[Milk Yield]]-J1272</f>
        <v>-109</v>
      </c>
      <c r="B1276" t="s">
        <v>24</v>
      </c>
      <c r="C1276" s="2">
        <v>2</v>
      </c>
      <c r="D1276" s="12">
        <v>45786</v>
      </c>
      <c r="E1276" s="2">
        <v>35</v>
      </c>
      <c r="F1276" s="13">
        <v>0.66871527777777773</v>
      </c>
      <c r="G1276" s="3">
        <v>0.85956018518518518</v>
      </c>
      <c r="H1276" s="1">
        <v>0.19027777777777777</v>
      </c>
      <c r="I1276" s="5">
        <v>706</v>
      </c>
      <c r="J1276">
        <v>8885</v>
      </c>
      <c r="K1276">
        <v>154</v>
      </c>
      <c r="L1276" s="5">
        <v>133</v>
      </c>
      <c r="M1276" s="5">
        <v>706</v>
      </c>
      <c r="N1276">
        <v>12</v>
      </c>
      <c r="O1276">
        <v>694</v>
      </c>
      <c r="P1276" s="1">
        <v>0.22083333333333333</v>
      </c>
      <c r="Q1276" s="5">
        <v>1940</v>
      </c>
      <c r="R1276" s="14">
        <v>12.6</v>
      </c>
      <c r="S1276">
        <v>154</v>
      </c>
      <c r="T1276" s="5">
        <v>12</v>
      </c>
      <c r="U1276" s="5">
        <v>694</v>
      </c>
      <c r="V1276" s="5">
        <v>0</v>
      </c>
      <c r="W1276" s="5"/>
      <c r="X1276" s="5"/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</row>
    <row r="1277" spans="1:37" x14ac:dyDescent="0.25">
      <c r="A1277" s="11">
        <f>Table1[[#This Row],[Milk Yield]]-J1273</f>
        <v>-210</v>
      </c>
      <c r="B1277" t="s">
        <v>24</v>
      </c>
      <c r="C1277" s="2">
        <v>3</v>
      </c>
      <c r="D1277" s="12">
        <v>45786</v>
      </c>
      <c r="E1277" s="2">
        <v>33</v>
      </c>
      <c r="F1277" s="13">
        <v>0.99870370370370365</v>
      </c>
      <c r="G1277" s="3">
        <v>0.19893518518518519</v>
      </c>
      <c r="H1277" s="1">
        <v>0.2</v>
      </c>
      <c r="I1277" s="5">
        <v>704</v>
      </c>
      <c r="J1277">
        <v>9032</v>
      </c>
      <c r="K1277">
        <v>146</v>
      </c>
      <c r="L1277" s="5">
        <v>120</v>
      </c>
      <c r="M1277" s="5">
        <v>704</v>
      </c>
      <c r="N1277">
        <v>13</v>
      </c>
      <c r="O1277">
        <v>691</v>
      </c>
      <c r="P1277" s="1">
        <v>0.22847222222222222</v>
      </c>
      <c r="Q1277" s="5">
        <v>1879</v>
      </c>
      <c r="R1277" s="14">
        <v>12.9</v>
      </c>
      <c r="S1277">
        <v>146</v>
      </c>
      <c r="T1277" s="5">
        <v>13</v>
      </c>
      <c r="U1277" s="5">
        <v>691</v>
      </c>
      <c r="V1277" s="5">
        <v>0</v>
      </c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</row>
    <row r="1278" spans="1:37" x14ac:dyDescent="0.25">
      <c r="A1278" s="11" t="e">
        <f>Table1[[#This Row],[Milk Yield]]-J1274</f>
        <v>#VALUE!</v>
      </c>
      <c r="B1278" t="s">
        <v>0</v>
      </c>
      <c r="C1278" s="2" t="s">
        <v>1</v>
      </c>
      <c r="D1278" s="12" t="s">
        <v>2</v>
      </c>
      <c r="E1278" s="2" t="s">
        <v>3</v>
      </c>
      <c r="F1278" s="13" t="s">
        <v>4</v>
      </c>
      <c r="G1278" s="3" t="s">
        <v>5</v>
      </c>
      <c r="H1278" s="1" t="s">
        <v>6</v>
      </c>
      <c r="I1278" s="5" t="s">
        <v>8</v>
      </c>
      <c r="J1278" t="s">
        <v>9</v>
      </c>
      <c r="K1278" t="s">
        <v>10</v>
      </c>
      <c r="L1278" s="5" t="s">
        <v>11</v>
      </c>
      <c r="M1278" s="5" t="s">
        <v>12</v>
      </c>
      <c r="N1278" t="s">
        <v>13</v>
      </c>
      <c r="O1278" t="s">
        <v>20</v>
      </c>
      <c r="P1278" s="1" t="s">
        <v>7</v>
      </c>
      <c r="Q1278" s="5" t="s">
        <v>15</v>
      </c>
      <c r="R1278" s="14" t="s">
        <v>18</v>
      </c>
      <c r="S1278" t="s">
        <v>16</v>
      </c>
      <c r="T1278" s="5" t="s">
        <v>14</v>
      </c>
      <c r="U1278" s="5" t="s">
        <v>17</v>
      </c>
      <c r="V1278" s="5" t="s">
        <v>19</v>
      </c>
      <c r="W1278" s="5"/>
      <c r="X1278" s="5"/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</row>
    <row r="1279" spans="1:37" x14ac:dyDescent="0.25">
      <c r="A1279" s="11">
        <f>Table1[[#This Row],[Milk Yield]]-J1275</f>
        <v>-75</v>
      </c>
      <c r="B1279" t="s">
        <v>24</v>
      </c>
      <c r="C1279" s="2">
        <v>1</v>
      </c>
      <c r="D1279" s="12">
        <v>45787</v>
      </c>
      <c r="E1279" s="2">
        <v>35</v>
      </c>
      <c r="F1279" s="13">
        <v>0.33657407407407408</v>
      </c>
      <c r="G1279" s="3">
        <v>0.5378356481481481</v>
      </c>
      <c r="H1279" s="1">
        <v>0.20069444444444445</v>
      </c>
      <c r="I1279" s="5">
        <v>705</v>
      </c>
      <c r="J1279">
        <v>9414</v>
      </c>
      <c r="K1279">
        <v>146</v>
      </c>
      <c r="L1279" s="5">
        <v>116</v>
      </c>
      <c r="M1279" s="5">
        <v>705</v>
      </c>
      <c r="N1279">
        <v>9</v>
      </c>
      <c r="O1279">
        <v>696</v>
      </c>
      <c r="P1279" s="1">
        <v>0.22152777777777777</v>
      </c>
      <c r="Q1279" s="5">
        <v>1949</v>
      </c>
      <c r="R1279" s="14">
        <v>13.4</v>
      </c>
      <c r="S1279">
        <v>146</v>
      </c>
      <c r="T1279" s="5">
        <v>9</v>
      </c>
      <c r="U1279" s="5">
        <v>696</v>
      </c>
      <c r="V1279" s="5">
        <v>0</v>
      </c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</row>
    <row r="1280" spans="1:37" x14ac:dyDescent="0.25">
      <c r="A1280" s="11">
        <f>Table1[[#This Row],[Milk Yield]]-J1276</f>
        <v>181</v>
      </c>
      <c r="B1280" t="s">
        <v>24</v>
      </c>
      <c r="C1280" s="2">
        <v>2</v>
      </c>
      <c r="D1280" s="12">
        <v>45787</v>
      </c>
      <c r="E1280" s="2">
        <v>35</v>
      </c>
      <c r="F1280" s="13">
        <v>0.66660879629629632</v>
      </c>
      <c r="G1280" s="3">
        <v>0.89444444444444449</v>
      </c>
      <c r="H1280" s="1">
        <v>0.22777777777777777</v>
      </c>
      <c r="I1280" s="5">
        <v>710</v>
      </c>
      <c r="J1280">
        <v>9066</v>
      </c>
      <c r="K1280">
        <v>130</v>
      </c>
      <c r="L1280" s="5">
        <v>462</v>
      </c>
      <c r="M1280" s="5">
        <v>709</v>
      </c>
      <c r="N1280">
        <v>38</v>
      </c>
      <c r="O1280">
        <v>671</v>
      </c>
      <c r="P1280" s="1">
        <v>0.2361111111111111</v>
      </c>
      <c r="Q1280" s="5">
        <v>1658</v>
      </c>
      <c r="R1280" s="14">
        <v>12.8</v>
      </c>
      <c r="S1280">
        <v>130</v>
      </c>
      <c r="T1280" s="5">
        <v>38</v>
      </c>
      <c r="U1280" s="5">
        <v>671</v>
      </c>
      <c r="V1280" s="5">
        <v>0</v>
      </c>
      <c r="W1280" s="5"/>
      <c r="X1280" s="5"/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</row>
    <row r="1281" spans="1:37" x14ac:dyDescent="0.25">
      <c r="A1281" s="11">
        <f>Table1[[#This Row],[Milk Yield]]-J1277</f>
        <v>-444</v>
      </c>
      <c r="B1281" t="s">
        <v>24</v>
      </c>
      <c r="C1281" s="2">
        <v>3</v>
      </c>
      <c r="D1281" s="12">
        <v>45787</v>
      </c>
      <c r="E1281" s="2">
        <v>34</v>
      </c>
      <c r="F1281" s="13">
        <v>0.99988425925925928</v>
      </c>
      <c r="G1281" s="3">
        <v>0.2036574074074074</v>
      </c>
      <c r="H1281" s="1">
        <v>0.20347222222222222</v>
      </c>
      <c r="I1281" s="5">
        <v>702</v>
      </c>
      <c r="J1281">
        <v>8588</v>
      </c>
      <c r="K1281">
        <v>144</v>
      </c>
      <c r="L1281" s="5">
        <v>126</v>
      </c>
      <c r="M1281" s="5">
        <v>702</v>
      </c>
      <c r="N1281">
        <v>11</v>
      </c>
      <c r="O1281">
        <v>691</v>
      </c>
      <c r="P1281" s="1">
        <v>0.22361111111111112</v>
      </c>
      <c r="Q1281" s="5">
        <v>1756</v>
      </c>
      <c r="R1281" s="14">
        <v>12.3</v>
      </c>
      <c r="S1281">
        <v>144</v>
      </c>
      <c r="T1281" s="5">
        <v>11</v>
      </c>
      <c r="U1281" s="5">
        <v>691</v>
      </c>
      <c r="V1281" s="5">
        <v>0</v>
      </c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</row>
    <row r="1282" spans="1:37" x14ac:dyDescent="0.25">
      <c r="A1282" s="11" t="e">
        <f>Table1[[#This Row],[Milk Yield]]-J1278</f>
        <v>#VALUE!</v>
      </c>
      <c r="B1282" t="s">
        <v>0</v>
      </c>
      <c r="C1282" s="2" t="s">
        <v>1</v>
      </c>
      <c r="D1282" s="12" t="s">
        <v>2</v>
      </c>
      <c r="E1282" s="2" t="s">
        <v>3</v>
      </c>
      <c r="F1282" s="13" t="s">
        <v>4</v>
      </c>
      <c r="G1282" s="3" t="s">
        <v>5</v>
      </c>
      <c r="H1282" s="1" t="s">
        <v>6</v>
      </c>
      <c r="I1282" s="5" t="s">
        <v>8</v>
      </c>
      <c r="J1282" t="s">
        <v>9</v>
      </c>
      <c r="K1282" t="s">
        <v>10</v>
      </c>
      <c r="L1282" s="5" t="s">
        <v>11</v>
      </c>
      <c r="M1282" s="5" t="s">
        <v>12</v>
      </c>
      <c r="N1282" t="s">
        <v>13</v>
      </c>
      <c r="O1282" t="s">
        <v>20</v>
      </c>
      <c r="P1282" s="1" t="s">
        <v>7</v>
      </c>
      <c r="Q1282" s="5" t="s">
        <v>15</v>
      </c>
      <c r="R1282" s="14" t="s">
        <v>18</v>
      </c>
      <c r="S1282" t="s">
        <v>16</v>
      </c>
      <c r="T1282" s="5" t="s">
        <v>14</v>
      </c>
      <c r="U1282" s="5" t="s">
        <v>17</v>
      </c>
      <c r="V1282" s="5" t="s">
        <v>19</v>
      </c>
      <c r="W1282" s="5"/>
      <c r="X1282" s="5"/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</row>
    <row r="1283" spans="1:37" x14ac:dyDescent="0.25">
      <c r="A1283" s="11">
        <f>Table1[[#This Row],[Milk Yield]]-J1279</f>
        <v>-444</v>
      </c>
      <c r="B1283" t="s">
        <v>24</v>
      </c>
      <c r="C1283" s="2">
        <v>1</v>
      </c>
      <c r="D1283" s="12">
        <v>45788</v>
      </c>
      <c r="E1283" s="2">
        <v>36</v>
      </c>
      <c r="F1283" s="13">
        <v>0.33846064814814814</v>
      </c>
      <c r="G1283" s="3">
        <v>0.52225694444444448</v>
      </c>
      <c r="H1283" s="1">
        <v>0.18333333333333332</v>
      </c>
      <c r="I1283" s="5">
        <v>724</v>
      </c>
      <c r="J1283">
        <v>8970</v>
      </c>
      <c r="K1283">
        <v>164</v>
      </c>
      <c r="L1283" s="5">
        <v>345</v>
      </c>
      <c r="M1283" s="5">
        <v>723</v>
      </c>
      <c r="N1283">
        <v>30</v>
      </c>
      <c r="O1283">
        <v>693</v>
      </c>
      <c r="P1283" s="1">
        <v>0.21527777777777779</v>
      </c>
      <c r="Q1283" s="5">
        <v>2033</v>
      </c>
      <c r="R1283" s="14">
        <v>12.5</v>
      </c>
      <c r="S1283">
        <v>164</v>
      </c>
      <c r="T1283" s="5">
        <v>30</v>
      </c>
      <c r="U1283" s="5">
        <v>693</v>
      </c>
      <c r="V1283" s="5">
        <v>0</v>
      </c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</row>
    <row r="1284" spans="1:37" x14ac:dyDescent="0.25">
      <c r="A1284" s="11">
        <f>Table1[[#This Row],[Milk Yield]]-J1280</f>
        <v>416</v>
      </c>
      <c r="B1284" t="s">
        <v>24</v>
      </c>
      <c r="C1284" s="2">
        <v>2</v>
      </c>
      <c r="D1284" s="12">
        <v>45788</v>
      </c>
      <c r="E1284" s="2">
        <v>33</v>
      </c>
      <c r="F1284" s="13">
        <v>0.66972222222222222</v>
      </c>
      <c r="G1284" s="3">
        <v>0.88901620370370371</v>
      </c>
      <c r="H1284" s="1">
        <v>0.21875</v>
      </c>
      <c r="I1284" s="5">
        <v>720</v>
      </c>
      <c r="J1284">
        <v>9482</v>
      </c>
      <c r="K1284">
        <v>137</v>
      </c>
      <c r="L1284" s="5">
        <v>236</v>
      </c>
      <c r="M1284" s="5">
        <v>707</v>
      </c>
      <c r="N1284">
        <v>17</v>
      </c>
      <c r="O1284">
        <v>690</v>
      </c>
      <c r="P1284" s="1">
        <v>0.23958333333333334</v>
      </c>
      <c r="Q1284" s="5">
        <v>1801</v>
      </c>
      <c r="R1284" s="14">
        <v>13.5</v>
      </c>
      <c r="S1284">
        <v>134</v>
      </c>
      <c r="T1284" s="5">
        <v>17</v>
      </c>
      <c r="U1284" s="5">
        <v>690</v>
      </c>
      <c r="V1284" s="5">
        <v>0</v>
      </c>
      <c r="W1284" s="5"/>
      <c r="X1284" s="5"/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</row>
    <row r="1285" spans="1:37" x14ac:dyDescent="0.25">
      <c r="A1285" s="11">
        <f>Table1[[#This Row],[Milk Yield]]-J1281</f>
        <v>169</v>
      </c>
      <c r="B1285" t="s">
        <v>24</v>
      </c>
      <c r="C1285" s="2">
        <v>3</v>
      </c>
      <c r="D1285" s="12">
        <v>45788</v>
      </c>
      <c r="E1285" s="2">
        <v>33</v>
      </c>
      <c r="F1285" s="13">
        <v>3.5879629629629629E-4</v>
      </c>
      <c r="G1285" s="3">
        <v>0.20231481481481481</v>
      </c>
      <c r="H1285" s="1">
        <v>0.2013888888888889</v>
      </c>
      <c r="I1285" s="5">
        <v>708</v>
      </c>
      <c r="J1285">
        <v>8757</v>
      </c>
      <c r="K1285">
        <v>146</v>
      </c>
      <c r="L1285" s="5">
        <v>109</v>
      </c>
      <c r="M1285" s="5">
        <v>708</v>
      </c>
      <c r="N1285">
        <v>9</v>
      </c>
      <c r="O1285">
        <v>699</v>
      </c>
      <c r="P1285" s="1">
        <v>0.22500000000000001</v>
      </c>
      <c r="Q1285" s="5">
        <v>1807</v>
      </c>
      <c r="R1285" s="14">
        <v>12.4</v>
      </c>
      <c r="S1285">
        <v>146</v>
      </c>
      <c r="T1285" s="5">
        <v>9</v>
      </c>
      <c r="U1285" s="5">
        <v>699</v>
      </c>
      <c r="V1285" s="5">
        <v>0</v>
      </c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</row>
    <row r="1286" spans="1:37" x14ac:dyDescent="0.25">
      <c r="A1286" s="11" t="e">
        <f>Table1[[#This Row],[Milk Yield]]-J1282</f>
        <v>#VALUE!</v>
      </c>
      <c r="B1286" t="s">
        <v>0</v>
      </c>
      <c r="C1286" s="2" t="s">
        <v>1</v>
      </c>
      <c r="D1286" s="12" t="s">
        <v>2</v>
      </c>
      <c r="E1286" s="2" t="s">
        <v>3</v>
      </c>
      <c r="F1286" s="13" t="s">
        <v>4</v>
      </c>
      <c r="G1286" s="3" t="s">
        <v>5</v>
      </c>
      <c r="H1286" s="1" t="s">
        <v>6</v>
      </c>
      <c r="I1286" s="5" t="s">
        <v>8</v>
      </c>
      <c r="J1286" t="s">
        <v>9</v>
      </c>
      <c r="K1286" t="s">
        <v>10</v>
      </c>
      <c r="L1286" s="5" t="s">
        <v>11</v>
      </c>
      <c r="M1286" s="5" t="s">
        <v>12</v>
      </c>
      <c r="N1286" t="s">
        <v>13</v>
      </c>
      <c r="O1286" t="s">
        <v>20</v>
      </c>
      <c r="P1286" s="1" t="s">
        <v>7</v>
      </c>
      <c r="Q1286" s="5" t="s">
        <v>15</v>
      </c>
      <c r="R1286" s="14" t="s">
        <v>18</v>
      </c>
      <c r="S1286" t="s">
        <v>16</v>
      </c>
      <c r="T1286" s="5" t="s">
        <v>14</v>
      </c>
      <c r="U1286" s="5" t="s">
        <v>17</v>
      </c>
      <c r="V1286" s="5" t="s">
        <v>19</v>
      </c>
      <c r="W1286" s="5"/>
      <c r="X1286" s="5"/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</row>
    <row r="1287" spans="1:37" x14ac:dyDescent="0.25">
      <c r="A1287" s="11">
        <f>Table1[[#This Row],[Milk Yield]]-J1283</f>
        <v>571</v>
      </c>
      <c r="B1287" t="s">
        <v>24</v>
      </c>
      <c r="C1287" s="2">
        <v>1</v>
      </c>
      <c r="D1287" s="12">
        <v>45789</v>
      </c>
      <c r="E1287" s="2">
        <v>35</v>
      </c>
      <c r="F1287" s="13">
        <v>0.33984953703703702</v>
      </c>
      <c r="G1287" s="3">
        <v>0.56160879629629634</v>
      </c>
      <c r="H1287" s="1">
        <v>0.22152777777777777</v>
      </c>
      <c r="I1287" s="5">
        <v>709</v>
      </c>
      <c r="J1287">
        <v>9541</v>
      </c>
      <c r="K1287">
        <v>133</v>
      </c>
      <c r="L1287" s="5">
        <v>220</v>
      </c>
      <c r="M1287" s="5">
        <v>709</v>
      </c>
      <c r="N1287">
        <v>15</v>
      </c>
      <c r="O1287">
        <v>694</v>
      </c>
      <c r="P1287" s="1">
        <v>0.23472222222222222</v>
      </c>
      <c r="Q1287" s="5">
        <v>1793</v>
      </c>
      <c r="R1287" s="14">
        <v>13.5</v>
      </c>
      <c r="S1287">
        <v>133</v>
      </c>
      <c r="T1287" s="5">
        <v>15</v>
      </c>
      <c r="U1287" s="5">
        <v>694</v>
      </c>
      <c r="V1287" s="5">
        <v>0</v>
      </c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</row>
    <row r="1288" spans="1:37" x14ac:dyDescent="0.25">
      <c r="A1288" s="11">
        <f>Table1[[#This Row],[Milk Yield]]-J1284</f>
        <v>-966</v>
      </c>
      <c r="B1288" t="s">
        <v>24</v>
      </c>
      <c r="C1288" s="2">
        <v>2</v>
      </c>
      <c r="D1288" s="12">
        <v>45789</v>
      </c>
      <c r="E1288" s="2">
        <v>35</v>
      </c>
      <c r="F1288" s="13">
        <v>0.67021990740740744</v>
      </c>
      <c r="G1288" s="3">
        <v>0.88747685185185188</v>
      </c>
      <c r="H1288" s="1">
        <v>0.21666666666666667</v>
      </c>
      <c r="I1288" s="5">
        <v>706</v>
      </c>
      <c r="J1288">
        <v>8516</v>
      </c>
      <c r="K1288">
        <v>135</v>
      </c>
      <c r="L1288" s="5">
        <v>63</v>
      </c>
      <c r="M1288" s="5">
        <v>706</v>
      </c>
      <c r="N1288">
        <v>6</v>
      </c>
      <c r="O1288">
        <v>700</v>
      </c>
      <c r="P1288" s="1">
        <v>0.23958333333333334</v>
      </c>
      <c r="Q1288" s="5">
        <v>1633</v>
      </c>
      <c r="R1288" s="14">
        <v>12.1</v>
      </c>
      <c r="S1288">
        <v>135</v>
      </c>
      <c r="T1288" s="5">
        <v>6</v>
      </c>
      <c r="U1288" s="5">
        <v>700</v>
      </c>
      <c r="V1288" s="5">
        <v>0</v>
      </c>
      <c r="W1288" s="5"/>
      <c r="X1288" s="5"/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</row>
    <row r="1289" spans="1:37" x14ac:dyDescent="0.25">
      <c r="A1289" s="11">
        <f>Table1[[#This Row],[Milk Yield]]-J1285</f>
        <v>-176</v>
      </c>
      <c r="B1289" t="s">
        <v>24</v>
      </c>
      <c r="C1289" s="2">
        <v>3</v>
      </c>
      <c r="D1289" s="12">
        <v>45789</v>
      </c>
      <c r="E1289" s="2">
        <v>32</v>
      </c>
      <c r="F1289" s="13">
        <v>1.8055555555555555E-3</v>
      </c>
      <c r="G1289" s="3">
        <v>0.20496527777777779</v>
      </c>
      <c r="H1289" s="1">
        <v>0.20277777777777778</v>
      </c>
      <c r="I1289" s="5">
        <v>685</v>
      </c>
      <c r="J1289">
        <v>8581</v>
      </c>
      <c r="K1289">
        <v>140</v>
      </c>
      <c r="L1289" s="5">
        <v>1499</v>
      </c>
      <c r="M1289" s="5">
        <v>685</v>
      </c>
      <c r="N1289">
        <v>114</v>
      </c>
      <c r="O1289">
        <v>571</v>
      </c>
      <c r="P1289" s="1">
        <v>0.25694444444444442</v>
      </c>
      <c r="Q1289" s="5">
        <v>1760</v>
      </c>
      <c r="R1289" s="14">
        <v>12.6</v>
      </c>
      <c r="S1289">
        <v>140</v>
      </c>
      <c r="T1289" s="5">
        <v>114</v>
      </c>
      <c r="U1289" s="5">
        <v>571</v>
      </c>
      <c r="V1289" s="5">
        <v>0</v>
      </c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</row>
    <row r="1290" spans="1:37" x14ac:dyDescent="0.25">
      <c r="A1290" s="11" t="e">
        <f>Table1[[#This Row],[Milk Yield]]-J1286</f>
        <v>#VALUE!</v>
      </c>
      <c r="B1290" t="s">
        <v>0</v>
      </c>
      <c r="C1290" s="2" t="s">
        <v>1</v>
      </c>
      <c r="D1290" s="12" t="s">
        <v>2</v>
      </c>
      <c r="E1290" s="2" t="s">
        <v>3</v>
      </c>
      <c r="F1290" s="13" t="s">
        <v>4</v>
      </c>
      <c r="G1290" s="3" t="s">
        <v>5</v>
      </c>
      <c r="H1290" s="1" t="s">
        <v>6</v>
      </c>
      <c r="I1290" s="5" t="s">
        <v>8</v>
      </c>
      <c r="J1290" t="s">
        <v>9</v>
      </c>
      <c r="K1290" t="s">
        <v>10</v>
      </c>
      <c r="L1290" s="5" t="s">
        <v>11</v>
      </c>
      <c r="M1290" s="5" t="s">
        <v>12</v>
      </c>
      <c r="N1290" t="s">
        <v>13</v>
      </c>
      <c r="O1290" t="s">
        <v>20</v>
      </c>
      <c r="P1290" s="1" t="s">
        <v>7</v>
      </c>
      <c r="Q1290" s="5" t="s">
        <v>15</v>
      </c>
      <c r="R1290" s="14" t="s">
        <v>18</v>
      </c>
      <c r="S1290" t="s">
        <v>16</v>
      </c>
      <c r="T1290" s="5" t="s">
        <v>14</v>
      </c>
      <c r="U1290" s="5" t="s">
        <v>17</v>
      </c>
      <c r="V1290" s="5" t="s">
        <v>19</v>
      </c>
      <c r="W1290" s="5"/>
      <c r="X1290" s="5"/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</row>
    <row r="1291" spans="1:37" x14ac:dyDescent="0.25">
      <c r="A1291" s="11">
        <f>Table1[[#This Row],[Milk Yield]]-J1287</f>
        <v>128</v>
      </c>
      <c r="B1291" t="s">
        <v>24</v>
      </c>
      <c r="C1291" s="2">
        <v>1</v>
      </c>
      <c r="D1291" s="12">
        <v>45790</v>
      </c>
      <c r="E1291" s="2">
        <v>33</v>
      </c>
      <c r="F1291" s="13">
        <v>0.33800925925925923</v>
      </c>
      <c r="G1291" s="3">
        <v>0.53471064814814817</v>
      </c>
      <c r="H1291" s="1">
        <v>0.19652777777777777</v>
      </c>
      <c r="I1291" s="5">
        <v>680</v>
      </c>
      <c r="J1291">
        <v>9669</v>
      </c>
      <c r="K1291">
        <v>144</v>
      </c>
      <c r="L1291" s="5">
        <v>25</v>
      </c>
      <c r="M1291" s="5">
        <v>680</v>
      </c>
      <c r="N1291">
        <v>2</v>
      </c>
      <c r="O1291">
        <v>678</v>
      </c>
      <c r="P1291" s="1">
        <v>0.25069444444444444</v>
      </c>
      <c r="Q1291" s="5">
        <v>2048</v>
      </c>
      <c r="R1291" s="14">
        <v>14.3</v>
      </c>
      <c r="S1291">
        <v>144</v>
      </c>
      <c r="T1291" s="5">
        <v>2</v>
      </c>
      <c r="U1291" s="5">
        <v>678</v>
      </c>
      <c r="V1291" s="5">
        <v>0</v>
      </c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</row>
    <row r="1292" spans="1:37" x14ac:dyDescent="0.25">
      <c r="A1292" s="11">
        <f>Table1[[#This Row],[Milk Yield]]-J1288</f>
        <v>366</v>
      </c>
      <c r="B1292" t="s">
        <v>24</v>
      </c>
      <c r="C1292" s="2">
        <v>2</v>
      </c>
      <c r="D1292" s="12">
        <v>45790</v>
      </c>
      <c r="E1292" s="2">
        <v>35</v>
      </c>
      <c r="F1292" s="13">
        <v>0.6648263888888889</v>
      </c>
      <c r="G1292" s="3">
        <v>0.88034722222222217</v>
      </c>
      <c r="H1292" s="1">
        <v>0.21527777777777779</v>
      </c>
      <c r="I1292" s="5">
        <v>718</v>
      </c>
      <c r="J1292">
        <v>8882</v>
      </c>
      <c r="K1292">
        <v>139</v>
      </c>
      <c r="L1292" s="5">
        <v>250</v>
      </c>
      <c r="M1292" s="5">
        <v>709</v>
      </c>
      <c r="N1292">
        <v>20</v>
      </c>
      <c r="O1292">
        <v>689</v>
      </c>
      <c r="P1292" s="1">
        <v>0.22847222222222222</v>
      </c>
      <c r="Q1292" s="5">
        <v>1717</v>
      </c>
      <c r="R1292" s="14">
        <v>12.6</v>
      </c>
      <c r="S1292">
        <v>137</v>
      </c>
      <c r="T1292" s="5">
        <v>20</v>
      </c>
      <c r="U1292" s="5">
        <v>689</v>
      </c>
      <c r="V1292" s="5">
        <v>0</v>
      </c>
      <c r="W1292" s="5"/>
      <c r="X1292" s="5"/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</row>
    <row r="1293" spans="1:37" x14ac:dyDescent="0.25">
      <c r="A1293" s="11">
        <f>Table1[[#This Row],[Milk Yield]]-J1289</f>
        <v>-270</v>
      </c>
      <c r="B1293" t="s">
        <v>24</v>
      </c>
      <c r="C1293" s="2">
        <v>3</v>
      </c>
      <c r="D1293" s="12">
        <v>45790</v>
      </c>
      <c r="E1293" s="2">
        <v>32</v>
      </c>
      <c r="F1293" s="13">
        <v>4.8032407407407407E-3</v>
      </c>
      <c r="G1293" s="3">
        <v>0.18491898148148148</v>
      </c>
      <c r="H1293" s="1">
        <v>0.17986111111111111</v>
      </c>
      <c r="I1293" s="5">
        <v>708</v>
      </c>
      <c r="J1293">
        <v>8311</v>
      </c>
      <c r="K1293">
        <v>164</v>
      </c>
      <c r="L1293" s="5">
        <v>11</v>
      </c>
      <c r="M1293" s="5">
        <v>708</v>
      </c>
      <c r="N1293">
        <v>1</v>
      </c>
      <c r="O1293">
        <v>707</v>
      </c>
      <c r="P1293" s="1">
        <v>0.2013888888888889</v>
      </c>
      <c r="Q1293" s="5">
        <v>1923</v>
      </c>
      <c r="R1293" s="14">
        <v>11.8</v>
      </c>
      <c r="S1293">
        <v>164</v>
      </c>
      <c r="T1293" s="5">
        <v>1</v>
      </c>
      <c r="U1293" s="5">
        <v>707</v>
      </c>
      <c r="V1293" s="5">
        <v>0</v>
      </c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</row>
    <row r="1294" spans="1:37" x14ac:dyDescent="0.25">
      <c r="A1294" s="11" t="e">
        <f>Table1[[#This Row],[Milk Yield]]-J1290</f>
        <v>#VALUE!</v>
      </c>
      <c r="B1294" t="s">
        <v>0</v>
      </c>
      <c r="C1294" s="2" t="s">
        <v>1</v>
      </c>
      <c r="D1294" s="12" t="s">
        <v>2</v>
      </c>
      <c r="E1294" s="2" t="s">
        <v>3</v>
      </c>
      <c r="F1294" s="13" t="s">
        <v>4</v>
      </c>
      <c r="G1294" s="3" t="s">
        <v>5</v>
      </c>
      <c r="H1294" s="1" t="s">
        <v>6</v>
      </c>
      <c r="I1294" s="5" t="s">
        <v>8</v>
      </c>
      <c r="J1294" t="s">
        <v>9</v>
      </c>
      <c r="K1294" t="s">
        <v>10</v>
      </c>
      <c r="L1294" s="5" t="s">
        <v>11</v>
      </c>
      <c r="M1294" s="5" t="s">
        <v>12</v>
      </c>
      <c r="N1294" t="s">
        <v>13</v>
      </c>
      <c r="O1294" t="s">
        <v>20</v>
      </c>
      <c r="P1294" s="1" t="s">
        <v>7</v>
      </c>
      <c r="Q1294" s="5" t="s">
        <v>15</v>
      </c>
      <c r="R1294" s="14" t="s">
        <v>18</v>
      </c>
      <c r="S1294" t="s">
        <v>16</v>
      </c>
      <c r="T1294" s="5" t="s">
        <v>14</v>
      </c>
      <c r="U1294" s="5" t="s">
        <v>17</v>
      </c>
      <c r="V1294" s="5" t="s">
        <v>19</v>
      </c>
      <c r="W1294" s="5"/>
      <c r="X1294" s="5"/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</row>
    <row r="1295" spans="1:37" x14ac:dyDescent="0.25">
      <c r="A1295" s="11">
        <f>Table1[[#This Row],[Milk Yield]]-J1291</f>
        <v>341</v>
      </c>
      <c r="B1295" t="s">
        <v>24</v>
      </c>
      <c r="C1295" s="2">
        <v>1</v>
      </c>
      <c r="D1295" s="12">
        <v>45791</v>
      </c>
      <c r="E1295" s="2">
        <v>36</v>
      </c>
      <c r="F1295" s="13">
        <v>0.33892361111111113</v>
      </c>
      <c r="G1295" s="3">
        <v>0.56012731481481481</v>
      </c>
      <c r="H1295" s="1">
        <v>0.22083333333333333</v>
      </c>
      <c r="I1295" s="5">
        <v>717</v>
      </c>
      <c r="J1295">
        <v>10010</v>
      </c>
      <c r="K1295">
        <v>135</v>
      </c>
      <c r="L1295" s="5">
        <v>173</v>
      </c>
      <c r="M1295" s="5">
        <v>712</v>
      </c>
      <c r="N1295">
        <v>14</v>
      </c>
      <c r="O1295">
        <v>698</v>
      </c>
      <c r="P1295" s="1">
        <v>0.24305555555555555</v>
      </c>
      <c r="Q1295" s="5">
        <v>1885</v>
      </c>
      <c r="R1295" s="14">
        <v>14.1</v>
      </c>
      <c r="S1295">
        <v>134</v>
      </c>
      <c r="T1295" s="5">
        <v>14</v>
      </c>
      <c r="U1295" s="5">
        <v>698</v>
      </c>
      <c r="V1295" s="5">
        <v>0</v>
      </c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</row>
    <row r="1296" spans="1:37" x14ac:dyDescent="0.25">
      <c r="A1296" s="11">
        <f>Table1[[#This Row],[Milk Yield]]-J1292</f>
        <v>379</v>
      </c>
      <c r="B1296" t="s">
        <v>24</v>
      </c>
      <c r="C1296" s="2">
        <v>2</v>
      </c>
      <c r="D1296" s="12">
        <v>45791</v>
      </c>
      <c r="E1296" s="2">
        <v>33</v>
      </c>
      <c r="F1296" s="13">
        <v>0.66634259259259254</v>
      </c>
      <c r="G1296" s="3">
        <v>0.88847222222222222</v>
      </c>
      <c r="H1296" s="1">
        <v>0.22152777777777777</v>
      </c>
      <c r="I1296" s="5">
        <v>688</v>
      </c>
      <c r="J1296">
        <v>9261</v>
      </c>
      <c r="K1296">
        <v>129</v>
      </c>
      <c r="L1296" s="5">
        <v>138</v>
      </c>
      <c r="M1296" s="5">
        <v>688</v>
      </c>
      <c r="N1296">
        <v>14</v>
      </c>
      <c r="O1296">
        <v>674</v>
      </c>
      <c r="P1296" s="1">
        <v>0.22222222222222221</v>
      </c>
      <c r="Q1296" s="5">
        <v>1737</v>
      </c>
      <c r="R1296" s="14">
        <v>13.5</v>
      </c>
      <c r="S1296">
        <v>129</v>
      </c>
      <c r="T1296" s="5">
        <v>14</v>
      </c>
      <c r="U1296" s="5">
        <v>675</v>
      </c>
      <c r="V1296" s="5">
        <v>1</v>
      </c>
      <c r="W1296" s="5"/>
      <c r="X1296" s="5"/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</row>
    <row r="1297" spans="1:37" x14ac:dyDescent="0.25">
      <c r="A1297" s="11">
        <f>Table1[[#This Row],[Milk Yield]]-J1293</f>
        <v>-87</v>
      </c>
      <c r="B1297" t="s">
        <v>24</v>
      </c>
      <c r="C1297" s="2">
        <v>3</v>
      </c>
      <c r="D1297" s="12">
        <v>45791</v>
      </c>
      <c r="E1297" s="2">
        <v>33</v>
      </c>
      <c r="F1297" s="13">
        <v>1.7476851851851852E-3</v>
      </c>
      <c r="G1297" s="3">
        <v>0.19486111111111112</v>
      </c>
      <c r="H1297" s="1">
        <v>0.19305555555555556</v>
      </c>
      <c r="I1297" s="5">
        <v>719</v>
      </c>
      <c r="J1297">
        <v>8224</v>
      </c>
      <c r="K1297">
        <v>155</v>
      </c>
      <c r="L1297" s="5">
        <v>453</v>
      </c>
      <c r="M1297" s="5">
        <v>719</v>
      </c>
      <c r="N1297">
        <v>40</v>
      </c>
      <c r="O1297">
        <v>679</v>
      </c>
      <c r="P1297" s="1">
        <v>0.21111111111111111</v>
      </c>
      <c r="Q1297" s="5">
        <v>1774</v>
      </c>
      <c r="R1297" s="14">
        <v>11.5</v>
      </c>
      <c r="S1297">
        <v>155</v>
      </c>
      <c r="T1297" s="5">
        <v>40</v>
      </c>
      <c r="U1297" s="5">
        <v>680</v>
      </c>
      <c r="V1297" s="5">
        <v>1</v>
      </c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</row>
    <row r="1298" spans="1:37" x14ac:dyDescent="0.25">
      <c r="A1298" s="11" t="e">
        <f>Table1[[#This Row],[Milk Yield]]-J1294</f>
        <v>#VALUE!</v>
      </c>
      <c r="B1298" t="s">
        <v>0</v>
      </c>
      <c r="C1298" s="2" t="s">
        <v>1</v>
      </c>
      <c r="D1298" s="12" t="s">
        <v>2</v>
      </c>
      <c r="E1298" s="2" t="s">
        <v>3</v>
      </c>
      <c r="F1298" s="13" t="s">
        <v>4</v>
      </c>
      <c r="G1298" s="3" t="s">
        <v>5</v>
      </c>
      <c r="H1298" s="1" t="s">
        <v>6</v>
      </c>
      <c r="I1298" s="5" t="s">
        <v>8</v>
      </c>
      <c r="J1298" t="s">
        <v>9</v>
      </c>
      <c r="K1298" t="s">
        <v>10</v>
      </c>
      <c r="L1298" s="5" t="s">
        <v>11</v>
      </c>
      <c r="M1298" s="5" t="s">
        <v>12</v>
      </c>
      <c r="N1298" t="s">
        <v>13</v>
      </c>
      <c r="O1298" t="s">
        <v>20</v>
      </c>
      <c r="P1298" s="1" t="s">
        <v>7</v>
      </c>
      <c r="Q1298" s="5" t="s">
        <v>15</v>
      </c>
      <c r="R1298" s="14" t="s">
        <v>18</v>
      </c>
      <c r="S1298" t="s">
        <v>16</v>
      </c>
      <c r="T1298" s="5" t="s">
        <v>14</v>
      </c>
      <c r="U1298" s="5" t="s">
        <v>17</v>
      </c>
      <c r="V1298" s="5" t="s">
        <v>19</v>
      </c>
      <c r="W1298" s="5"/>
      <c r="X1298" s="5"/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</row>
    <row r="1299" spans="1:37" x14ac:dyDescent="0.25">
      <c r="A1299" s="11">
        <f>Table1[[#This Row],[Milk Yield]]-J1295</f>
        <v>-326</v>
      </c>
      <c r="B1299" t="s">
        <v>24</v>
      </c>
      <c r="C1299" s="2">
        <v>1</v>
      </c>
      <c r="D1299" s="12">
        <v>45792</v>
      </c>
      <c r="E1299" s="2">
        <v>33</v>
      </c>
      <c r="F1299" s="13">
        <v>0.33900462962962963</v>
      </c>
      <c r="G1299" s="3">
        <v>0.54278935185185184</v>
      </c>
      <c r="H1299" s="1">
        <v>0.20347222222222222</v>
      </c>
      <c r="I1299" s="5">
        <v>712</v>
      </c>
      <c r="J1299">
        <v>9684</v>
      </c>
      <c r="K1299">
        <v>146</v>
      </c>
      <c r="L1299" s="5">
        <v>71</v>
      </c>
      <c r="M1299" s="5">
        <v>711</v>
      </c>
      <c r="N1299">
        <v>6</v>
      </c>
      <c r="O1299">
        <v>705</v>
      </c>
      <c r="P1299" s="1">
        <v>0.23055555555555557</v>
      </c>
      <c r="Q1299" s="5">
        <v>1980</v>
      </c>
      <c r="R1299" s="14">
        <v>13.7</v>
      </c>
      <c r="S1299">
        <v>145</v>
      </c>
      <c r="T1299" s="5">
        <v>6</v>
      </c>
      <c r="U1299" s="5">
        <v>706</v>
      </c>
      <c r="V1299" s="5">
        <v>1</v>
      </c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</row>
    <row r="1300" spans="1:37" x14ac:dyDescent="0.25">
      <c r="A1300" s="11">
        <f>Table1[[#This Row],[Milk Yield]]-J1296</f>
        <v>-602</v>
      </c>
      <c r="B1300" t="s">
        <v>24</v>
      </c>
      <c r="C1300" s="2">
        <v>2</v>
      </c>
      <c r="D1300" s="12">
        <v>45792</v>
      </c>
      <c r="E1300" s="2">
        <v>35</v>
      </c>
      <c r="F1300" s="13">
        <v>0.67101851851851857</v>
      </c>
      <c r="G1300" s="3">
        <v>0.86428240740740736</v>
      </c>
      <c r="H1300" s="1">
        <v>0.19305555555555556</v>
      </c>
      <c r="I1300" s="5">
        <v>717</v>
      </c>
      <c r="J1300">
        <v>8659</v>
      </c>
      <c r="K1300">
        <v>155</v>
      </c>
      <c r="L1300" s="5">
        <v>912</v>
      </c>
      <c r="M1300" s="5">
        <v>709</v>
      </c>
      <c r="N1300">
        <v>83</v>
      </c>
      <c r="O1300">
        <v>626</v>
      </c>
      <c r="P1300" s="1">
        <v>0.22777777777777777</v>
      </c>
      <c r="Q1300" s="5">
        <v>1867</v>
      </c>
      <c r="R1300" s="14">
        <v>12.3</v>
      </c>
      <c r="S1300">
        <v>153</v>
      </c>
      <c r="T1300" s="5">
        <v>83</v>
      </c>
      <c r="U1300" s="5">
        <v>627</v>
      </c>
      <c r="V1300" s="5">
        <v>1</v>
      </c>
      <c r="W1300" s="5"/>
      <c r="X1300" s="5"/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</row>
    <row r="1301" spans="1:37" x14ac:dyDescent="0.25">
      <c r="A1301" s="11">
        <f>Table1[[#This Row],[Milk Yield]]-J1297</f>
        <v>431</v>
      </c>
      <c r="B1301" t="s">
        <v>24</v>
      </c>
      <c r="C1301" s="2">
        <v>3</v>
      </c>
      <c r="D1301" s="12">
        <v>45792</v>
      </c>
      <c r="E1301" s="2">
        <v>33</v>
      </c>
      <c r="F1301" s="13">
        <v>3.4027777777777776E-3</v>
      </c>
      <c r="G1301" s="3">
        <v>0.17284722222222224</v>
      </c>
      <c r="H1301" s="1">
        <v>0.16944444444444445</v>
      </c>
      <c r="I1301" s="5">
        <v>712</v>
      </c>
      <c r="J1301">
        <v>8655</v>
      </c>
      <c r="K1301">
        <v>175</v>
      </c>
      <c r="L1301" s="5">
        <v>108</v>
      </c>
      <c r="M1301" s="5">
        <v>712</v>
      </c>
      <c r="N1301">
        <v>10</v>
      </c>
      <c r="O1301">
        <v>702</v>
      </c>
      <c r="P1301" s="1">
        <v>0.20624999999999999</v>
      </c>
      <c r="Q1301" s="5">
        <v>2128</v>
      </c>
      <c r="R1301" s="14">
        <v>12.2</v>
      </c>
      <c r="S1301">
        <v>175</v>
      </c>
      <c r="T1301" s="5">
        <v>10</v>
      </c>
      <c r="U1301" s="5">
        <v>703</v>
      </c>
      <c r="V1301" s="5">
        <v>1</v>
      </c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</row>
    <row r="1302" spans="1:37" x14ac:dyDescent="0.25">
      <c r="A1302" s="11" t="e">
        <f>Table1[[#This Row],[Milk Yield]]-J1298</f>
        <v>#VALUE!</v>
      </c>
      <c r="B1302" t="s">
        <v>0</v>
      </c>
      <c r="C1302" s="2" t="s">
        <v>1</v>
      </c>
      <c r="D1302" s="12" t="s">
        <v>2</v>
      </c>
      <c r="E1302" s="2" t="s">
        <v>3</v>
      </c>
      <c r="F1302" s="13" t="s">
        <v>4</v>
      </c>
      <c r="G1302" s="3" t="s">
        <v>5</v>
      </c>
      <c r="H1302" s="1" t="s">
        <v>6</v>
      </c>
      <c r="I1302" s="5" t="s">
        <v>8</v>
      </c>
      <c r="J1302" t="s">
        <v>9</v>
      </c>
      <c r="K1302" t="s">
        <v>10</v>
      </c>
      <c r="L1302" s="5" t="s">
        <v>11</v>
      </c>
      <c r="M1302" s="5" t="s">
        <v>12</v>
      </c>
      <c r="N1302" t="s">
        <v>13</v>
      </c>
      <c r="O1302" t="s">
        <v>20</v>
      </c>
      <c r="P1302" s="1" t="s">
        <v>7</v>
      </c>
      <c r="Q1302" s="5" t="s">
        <v>15</v>
      </c>
      <c r="R1302" s="14" t="s">
        <v>18</v>
      </c>
      <c r="S1302" t="s">
        <v>16</v>
      </c>
      <c r="T1302" s="5" t="s">
        <v>14</v>
      </c>
      <c r="U1302" s="5" t="s">
        <v>17</v>
      </c>
      <c r="V1302" s="5" t="s">
        <v>19</v>
      </c>
      <c r="W1302" s="5"/>
      <c r="X1302" s="5"/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</row>
    <row r="1303" spans="1:37" x14ac:dyDescent="0.25">
      <c r="A1303" s="11">
        <f>Table1[[#This Row],[Milk Yield]]-J1299</f>
        <v>88</v>
      </c>
      <c r="B1303" t="s">
        <v>24</v>
      </c>
      <c r="C1303" s="2">
        <v>1</v>
      </c>
      <c r="D1303" s="12">
        <v>45793</v>
      </c>
      <c r="E1303" s="2">
        <v>33</v>
      </c>
      <c r="F1303" s="13">
        <v>0.33446759259259257</v>
      </c>
      <c r="G1303" s="3">
        <v>0.53895833333333332</v>
      </c>
      <c r="H1303" s="1">
        <v>0.20416666666666666</v>
      </c>
      <c r="I1303" s="5">
        <v>709</v>
      </c>
      <c r="J1303">
        <v>9772</v>
      </c>
      <c r="K1303">
        <v>144</v>
      </c>
      <c r="L1303" s="5">
        <v>457</v>
      </c>
      <c r="M1303" s="5">
        <v>709</v>
      </c>
      <c r="N1303">
        <v>42</v>
      </c>
      <c r="O1303">
        <v>667</v>
      </c>
      <c r="P1303" s="1">
        <v>0.25</v>
      </c>
      <c r="Q1303" s="5">
        <v>1991</v>
      </c>
      <c r="R1303" s="14">
        <v>13.8</v>
      </c>
      <c r="S1303">
        <v>144</v>
      </c>
      <c r="T1303" s="5">
        <v>42</v>
      </c>
      <c r="U1303" s="5">
        <v>668</v>
      </c>
      <c r="V1303" s="5">
        <v>1</v>
      </c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</row>
    <row r="1304" spans="1:37" x14ac:dyDescent="0.25">
      <c r="A1304" s="11">
        <f>Table1[[#This Row],[Milk Yield]]-J1300</f>
        <v>-404</v>
      </c>
      <c r="B1304" t="s">
        <v>24</v>
      </c>
      <c r="C1304" s="2">
        <v>2</v>
      </c>
      <c r="D1304" s="12">
        <v>45793</v>
      </c>
      <c r="E1304" s="2">
        <v>37</v>
      </c>
      <c r="F1304" s="13">
        <v>0.66820601851851846</v>
      </c>
      <c r="G1304" s="3">
        <v>0.85443287037037041</v>
      </c>
      <c r="H1304" s="1">
        <v>0.18611111111111112</v>
      </c>
      <c r="I1304" s="5">
        <v>701</v>
      </c>
      <c r="J1304">
        <v>8255</v>
      </c>
      <c r="K1304">
        <v>157</v>
      </c>
      <c r="L1304" s="5">
        <v>727</v>
      </c>
      <c r="M1304" s="5">
        <v>692</v>
      </c>
      <c r="N1304">
        <v>66</v>
      </c>
      <c r="O1304">
        <v>626</v>
      </c>
      <c r="P1304" s="1">
        <v>0.22569444444444445</v>
      </c>
      <c r="Q1304" s="5">
        <v>1847</v>
      </c>
      <c r="R1304" s="14">
        <v>12</v>
      </c>
      <c r="S1304">
        <v>155</v>
      </c>
      <c r="T1304" s="5">
        <v>66</v>
      </c>
      <c r="U1304" s="5">
        <v>627</v>
      </c>
      <c r="V1304" s="5">
        <v>1</v>
      </c>
      <c r="W1304" s="5"/>
      <c r="X1304" s="5"/>
      <c r="Y1304" s="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</row>
    <row r="1305" spans="1:37" x14ac:dyDescent="0.25">
      <c r="A1305" s="11">
        <f>Table1[[#This Row],[Milk Yield]]-J1301</f>
        <v>259</v>
      </c>
      <c r="B1305" t="s">
        <v>24</v>
      </c>
      <c r="C1305" s="2">
        <v>3</v>
      </c>
      <c r="D1305" s="12">
        <v>45793</v>
      </c>
      <c r="E1305" s="2">
        <v>33</v>
      </c>
      <c r="F1305" s="13">
        <v>1.9097222222222222E-3</v>
      </c>
      <c r="G1305" s="3">
        <v>0.19903935185185184</v>
      </c>
      <c r="H1305" s="1">
        <v>0.19652777777777777</v>
      </c>
      <c r="I1305" s="5">
        <v>707</v>
      </c>
      <c r="J1305">
        <v>8914</v>
      </c>
      <c r="K1305">
        <v>149</v>
      </c>
      <c r="L1305" s="5">
        <v>284</v>
      </c>
      <c r="M1305" s="5">
        <v>707</v>
      </c>
      <c r="N1305">
        <v>22</v>
      </c>
      <c r="O1305">
        <v>685</v>
      </c>
      <c r="P1305" s="1">
        <v>0.22222222222222221</v>
      </c>
      <c r="Q1305" s="5">
        <v>1884</v>
      </c>
      <c r="R1305" s="14">
        <v>12.7</v>
      </c>
      <c r="S1305">
        <v>149</v>
      </c>
      <c r="T1305" s="5">
        <v>22</v>
      </c>
      <c r="U1305" s="5">
        <v>686</v>
      </c>
      <c r="V1305" s="5">
        <v>1</v>
      </c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</row>
    <row r="1306" spans="1:37" x14ac:dyDescent="0.25">
      <c r="A1306" s="11" t="e">
        <f>Table1[[#This Row],[Milk Yield]]-J1302</f>
        <v>#VALUE!</v>
      </c>
      <c r="B1306" t="s">
        <v>0</v>
      </c>
      <c r="C1306" s="2" t="s">
        <v>1</v>
      </c>
      <c r="D1306" s="12" t="s">
        <v>2</v>
      </c>
      <c r="E1306" s="2" t="s">
        <v>3</v>
      </c>
      <c r="F1306" s="13" t="s">
        <v>4</v>
      </c>
      <c r="G1306" s="3" t="s">
        <v>5</v>
      </c>
      <c r="H1306" s="1" t="s">
        <v>6</v>
      </c>
      <c r="I1306" s="5" t="s">
        <v>8</v>
      </c>
      <c r="J1306" t="s">
        <v>9</v>
      </c>
      <c r="K1306" t="s">
        <v>10</v>
      </c>
      <c r="L1306" s="5" t="s">
        <v>11</v>
      </c>
      <c r="M1306" s="5" t="s">
        <v>12</v>
      </c>
      <c r="N1306" t="s">
        <v>13</v>
      </c>
      <c r="O1306" t="s">
        <v>20</v>
      </c>
      <c r="P1306" s="1" t="s">
        <v>7</v>
      </c>
      <c r="Q1306" s="5" t="s">
        <v>15</v>
      </c>
      <c r="R1306" s="14" t="s">
        <v>18</v>
      </c>
      <c r="S1306" t="s">
        <v>16</v>
      </c>
      <c r="T1306" s="5" t="s">
        <v>14</v>
      </c>
      <c r="U1306" s="5" t="s">
        <v>17</v>
      </c>
      <c r="V1306" s="5" t="s">
        <v>19</v>
      </c>
      <c r="W1306" s="5"/>
      <c r="X1306" s="5"/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</row>
    <row r="1307" spans="1:37" x14ac:dyDescent="0.25">
      <c r="A1307" s="11">
        <f>Table1[[#This Row],[Milk Yield]]-J1303</f>
        <v>98</v>
      </c>
      <c r="B1307" t="s">
        <v>24</v>
      </c>
      <c r="C1307" s="2">
        <v>1</v>
      </c>
      <c r="D1307" s="12">
        <v>45794</v>
      </c>
      <c r="E1307" s="2">
        <v>33</v>
      </c>
      <c r="F1307" s="13">
        <v>0.33876157407407409</v>
      </c>
      <c r="G1307" s="3">
        <v>0.54768518518518516</v>
      </c>
      <c r="H1307" s="1">
        <v>0.20833333333333334</v>
      </c>
      <c r="I1307" s="5">
        <v>709</v>
      </c>
      <c r="J1307">
        <v>9870</v>
      </c>
      <c r="K1307">
        <v>141</v>
      </c>
      <c r="L1307" s="5">
        <v>279</v>
      </c>
      <c r="M1307" s="5">
        <v>709</v>
      </c>
      <c r="N1307">
        <v>28</v>
      </c>
      <c r="O1307">
        <v>681</v>
      </c>
      <c r="P1307" s="1">
        <v>0.23194444444444445</v>
      </c>
      <c r="Q1307" s="5">
        <v>1968</v>
      </c>
      <c r="R1307" s="14">
        <v>14</v>
      </c>
      <c r="S1307">
        <v>141</v>
      </c>
      <c r="T1307" s="5">
        <v>28</v>
      </c>
      <c r="U1307" s="5">
        <v>682</v>
      </c>
      <c r="V1307" s="5">
        <v>1</v>
      </c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</row>
    <row r="1308" spans="1:37" x14ac:dyDescent="0.25">
      <c r="A1308" s="11">
        <f>Table1[[#This Row],[Milk Yield]]-J1304</f>
        <v>486</v>
      </c>
      <c r="B1308" t="s">
        <v>24</v>
      </c>
      <c r="C1308" s="2">
        <v>2</v>
      </c>
      <c r="D1308" s="12">
        <v>45794</v>
      </c>
      <c r="E1308" s="2">
        <v>34</v>
      </c>
      <c r="F1308" s="13">
        <v>0.66984953703703709</v>
      </c>
      <c r="G1308" s="3">
        <v>0.87215277777777778</v>
      </c>
      <c r="H1308" s="1">
        <v>0.20208333333333334</v>
      </c>
      <c r="I1308" s="5">
        <v>690</v>
      </c>
      <c r="J1308">
        <v>8741</v>
      </c>
      <c r="K1308">
        <v>142</v>
      </c>
      <c r="L1308" s="5">
        <v>232</v>
      </c>
      <c r="M1308" s="5">
        <v>689</v>
      </c>
      <c r="N1308">
        <v>22</v>
      </c>
      <c r="O1308">
        <v>667</v>
      </c>
      <c r="P1308" s="1">
        <v>0.22500000000000001</v>
      </c>
      <c r="Q1308" s="5">
        <v>1800</v>
      </c>
      <c r="R1308" s="14">
        <v>12.7</v>
      </c>
      <c r="S1308">
        <v>142</v>
      </c>
      <c r="T1308" s="5">
        <v>22</v>
      </c>
      <c r="U1308" s="5">
        <v>668</v>
      </c>
      <c r="V1308" s="5">
        <v>1</v>
      </c>
      <c r="W1308" s="5"/>
      <c r="X1308" s="5"/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</row>
    <row r="1309" spans="1:37" x14ac:dyDescent="0.25">
      <c r="A1309" s="11">
        <f>Table1[[#This Row],[Milk Yield]]-J1305</f>
        <v>-543</v>
      </c>
      <c r="B1309" t="s">
        <v>24</v>
      </c>
      <c r="C1309" s="2">
        <v>3</v>
      </c>
      <c r="D1309" s="12">
        <v>45794</v>
      </c>
      <c r="E1309" s="2">
        <v>33</v>
      </c>
      <c r="F1309" s="13">
        <v>1.1111111111111111E-3</v>
      </c>
      <c r="G1309" s="3">
        <v>0.17547453703703703</v>
      </c>
      <c r="H1309" s="1">
        <v>0.17430555555555555</v>
      </c>
      <c r="I1309" s="5">
        <v>729</v>
      </c>
      <c r="J1309">
        <v>8371</v>
      </c>
      <c r="K1309">
        <v>174</v>
      </c>
      <c r="L1309" s="5">
        <v>350</v>
      </c>
      <c r="M1309" s="5">
        <v>729</v>
      </c>
      <c r="N1309">
        <v>34</v>
      </c>
      <c r="O1309">
        <v>695</v>
      </c>
      <c r="P1309" s="1">
        <v>0.2013888888888889</v>
      </c>
      <c r="Q1309" s="5">
        <v>2000</v>
      </c>
      <c r="R1309" s="14">
        <v>11.5</v>
      </c>
      <c r="S1309">
        <v>174</v>
      </c>
      <c r="T1309" s="5">
        <v>34</v>
      </c>
      <c r="U1309" s="5">
        <v>695</v>
      </c>
      <c r="V1309" s="5">
        <v>0</v>
      </c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</row>
    <row r="1310" spans="1:37" x14ac:dyDescent="0.25">
      <c r="A1310" s="11" t="e">
        <f>Table1[[#This Row],[Milk Yield]]-J1306</f>
        <v>#VALUE!</v>
      </c>
      <c r="B1310" t="s">
        <v>0</v>
      </c>
      <c r="C1310" s="2" t="s">
        <v>1</v>
      </c>
      <c r="D1310" s="12" t="s">
        <v>2</v>
      </c>
      <c r="E1310" s="2" t="s">
        <v>3</v>
      </c>
      <c r="F1310" s="13" t="s">
        <v>4</v>
      </c>
      <c r="G1310" s="3" t="s">
        <v>5</v>
      </c>
      <c r="H1310" s="1" t="s">
        <v>6</v>
      </c>
      <c r="I1310" s="5" t="s">
        <v>8</v>
      </c>
      <c r="J1310" t="s">
        <v>9</v>
      </c>
      <c r="K1310" t="s">
        <v>10</v>
      </c>
      <c r="L1310" s="5" t="s">
        <v>11</v>
      </c>
      <c r="M1310" s="5" t="s">
        <v>12</v>
      </c>
      <c r="N1310" t="s">
        <v>13</v>
      </c>
      <c r="O1310" t="s">
        <v>20</v>
      </c>
      <c r="P1310" s="1" t="s">
        <v>7</v>
      </c>
      <c r="Q1310" s="5" t="s">
        <v>15</v>
      </c>
      <c r="R1310" s="14" t="s">
        <v>18</v>
      </c>
      <c r="S1310" t="s">
        <v>16</v>
      </c>
      <c r="T1310" s="5" t="s">
        <v>14</v>
      </c>
      <c r="U1310" s="5" t="s">
        <v>17</v>
      </c>
      <c r="V1310" s="5" t="s">
        <v>19</v>
      </c>
      <c r="W1310" s="5"/>
      <c r="X1310" s="5"/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</row>
    <row r="1311" spans="1:37" x14ac:dyDescent="0.25">
      <c r="A1311" s="11">
        <f>Table1[[#This Row],[Milk Yield]]-J1307</f>
        <v>-163</v>
      </c>
      <c r="B1311" t="s">
        <v>24</v>
      </c>
      <c r="C1311" s="2">
        <v>1</v>
      </c>
      <c r="D1311" s="12">
        <v>45795</v>
      </c>
      <c r="E1311" s="2">
        <v>35</v>
      </c>
      <c r="F1311" s="13">
        <v>0.33730324074074075</v>
      </c>
      <c r="G1311" s="3">
        <v>0.546412037037037</v>
      </c>
      <c r="H1311" s="1">
        <v>0.20902777777777778</v>
      </c>
      <c r="I1311" s="5">
        <v>714</v>
      </c>
      <c r="J1311">
        <v>9707</v>
      </c>
      <c r="K1311">
        <v>142</v>
      </c>
      <c r="L1311" s="5">
        <v>208</v>
      </c>
      <c r="M1311" s="5">
        <v>714</v>
      </c>
      <c r="N1311">
        <v>17</v>
      </c>
      <c r="O1311">
        <v>697</v>
      </c>
      <c r="P1311" s="1">
        <v>0.23194444444444445</v>
      </c>
      <c r="Q1311" s="5">
        <v>1934</v>
      </c>
      <c r="R1311" s="14">
        <v>13.6</v>
      </c>
      <c r="S1311">
        <v>142</v>
      </c>
      <c r="T1311" s="5">
        <v>17</v>
      </c>
      <c r="U1311" s="5">
        <v>698</v>
      </c>
      <c r="V1311" s="5">
        <v>1</v>
      </c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</row>
    <row r="1312" spans="1:37" x14ac:dyDescent="0.25">
      <c r="A1312" s="11">
        <f>Table1[[#This Row],[Milk Yield]]-J1308</f>
        <v>-301</v>
      </c>
      <c r="B1312" t="s">
        <v>24</v>
      </c>
      <c r="C1312" s="2">
        <v>2</v>
      </c>
      <c r="D1312" s="12">
        <v>45795</v>
      </c>
      <c r="E1312" s="2">
        <v>34</v>
      </c>
      <c r="F1312" s="13">
        <v>0.6705902777777778</v>
      </c>
      <c r="G1312" s="3">
        <v>0.85287037037037039</v>
      </c>
      <c r="H1312" s="1">
        <v>0.18194444444444444</v>
      </c>
      <c r="I1312" s="5">
        <v>711</v>
      </c>
      <c r="J1312">
        <v>8440</v>
      </c>
      <c r="K1312">
        <v>163</v>
      </c>
      <c r="L1312" s="5">
        <v>139</v>
      </c>
      <c r="M1312" s="5">
        <v>711</v>
      </c>
      <c r="N1312">
        <v>18</v>
      </c>
      <c r="O1312">
        <v>693</v>
      </c>
      <c r="P1312" s="1">
        <v>0.22500000000000001</v>
      </c>
      <c r="Q1312" s="5">
        <v>1929</v>
      </c>
      <c r="R1312" s="14">
        <v>11.9</v>
      </c>
      <c r="S1312">
        <v>163</v>
      </c>
      <c r="T1312" s="5">
        <v>18</v>
      </c>
      <c r="U1312" s="5">
        <v>694</v>
      </c>
      <c r="V1312" s="5">
        <v>1</v>
      </c>
      <c r="W1312" s="5"/>
      <c r="X1312" s="5"/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</row>
    <row r="1313" spans="1:37" x14ac:dyDescent="0.25">
      <c r="A1313" s="11">
        <f>Table1[[#This Row],[Milk Yield]]-J1309</f>
        <v>539</v>
      </c>
      <c r="B1313" t="s">
        <v>24</v>
      </c>
      <c r="C1313" s="2">
        <v>3</v>
      </c>
      <c r="D1313" s="12">
        <v>45795</v>
      </c>
      <c r="E1313" s="2">
        <v>33</v>
      </c>
      <c r="F1313" s="13">
        <v>4.7106481481481478E-3</v>
      </c>
      <c r="G1313" s="3">
        <v>0.1985763888888889</v>
      </c>
      <c r="H1313" s="1">
        <v>0.19375000000000001</v>
      </c>
      <c r="I1313" s="5">
        <v>715</v>
      </c>
      <c r="J1313">
        <v>8910</v>
      </c>
      <c r="K1313">
        <v>154</v>
      </c>
      <c r="L1313" s="5">
        <v>382</v>
      </c>
      <c r="M1313" s="5">
        <v>715</v>
      </c>
      <c r="N1313">
        <v>30</v>
      </c>
      <c r="O1313">
        <v>685</v>
      </c>
      <c r="P1313" s="1">
        <v>0.21805555555555556</v>
      </c>
      <c r="Q1313" s="5">
        <v>1915</v>
      </c>
      <c r="R1313" s="14">
        <v>12.5</v>
      </c>
      <c r="S1313">
        <v>154</v>
      </c>
      <c r="T1313" s="5">
        <v>30</v>
      </c>
      <c r="U1313" s="5">
        <v>686</v>
      </c>
      <c r="V1313" s="5">
        <v>1</v>
      </c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</row>
    <row r="1314" spans="1:37" x14ac:dyDescent="0.25">
      <c r="A1314" s="11" t="e">
        <f>Table1[[#This Row],[Milk Yield]]-J1310</f>
        <v>#VALUE!</v>
      </c>
      <c r="B1314" t="s">
        <v>0</v>
      </c>
      <c r="C1314" s="2" t="s">
        <v>1</v>
      </c>
      <c r="D1314" s="12" t="s">
        <v>2</v>
      </c>
      <c r="E1314" s="2" t="s">
        <v>3</v>
      </c>
      <c r="F1314" s="13" t="s">
        <v>4</v>
      </c>
      <c r="G1314" s="3" t="s">
        <v>5</v>
      </c>
      <c r="H1314" s="1" t="s">
        <v>6</v>
      </c>
      <c r="I1314" s="5" t="s">
        <v>8</v>
      </c>
      <c r="J1314" t="s">
        <v>9</v>
      </c>
      <c r="K1314" t="s">
        <v>10</v>
      </c>
      <c r="L1314" s="5" t="s">
        <v>11</v>
      </c>
      <c r="M1314" s="5" t="s">
        <v>12</v>
      </c>
      <c r="N1314" t="s">
        <v>13</v>
      </c>
      <c r="O1314" t="s">
        <v>20</v>
      </c>
      <c r="P1314" s="1" t="s">
        <v>7</v>
      </c>
      <c r="Q1314" s="5" t="s">
        <v>15</v>
      </c>
      <c r="R1314" s="14" t="s">
        <v>18</v>
      </c>
      <c r="S1314" t="s">
        <v>16</v>
      </c>
      <c r="T1314" s="5" t="s">
        <v>14</v>
      </c>
      <c r="U1314" s="5" t="s">
        <v>17</v>
      </c>
      <c r="V1314" s="5" t="s">
        <v>19</v>
      </c>
      <c r="W1314" s="5"/>
      <c r="X1314" s="5"/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</row>
    <row r="1315" spans="1:37" x14ac:dyDescent="0.25">
      <c r="A1315" s="11">
        <f>Table1[[#This Row],[Milk Yield]]-J1311</f>
        <v>-67</v>
      </c>
      <c r="B1315" t="s">
        <v>24</v>
      </c>
      <c r="C1315" s="2">
        <v>1</v>
      </c>
      <c r="D1315" s="12">
        <v>45796</v>
      </c>
      <c r="E1315" s="2">
        <v>37</v>
      </c>
      <c r="F1315" s="13">
        <v>0.33592592592592591</v>
      </c>
      <c r="G1315" s="3">
        <v>0.54475694444444445</v>
      </c>
      <c r="H1315" s="1">
        <v>0.20833333333333334</v>
      </c>
      <c r="I1315" s="5">
        <v>719</v>
      </c>
      <c r="J1315">
        <v>9640</v>
      </c>
      <c r="K1315">
        <v>143</v>
      </c>
      <c r="L1315" s="5">
        <v>180</v>
      </c>
      <c r="M1315" s="5">
        <v>718</v>
      </c>
      <c r="N1315">
        <v>18</v>
      </c>
      <c r="O1315">
        <v>700</v>
      </c>
      <c r="P1315" s="1">
        <v>0.23125000000000001</v>
      </c>
      <c r="Q1315" s="5">
        <v>1923</v>
      </c>
      <c r="R1315" s="14">
        <v>13.5</v>
      </c>
      <c r="S1315">
        <v>143</v>
      </c>
      <c r="T1315" s="5">
        <v>18</v>
      </c>
      <c r="U1315" s="5">
        <v>701</v>
      </c>
      <c r="V1315" s="5">
        <v>1</v>
      </c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</row>
    <row r="1316" spans="1:37" x14ac:dyDescent="0.25">
      <c r="A1316" s="11">
        <f>Table1[[#This Row],[Milk Yield]]-J1312</f>
        <v>-192</v>
      </c>
      <c r="B1316" t="s">
        <v>24</v>
      </c>
      <c r="C1316" s="2">
        <v>2</v>
      </c>
      <c r="D1316" s="12">
        <v>45796</v>
      </c>
      <c r="E1316" s="2">
        <v>33</v>
      </c>
      <c r="F1316" s="13">
        <v>0.66962962962962957</v>
      </c>
      <c r="G1316" s="3">
        <v>0.84819444444444447</v>
      </c>
      <c r="H1316" s="1">
        <v>0.17847222222222223</v>
      </c>
      <c r="I1316" s="5">
        <v>715</v>
      </c>
      <c r="J1316">
        <v>8248</v>
      </c>
      <c r="K1316">
        <v>167</v>
      </c>
      <c r="L1316" s="5">
        <v>85</v>
      </c>
      <c r="M1316" s="5">
        <v>712</v>
      </c>
      <c r="N1316">
        <v>10</v>
      </c>
      <c r="O1316">
        <v>702</v>
      </c>
      <c r="P1316" s="1">
        <v>0.20347222222222222</v>
      </c>
      <c r="Q1316" s="5">
        <v>1925</v>
      </c>
      <c r="R1316" s="14">
        <v>11.6</v>
      </c>
      <c r="S1316">
        <v>166</v>
      </c>
      <c r="T1316" s="5">
        <v>10</v>
      </c>
      <c r="U1316" s="5">
        <v>703</v>
      </c>
      <c r="V1316" s="5">
        <v>1</v>
      </c>
      <c r="W1316" s="5"/>
      <c r="X1316" s="5"/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</row>
    <row r="1317" spans="1:37" x14ac:dyDescent="0.25">
      <c r="A1317" s="11">
        <f>Table1[[#This Row],[Milk Yield]]-J1313</f>
        <v>506</v>
      </c>
      <c r="B1317" t="s">
        <v>24</v>
      </c>
      <c r="C1317" s="2">
        <v>3</v>
      </c>
      <c r="D1317" s="12">
        <v>45796</v>
      </c>
      <c r="E1317" s="2">
        <v>35</v>
      </c>
      <c r="F1317" s="13">
        <v>0.99824074074074076</v>
      </c>
      <c r="G1317" s="3">
        <v>0.20957175925925925</v>
      </c>
      <c r="H1317" s="1">
        <v>0.21111111111111111</v>
      </c>
      <c r="I1317" s="5">
        <v>715</v>
      </c>
      <c r="J1317">
        <v>9416</v>
      </c>
      <c r="K1317">
        <v>141</v>
      </c>
      <c r="L1317" s="5">
        <v>166</v>
      </c>
      <c r="M1317" s="5">
        <v>714</v>
      </c>
      <c r="N1317">
        <v>14</v>
      </c>
      <c r="O1317">
        <v>700</v>
      </c>
      <c r="P1317" s="1">
        <v>0.22847222222222222</v>
      </c>
      <c r="Q1317" s="5">
        <v>1856</v>
      </c>
      <c r="R1317" s="14">
        <v>13.2</v>
      </c>
      <c r="S1317">
        <v>141</v>
      </c>
      <c r="T1317" s="5">
        <v>14</v>
      </c>
      <c r="U1317" s="5">
        <v>701</v>
      </c>
      <c r="V1317" s="5">
        <v>1</v>
      </c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</row>
    <row r="1318" spans="1:37" x14ac:dyDescent="0.25">
      <c r="A1318" s="11" t="e">
        <f>Table1[[#This Row],[Milk Yield]]-J1314</f>
        <v>#VALUE!</v>
      </c>
      <c r="B1318" t="s">
        <v>0</v>
      </c>
      <c r="C1318" s="2" t="s">
        <v>1</v>
      </c>
      <c r="D1318" s="12" t="s">
        <v>2</v>
      </c>
      <c r="E1318" s="2" t="s">
        <v>3</v>
      </c>
      <c r="F1318" s="13" t="s">
        <v>4</v>
      </c>
      <c r="G1318" s="3" t="s">
        <v>5</v>
      </c>
      <c r="H1318" s="1" t="s">
        <v>6</v>
      </c>
      <c r="I1318" s="5" t="s">
        <v>8</v>
      </c>
      <c r="J1318" t="s">
        <v>9</v>
      </c>
      <c r="K1318" t="s">
        <v>10</v>
      </c>
      <c r="L1318" s="5" t="s">
        <v>11</v>
      </c>
      <c r="M1318" s="5" t="s">
        <v>12</v>
      </c>
      <c r="N1318" t="s">
        <v>13</v>
      </c>
      <c r="O1318" t="s">
        <v>20</v>
      </c>
      <c r="P1318" s="1" t="s">
        <v>7</v>
      </c>
      <c r="Q1318" s="5" t="s">
        <v>15</v>
      </c>
      <c r="R1318" s="14" t="s">
        <v>18</v>
      </c>
      <c r="S1318" t="s">
        <v>16</v>
      </c>
      <c r="T1318" s="5" t="s">
        <v>14</v>
      </c>
      <c r="U1318" s="5" t="s">
        <v>17</v>
      </c>
      <c r="V1318" s="5" t="s">
        <v>19</v>
      </c>
      <c r="W1318" s="5"/>
      <c r="X1318" s="5"/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</row>
    <row r="1319" spans="1:37" x14ac:dyDescent="0.25">
      <c r="A1319" s="11">
        <f>Table1[[#This Row],[Milk Yield]]-J1315</f>
        <v>-601</v>
      </c>
      <c r="B1319" t="s">
        <v>24</v>
      </c>
      <c r="C1319" s="2">
        <v>1</v>
      </c>
      <c r="D1319" s="12">
        <v>45797</v>
      </c>
      <c r="E1319" s="2">
        <v>37</v>
      </c>
      <c r="F1319" s="13">
        <v>0.33673611111111112</v>
      </c>
      <c r="G1319" s="3">
        <v>0.54675925925925928</v>
      </c>
      <c r="H1319" s="1">
        <v>0.20972222222222223</v>
      </c>
      <c r="I1319" s="5">
        <v>715</v>
      </c>
      <c r="J1319">
        <v>9039</v>
      </c>
      <c r="K1319">
        <v>142</v>
      </c>
      <c r="L1319" s="5">
        <v>796</v>
      </c>
      <c r="M1319" s="5">
        <v>713</v>
      </c>
      <c r="N1319">
        <v>80</v>
      </c>
      <c r="O1319">
        <v>633</v>
      </c>
      <c r="P1319" s="1">
        <v>0.24583333333333332</v>
      </c>
      <c r="Q1319" s="5">
        <v>1793</v>
      </c>
      <c r="R1319" s="14">
        <v>12.7</v>
      </c>
      <c r="S1319">
        <v>141</v>
      </c>
      <c r="T1319" s="5">
        <v>80</v>
      </c>
      <c r="U1319" s="5">
        <v>634</v>
      </c>
      <c r="V1319" s="5">
        <v>1</v>
      </c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</row>
    <row r="1320" spans="1:37" x14ac:dyDescent="0.25">
      <c r="A1320" s="11">
        <f>Table1[[#This Row],[Milk Yield]]-J1316</f>
        <v>669</v>
      </c>
      <c r="B1320" t="s">
        <v>24</v>
      </c>
      <c r="C1320" s="2">
        <v>2</v>
      </c>
      <c r="D1320" s="12">
        <v>45797</v>
      </c>
      <c r="E1320" s="2">
        <v>37</v>
      </c>
      <c r="F1320" s="13">
        <v>0.67011574074074076</v>
      </c>
      <c r="G1320" s="3">
        <v>0.87089120370370365</v>
      </c>
      <c r="H1320" s="1">
        <v>0.20069444444444445</v>
      </c>
      <c r="I1320" s="5">
        <v>720</v>
      </c>
      <c r="J1320">
        <v>8917</v>
      </c>
      <c r="K1320">
        <v>149</v>
      </c>
      <c r="L1320" s="5">
        <v>754</v>
      </c>
      <c r="M1320" s="5">
        <v>719</v>
      </c>
      <c r="N1320">
        <v>69</v>
      </c>
      <c r="O1320">
        <v>650</v>
      </c>
      <c r="P1320" s="1">
        <v>0.22777777777777777</v>
      </c>
      <c r="Q1320" s="5">
        <v>1850</v>
      </c>
      <c r="R1320" s="14">
        <v>12.5</v>
      </c>
      <c r="S1320">
        <v>149</v>
      </c>
      <c r="T1320" s="5">
        <v>69</v>
      </c>
      <c r="U1320" s="5">
        <v>651</v>
      </c>
      <c r="V1320" s="5">
        <v>1</v>
      </c>
      <c r="W1320" s="5"/>
      <c r="X1320" s="5"/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</row>
    <row r="1321" spans="1:37" x14ac:dyDescent="0.25">
      <c r="A1321" s="11">
        <f>Table1[[#This Row],[Milk Yield]]-J1317</f>
        <v>-778</v>
      </c>
      <c r="B1321" t="s">
        <v>24</v>
      </c>
      <c r="C1321" s="2">
        <v>3</v>
      </c>
      <c r="D1321" s="12">
        <v>45797</v>
      </c>
      <c r="E1321" s="2">
        <v>36</v>
      </c>
      <c r="F1321" s="13">
        <v>7.1759259259259259E-4</v>
      </c>
      <c r="G1321" s="3">
        <v>0.19318287037037038</v>
      </c>
      <c r="H1321" s="1">
        <v>0.19236111111111112</v>
      </c>
      <c r="I1321" s="5">
        <v>711</v>
      </c>
      <c r="J1321">
        <v>8638</v>
      </c>
      <c r="K1321">
        <v>154</v>
      </c>
      <c r="L1321" s="5">
        <v>333</v>
      </c>
      <c r="M1321" s="5">
        <v>710</v>
      </c>
      <c r="N1321">
        <v>25</v>
      </c>
      <c r="O1321">
        <v>685</v>
      </c>
      <c r="P1321" s="1">
        <v>0.22361111111111112</v>
      </c>
      <c r="Q1321" s="5">
        <v>1870</v>
      </c>
      <c r="R1321" s="14">
        <v>12.2</v>
      </c>
      <c r="S1321">
        <v>154</v>
      </c>
      <c r="T1321" s="5">
        <v>25</v>
      </c>
      <c r="U1321" s="5">
        <v>686</v>
      </c>
      <c r="V1321" s="5">
        <v>1</v>
      </c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</row>
    <row r="1322" spans="1:37" x14ac:dyDescent="0.25">
      <c r="A1322" s="11" t="e">
        <f>Table1[[#This Row],[Milk Yield]]-J1318</f>
        <v>#VALUE!</v>
      </c>
      <c r="B1322" t="s">
        <v>0</v>
      </c>
      <c r="C1322" s="2" t="s">
        <v>1</v>
      </c>
      <c r="D1322" s="12" t="s">
        <v>2</v>
      </c>
      <c r="E1322" s="2" t="s">
        <v>3</v>
      </c>
      <c r="F1322" s="13" t="s">
        <v>4</v>
      </c>
      <c r="G1322" s="3" t="s">
        <v>5</v>
      </c>
      <c r="H1322" s="1" t="s">
        <v>6</v>
      </c>
      <c r="I1322" s="5" t="s">
        <v>8</v>
      </c>
      <c r="J1322" t="s">
        <v>9</v>
      </c>
      <c r="K1322" t="s">
        <v>10</v>
      </c>
      <c r="L1322" s="5" t="s">
        <v>11</v>
      </c>
      <c r="M1322" s="5" t="s">
        <v>12</v>
      </c>
      <c r="N1322" t="s">
        <v>13</v>
      </c>
      <c r="O1322" t="s">
        <v>20</v>
      </c>
      <c r="P1322" s="1" t="s">
        <v>7</v>
      </c>
      <c r="Q1322" s="5" t="s">
        <v>15</v>
      </c>
      <c r="R1322" s="14" t="s">
        <v>18</v>
      </c>
      <c r="S1322" t="s">
        <v>16</v>
      </c>
      <c r="T1322" s="5" t="s">
        <v>14</v>
      </c>
      <c r="U1322" s="5" t="s">
        <v>17</v>
      </c>
      <c r="V1322" s="5" t="s">
        <v>19</v>
      </c>
      <c r="W1322" s="5"/>
      <c r="X1322" s="5"/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</row>
    <row r="1323" spans="1:37" x14ac:dyDescent="0.25">
      <c r="A1323" s="11">
        <f>Table1[[#This Row],[Milk Yield]]-J1319</f>
        <v>-182</v>
      </c>
      <c r="B1323" t="s">
        <v>24</v>
      </c>
      <c r="C1323" s="2">
        <v>1</v>
      </c>
      <c r="D1323" s="12">
        <v>45798</v>
      </c>
      <c r="E1323" s="2">
        <v>40</v>
      </c>
      <c r="F1323" s="13">
        <v>0.33859953703703705</v>
      </c>
      <c r="G1323" s="3">
        <v>0.51768518518518514</v>
      </c>
      <c r="H1323" s="1">
        <v>0.17847222222222223</v>
      </c>
      <c r="I1323" s="5">
        <v>737</v>
      </c>
      <c r="J1323">
        <v>8857</v>
      </c>
      <c r="K1323">
        <v>171</v>
      </c>
      <c r="L1323" s="5">
        <v>501</v>
      </c>
      <c r="M1323" s="5">
        <v>725</v>
      </c>
      <c r="N1323">
        <v>65</v>
      </c>
      <c r="O1323">
        <v>660</v>
      </c>
      <c r="P1323" s="1">
        <v>0.22291666666666668</v>
      </c>
      <c r="Q1323" s="5">
        <v>2061</v>
      </c>
      <c r="R1323" s="14">
        <v>12.3</v>
      </c>
      <c r="S1323">
        <v>169</v>
      </c>
      <c r="T1323" s="5">
        <v>65</v>
      </c>
      <c r="U1323" s="5">
        <v>661</v>
      </c>
      <c r="V1323" s="5">
        <v>1</v>
      </c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</row>
    <row r="1324" spans="1:37" x14ac:dyDescent="0.25">
      <c r="A1324" s="11">
        <f>Table1[[#This Row],[Milk Yield]]-J1320</f>
        <v>-380</v>
      </c>
      <c r="B1324" t="s">
        <v>24</v>
      </c>
      <c r="C1324" s="2">
        <v>2</v>
      </c>
      <c r="D1324" s="12">
        <v>45798</v>
      </c>
      <c r="E1324" s="2">
        <v>34</v>
      </c>
      <c r="F1324" s="13">
        <v>0.66969907407407403</v>
      </c>
      <c r="G1324" s="3">
        <v>0.8465625</v>
      </c>
      <c r="H1324" s="1">
        <v>0.1763888888888889</v>
      </c>
      <c r="I1324" s="5">
        <v>694</v>
      </c>
      <c r="J1324">
        <v>8537</v>
      </c>
      <c r="K1324">
        <v>163</v>
      </c>
      <c r="L1324" s="5">
        <v>197</v>
      </c>
      <c r="M1324" s="5">
        <v>692</v>
      </c>
      <c r="N1324">
        <v>18</v>
      </c>
      <c r="O1324">
        <v>674</v>
      </c>
      <c r="P1324" s="1">
        <v>0.21458333333333332</v>
      </c>
      <c r="Q1324" s="5">
        <v>2011</v>
      </c>
      <c r="R1324" s="14">
        <v>12.4</v>
      </c>
      <c r="S1324">
        <v>163</v>
      </c>
      <c r="T1324" s="5">
        <v>18</v>
      </c>
      <c r="U1324" s="5">
        <v>675</v>
      </c>
      <c r="V1324" s="5">
        <v>1</v>
      </c>
      <c r="W1324" s="5"/>
      <c r="X1324" s="5"/>
      <c r="Y1324" s="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</row>
    <row r="1325" spans="1:37" x14ac:dyDescent="0.25">
      <c r="A1325" s="11">
        <f>Table1[[#This Row],[Milk Yield]]-J1321</f>
        <v>313</v>
      </c>
      <c r="B1325" t="s">
        <v>24</v>
      </c>
      <c r="C1325" s="2">
        <v>3</v>
      </c>
      <c r="D1325" s="12">
        <v>45798</v>
      </c>
      <c r="E1325" s="2">
        <v>32</v>
      </c>
      <c r="F1325" s="13">
        <v>4.6527777777777774E-3</v>
      </c>
      <c r="G1325" s="3">
        <v>0.19063657407407408</v>
      </c>
      <c r="H1325" s="1">
        <v>0.18541666666666667</v>
      </c>
      <c r="I1325" s="5">
        <v>693</v>
      </c>
      <c r="J1325">
        <v>8951</v>
      </c>
      <c r="K1325">
        <v>155</v>
      </c>
      <c r="L1325" s="5">
        <v>83</v>
      </c>
      <c r="M1325" s="5">
        <v>693</v>
      </c>
      <c r="N1325">
        <v>9</v>
      </c>
      <c r="O1325">
        <v>684</v>
      </c>
      <c r="P1325" s="1">
        <v>0.22361111111111112</v>
      </c>
      <c r="Q1325" s="5">
        <v>2005</v>
      </c>
      <c r="R1325" s="14">
        <v>13</v>
      </c>
      <c r="S1325">
        <v>155</v>
      </c>
      <c r="T1325" s="5">
        <v>9</v>
      </c>
      <c r="U1325" s="5">
        <v>685</v>
      </c>
      <c r="V1325" s="5">
        <v>1</v>
      </c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</row>
    <row r="1326" spans="1:37" x14ac:dyDescent="0.25">
      <c r="A1326" s="11" t="e">
        <f>Table1[[#This Row],[Milk Yield]]-J1322</f>
        <v>#VALUE!</v>
      </c>
      <c r="B1326" t="s">
        <v>0</v>
      </c>
      <c r="C1326" s="2" t="s">
        <v>1</v>
      </c>
      <c r="D1326" s="12" t="s">
        <v>2</v>
      </c>
      <c r="E1326" s="2" t="s">
        <v>3</v>
      </c>
      <c r="F1326" s="13" t="s">
        <v>4</v>
      </c>
      <c r="G1326" s="3" t="s">
        <v>5</v>
      </c>
      <c r="H1326" s="1" t="s">
        <v>6</v>
      </c>
      <c r="I1326" s="5" t="s">
        <v>8</v>
      </c>
      <c r="J1326" t="s">
        <v>9</v>
      </c>
      <c r="K1326" t="s">
        <v>10</v>
      </c>
      <c r="L1326" s="5" t="s">
        <v>11</v>
      </c>
      <c r="M1326" s="5" t="s">
        <v>12</v>
      </c>
      <c r="N1326" t="s">
        <v>13</v>
      </c>
      <c r="O1326" t="s">
        <v>20</v>
      </c>
      <c r="P1326" s="1" t="s">
        <v>7</v>
      </c>
      <c r="Q1326" s="5" t="s">
        <v>15</v>
      </c>
      <c r="R1326" s="14" t="s">
        <v>18</v>
      </c>
      <c r="S1326" t="s">
        <v>16</v>
      </c>
      <c r="T1326" s="5" t="s">
        <v>14</v>
      </c>
      <c r="U1326" s="5" t="s">
        <v>17</v>
      </c>
      <c r="V1326" s="5" t="s">
        <v>19</v>
      </c>
      <c r="W1326" s="5"/>
      <c r="X1326" s="5"/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</row>
    <row r="1327" spans="1:37" x14ac:dyDescent="0.25">
      <c r="A1327" s="11">
        <f>Table1[[#This Row],[Milk Yield]]-J1323</f>
        <v>533</v>
      </c>
      <c r="B1327" t="s">
        <v>24</v>
      </c>
      <c r="C1327" s="2">
        <v>1</v>
      </c>
      <c r="D1327" s="12">
        <v>45799</v>
      </c>
      <c r="E1327" s="2">
        <v>31</v>
      </c>
      <c r="F1327" s="13">
        <v>0.33878472222222222</v>
      </c>
      <c r="G1327" s="3">
        <v>0.5336805555555556</v>
      </c>
      <c r="H1327" s="1">
        <v>0.19444444444444445</v>
      </c>
      <c r="I1327" s="5">
        <v>674</v>
      </c>
      <c r="J1327">
        <v>9390</v>
      </c>
      <c r="K1327">
        <v>144</v>
      </c>
      <c r="L1327" s="5">
        <v>905</v>
      </c>
      <c r="M1327" s="5">
        <v>667</v>
      </c>
      <c r="N1327">
        <v>78</v>
      </c>
      <c r="O1327">
        <v>589</v>
      </c>
      <c r="P1327" s="1">
        <v>0.22847222222222222</v>
      </c>
      <c r="Q1327" s="5">
        <v>2007</v>
      </c>
      <c r="R1327" s="14">
        <v>14.1</v>
      </c>
      <c r="S1327">
        <v>143</v>
      </c>
      <c r="T1327" s="5">
        <v>78</v>
      </c>
      <c r="U1327" s="5">
        <v>589</v>
      </c>
      <c r="V1327" s="5">
        <v>1</v>
      </c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</row>
    <row r="1328" spans="1:37" x14ac:dyDescent="0.25">
      <c r="A1328" s="11">
        <f>Table1[[#This Row],[Milk Yield]]-J1324</f>
        <v>-70</v>
      </c>
      <c r="B1328" t="s">
        <v>24</v>
      </c>
      <c r="C1328" s="2">
        <v>2</v>
      </c>
      <c r="D1328" s="12">
        <v>45799</v>
      </c>
      <c r="E1328" s="2">
        <v>34</v>
      </c>
      <c r="F1328" s="13">
        <v>0.67031249999999998</v>
      </c>
      <c r="G1328" s="3">
        <v>0.83583333333333332</v>
      </c>
      <c r="H1328" s="1">
        <v>0.16527777777777777</v>
      </c>
      <c r="I1328" s="5">
        <v>753</v>
      </c>
      <c r="J1328">
        <v>8467</v>
      </c>
      <c r="K1328">
        <v>190</v>
      </c>
      <c r="L1328" s="5">
        <v>723</v>
      </c>
      <c r="M1328" s="5">
        <v>749</v>
      </c>
      <c r="N1328">
        <v>77</v>
      </c>
      <c r="O1328">
        <v>672</v>
      </c>
      <c r="P1328" s="1">
        <v>0.21597222222222223</v>
      </c>
      <c r="Q1328" s="5">
        <v>2131</v>
      </c>
      <c r="R1328" s="14">
        <v>11.4</v>
      </c>
      <c r="S1328">
        <v>189</v>
      </c>
      <c r="T1328" s="5">
        <v>77</v>
      </c>
      <c r="U1328" s="5">
        <v>671</v>
      </c>
      <c r="V1328" s="5">
        <v>1</v>
      </c>
      <c r="W1328" s="5"/>
      <c r="X1328" s="5"/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</row>
    <row r="1329" spans="1:37" x14ac:dyDescent="0.25">
      <c r="A1329" s="11">
        <f>Table1[[#This Row],[Milk Yield]]-J1325</f>
        <v>75</v>
      </c>
      <c r="B1329" t="s">
        <v>24</v>
      </c>
      <c r="C1329" s="2">
        <v>3</v>
      </c>
      <c r="D1329" s="12">
        <v>45799</v>
      </c>
      <c r="E1329" s="2">
        <v>34</v>
      </c>
      <c r="F1329" s="13">
        <v>1.261574074074074E-3</v>
      </c>
      <c r="G1329" s="3">
        <v>0.19339120370370369</v>
      </c>
      <c r="H1329" s="1">
        <v>0.19166666666666668</v>
      </c>
      <c r="I1329" s="5">
        <v>689</v>
      </c>
      <c r="J1329">
        <v>9026</v>
      </c>
      <c r="K1329">
        <v>149</v>
      </c>
      <c r="L1329" s="5">
        <v>118</v>
      </c>
      <c r="M1329" s="5">
        <v>689</v>
      </c>
      <c r="N1329">
        <v>9</v>
      </c>
      <c r="O1329">
        <v>680</v>
      </c>
      <c r="P1329" s="1">
        <v>0.2361111111111111</v>
      </c>
      <c r="Q1329" s="5">
        <v>1957</v>
      </c>
      <c r="R1329" s="14">
        <v>13.2</v>
      </c>
      <c r="S1329">
        <v>149</v>
      </c>
      <c r="T1329" s="5">
        <v>9</v>
      </c>
      <c r="U1329" s="5">
        <v>681</v>
      </c>
      <c r="V1329" s="5">
        <v>1</v>
      </c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</row>
    <row r="1330" spans="1:37" x14ac:dyDescent="0.25">
      <c r="A1330" s="11" t="e">
        <f>Table1[[#This Row],[Milk Yield]]-J1326</f>
        <v>#VALUE!</v>
      </c>
      <c r="B1330" t="s">
        <v>0</v>
      </c>
      <c r="C1330" s="2" t="s">
        <v>1</v>
      </c>
      <c r="D1330" s="12" t="s">
        <v>2</v>
      </c>
      <c r="E1330" s="2" t="s">
        <v>3</v>
      </c>
      <c r="F1330" s="13" t="s">
        <v>4</v>
      </c>
      <c r="G1330" s="3" t="s">
        <v>5</v>
      </c>
      <c r="H1330" s="1" t="s">
        <v>6</v>
      </c>
      <c r="I1330" s="5" t="s">
        <v>8</v>
      </c>
      <c r="J1330" t="s">
        <v>9</v>
      </c>
      <c r="K1330" t="s">
        <v>10</v>
      </c>
      <c r="L1330" s="5" t="s">
        <v>11</v>
      </c>
      <c r="M1330" s="5" t="s">
        <v>12</v>
      </c>
      <c r="N1330" t="s">
        <v>13</v>
      </c>
      <c r="O1330" t="s">
        <v>20</v>
      </c>
      <c r="P1330" s="1" t="s">
        <v>7</v>
      </c>
      <c r="Q1330" s="5" t="s">
        <v>15</v>
      </c>
      <c r="R1330" s="14" t="s">
        <v>18</v>
      </c>
      <c r="S1330" t="s">
        <v>16</v>
      </c>
      <c r="T1330" s="5" t="s">
        <v>14</v>
      </c>
      <c r="U1330" s="5" t="s">
        <v>17</v>
      </c>
      <c r="V1330" s="5" t="s">
        <v>19</v>
      </c>
      <c r="W1330" s="5"/>
      <c r="X1330" s="5"/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</row>
    <row r="1331" spans="1:37" x14ac:dyDescent="0.25">
      <c r="A1331" s="11">
        <f>Table1[[#This Row],[Milk Yield]]-J1327</f>
        <v>-880</v>
      </c>
      <c r="B1331" t="s">
        <v>24</v>
      </c>
      <c r="C1331" s="2">
        <v>1</v>
      </c>
      <c r="D1331" s="12">
        <v>45800</v>
      </c>
      <c r="E1331" s="2">
        <v>37</v>
      </c>
      <c r="F1331" s="13">
        <v>0.33754629629629629</v>
      </c>
      <c r="G1331" s="3">
        <v>0.53293981481481478</v>
      </c>
      <c r="H1331" s="1">
        <v>0.19513888888888889</v>
      </c>
      <c r="I1331" s="5">
        <v>709</v>
      </c>
      <c r="J1331">
        <v>8510</v>
      </c>
      <c r="K1331">
        <v>151</v>
      </c>
      <c r="L1331" s="5">
        <v>430</v>
      </c>
      <c r="M1331" s="5">
        <v>706</v>
      </c>
      <c r="N1331">
        <v>46</v>
      </c>
      <c r="O1331">
        <v>660</v>
      </c>
      <c r="P1331" s="1">
        <v>0.22638888888888889</v>
      </c>
      <c r="Q1331" s="5">
        <v>1815</v>
      </c>
      <c r="R1331" s="14">
        <v>12.1</v>
      </c>
      <c r="S1331">
        <v>151</v>
      </c>
      <c r="T1331" s="5">
        <v>46</v>
      </c>
      <c r="U1331" s="5">
        <v>661</v>
      </c>
      <c r="V1331" s="5">
        <v>1</v>
      </c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</row>
    <row r="1332" spans="1:37" x14ac:dyDescent="0.25">
      <c r="A1332" s="11">
        <f>Table1[[#This Row],[Milk Yield]]-J1328</f>
        <v>-195</v>
      </c>
      <c r="B1332" t="s">
        <v>24</v>
      </c>
      <c r="C1332" s="2">
        <v>2</v>
      </c>
      <c r="D1332" s="12">
        <v>45800</v>
      </c>
      <c r="E1332" s="2">
        <v>34</v>
      </c>
      <c r="F1332" s="13">
        <v>0.66395833333333332</v>
      </c>
      <c r="G1332" s="3">
        <v>0.84045138888888893</v>
      </c>
      <c r="H1332" s="1">
        <v>0.1763888888888889</v>
      </c>
      <c r="I1332" s="5">
        <v>689</v>
      </c>
      <c r="J1332">
        <v>8272</v>
      </c>
      <c r="K1332">
        <v>163</v>
      </c>
      <c r="L1332" s="5">
        <v>357</v>
      </c>
      <c r="M1332" s="5">
        <v>688</v>
      </c>
      <c r="N1332">
        <v>34</v>
      </c>
      <c r="O1332">
        <v>654</v>
      </c>
      <c r="P1332" s="1">
        <v>0.22708333333333333</v>
      </c>
      <c r="Q1332" s="5">
        <v>1953</v>
      </c>
      <c r="R1332" s="14">
        <v>12.1</v>
      </c>
      <c r="S1332">
        <v>162</v>
      </c>
      <c r="T1332" s="5">
        <v>34</v>
      </c>
      <c r="U1332" s="5">
        <v>654</v>
      </c>
      <c r="V1332" s="5">
        <v>0</v>
      </c>
      <c r="W1332" s="5"/>
      <c r="X1332" s="5"/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</row>
    <row r="1333" spans="1:37" x14ac:dyDescent="0.25">
      <c r="A1333" s="11">
        <f>Table1[[#This Row],[Milk Yield]]-J1329</f>
        <v>272</v>
      </c>
      <c r="B1333" t="s">
        <v>24</v>
      </c>
      <c r="C1333" s="2">
        <v>3</v>
      </c>
      <c r="D1333" s="12">
        <v>45800</v>
      </c>
      <c r="E1333" s="2">
        <v>35</v>
      </c>
      <c r="F1333" s="13">
        <v>1.7476851851851852E-3</v>
      </c>
      <c r="G1333" s="3">
        <v>0.19523148148148148</v>
      </c>
      <c r="H1333" s="1">
        <v>0.19305555555555556</v>
      </c>
      <c r="I1333" s="5">
        <v>669</v>
      </c>
      <c r="J1333">
        <v>9298</v>
      </c>
      <c r="K1333">
        <v>144</v>
      </c>
      <c r="L1333" s="5">
        <v>1273</v>
      </c>
      <c r="M1333" s="5">
        <v>669</v>
      </c>
      <c r="N1333">
        <v>102</v>
      </c>
      <c r="O1333">
        <v>567</v>
      </c>
      <c r="P1333" s="1">
        <v>0.27152777777777776</v>
      </c>
      <c r="Q1333" s="5">
        <v>2002</v>
      </c>
      <c r="R1333" s="14">
        <v>13.9</v>
      </c>
      <c r="S1333">
        <v>144</v>
      </c>
      <c r="T1333" s="5">
        <v>102</v>
      </c>
      <c r="U1333" s="5">
        <v>567</v>
      </c>
      <c r="V1333" s="5">
        <v>0</v>
      </c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</row>
    <row r="1334" spans="1:37" x14ac:dyDescent="0.25">
      <c r="A1334" s="11" t="e">
        <f>Table1[[#This Row],[Milk Yield]]-J1330</f>
        <v>#VALUE!</v>
      </c>
      <c r="B1334" t="s">
        <v>0</v>
      </c>
      <c r="C1334" s="2" t="s">
        <v>1</v>
      </c>
      <c r="D1334" s="12" t="s">
        <v>2</v>
      </c>
      <c r="E1334" s="2" t="s">
        <v>3</v>
      </c>
      <c r="F1334" s="13" t="s">
        <v>4</v>
      </c>
      <c r="G1334" s="3" t="s">
        <v>5</v>
      </c>
      <c r="H1334" s="1" t="s">
        <v>6</v>
      </c>
      <c r="I1334" s="5" t="s">
        <v>8</v>
      </c>
      <c r="J1334" t="s">
        <v>9</v>
      </c>
      <c r="K1334" t="s">
        <v>10</v>
      </c>
      <c r="L1334" s="5" t="s">
        <v>11</v>
      </c>
      <c r="M1334" s="5" t="s">
        <v>12</v>
      </c>
      <c r="N1334" t="s">
        <v>13</v>
      </c>
      <c r="O1334" t="s">
        <v>20</v>
      </c>
      <c r="P1334" s="1" t="s">
        <v>7</v>
      </c>
      <c r="Q1334" s="5" t="s">
        <v>15</v>
      </c>
      <c r="R1334" s="14" t="s">
        <v>18</v>
      </c>
      <c r="S1334" t="s">
        <v>16</v>
      </c>
      <c r="T1334" s="5" t="s">
        <v>14</v>
      </c>
      <c r="U1334" s="5" t="s">
        <v>17</v>
      </c>
      <c r="V1334" s="5" t="s">
        <v>19</v>
      </c>
      <c r="W1334" s="5"/>
      <c r="X1334" s="5"/>
      <c r="Y1334" s="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</row>
    <row r="1335" spans="1:37" x14ac:dyDescent="0.25">
      <c r="A1335" s="11">
        <f>Table1[[#This Row],[Milk Yield]]-J1331</f>
        <v>594</v>
      </c>
      <c r="B1335" t="s">
        <v>24</v>
      </c>
      <c r="C1335" s="2">
        <v>1</v>
      </c>
      <c r="D1335" s="12">
        <v>45801</v>
      </c>
      <c r="E1335" s="2">
        <v>35</v>
      </c>
      <c r="F1335" s="13">
        <v>0.33500000000000002</v>
      </c>
      <c r="G1335" s="3">
        <v>0.52202546296296293</v>
      </c>
      <c r="H1335" s="1">
        <v>0.18680555555555556</v>
      </c>
      <c r="I1335" s="5">
        <v>703</v>
      </c>
      <c r="J1335">
        <v>9104</v>
      </c>
      <c r="K1335">
        <v>157</v>
      </c>
      <c r="L1335" s="5">
        <v>947</v>
      </c>
      <c r="M1335" s="5">
        <v>703</v>
      </c>
      <c r="N1335">
        <v>86</v>
      </c>
      <c r="O1335">
        <v>617</v>
      </c>
      <c r="P1335" s="1">
        <v>0.24374999999999999</v>
      </c>
      <c r="Q1335" s="5">
        <v>2028</v>
      </c>
      <c r="R1335" s="14">
        <v>13</v>
      </c>
      <c r="S1335">
        <v>157</v>
      </c>
      <c r="T1335" s="5">
        <v>86</v>
      </c>
      <c r="U1335" s="5">
        <v>617</v>
      </c>
      <c r="V1335" s="5">
        <v>0</v>
      </c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</row>
    <row r="1336" spans="1:37" x14ac:dyDescent="0.25">
      <c r="A1336" s="11">
        <f>Table1[[#This Row],[Milk Yield]]-J1332</f>
        <v>-143</v>
      </c>
      <c r="B1336" t="s">
        <v>24</v>
      </c>
      <c r="C1336" s="2">
        <v>2</v>
      </c>
      <c r="D1336" s="12">
        <v>45801</v>
      </c>
      <c r="E1336" s="2">
        <v>34</v>
      </c>
      <c r="F1336" s="13">
        <v>0.66932870370370368</v>
      </c>
      <c r="G1336" s="3">
        <v>0.82049768518518518</v>
      </c>
      <c r="H1336" s="1">
        <v>0.15069444444444444</v>
      </c>
      <c r="I1336" s="5">
        <v>693</v>
      </c>
      <c r="J1336">
        <v>8129</v>
      </c>
      <c r="K1336">
        <v>191</v>
      </c>
      <c r="L1336" s="5">
        <v>201</v>
      </c>
      <c r="M1336" s="5">
        <v>692</v>
      </c>
      <c r="N1336">
        <v>20</v>
      </c>
      <c r="O1336">
        <v>672</v>
      </c>
      <c r="P1336" s="1">
        <v>0.21249999999999999</v>
      </c>
      <c r="Q1336" s="5">
        <v>2241</v>
      </c>
      <c r="R1336" s="14">
        <v>11.8</v>
      </c>
      <c r="S1336">
        <v>191</v>
      </c>
      <c r="T1336" s="5">
        <v>20</v>
      </c>
      <c r="U1336" s="5">
        <v>672</v>
      </c>
      <c r="V1336" s="5">
        <v>0</v>
      </c>
      <c r="W1336" s="5"/>
      <c r="X1336" s="5"/>
      <c r="Y1336" s="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</row>
    <row r="1337" spans="1:37" x14ac:dyDescent="0.25">
      <c r="A1337" s="11">
        <f>Table1[[#This Row],[Milk Yield]]-J1333</f>
        <v>-316</v>
      </c>
      <c r="B1337" t="s">
        <v>24</v>
      </c>
      <c r="C1337" s="2">
        <v>3</v>
      </c>
      <c r="D1337" s="12">
        <v>45801</v>
      </c>
      <c r="E1337" s="2">
        <v>33</v>
      </c>
      <c r="F1337" s="13">
        <v>2.5694444444444445E-3</v>
      </c>
      <c r="G1337" s="3">
        <v>0.18475694444444443</v>
      </c>
      <c r="H1337" s="1">
        <v>0.18194444444444444</v>
      </c>
      <c r="I1337" s="5">
        <v>694</v>
      </c>
      <c r="J1337">
        <v>8982</v>
      </c>
      <c r="K1337">
        <v>159</v>
      </c>
      <c r="L1337" s="5">
        <v>268</v>
      </c>
      <c r="M1337" s="5">
        <v>694</v>
      </c>
      <c r="N1337">
        <v>20</v>
      </c>
      <c r="O1337">
        <v>674</v>
      </c>
      <c r="P1337" s="1">
        <v>0.22847222222222222</v>
      </c>
      <c r="Q1337" s="5">
        <v>2054</v>
      </c>
      <c r="R1337" s="14">
        <v>13</v>
      </c>
      <c r="S1337">
        <v>159</v>
      </c>
      <c r="T1337" s="5">
        <v>20</v>
      </c>
      <c r="U1337" s="5">
        <v>674</v>
      </c>
      <c r="V1337" s="5">
        <v>0</v>
      </c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</row>
    <row r="1338" spans="1:37" x14ac:dyDescent="0.25">
      <c r="A1338" s="11" t="e">
        <f>Table1[[#This Row],[Milk Yield]]-J1334</f>
        <v>#VALUE!</v>
      </c>
      <c r="B1338" t="s">
        <v>0</v>
      </c>
      <c r="C1338" s="2" t="s">
        <v>1</v>
      </c>
      <c r="D1338" s="12" t="s">
        <v>2</v>
      </c>
      <c r="E1338" s="2" t="s">
        <v>3</v>
      </c>
      <c r="F1338" s="13" t="s">
        <v>4</v>
      </c>
      <c r="G1338" s="3" t="s">
        <v>5</v>
      </c>
      <c r="H1338" s="1" t="s">
        <v>6</v>
      </c>
      <c r="I1338" s="5" t="s">
        <v>8</v>
      </c>
      <c r="J1338" t="s">
        <v>9</v>
      </c>
      <c r="K1338" t="s">
        <v>10</v>
      </c>
      <c r="L1338" s="5" t="s">
        <v>11</v>
      </c>
      <c r="M1338" s="5" t="s">
        <v>12</v>
      </c>
      <c r="N1338" t="s">
        <v>13</v>
      </c>
      <c r="O1338" t="s">
        <v>20</v>
      </c>
      <c r="P1338" s="1" t="s">
        <v>7</v>
      </c>
      <c r="Q1338" s="5" t="s">
        <v>15</v>
      </c>
      <c r="R1338" s="14" t="s">
        <v>18</v>
      </c>
      <c r="S1338" t="s">
        <v>16</v>
      </c>
      <c r="T1338" s="5" t="s">
        <v>14</v>
      </c>
      <c r="U1338" s="5" t="s">
        <v>17</v>
      </c>
      <c r="V1338" s="5" t="s">
        <v>19</v>
      </c>
      <c r="W1338" s="5"/>
      <c r="X1338" s="5"/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</row>
    <row r="1339" spans="1:37" x14ac:dyDescent="0.25">
      <c r="A1339" s="11">
        <f>Table1[[#This Row],[Milk Yield]]-J1335</f>
        <v>427</v>
      </c>
      <c r="B1339" t="s">
        <v>24</v>
      </c>
      <c r="C1339" s="2">
        <v>1</v>
      </c>
      <c r="D1339" s="12">
        <v>45802</v>
      </c>
      <c r="E1339" s="2">
        <v>34</v>
      </c>
      <c r="F1339" s="13">
        <v>0.33765046296296297</v>
      </c>
      <c r="G1339" s="3">
        <v>0.52782407407407406</v>
      </c>
      <c r="H1339" s="1">
        <v>0.18958333333333333</v>
      </c>
      <c r="I1339" s="5">
        <v>657</v>
      </c>
      <c r="J1339">
        <v>9531</v>
      </c>
      <c r="K1339">
        <v>144</v>
      </c>
      <c r="L1339" s="5">
        <v>1590</v>
      </c>
      <c r="M1339" s="5">
        <v>657</v>
      </c>
      <c r="N1339">
        <v>135</v>
      </c>
      <c r="O1339">
        <v>522</v>
      </c>
      <c r="P1339" s="1">
        <v>0.27916666666666667</v>
      </c>
      <c r="Q1339" s="5">
        <v>2088</v>
      </c>
      <c r="R1339" s="14">
        <v>14.6</v>
      </c>
      <c r="S1339">
        <v>144</v>
      </c>
      <c r="T1339" s="5">
        <v>135</v>
      </c>
      <c r="U1339" s="5">
        <v>522</v>
      </c>
      <c r="V1339" s="5">
        <v>0</v>
      </c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</row>
    <row r="1340" spans="1:37" x14ac:dyDescent="0.25">
      <c r="A1340" s="11">
        <f>Table1[[#This Row],[Milk Yield]]-J1336</f>
        <v>47</v>
      </c>
      <c r="B1340" t="s">
        <v>24</v>
      </c>
      <c r="C1340" s="2">
        <v>2</v>
      </c>
      <c r="D1340" s="12">
        <v>45802</v>
      </c>
      <c r="E1340" s="2">
        <v>33</v>
      </c>
      <c r="F1340" s="13">
        <v>0.66760416666666667</v>
      </c>
      <c r="G1340" s="3">
        <v>0.84156249999999999</v>
      </c>
      <c r="H1340" s="1">
        <v>0.1736111111111111</v>
      </c>
      <c r="I1340" s="5">
        <v>683</v>
      </c>
      <c r="J1340">
        <v>8176</v>
      </c>
      <c r="K1340">
        <v>164</v>
      </c>
      <c r="L1340" s="5">
        <v>300</v>
      </c>
      <c r="M1340" s="5">
        <v>683</v>
      </c>
      <c r="N1340">
        <v>31</v>
      </c>
      <c r="O1340">
        <v>652</v>
      </c>
      <c r="P1340" s="1">
        <v>0.22708333333333333</v>
      </c>
      <c r="Q1340" s="5">
        <v>1958</v>
      </c>
      <c r="R1340" s="14">
        <v>12</v>
      </c>
      <c r="S1340">
        <v>164</v>
      </c>
      <c r="T1340" s="5">
        <v>31</v>
      </c>
      <c r="U1340" s="5">
        <v>652</v>
      </c>
      <c r="V1340" s="5">
        <v>0</v>
      </c>
      <c r="W1340" s="5"/>
      <c r="X1340" s="5"/>
      <c r="Y1340" s="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</row>
    <row r="1341" spans="1:37" x14ac:dyDescent="0.25">
      <c r="A1341" s="11">
        <f>Table1[[#This Row],[Milk Yield]]-J1337</f>
        <v>-100</v>
      </c>
      <c r="B1341" t="s">
        <v>24</v>
      </c>
      <c r="C1341" s="2">
        <v>3</v>
      </c>
      <c r="D1341" s="12">
        <v>45802</v>
      </c>
      <c r="E1341" s="2">
        <v>35</v>
      </c>
      <c r="F1341" s="13">
        <v>1.5046296296296296E-3</v>
      </c>
      <c r="G1341" s="3">
        <v>0.21158564814814815</v>
      </c>
      <c r="H1341" s="1">
        <v>0.20972222222222223</v>
      </c>
      <c r="I1341" s="5">
        <v>701</v>
      </c>
      <c r="J1341">
        <v>8882</v>
      </c>
      <c r="K1341">
        <v>139</v>
      </c>
      <c r="L1341" s="5">
        <v>430</v>
      </c>
      <c r="M1341" s="5">
        <v>700</v>
      </c>
      <c r="N1341">
        <v>34</v>
      </c>
      <c r="O1341">
        <v>666</v>
      </c>
      <c r="P1341" s="1">
        <v>0.22708333333333333</v>
      </c>
      <c r="Q1341" s="5">
        <v>1762</v>
      </c>
      <c r="R1341" s="14">
        <v>12.7</v>
      </c>
      <c r="S1341">
        <v>139</v>
      </c>
      <c r="T1341" s="5">
        <v>34</v>
      </c>
      <c r="U1341" s="5">
        <v>666</v>
      </c>
      <c r="V1341" s="5">
        <v>0</v>
      </c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</row>
    <row r="1342" spans="1:37" x14ac:dyDescent="0.25">
      <c r="A1342" s="11" t="e">
        <f>Table1[[#This Row],[Milk Yield]]-J1338</f>
        <v>#VALUE!</v>
      </c>
      <c r="B1342" t="s">
        <v>0</v>
      </c>
      <c r="C1342" s="2" t="s">
        <v>1</v>
      </c>
      <c r="D1342" s="12" t="s">
        <v>2</v>
      </c>
      <c r="E1342" s="2" t="s">
        <v>3</v>
      </c>
      <c r="F1342" s="13" t="s">
        <v>4</v>
      </c>
      <c r="G1342" s="3" t="s">
        <v>5</v>
      </c>
      <c r="H1342" s="1" t="s">
        <v>6</v>
      </c>
      <c r="I1342" s="5" t="s">
        <v>8</v>
      </c>
      <c r="J1342" t="s">
        <v>9</v>
      </c>
      <c r="K1342" t="s">
        <v>10</v>
      </c>
      <c r="L1342" s="5" t="s">
        <v>11</v>
      </c>
      <c r="M1342" s="5" t="s">
        <v>12</v>
      </c>
      <c r="N1342" t="s">
        <v>13</v>
      </c>
      <c r="O1342" t="s">
        <v>20</v>
      </c>
      <c r="P1342" s="1" t="s">
        <v>7</v>
      </c>
      <c r="Q1342" s="5" t="s">
        <v>15</v>
      </c>
      <c r="R1342" s="14" t="s">
        <v>18</v>
      </c>
      <c r="S1342" t="s">
        <v>16</v>
      </c>
      <c r="T1342" s="5" t="s">
        <v>14</v>
      </c>
      <c r="U1342" s="5" t="s">
        <v>17</v>
      </c>
      <c r="V1342" s="5" t="s">
        <v>19</v>
      </c>
      <c r="W1342" s="5"/>
      <c r="X1342" s="5"/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</row>
    <row r="1343" spans="1:37" x14ac:dyDescent="0.25">
      <c r="A1343" s="11">
        <f>Table1[[#This Row],[Milk Yield]]-J1339</f>
        <v>-368</v>
      </c>
      <c r="B1343" t="s">
        <v>24</v>
      </c>
      <c r="C1343" s="2">
        <v>1</v>
      </c>
      <c r="D1343" s="12">
        <v>45803</v>
      </c>
      <c r="E1343" s="2">
        <v>33</v>
      </c>
      <c r="F1343" s="13">
        <v>0.33809027777777778</v>
      </c>
      <c r="G1343" s="3">
        <v>0.53776620370370365</v>
      </c>
      <c r="H1343" s="1">
        <v>0.19930555555555557</v>
      </c>
      <c r="I1343" s="5">
        <v>657</v>
      </c>
      <c r="J1343">
        <v>9163</v>
      </c>
      <c r="K1343">
        <v>137</v>
      </c>
      <c r="L1343" s="5">
        <v>234</v>
      </c>
      <c r="M1343" s="5">
        <v>657</v>
      </c>
      <c r="N1343">
        <v>19</v>
      </c>
      <c r="O1343">
        <v>638</v>
      </c>
      <c r="P1343" s="1">
        <v>0.25624999999999998</v>
      </c>
      <c r="Q1343" s="5">
        <v>1912</v>
      </c>
      <c r="R1343" s="14">
        <v>14</v>
      </c>
      <c r="S1343">
        <v>137</v>
      </c>
      <c r="T1343" s="5">
        <v>19</v>
      </c>
      <c r="U1343" s="5">
        <v>638</v>
      </c>
      <c r="V1343" s="5">
        <v>0</v>
      </c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</row>
    <row r="1344" spans="1:37" x14ac:dyDescent="0.25">
      <c r="A1344" s="11">
        <f>Table1[[#This Row],[Milk Yield]]-J1340</f>
        <v>-82</v>
      </c>
      <c r="B1344" t="s">
        <v>24</v>
      </c>
      <c r="C1344" s="2">
        <v>2</v>
      </c>
      <c r="D1344" s="12">
        <v>45803</v>
      </c>
      <c r="E1344" s="2">
        <v>35</v>
      </c>
      <c r="F1344" s="13">
        <v>0.67116898148148152</v>
      </c>
      <c r="G1344" s="3">
        <v>0.86570601851851847</v>
      </c>
      <c r="H1344" s="1">
        <v>0.19444444444444445</v>
      </c>
      <c r="I1344" s="5">
        <v>689</v>
      </c>
      <c r="J1344">
        <v>8094</v>
      </c>
      <c r="K1344">
        <v>148</v>
      </c>
      <c r="L1344" s="5">
        <v>123</v>
      </c>
      <c r="M1344" s="5">
        <v>689</v>
      </c>
      <c r="N1344">
        <v>11</v>
      </c>
      <c r="O1344">
        <v>678</v>
      </c>
      <c r="P1344" s="1">
        <v>0.21597222222222223</v>
      </c>
      <c r="Q1344" s="5">
        <v>1733</v>
      </c>
      <c r="R1344" s="14">
        <v>11.8</v>
      </c>
      <c r="S1344">
        <v>148</v>
      </c>
      <c r="T1344" s="5">
        <v>11</v>
      </c>
      <c r="U1344" s="5">
        <v>678</v>
      </c>
      <c r="V1344" s="5">
        <v>0</v>
      </c>
      <c r="W1344" s="5"/>
      <c r="X1344" s="5"/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</row>
    <row r="1345" spans="1:37" x14ac:dyDescent="0.25">
      <c r="A1345" s="11">
        <f>Table1[[#This Row],[Milk Yield]]-J1341</f>
        <v>-164</v>
      </c>
      <c r="B1345" t="s">
        <v>24</v>
      </c>
      <c r="C1345" s="2">
        <v>3</v>
      </c>
      <c r="D1345" s="12">
        <v>45803</v>
      </c>
      <c r="E1345" s="2">
        <v>33</v>
      </c>
      <c r="F1345" s="13">
        <v>9.1435185185185185E-4</v>
      </c>
      <c r="G1345" s="3">
        <v>0.17640046296296297</v>
      </c>
      <c r="H1345" s="1">
        <v>0.17499999999999999</v>
      </c>
      <c r="I1345" s="5">
        <v>687</v>
      </c>
      <c r="J1345">
        <v>8718</v>
      </c>
      <c r="K1345">
        <v>163</v>
      </c>
      <c r="L1345" s="5">
        <v>1355</v>
      </c>
      <c r="M1345" s="5">
        <v>685</v>
      </c>
      <c r="N1345">
        <v>87</v>
      </c>
      <c r="O1345">
        <v>598</v>
      </c>
      <c r="P1345" s="1">
        <v>0.23333333333333334</v>
      </c>
      <c r="Q1345" s="5">
        <v>2070</v>
      </c>
      <c r="R1345" s="14">
        <v>12.8</v>
      </c>
      <c r="S1345">
        <v>163</v>
      </c>
      <c r="T1345" s="5">
        <v>87</v>
      </c>
      <c r="U1345" s="5">
        <v>598</v>
      </c>
      <c r="V1345" s="5">
        <v>0</v>
      </c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</row>
    <row r="1346" spans="1:37" x14ac:dyDescent="0.25">
      <c r="A1346" s="11" t="e">
        <f>Table1[[#This Row],[Milk Yield]]-J1342</f>
        <v>#VALUE!</v>
      </c>
      <c r="B1346" t="s">
        <v>0</v>
      </c>
      <c r="C1346" s="2" t="s">
        <v>1</v>
      </c>
      <c r="D1346" s="12" t="s">
        <v>2</v>
      </c>
      <c r="E1346" s="2" t="s">
        <v>3</v>
      </c>
      <c r="F1346" s="13" t="s">
        <v>4</v>
      </c>
      <c r="G1346" s="3" t="s">
        <v>5</v>
      </c>
      <c r="H1346" s="1" t="s">
        <v>6</v>
      </c>
      <c r="I1346" s="5" t="s">
        <v>8</v>
      </c>
      <c r="J1346" t="s">
        <v>9</v>
      </c>
      <c r="K1346" t="s">
        <v>10</v>
      </c>
      <c r="L1346" s="5" t="s">
        <v>11</v>
      </c>
      <c r="M1346" s="5" t="s">
        <v>12</v>
      </c>
      <c r="N1346" t="s">
        <v>13</v>
      </c>
      <c r="O1346" t="s">
        <v>20</v>
      </c>
      <c r="P1346" s="1" t="s">
        <v>7</v>
      </c>
      <c r="Q1346" s="5" t="s">
        <v>15</v>
      </c>
      <c r="R1346" s="14" t="s">
        <v>18</v>
      </c>
      <c r="S1346" t="s">
        <v>16</v>
      </c>
      <c r="T1346" s="5" t="s">
        <v>14</v>
      </c>
      <c r="U1346" s="5" t="s">
        <v>17</v>
      </c>
      <c r="V1346" s="5" t="s">
        <v>19</v>
      </c>
      <c r="W1346" s="5"/>
      <c r="X1346" s="5"/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</row>
    <row r="1347" spans="1:37" x14ac:dyDescent="0.25">
      <c r="A1347" s="11">
        <f>Table1[[#This Row],[Milk Yield]]-J1343</f>
        <v>-95</v>
      </c>
      <c r="B1347" t="s">
        <v>24</v>
      </c>
      <c r="C1347" s="2">
        <v>1</v>
      </c>
      <c r="D1347" s="12">
        <v>45804</v>
      </c>
      <c r="E1347" s="2">
        <v>35</v>
      </c>
      <c r="F1347" s="13">
        <v>0.33980324074074075</v>
      </c>
      <c r="G1347" s="3">
        <v>0.54151620370370368</v>
      </c>
      <c r="H1347" s="1">
        <v>0.2013888888888889</v>
      </c>
      <c r="I1347" s="5">
        <v>714</v>
      </c>
      <c r="J1347">
        <v>9068</v>
      </c>
      <c r="K1347">
        <v>147</v>
      </c>
      <c r="L1347" s="5">
        <v>458</v>
      </c>
      <c r="M1347" s="5">
        <v>710</v>
      </c>
      <c r="N1347">
        <v>53</v>
      </c>
      <c r="O1347">
        <v>657</v>
      </c>
      <c r="P1347" s="1">
        <v>0.23680555555555555</v>
      </c>
      <c r="Q1347" s="5">
        <v>1873</v>
      </c>
      <c r="R1347" s="14">
        <v>12.8</v>
      </c>
      <c r="S1347">
        <v>147</v>
      </c>
      <c r="T1347" s="5">
        <v>53</v>
      </c>
      <c r="U1347" s="5">
        <v>657</v>
      </c>
      <c r="V1347" s="5">
        <v>0</v>
      </c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</row>
    <row r="1348" spans="1:37" x14ac:dyDescent="0.25">
      <c r="A1348" s="11">
        <f>Table1[[#This Row],[Milk Yield]]-J1344</f>
        <v>-95</v>
      </c>
      <c r="B1348" t="s">
        <v>24</v>
      </c>
      <c r="C1348" s="2">
        <v>2</v>
      </c>
      <c r="D1348" s="12">
        <v>45804</v>
      </c>
      <c r="E1348" s="2">
        <v>35</v>
      </c>
      <c r="F1348" s="13">
        <v>0.65424768518518517</v>
      </c>
      <c r="G1348" s="3">
        <v>0.84305555555555556</v>
      </c>
      <c r="H1348" s="1">
        <v>0.18819444444444444</v>
      </c>
      <c r="I1348" s="5">
        <v>742</v>
      </c>
      <c r="J1348">
        <v>7999</v>
      </c>
      <c r="K1348">
        <v>164</v>
      </c>
      <c r="L1348" s="5">
        <v>109</v>
      </c>
      <c r="M1348" s="5">
        <v>738</v>
      </c>
      <c r="N1348">
        <v>60</v>
      </c>
      <c r="O1348">
        <v>678</v>
      </c>
      <c r="P1348" s="1">
        <v>0.21458333333333332</v>
      </c>
      <c r="Q1348" s="5">
        <v>1765</v>
      </c>
      <c r="R1348" s="14">
        <v>10.9</v>
      </c>
      <c r="S1348">
        <v>163</v>
      </c>
      <c r="T1348" s="5">
        <v>60</v>
      </c>
      <c r="U1348" s="5">
        <v>678</v>
      </c>
      <c r="V1348" s="5">
        <v>0</v>
      </c>
      <c r="W1348" s="5"/>
      <c r="X1348" s="5"/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</row>
    <row r="1349" spans="1:37" x14ac:dyDescent="0.25">
      <c r="A1349" s="11">
        <f>Table1[[#This Row],[Milk Yield]]-J1345</f>
        <v>-5</v>
      </c>
      <c r="B1349" t="s">
        <v>24</v>
      </c>
      <c r="C1349" s="2">
        <v>3</v>
      </c>
      <c r="D1349" s="12">
        <v>45804</v>
      </c>
      <c r="E1349" s="2">
        <v>35</v>
      </c>
      <c r="F1349" s="13">
        <v>9.0277777777777774E-4</v>
      </c>
      <c r="G1349" s="3">
        <v>0.1849537037037037</v>
      </c>
      <c r="H1349" s="1">
        <v>0.18402777777777779</v>
      </c>
      <c r="I1349" s="5">
        <v>692</v>
      </c>
      <c r="J1349">
        <v>8713</v>
      </c>
      <c r="K1349">
        <v>157</v>
      </c>
      <c r="L1349" s="5">
        <v>180</v>
      </c>
      <c r="M1349" s="5">
        <v>692</v>
      </c>
      <c r="N1349">
        <v>17</v>
      </c>
      <c r="O1349">
        <v>675</v>
      </c>
      <c r="P1349" s="1">
        <v>0.21319444444444444</v>
      </c>
      <c r="Q1349" s="5">
        <v>1972</v>
      </c>
      <c r="R1349" s="14">
        <v>12.6</v>
      </c>
      <c r="S1349">
        <v>157</v>
      </c>
      <c r="T1349" s="5">
        <v>17</v>
      </c>
      <c r="U1349" s="5">
        <v>675</v>
      </c>
      <c r="V1349" s="5">
        <v>0</v>
      </c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</row>
    <row r="1350" spans="1:37" x14ac:dyDescent="0.25">
      <c r="A1350" s="11" t="e">
        <f>Table1[[#This Row],[Milk Yield]]-J1346</f>
        <v>#VALUE!</v>
      </c>
      <c r="B1350" t="s">
        <v>0</v>
      </c>
      <c r="C1350" s="2" t="s">
        <v>1</v>
      </c>
      <c r="D1350" s="12" t="s">
        <v>2</v>
      </c>
      <c r="E1350" s="2" t="s">
        <v>3</v>
      </c>
      <c r="F1350" s="13" t="s">
        <v>4</v>
      </c>
      <c r="G1350" s="3" t="s">
        <v>5</v>
      </c>
      <c r="H1350" s="1" t="s">
        <v>6</v>
      </c>
      <c r="I1350" s="5" t="s">
        <v>8</v>
      </c>
      <c r="J1350" t="s">
        <v>9</v>
      </c>
      <c r="K1350" t="s">
        <v>10</v>
      </c>
      <c r="L1350" s="5" t="s">
        <v>11</v>
      </c>
      <c r="M1350" s="5" t="s">
        <v>12</v>
      </c>
      <c r="N1350" t="s">
        <v>13</v>
      </c>
      <c r="O1350" t="s">
        <v>20</v>
      </c>
      <c r="P1350" s="1" t="s">
        <v>7</v>
      </c>
      <c r="Q1350" s="5" t="s">
        <v>15</v>
      </c>
      <c r="R1350" s="14" t="s">
        <v>18</v>
      </c>
      <c r="S1350" t="s">
        <v>16</v>
      </c>
      <c r="T1350" s="5" t="s">
        <v>14</v>
      </c>
      <c r="U1350" s="5" t="s">
        <v>17</v>
      </c>
      <c r="V1350" s="5" t="s">
        <v>19</v>
      </c>
      <c r="W1350" s="5"/>
      <c r="X1350" s="5"/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</row>
    <row r="1351" spans="1:37" x14ac:dyDescent="0.25">
      <c r="A1351" s="11">
        <f>Table1[[#This Row],[Milk Yield]]-J1347</f>
        <v>-416</v>
      </c>
      <c r="B1351" t="s">
        <v>24</v>
      </c>
      <c r="C1351" s="2">
        <v>1</v>
      </c>
      <c r="D1351" s="12">
        <v>45805</v>
      </c>
      <c r="E1351" s="2">
        <v>35</v>
      </c>
      <c r="F1351" s="13">
        <v>0.33879629629629632</v>
      </c>
      <c r="G1351" s="3">
        <v>0.52114583333333331</v>
      </c>
      <c r="H1351" s="1">
        <v>0.18194444444444444</v>
      </c>
      <c r="I1351" s="5">
        <v>691</v>
      </c>
      <c r="J1351">
        <v>8652</v>
      </c>
      <c r="K1351">
        <v>158</v>
      </c>
      <c r="L1351" s="5">
        <v>119</v>
      </c>
      <c r="M1351" s="5">
        <v>690</v>
      </c>
      <c r="N1351">
        <v>11</v>
      </c>
      <c r="O1351">
        <v>679</v>
      </c>
      <c r="P1351" s="1">
        <v>0.22013888888888888</v>
      </c>
      <c r="Q1351" s="5">
        <v>1977</v>
      </c>
      <c r="R1351" s="14">
        <v>12.6</v>
      </c>
      <c r="S1351">
        <v>158</v>
      </c>
      <c r="T1351" s="5">
        <v>11</v>
      </c>
      <c r="U1351" s="5">
        <v>679</v>
      </c>
      <c r="V1351" s="5">
        <v>0</v>
      </c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</row>
    <row r="1352" spans="1:37" x14ac:dyDescent="0.25">
      <c r="A1352" s="11">
        <f>Table1[[#This Row],[Milk Yield]]-J1348</f>
        <v>297</v>
      </c>
      <c r="B1352" t="s">
        <v>24</v>
      </c>
      <c r="C1352" s="2">
        <v>2</v>
      </c>
      <c r="D1352" s="12">
        <v>45805</v>
      </c>
      <c r="E1352" s="2">
        <v>35</v>
      </c>
      <c r="F1352" s="13">
        <v>0.67300925925925925</v>
      </c>
      <c r="G1352" s="3">
        <v>0.86746527777777782</v>
      </c>
      <c r="H1352" s="1">
        <v>0.19444444444444445</v>
      </c>
      <c r="I1352" s="5">
        <v>695</v>
      </c>
      <c r="J1352">
        <v>8296</v>
      </c>
      <c r="K1352">
        <v>149</v>
      </c>
      <c r="L1352" s="5">
        <v>80</v>
      </c>
      <c r="M1352" s="5">
        <v>695</v>
      </c>
      <c r="N1352">
        <v>9</v>
      </c>
      <c r="O1352">
        <v>686</v>
      </c>
      <c r="P1352" s="1">
        <v>0.21249999999999999</v>
      </c>
      <c r="Q1352" s="5">
        <v>1778</v>
      </c>
      <c r="R1352" s="14">
        <v>12</v>
      </c>
      <c r="S1352">
        <v>149</v>
      </c>
      <c r="T1352" s="5">
        <v>9</v>
      </c>
      <c r="U1352" s="5">
        <v>686</v>
      </c>
      <c r="V1352" s="5">
        <v>0</v>
      </c>
      <c r="W1352" s="5"/>
      <c r="X1352" s="5"/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</row>
    <row r="1353" spans="1:37" x14ac:dyDescent="0.25">
      <c r="A1353" s="11">
        <f>Table1[[#This Row],[Milk Yield]]-J1349</f>
        <v>-436</v>
      </c>
      <c r="B1353" t="s">
        <v>24</v>
      </c>
      <c r="C1353" s="2">
        <v>3</v>
      </c>
      <c r="D1353" s="12">
        <v>45805</v>
      </c>
      <c r="E1353" s="2">
        <v>33</v>
      </c>
      <c r="F1353" s="13">
        <v>0.99914351851851857</v>
      </c>
      <c r="G1353" s="3">
        <v>0.18398148148148147</v>
      </c>
      <c r="H1353" s="1">
        <v>0.18472222222222223</v>
      </c>
      <c r="I1353" s="5">
        <v>693</v>
      </c>
      <c r="J1353">
        <v>8277</v>
      </c>
      <c r="K1353">
        <v>156</v>
      </c>
      <c r="L1353" s="5">
        <v>270</v>
      </c>
      <c r="M1353" s="5">
        <v>693</v>
      </c>
      <c r="N1353">
        <v>26</v>
      </c>
      <c r="O1353">
        <v>667</v>
      </c>
      <c r="P1353" s="1">
        <v>0.21388888888888888</v>
      </c>
      <c r="Q1353" s="5">
        <v>1866</v>
      </c>
      <c r="R1353" s="14">
        <v>12</v>
      </c>
      <c r="S1353">
        <v>156</v>
      </c>
      <c r="T1353" s="5">
        <v>26</v>
      </c>
      <c r="U1353" s="5">
        <v>667</v>
      </c>
      <c r="V1353" s="5">
        <v>0</v>
      </c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</row>
    <row r="1354" spans="1:37" x14ac:dyDescent="0.25">
      <c r="A1354" s="11" t="e">
        <f>Table1[[#This Row],[Milk Yield]]-J1350</f>
        <v>#VALUE!</v>
      </c>
      <c r="B1354" t="s">
        <v>0</v>
      </c>
      <c r="C1354" s="2" t="s">
        <v>1</v>
      </c>
      <c r="D1354" s="12" t="s">
        <v>2</v>
      </c>
      <c r="E1354" s="2" t="s">
        <v>3</v>
      </c>
      <c r="F1354" s="13" t="s">
        <v>4</v>
      </c>
      <c r="G1354" s="3" t="s">
        <v>5</v>
      </c>
      <c r="H1354" s="1" t="s">
        <v>6</v>
      </c>
      <c r="I1354" s="5" t="s">
        <v>8</v>
      </c>
      <c r="J1354" t="s">
        <v>9</v>
      </c>
      <c r="K1354" t="s">
        <v>10</v>
      </c>
      <c r="L1354" s="5" t="s">
        <v>11</v>
      </c>
      <c r="M1354" s="5" t="s">
        <v>12</v>
      </c>
      <c r="N1354" t="s">
        <v>13</v>
      </c>
      <c r="O1354" t="s">
        <v>20</v>
      </c>
      <c r="P1354" s="1" t="s">
        <v>7</v>
      </c>
      <c r="Q1354" s="5" t="s">
        <v>15</v>
      </c>
      <c r="R1354" s="14" t="s">
        <v>18</v>
      </c>
      <c r="S1354" t="s">
        <v>16</v>
      </c>
      <c r="T1354" s="5" t="s">
        <v>14</v>
      </c>
      <c r="U1354" s="5" t="s">
        <v>17</v>
      </c>
      <c r="V1354" s="5" t="s">
        <v>19</v>
      </c>
      <c r="W1354" s="5"/>
      <c r="X1354" s="5"/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</row>
    <row r="1355" spans="1:37" x14ac:dyDescent="0.25">
      <c r="A1355" s="11">
        <f>Table1[[#This Row],[Milk Yield]]-J1351</f>
        <v>3627</v>
      </c>
      <c r="B1355" t="s">
        <v>24</v>
      </c>
      <c r="C1355" s="2">
        <v>1</v>
      </c>
      <c r="D1355" s="12">
        <v>45806</v>
      </c>
      <c r="E1355" s="2">
        <v>41</v>
      </c>
      <c r="F1355" s="13">
        <v>0.3407175925925926</v>
      </c>
      <c r="G1355" s="3">
        <v>0.57751157407407405</v>
      </c>
      <c r="H1355" s="1">
        <v>0.23680555555555555</v>
      </c>
      <c r="I1355" s="5">
        <v>809</v>
      </c>
      <c r="J1355">
        <v>12279</v>
      </c>
      <c r="K1355">
        <v>142</v>
      </c>
      <c r="L1355" s="5">
        <v>2215</v>
      </c>
      <c r="M1355" s="5">
        <v>809</v>
      </c>
      <c r="N1355">
        <v>105</v>
      </c>
      <c r="O1355">
        <v>704</v>
      </c>
      <c r="P1355" s="1">
        <v>0.26319444444444445</v>
      </c>
      <c r="Q1355" s="5">
        <v>2161</v>
      </c>
      <c r="R1355" s="14">
        <v>15.2</v>
      </c>
      <c r="S1355">
        <v>142</v>
      </c>
      <c r="T1355" s="5">
        <v>105</v>
      </c>
      <c r="U1355" s="5">
        <v>704</v>
      </c>
      <c r="V1355" s="5">
        <v>0</v>
      </c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</row>
    <row r="1356" spans="1:37" x14ac:dyDescent="0.25">
      <c r="A1356" s="11">
        <f>Table1[[#This Row],[Milk Yield]]-J1352</f>
        <v>389</v>
      </c>
      <c r="B1356" t="s">
        <v>24</v>
      </c>
      <c r="C1356" s="2">
        <v>2</v>
      </c>
      <c r="D1356" s="12">
        <v>45806</v>
      </c>
      <c r="E1356" s="2">
        <v>38</v>
      </c>
      <c r="F1356" s="13">
        <v>0.66968749999999999</v>
      </c>
      <c r="G1356" s="3">
        <v>0.88491898148148151</v>
      </c>
      <c r="H1356" s="1">
        <v>0.21458333333333332</v>
      </c>
      <c r="I1356" s="5">
        <v>825</v>
      </c>
      <c r="J1356">
        <v>8685</v>
      </c>
      <c r="K1356">
        <v>160</v>
      </c>
      <c r="L1356" s="5">
        <v>413</v>
      </c>
      <c r="M1356" s="5">
        <v>825</v>
      </c>
      <c r="N1356">
        <v>38</v>
      </c>
      <c r="O1356">
        <v>787</v>
      </c>
      <c r="P1356" s="1">
        <v>0.21666666666666667</v>
      </c>
      <c r="Q1356" s="5">
        <v>1681</v>
      </c>
      <c r="R1356" s="14">
        <v>10.6</v>
      </c>
      <c r="S1356">
        <v>160</v>
      </c>
      <c r="T1356" s="5">
        <v>38</v>
      </c>
      <c r="U1356" s="5">
        <v>787</v>
      </c>
      <c r="V1356" s="5">
        <v>0</v>
      </c>
      <c r="W1356" s="5"/>
      <c r="X1356" s="5"/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</row>
    <row r="1357" spans="1:37" x14ac:dyDescent="0.25">
      <c r="A1357" s="11">
        <f>Table1[[#This Row],[Milk Yield]]-J1353</f>
        <v>1620</v>
      </c>
      <c r="B1357" t="s">
        <v>24</v>
      </c>
      <c r="C1357" s="2">
        <v>3</v>
      </c>
      <c r="D1357" s="12">
        <v>45806</v>
      </c>
      <c r="E1357" s="2">
        <v>37</v>
      </c>
      <c r="F1357" s="13">
        <v>9.4907407407407408E-4</v>
      </c>
      <c r="G1357" s="3">
        <v>0.23164351851851853</v>
      </c>
      <c r="H1357" s="1">
        <v>0.23055555555555557</v>
      </c>
      <c r="I1357" s="5">
        <v>807</v>
      </c>
      <c r="J1357">
        <v>9897</v>
      </c>
      <c r="K1357">
        <v>146</v>
      </c>
      <c r="L1357" s="5">
        <v>133</v>
      </c>
      <c r="M1357" s="5">
        <v>807</v>
      </c>
      <c r="N1357">
        <v>13</v>
      </c>
      <c r="O1357">
        <v>794</v>
      </c>
      <c r="P1357" s="1">
        <v>0.21388888888888888</v>
      </c>
      <c r="Q1357" s="5">
        <v>1788</v>
      </c>
      <c r="R1357" s="14">
        <v>12.3</v>
      </c>
      <c r="S1357">
        <v>146</v>
      </c>
      <c r="T1357" s="5">
        <v>13</v>
      </c>
      <c r="U1357" s="5">
        <v>794</v>
      </c>
      <c r="V1357" s="5">
        <v>0</v>
      </c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</row>
    <row r="1358" spans="1:37" x14ac:dyDescent="0.25">
      <c r="A1358" s="11" t="e">
        <f>Table1[[#This Row],[Milk Yield]]-J1354</f>
        <v>#VALUE!</v>
      </c>
      <c r="B1358" t="s">
        <v>0</v>
      </c>
      <c r="C1358" s="2" t="s">
        <v>1</v>
      </c>
      <c r="D1358" s="12" t="s">
        <v>2</v>
      </c>
      <c r="E1358" s="2" t="s">
        <v>3</v>
      </c>
      <c r="F1358" s="13" t="s">
        <v>4</v>
      </c>
      <c r="G1358" s="3" t="s">
        <v>5</v>
      </c>
      <c r="H1358" s="1" t="s">
        <v>6</v>
      </c>
      <c r="I1358" s="5" t="s">
        <v>8</v>
      </c>
      <c r="J1358" t="s">
        <v>9</v>
      </c>
      <c r="K1358" t="s">
        <v>10</v>
      </c>
      <c r="L1358" s="5" t="s">
        <v>11</v>
      </c>
      <c r="M1358" s="5" t="s">
        <v>12</v>
      </c>
      <c r="N1358" t="s">
        <v>13</v>
      </c>
      <c r="O1358" t="s">
        <v>20</v>
      </c>
      <c r="P1358" s="1" t="s">
        <v>7</v>
      </c>
      <c r="Q1358" s="5" t="s">
        <v>15</v>
      </c>
      <c r="R1358" s="14" t="s">
        <v>18</v>
      </c>
      <c r="S1358" t="s">
        <v>16</v>
      </c>
      <c r="T1358" s="5" t="s">
        <v>14</v>
      </c>
      <c r="U1358" s="5" t="s">
        <v>17</v>
      </c>
      <c r="V1358" s="5" t="s">
        <v>19</v>
      </c>
      <c r="W1358" s="5"/>
      <c r="X1358" s="5"/>
      <c r="Y1358" s="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</row>
    <row r="1359" spans="1:37" x14ac:dyDescent="0.25">
      <c r="A1359" s="11">
        <f>Table1[[#This Row],[Milk Yield]]-J1355</f>
        <v>-2865</v>
      </c>
      <c r="B1359" t="s">
        <v>24</v>
      </c>
      <c r="C1359" s="2">
        <v>1</v>
      </c>
      <c r="D1359" s="12">
        <v>45807</v>
      </c>
      <c r="E1359" s="2">
        <v>40</v>
      </c>
      <c r="F1359" s="13">
        <v>0.33733796296296298</v>
      </c>
      <c r="G1359" s="3">
        <v>0.5490856481481482</v>
      </c>
      <c r="H1359" s="1">
        <v>0.21111111111111111</v>
      </c>
      <c r="I1359" s="5">
        <v>814</v>
      </c>
      <c r="J1359">
        <v>9414</v>
      </c>
      <c r="K1359">
        <v>160</v>
      </c>
      <c r="L1359" s="5">
        <v>134</v>
      </c>
      <c r="M1359" s="5">
        <v>811</v>
      </c>
      <c r="N1359">
        <v>15</v>
      </c>
      <c r="O1359">
        <v>796</v>
      </c>
      <c r="P1359" s="1">
        <v>0.21527777777777779</v>
      </c>
      <c r="Q1359" s="5">
        <v>1852</v>
      </c>
      <c r="R1359" s="14">
        <v>11.7</v>
      </c>
      <c r="S1359">
        <v>160</v>
      </c>
      <c r="T1359" s="5">
        <v>15</v>
      </c>
      <c r="U1359" s="5">
        <v>796</v>
      </c>
      <c r="V1359" s="5">
        <v>0</v>
      </c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</row>
    <row r="1360" spans="1:37" x14ac:dyDescent="0.25">
      <c r="A1360" s="11">
        <f>Table1[[#This Row],[Milk Yield]]-J1356</f>
        <v>953</v>
      </c>
      <c r="B1360" t="s">
        <v>24</v>
      </c>
      <c r="C1360" s="2">
        <v>2</v>
      </c>
      <c r="D1360" s="12">
        <v>45807</v>
      </c>
      <c r="E1360" s="2">
        <v>39</v>
      </c>
      <c r="F1360" s="13">
        <v>0.66710648148148144</v>
      </c>
      <c r="G1360" s="3">
        <v>0.87006944444444445</v>
      </c>
      <c r="H1360" s="1">
        <v>0.20277777777777778</v>
      </c>
      <c r="I1360" s="5">
        <v>807</v>
      </c>
      <c r="J1360">
        <v>9638</v>
      </c>
      <c r="K1360">
        <v>166</v>
      </c>
      <c r="L1360" s="5">
        <v>271</v>
      </c>
      <c r="M1360" s="5">
        <v>806</v>
      </c>
      <c r="N1360">
        <v>25</v>
      </c>
      <c r="O1360">
        <v>781</v>
      </c>
      <c r="P1360" s="1">
        <v>0.22152777777777777</v>
      </c>
      <c r="Q1360" s="5">
        <v>1979</v>
      </c>
      <c r="R1360" s="14">
        <v>12</v>
      </c>
      <c r="S1360">
        <v>165</v>
      </c>
      <c r="T1360" s="5">
        <v>25</v>
      </c>
      <c r="U1360" s="5">
        <v>781</v>
      </c>
      <c r="V1360" s="5">
        <v>0</v>
      </c>
      <c r="W1360" s="5"/>
      <c r="X1360" s="5"/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</row>
    <row r="1361" spans="1:37" x14ac:dyDescent="0.25">
      <c r="A1361" s="11">
        <f>Table1[[#This Row],[Milk Yield]]-J1357</f>
        <v>289</v>
      </c>
      <c r="B1361" t="s">
        <v>24</v>
      </c>
      <c r="C1361" s="2">
        <v>3</v>
      </c>
      <c r="D1361" s="12">
        <v>45807</v>
      </c>
      <c r="E1361" s="2">
        <v>38</v>
      </c>
      <c r="F1361" s="13">
        <v>4.6296296296296294E-5</v>
      </c>
      <c r="G1361" s="3">
        <v>0.21368055555555557</v>
      </c>
      <c r="H1361" s="1">
        <v>0.21319444444444444</v>
      </c>
      <c r="I1361" s="5">
        <v>805</v>
      </c>
      <c r="J1361">
        <v>10186</v>
      </c>
      <c r="K1361">
        <v>157</v>
      </c>
      <c r="L1361" s="5">
        <v>237</v>
      </c>
      <c r="M1361" s="5">
        <v>804</v>
      </c>
      <c r="N1361">
        <v>20</v>
      </c>
      <c r="O1361">
        <v>784</v>
      </c>
      <c r="P1361" s="1">
        <v>0.22222222222222221</v>
      </c>
      <c r="Q1361" s="5">
        <v>1987</v>
      </c>
      <c r="R1361" s="14">
        <v>12.7</v>
      </c>
      <c r="S1361">
        <v>157</v>
      </c>
      <c r="T1361" s="5">
        <v>20</v>
      </c>
      <c r="U1361" s="5">
        <v>784</v>
      </c>
      <c r="V1361" s="5">
        <v>0</v>
      </c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</row>
    <row r="1362" spans="1:37" x14ac:dyDescent="0.25">
      <c r="A1362" s="11" t="e">
        <f>Table1[[#This Row],[Milk Yield]]-J1358</f>
        <v>#VALUE!</v>
      </c>
      <c r="B1362" t="s">
        <v>0</v>
      </c>
      <c r="C1362" s="2" t="s">
        <v>1</v>
      </c>
      <c r="D1362" s="12" t="s">
        <v>2</v>
      </c>
      <c r="E1362" s="2" t="s">
        <v>3</v>
      </c>
      <c r="F1362" s="13" t="s">
        <v>4</v>
      </c>
      <c r="G1362" s="3" t="s">
        <v>5</v>
      </c>
      <c r="H1362" s="1" t="s">
        <v>6</v>
      </c>
      <c r="I1362" s="5" t="s">
        <v>8</v>
      </c>
      <c r="J1362" t="s">
        <v>9</v>
      </c>
      <c r="K1362" t="s">
        <v>10</v>
      </c>
      <c r="L1362" s="5" t="s">
        <v>11</v>
      </c>
      <c r="M1362" s="5" t="s">
        <v>12</v>
      </c>
      <c r="N1362" t="s">
        <v>13</v>
      </c>
      <c r="O1362" t="s">
        <v>20</v>
      </c>
      <c r="P1362" s="1" t="s">
        <v>7</v>
      </c>
      <c r="Q1362" s="5" t="s">
        <v>15</v>
      </c>
      <c r="R1362" s="14" t="s">
        <v>18</v>
      </c>
      <c r="S1362" t="s">
        <v>16</v>
      </c>
      <c r="T1362" s="5" t="s">
        <v>14</v>
      </c>
      <c r="U1362" s="5" t="s">
        <v>17</v>
      </c>
      <c r="V1362" s="5" t="s">
        <v>19</v>
      </c>
      <c r="W1362" s="5"/>
      <c r="X1362" s="5"/>
      <c r="Y1362" s="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</row>
    <row r="1363" spans="1:37" x14ac:dyDescent="0.25">
      <c r="A1363" s="11">
        <f>Table1[[#This Row],[Milk Yield]]-J1359</f>
        <v>1089</v>
      </c>
      <c r="B1363" t="s">
        <v>24</v>
      </c>
      <c r="C1363" s="2">
        <v>1</v>
      </c>
      <c r="D1363" s="12">
        <v>45808</v>
      </c>
      <c r="E1363" s="2">
        <v>36</v>
      </c>
      <c r="F1363" s="13">
        <v>0.33436342592592594</v>
      </c>
      <c r="G1363" s="3">
        <v>0.5590046296296296</v>
      </c>
      <c r="H1363" s="1">
        <v>0.22430555555555556</v>
      </c>
      <c r="I1363" s="5">
        <v>796</v>
      </c>
      <c r="J1363">
        <v>10503</v>
      </c>
      <c r="K1363">
        <v>148</v>
      </c>
      <c r="L1363" s="5">
        <v>197</v>
      </c>
      <c r="M1363" s="5">
        <v>796</v>
      </c>
      <c r="N1363">
        <v>17</v>
      </c>
      <c r="O1363">
        <v>779</v>
      </c>
      <c r="P1363" s="1">
        <v>0.23402777777777778</v>
      </c>
      <c r="Q1363" s="5">
        <v>1948</v>
      </c>
      <c r="R1363" s="14">
        <v>13.2</v>
      </c>
      <c r="S1363">
        <v>148</v>
      </c>
      <c r="T1363" s="5">
        <v>17</v>
      </c>
      <c r="U1363" s="5">
        <v>779</v>
      </c>
      <c r="V1363" s="5">
        <v>0</v>
      </c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</row>
    <row r="1364" spans="1:37" x14ac:dyDescent="0.25">
      <c r="A1364" s="11">
        <f>Table1[[#This Row],[Milk Yield]]-J1360</f>
        <v>-77</v>
      </c>
      <c r="B1364" t="s">
        <v>24</v>
      </c>
      <c r="C1364" s="2">
        <v>2</v>
      </c>
      <c r="D1364" s="12">
        <v>45808</v>
      </c>
      <c r="E1364" s="2">
        <v>40</v>
      </c>
      <c r="F1364" s="13">
        <v>0.66847222222222225</v>
      </c>
      <c r="G1364" s="3">
        <v>0.86400462962962965</v>
      </c>
      <c r="H1364" s="1">
        <v>0.19513888888888889</v>
      </c>
      <c r="I1364" s="5">
        <v>810</v>
      </c>
      <c r="J1364">
        <v>9561</v>
      </c>
      <c r="K1364">
        <v>173</v>
      </c>
      <c r="L1364" s="5">
        <v>409</v>
      </c>
      <c r="M1364" s="5">
        <v>810</v>
      </c>
      <c r="N1364">
        <v>46</v>
      </c>
      <c r="O1364">
        <v>764</v>
      </c>
      <c r="P1364" s="1">
        <v>0.22222222222222221</v>
      </c>
      <c r="Q1364" s="5">
        <v>2037</v>
      </c>
      <c r="R1364" s="14">
        <v>11.9</v>
      </c>
      <c r="S1364">
        <v>173</v>
      </c>
      <c r="T1364" s="5">
        <v>46</v>
      </c>
      <c r="U1364" s="5">
        <v>764</v>
      </c>
      <c r="V1364" s="5">
        <v>0</v>
      </c>
      <c r="W1364" s="5"/>
      <c r="X1364" s="5"/>
      <c r="Y1364" s="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</row>
    <row r="1365" spans="1:37" x14ac:dyDescent="0.25">
      <c r="A1365" s="11">
        <f>Table1[[#This Row],[Milk Yield]]-J1361</f>
        <v>334</v>
      </c>
      <c r="B1365" t="s">
        <v>24</v>
      </c>
      <c r="C1365" s="2">
        <v>3</v>
      </c>
      <c r="D1365" s="12">
        <v>45808</v>
      </c>
      <c r="E1365" s="2">
        <v>37</v>
      </c>
      <c r="F1365" s="13">
        <v>2.0254629629629629E-3</v>
      </c>
      <c r="G1365" s="3">
        <v>0.22587962962962962</v>
      </c>
      <c r="H1365" s="1">
        <v>0.22361111111111112</v>
      </c>
      <c r="I1365" s="5">
        <v>798</v>
      </c>
      <c r="J1365">
        <v>10520</v>
      </c>
      <c r="K1365">
        <v>149</v>
      </c>
      <c r="L1365" s="5">
        <v>50</v>
      </c>
      <c r="M1365" s="5">
        <v>798</v>
      </c>
      <c r="N1365">
        <v>4</v>
      </c>
      <c r="O1365">
        <v>794</v>
      </c>
      <c r="P1365" s="1">
        <v>0.22569444444444445</v>
      </c>
      <c r="Q1365" s="5">
        <v>1958</v>
      </c>
      <c r="R1365" s="14">
        <v>13.2</v>
      </c>
      <c r="S1365">
        <v>149</v>
      </c>
      <c r="T1365" s="5">
        <v>4</v>
      </c>
      <c r="U1365" s="5">
        <v>794</v>
      </c>
      <c r="V1365" s="5">
        <v>0</v>
      </c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</row>
    <row r="1366" spans="1:37" x14ac:dyDescent="0.25">
      <c r="A1366" s="11" t="e">
        <f>Table1[[#This Row],[Milk Yield]]-J1362</f>
        <v>#VALUE!</v>
      </c>
      <c r="B1366" t="s">
        <v>0</v>
      </c>
      <c r="C1366" s="2" t="s">
        <v>1</v>
      </c>
      <c r="D1366" s="12" t="s">
        <v>2</v>
      </c>
      <c r="E1366" s="2" t="s">
        <v>3</v>
      </c>
      <c r="F1366" s="13" t="s">
        <v>4</v>
      </c>
      <c r="G1366" s="3" t="s">
        <v>5</v>
      </c>
      <c r="H1366" s="1" t="s">
        <v>6</v>
      </c>
      <c r="I1366" s="5" t="s">
        <v>8</v>
      </c>
      <c r="J1366" t="s">
        <v>9</v>
      </c>
      <c r="K1366" t="s">
        <v>10</v>
      </c>
      <c r="L1366" s="5" t="s">
        <v>11</v>
      </c>
      <c r="M1366" s="5" t="s">
        <v>12</v>
      </c>
      <c r="N1366" t="s">
        <v>13</v>
      </c>
      <c r="O1366" t="s">
        <v>20</v>
      </c>
      <c r="P1366" s="1" t="s">
        <v>7</v>
      </c>
      <c r="Q1366" s="5" t="s">
        <v>15</v>
      </c>
      <c r="R1366" s="14" t="s">
        <v>18</v>
      </c>
      <c r="S1366" t="s">
        <v>16</v>
      </c>
      <c r="T1366" s="5" t="s">
        <v>14</v>
      </c>
      <c r="U1366" s="5" t="s">
        <v>17</v>
      </c>
      <c r="V1366" s="5" t="s">
        <v>19</v>
      </c>
      <c r="W1366" s="5"/>
      <c r="X1366" s="5"/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</row>
    <row r="1367" spans="1:37" x14ac:dyDescent="0.25">
      <c r="A1367" s="11">
        <f>Table1[[#This Row],[Milk Yield]]-J1363</f>
        <v>-384</v>
      </c>
      <c r="B1367" t="s">
        <v>24</v>
      </c>
      <c r="C1367" s="2">
        <v>1</v>
      </c>
      <c r="D1367" s="12">
        <v>45809</v>
      </c>
      <c r="E1367" s="2">
        <v>41</v>
      </c>
      <c r="F1367" s="13">
        <v>0.33533564814814815</v>
      </c>
      <c r="G1367" s="3">
        <v>0.53814814814814815</v>
      </c>
      <c r="H1367" s="1">
        <v>0.20277777777777778</v>
      </c>
      <c r="I1367" s="5">
        <v>815</v>
      </c>
      <c r="J1367">
        <v>10119</v>
      </c>
      <c r="K1367">
        <v>167</v>
      </c>
      <c r="L1367" s="5">
        <v>723</v>
      </c>
      <c r="M1367" s="5">
        <v>815</v>
      </c>
      <c r="N1367">
        <v>66</v>
      </c>
      <c r="O1367">
        <v>749</v>
      </c>
      <c r="P1367" s="1">
        <v>0.22916666666666666</v>
      </c>
      <c r="Q1367" s="5">
        <v>2079</v>
      </c>
      <c r="R1367" s="14">
        <v>12.5</v>
      </c>
      <c r="S1367">
        <v>167</v>
      </c>
      <c r="T1367" s="5">
        <v>66</v>
      </c>
      <c r="U1367" s="5">
        <v>749</v>
      </c>
      <c r="V1367" s="5">
        <v>0</v>
      </c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</row>
    <row r="1368" spans="1:37" x14ac:dyDescent="0.25">
      <c r="A1368" s="11">
        <f>Table1[[#This Row],[Milk Yield]]-J1364</f>
        <v>381</v>
      </c>
      <c r="B1368" t="s">
        <v>24</v>
      </c>
      <c r="C1368" s="2">
        <v>2</v>
      </c>
      <c r="D1368" s="12">
        <v>45809</v>
      </c>
      <c r="E1368" s="2">
        <v>39</v>
      </c>
      <c r="F1368" s="13">
        <v>0.66711805555555559</v>
      </c>
      <c r="G1368" s="3">
        <v>0.87872685185185184</v>
      </c>
      <c r="H1368" s="1">
        <v>0.21111111111111111</v>
      </c>
      <c r="I1368" s="5">
        <v>811</v>
      </c>
      <c r="J1368">
        <v>9942</v>
      </c>
      <c r="K1368">
        <v>160</v>
      </c>
      <c r="L1368" s="5">
        <v>192</v>
      </c>
      <c r="M1368" s="5">
        <v>807</v>
      </c>
      <c r="N1368">
        <v>19</v>
      </c>
      <c r="O1368">
        <v>788</v>
      </c>
      <c r="P1368" s="1">
        <v>0.22847222222222222</v>
      </c>
      <c r="Q1368" s="5">
        <v>1958</v>
      </c>
      <c r="R1368" s="14">
        <v>12.4</v>
      </c>
      <c r="S1368">
        <v>159</v>
      </c>
      <c r="T1368" s="5">
        <v>19</v>
      </c>
      <c r="U1368" s="5">
        <v>788</v>
      </c>
      <c r="V1368" s="5">
        <v>0</v>
      </c>
      <c r="W1368" s="5"/>
      <c r="X1368" s="5"/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</row>
    <row r="1369" spans="1:37" x14ac:dyDescent="0.25">
      <c r="A1369" s="11">
        <f>Table1[[#This Row],[Milk Yield]]-J1365</f>
        <v>613</v>
      </c>
      <c r="B1369" t="s">
        <v>24</v>
      </c>
      <c r="C1369" s="2">
        <v>3</v>
      </c>
      <c r="D1369" s="12">
        <v>45809</v>
      </c>
      <c r="E1369" s="2">
        <v>39</v>
      </c>
      <c r="F1369" s="13">
        <v>1.8634259259259259E-3</v>
      </c>
      <c r="G1369" s="3">
        <v>0.24083333333333334</v>
      </c>
      <c r="H1369" s="1">
        <v>0.2388888888888889</v>
      </c>
      <c r="I1369" s="5">
        <v>793</v>
      </c>
      <c r="J1369">
        <v>11133</v>
      </c>
      <c r="K1369">
        <v>138</v>
      </c>
      <c r="L1369" s="5">
        <v>2304</v>
      </c>
      <c r="M1369" s="5">
        <v>791</v>
      </c>
      <c r="N1369">
        <v>92</v>
      </c>
      <c r="O1369">
        <v>699</v>
      </c>
      <c r="P1369" s="1">
        <v>0.25624999999999998</v>
      </c>
      <c r="Q1369" s="5">
        <v>1941</v>
      </c>
      <c r="R1369" s="14">
        <v>14.1</v>
      </c>
      <c r="S1369">
        <v>138</v>
      </c>
      <c r="T1369" s="5">
        <v>92</v>
      </c>
      <c r="U1369" s="5">
        <v>699</v>
      </c>
      <c r="V1369" s="5">
        <v>0</v>
      </c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</row>
    <row r="1370" spans="1:37" x14ac:dyDescent="0.25">
      <c r="A1370" s="11" t="e">
        <f>Table1[[#This Row],[Milk Yield]]-J1366</f>
        <v>#VALUE!</v>
      </c>
      <c r="B1370" t="s">
        <v>0</v>
      </c>
      <c r="C1370" s="2" t="s">
        <v>1</v>
      </c>
      <c r="D1370" s="12" t="s">
        <v>2</v>
      </c>
      <c r="E1370" s="2" t="s">
        <v>3</v>
      </c>
      <c r="F1370" s="13" t="s">
        <v>4</v>
      </c>
      <c r="G1370" s="3" t="s">
        <v>5</v>
      </c>
      <c r="H1370" s="1" t="s">
        <v>6</v>
      </c>
      <c r="I1370" s="5" t="s">
        <v>8</v>
      </c>
      <c r="J1370" t="s">
        <v>9</v>
      </c>
      <c r="K1370" t="s">
        <v>10</v>
      </c>
      <c r="L1370" s="5" t="s">
        <v>11</v>
      </c>
      <c r="M1370" s="5" t="s">
        <v>12</v>
      </c>
      <c r="N1370" t="s">
        <v>13</v>
      </c>
      <c r="O1370" t="s">
        <v>20</v>
      </c>
      <c r="P1370" s="1" t="s">
        <v>7</v>
      </c>
      <c r="Q1370" s="5" t="s">
        <v>15</v>
      </c>
      <c r="R1370" s="14" t="s">
        <v>18</v>
      </c>
      <c r="S1370" t="s">
        <v>16</v>
      </c>
      <c r="T1370" s="5" t="s">
        <v>14</v>
      </c>
      <c r="U1370" s="5" t="s">
        <v>17</v>
      </c>
      <c r="V1370" s="5" t="s">
        <v>19</v>
      </c>
      <c r="W1370" s="5"/>
      <c r="X1370" s="5"/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</row>
    <row r="1371" spans="1:37" x14ac:dyDescent="0.25">
      <c r="A1371" s="11">
        <f>Table1[[#This Row],[Milk Yield]]-J1367</f>
        <v>52</v>
      </c>
      <c r="B1371" t="s">
        <v>24</v>
      </c>
      <c r="C1371" s="2">
        <v>1</v>
      </c>
      <c r="D1371" s="12">
        <v>45810</v>
      </c>
      <c r="E1371" s="2">
        <v>40</v>
      </c>
      <c r="F1371" s="13">
        <v>0.33731481481481479</v>
      </c>
      <c r="G1371" s="3">
        <v>0.55510416666666662</v>
      </c>
      <c r="H1371" s="1">
        <v>0.21736111111111112</v>
      </c>
      <c r="I1371" s="5">
        <v>808</v>
      </c>
      <c r="J1371">
        <v>10171</v>
      </c>
      <c r="K1371">
        <v>155</v>
      </c>
      <c r="L1371" s="5">
        <v>236</v>
      </c>
      <c r="M1371" s="5">
        <v>806</v>
      </c>
      <c r="N1371">
        <v>27</v>
      </c>
      <c r="O1371">
        <v>779</v>
      </c>
      <c r="P1371" s="1">
        <v>0.2298611111111111</v>
      </c>
      <c r="Q1371" s="5">
        <v>1946</v>
      </c>
      <c r="R1371" s="14">
        <v>12.7</v>
      </c>
      <c r="S1371">
        <v>154</v>
      </c>
      <c r="T1371" s="5">
        <v>27</v>
      </c>
      <c r="U1371" s="5">
        <v>779</v>
      </c>
      <c r="V1371" s="5">
        <v>0</v>
      </c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</row>
    <row r="1372" spans="1:37" x14ac:dyDescent="0.25">
      <c r="A1372" s="11">
        <f>Table1[[#This Row],[Milk Yield]]-J1368</f>
        <v>-296</v>
      </c>
      <c r="B1372" t="s">
        <v>24</v>
      </c>
      <c r="C1372" s="2">
        <v>2</v>
      </c>
      <c r="D1372" s="12">
        <v>45810</v>
      </c>
      <c r="E1372" s="2">
        <v>39</v>
      </c>
      <c r="F1372" s="13">
        <v>0.66671296296296301</v>
      </c>
      <c r="G1372" s="3">
        <v>0.87456018518518519</v>
      </c>
      <c r="H1372" s="1">
        <v>0.2076388888888889</v>
      </c>
      <c r="I1372" s="5">
        <v>811</v>
      </c>
      <c r="J1372">
        <v>9646</v>
      </c>
      <c r="K1372">
        <v>163</v>
      </c>
      <c r="L1372" s="5">
        <v>331</v>
      </c>
      <c r="M1372" s="5">
        <v>811</v>
      </c>
      <c r="N1372">
        <v>32</v>
      </c>
      <c r="O1372">
        <v>779</v>
      </c>
      <c r="P1372" s="1">
        <v>0.22013888888888888</v>
      </c>
      <c r="Q1372" s="5">
        <v>1934</v>
      </c>
      <c r="R1372" s="14">
        <v>11.9</v>
      </c>
      <c r="S1372">
        <v>163</v>
      </c>
      <c r="T1372" s="5">
        <v>32</v>
      </c>
      <c r="U1372" s="5">
        <v>779</v>
      </c>
      <c r="V1372" s="5">
        <v>0</v>
      </c>
      <c r="W1372" s="5"/>
      <c r="X1372" s="5"/>
      <c r="Y1372" s="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</row>
    <row r="1373" spans="1:37" x14ac:dyDescent="0.25">
      <c r="A1373" s="11">
        <f>Table1[[#This Row],[Milk Yield]]-J1369</f>
        <v>-409</v>
      </c>
      <c r="B1373" t="s">
        <v>24</v>
      </c>
      <c r="C1373" s="2">
        <v>3</v>
      </c>
      <c r="D1373" s="12">
        <v>45810</v>
      </c>
      <c r="E1373" s="2">
        <v>38</v>
      </c>
      <c r="F1373" s="13">
        <v>0.99909722222222219</v>
      </c>
      <c r="G1373" s="3">
        <v>0.24226851851851852</v>
      </c>
      <c r="H1373" s="1">
        <v>0.24305555555555555</v>
      </c>
      <c r="I1373" s="5">
        <v>812</v>
      </c>
      <c r="J1373">
        <v>10724</v>
      </c>
      <c r="K1373">
        <v>139</v>
      </c>
      <c r="L1373" s="5">
        <v>198</v>
      </c>
      <c r="M1373" s="5">
        <v>812</v>
      </c>
      <c r="N1373">
        <v>18</v>
      </c>
      <c r="O1373">
        <v>794</v>
      </c>
      <c r="P1373" s="1">
        <v>0.23819444444444443</v>
      </c>
      <c r="Q1373" s="5">
        <v>1838</v>
      </c>
      <c r="R1373" s="14">
        <v>13.3</v>
      </c>
      <c r="S1373">
        <v>139</v>
      </c>
      <c r="T1373" s="5">
        <v>18</v>
      </c>
      <c r="U1373" s="5">
        <v>794</v>
      </c>
      <c r="V1373" s="5">
        <v>0</v>
      </c>
      <c r="W1373" s="5"/>
      <c r="X1373" s="5"/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</row>
    <row r="1374" spans="1:37" x14ac:dyDescent="0.25">
      <c r="A1374" s="11" t="e">
        <f>Table1[[#This Row],[Milk Yield]]-J1370</f>
        <v>#VALUE!</v>
      </c>
      <c r="B1374" t="s">
        <v>0</v>
      </c>
      <c r="C1374" s="2" t="s">
        <v>1</v>
      </c>
      <c r="D1374" s="12" t="s">
        <v>2</v>
      </c>
      <c r="E1374" s="2" t="s">
        <v>3</v>
      </c>
      <c r="F1374" s="13" t="s">
        <v>4</v>
      </c>
      <c r="G1374" s="3" t="s">
        <v>5</v>
      </c>
      <c r="H1374" s="1" t="s">
        <v>6</v>
      </c>
      <c r="I1374" s="5" t="s">
        <v>8</v>
      </c>
      <c r="J1374" t="s">
        <v>9</v>
      </c>
      <c r="K1374" t="s">
        <v>10</v>
      </c>
      <c r="L1374" s="5" t="s">
        <v>11</v>
      </c>
      <c r="M1374" s="5" t="s">
        <v>12</v>
      </c>
      <c r="N1374" t="s">
        <v>13</v>
      </c>
      <c r="O1374" t="s">
        <v>20</v>
      </c>
      <c r="P1374" s="1" t="s">
        <v>7</v>
      </c>
      <c r="Q1374" s="5" t="s">
        <v>15</v>
      </c>
      <c r="R1374" s="14" t="s">
        <v>18</v>
      </c>
      <c r="S1374" t="s">
        <v>16</v>
      </c>
      <c r="T1374" s="5" t="s">
        <v>14</v>
      </c>
      <c r="U1374" s="5" t="s">
        <v>17</v>
      </c>
      <c r="V1374" s="5" t="s">
        <v>19</v>
      </c>
      <c r="W1374" s="5"/>
      <c r="X1374" s="5"/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</row>
    <row r="1375" spans="1:37" x14ac:dyDescent="0.25">
      <c r="A1375" s="11">
        <f>Table1[[#This Row],[Milk Yield]]-J1371</f>
        <v>184</v>
      </c>
      <c r="B1375" t="s">
        <v>24</v>
      </c>
      <c r="C1375" s="2">
        <v>1</v>
      </c>
      <c r="D1375" s="12">
        <v>45811</v>
      </c>
      <c r="E1375" s="2">
        <v>38</v>
      </c>
      <c r="F1375" s="13">
        <v>0.33758101851851852</v>
      </c>
      <c r="G1375" s="3">
        <v>0.54726851851851854</v>
      </c>
      <c r="H1375" s="1">
        <v>0.20902777777777778</v>
      </c>
      <c r="I1375" s="5">
        <v>806</v>
      </c>
      <c r="J1375">
        <v>10355</v>
      </c>
      <c r="K1375">
        <v>160</v>
      </c>
      <c r="L1375" s="5">
        <v>251</v>
      </c>
      <c r="M1375" s="5">
        <v>806</v>
      </c>
      <c r="N1375">
        <v>22</v>
      </c>
      <c r="O1375">
        <v>784</v>
      </c>
      <c r="P1375" s="1">
        <v>0.23125000000000001</v>
      </c>
      <c r="Q1375" s="5">
        <v>2058</v>
      </c>
      <c r="R1375" s="14">
        <v>12.9</v>
      </c>
      <c r="S1375">
        <v>160</v>
      </c>
      <c r="T1375" s="5">
        <v>22</v>
      </c>
      <c r="U1375" s="5">
        <v>784</v>
      </c>
      <c r="V1375" s="5">
        <v>0</v>
      </c>
      <c r="W1375" s="5"/>
      <c r="X1375" s="5"/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</row>
    <row r="1376" spans="1:37" x14ac:dyDescent="0.25">
      <c r="A1376" s="11">
        <f>Table1[[#This Row],[Milk Yield]]-J1372</f>
        <v>-16</v>
      </c>
      <c r="B1376" t="s">
        <v>24</v>
      </c>
      <c r="C1376" s="2">
        <v>2</v>
      </c>
      <c r="D1376" s="12">
        <v>45811</v>
      </c>
      <c r="E1376" s="2">
        <v>40</v>
      </c>
      <c r="F1376" s="13">
        <v>0.66740740740740745</v>
      </c>
      <c r="G1376" s="3">
        <v>0.88290509259259264</v>
      </c>
      <c r="H1376" s="1">
        <v>0.21527777777777779</v>
      </c>
      <c r="I1376" s="5">
        <v>815</v>
      </c>
      <c r="J1376">
        <v>9630</v>
      </c>
      <c r="K1376">
        <v>158</v>
      </c>
      <c r="L1376" s="5">
        <v>337</v>
      </c>
      <c r="M1376" s="5">
        <v>815</v>
      </c>
      <c r="N1376">
        <v>26</v>
      </c>
      <c r="O1376">
        <v>789</v>
      </c>
      <c r="P1376" s="1">
        <v>0.23055555555555557</v>
      </c>
      <c r="Q1376" s="5">
        <v>1862</v>
      </c>
      <c r="R1376" s="14">
        <v>11.9</v>
      </c>
      <c r="S1376">
        <v>158</v>
      </c>
      <c r="T1376" s="5">
        <v>26</v>
      </c>
      <c r="U1376" s="5">
        <v>790</v>
      </c>
      <c r="V1376" s="5">
        <v>1</v>
      </c>
      <c r="W1376" s="5"/>
      <c r="X1376" s="5"/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</row>
    <row r="1377" spans="1:37" x14ac:dyDescent="0.25">
      <c r="A1377" s="11">
        <f>Table1[[#This Row],[Milk Yield]]-J1373</f>
        <v>-682</v>
      </c>
      <c r="B1377" t="s">
        <v>24</v>
      </c>
      <c r="C1377" s="2">
        <v>3</v>
      </c>
      <c r="D1377" s="12">
        <v>45811</v>
      </c>
      <c r="E1377" s="2">
        <v>39</v>
      </c>
      <c r="F1377" s="13">
        <v>3.2407407407407406E-3</v>
      </c>
      <c r="G1377" s="3">
        <v>0.20621527777777779</v>
      </c>
      <c r="H1377" s="1">
        <v>0.20277777777777778</v>
      </c>
      <c r="I1377" s="5">
        <v>812</v>
      </c>
      <c r="J1377">
        <v>10042</v>
      </c>
      <c r="K1377">
        <v>167</v>
      </c>
      <c r="L1377" s="5">
        <v>134</v>
      </c>
      <c r="M1377" s="5">
        <v>812</v>
      </c>
      <c r="N1377">
        <v>13</v>
      </c>
      <c r="O1377">
        <v>799</v>
      </c>
      <c r="P1377" s="1">
        <v>0.22569444444444445</v>
      </c>
      <c r="Q1377" s="5">
        <v>2061</v>
      </c>
      <c r="R1377" s="14">
        <v>12.4</v>
      </c>
      <c r="S1377">
        <v>167</v>
      </c>
      <c r="T1377" s="5">
        <v>13</v>
      </c>
      <c r="U1377" s="5">
        <v>800</v>
      </c>
      <c r="V1377" s="5">
        <v>1</v>
      </c>
      <c r="W1377" s="5"/>
      <c r="X1377" s="5"/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</row>
    <row r="1378" spans="1:37" x14ac:dyDescent="0.25">
      <c r="A1378" s="11" t="e">
        <f>Table1[[#This Row],[Milk Yield]]-J1374</f>
        <v>#VALUE!</v>
      </c>
      <c r="B1378" t="s">
        <v>0</v>
      </c>
      <c r="C1378" s="2" t="s">
        <v>1</v>
      </c>
      <c r="D1378" s="12" t="s">
        <v>2</v>
      </c>
      <c r="E1378" s="2" t="s">
        <v>3</v>
      </c>
      <c r="F1378" s="13" t="s">
        <v>4</v>
      </c>
      <c r="G1378" s="3" t="s">
        <v>5</v>
      </c>
      <c r="H1378" s="1" t="s">
        <v>6</v>
      </c>
      <c r="I1378" s="5" t="s">
        <v>8</v>
      </c>
      <c r="J1378" t="s">
        <v>9</v>
      </c>
      <c r="K1378" t="s">
        <v>10</v>
      </c>
      <c r="L1378" s="5" t="s">
        <v>11</v>
      </c>
      <c r="M1378" s="5" t="s">
        <v>12</v>
      </c>
      <c r="N1378" t="s">
        <v>13</v>
      </c>
      <c r="O1378" t="s">
        <v>20</v>
      </c>
      <c r="P1378" s="1" t="s">
        <v>7</v>
      </c>
      <c r="Q1378" s="5" t="s">
        <v>15</v>
      </c>
      <c r="R1378" s="14" t="s">
        <v>18</v>
      </c>
      <c r="S1378" t="s">
        <v>16</v>
      </c>
      <c r="T1378" s="5" t="s">
        <v>14</v>
      </c>
      <c r="U1378" s="5" t="s">
        <v>17</v>
      </c>
      <c r="V1378" s="5" t="s">
        <v>19</v>
      </c>
      <c r="W1378" s="5"/>
      <c r="X1378" s="5"/>
      <c r="Y1378" s="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</row>
    <row r="1379" spans="1:37" x14ac:dyDescent="0.25">
      <c r="A1379" s="11">
        <f>Table1[[#This Row],[Milk Yield]]-J1375</f>
        <v>219</v>
      </c>
      <c r="B1379" t="s">
        <v>24</v>
      </c>
      <c r="C1379" s="2">
        <v>1</v>
      </c>
      <c r="D1379" s="12">
        <v>45812</v>
      </c>
      <c r="E1379" s="2">
        <v>39</v>
      </c>
      <c r="F1379" s="13">
        <v>0.33681712962962962</v>
      </c>
      <c r="G1379" s="3">
        <v>0.55038194444444444</v>
      </c>
      <c r="H1379" s="1">
        <v>0.21319444444444444</v>
      </c>
      <c r="I1379" s="5">
        <v>809</v>
      </c>
      <c r="J1379">
        <v>10574</v>
      </c>
      <c r="K1379">
        <v>158</v>
      </c>
      <c r="L1379" s="5">
        <v>624</v>
      </c>
      <c r="M1379" s="5">
        <v>809</v>
      </c>
      <c r="N1379">
        <v>54</v>
      </c>
      <c r="O1379">
        <v>755</v>
      </c>
      <c r="P1379" s="1">
        <v>0.23819444444444443</v>
      </c>
      <c r="Q1379" s="5">
        <v>2063</v>
      </c>
      <c r="R1379" s="14">
        <v>13.1</v>
      </c>
      <c r="S1379">
        <v>158</v>
      </c>
      <c r="T1379" s="5">
        <v>54</v>
      </c>
      <c r="U1379" s="5">
        <v>756</v>
      </c>
      <c r="V1379" s="5">
        <v>1</v>
      </c>
      <c r="W1379" s="5"/>
      <c r="X1379" s="5"/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</row>
    <row r="1380" spans="1:37" x14ac:dyDescent="0.25">
      <c r="A1380" s="11">
        <f>Table1[[#This Row],[Milk Yield]]-J1376</f>
        <v>584</v>
      </c>
      <c r="B1380" t="s">
        <v>24</v>
      </c>
      <c r="C1380" s="2">
        <v>2</v>
      </c>
      <c r="D1380" s="12">
        <v>45812</v>
      </c>
      <c r="E1380" s="2">
        <v>39</v>
      </c>
      <c r="F1380" s="13">
        <v>0.67318287037037039</v>
      </c>
      <c r="G1380" s="3">
        <v>0.89817129629629633</v>
      </c>
      <c r="H1380" s="1">
        <v>0.22430555555555556</v>
      </c>
      <c r="I1380" s="5">
        <v>814</v>
      </c>
      <c r="J1380">
        <v>10214</v>
      </c>
      <c r="K1380">
        <v>151</v>
      </c>
      <c r="L1380" s="5">
        <v>768</v>
      </c>
      <c r="M1380" s="5">
        <v>814</v>
      </c>
      <c r="N1380">
        <v>65</v>
      </c>
      <c r="O1380">
        <v>749</v>
      </c>
      <c r="P1380" s="1">
        <v>0.23749999999999999</v>
      </c>
      <c r="Q1380" s="5">
        <v>1892</v>
      </c>
      <c r="R1380" s="14">
        <v>12.6</v>
      </c>
      <c r="S1380">
        <v>151</v>
      </c>
      <c r="T1380" s="5">
        <v>65</v>
      </c>
      <c r="U1380" s="5">
        <v>750</v>
      </c>
      <c r="V1380" s="5">
        <v>1</v>
      </c>
      <c r="W1380" s="5"/>
      <c r="X1380" s="5"/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</row>
    <row r="1381" spans="1:37" x14ac:dyDescent="0.25">
      <c r="A1381" s="11">
        <f>Table1[[#This Row],[Milk Yield]]-J1377</f>
        <v>538</v>
      </c>
      <c r="B1381" t="s">
        <v>24</v>
      </c>
      <c r="C1381" s="2">
        <v>3</v>
      </c>
      <c r="D1381" s="12">
        <v>45812</v>
      </c>
      <c r="E1381" s="2">
        <v>39</v>
      </c>
      <c r="F1381" s="13">
        <v>9.0277777777777774E-4</v>
      </c>
      <c r="G1381" s="3">
        <v>0.24613425925925925</v>
      </c>
      <c r="H1381" s="1">
        <v>0.24513888888888888</v>
      </c>
      <c r="I1381" s="5">
        <v>812</v>
      </c>
      <c r="J1381">
        <v>10580</v>
      </c>
      <c r="K1381">
        <v>138</v>
      </c>
      <c r="L1381" s="5">
        <v>412</v>
      </c>
      <c r="M1381" s="5">
        <v>812</v>
      </c>
      <c r="N1381">
        <v>32</v>
      </c>
      <c r="O1381">
        <v>780</v>
      </c>
      <c r="P1381" s="1">
        <v>0.26041666666666669</v>
      </c>
      <c r="Q1381" s="5">
        <v>1798</v>
      </c>
      <c r="R1381" s="14">
        <v>13.1</v>
      </c>
      <c r="S1381">
        <v>138</v>
      </c>
      <c r="T1381" s="5">
        <v>32</v>
      </c>
      <c r="U1381" s="5">
        <v>781</v>
      </c>
      <c r="V1381" s="5">
        <v>1</v>
      </c>
      <c r="W1381" s="5"/>
      <c r="X1381" s="5"/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</row>
    <row r="1382" spans="1:37" x14ac:dyDescent="0.25">
      <c r="A1382" s="11" t="e">
        <f>Table1[[#This Row],[Milk Yield]]-J1378</f>
        <v>#VALUE!</v>
      </c>
      <c r="B1382" t="s">
        <v>0</v>
      </c>
      <c r="C1382" s="2" t="s">
        <v>1</v>
      </c>
      <c r="D1382" s="12" t="s">
        <v>2</v>
      </c>
      <c r="E1382" s="2" t="s">
        <v>3</v>
      </c>
      <c r="F1382" s="13" t="s">
        <v>4</v>
      </c>
      <c r="G1382" s="3" t="s">
        <v>5</v>
      </c>
      <c r="H1382" s="1" t="s">
        <v>6</v>
      </c>
      <c r="I1382" s="5" t="s">
        <v>8</v>
      </c>
      <c r="J1382" t="s">
        <v>9</v>
      </c>
      <c r="K1382" t="s">
        <v>10</v>
      </c>
      <c r="L1382" s="5" t="s">
        <v>11</v>
      </c>
      <c r="M1382" s="5" t="s">
        <v>12</v>
      </c>
      <c r="N1382" t="s">
        <v>13</v>
      </c>
      <c r="O1382" t="s">
        <v>20</v>
      </c>
      <c r="P1382" s="1" t="s">
        <v>7</v>
      </c>
      <c r="Q1382" s="5" t="s">
        <v>15</v>
      </c>
      <c r="R1382" s="14" t="s">
        <v>18</v>
      </c>
      <c r="S1382" t="s">
        <v>16</v>
      </c>
      <c r="T1382" s="5" t="s">
        <v>14</v>
      </c>
      <c r="U1382" s="5" t="s">
        <v>17</v>
      </c>
      <c r="V1382" s="5" t="s">
        <v>19</v>
      </c>
      <c r="W1382" s="5"/>
      <c r="X1382" s="5"/>
      <c r="Y1382" s="5"/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</row>
    <row r="1383" spans="1:37" x14ac:dyDescent="0.25">
      <c r="A1383" s="11">
        <f>Table1[[#This Row],[Milk Yield]]-J1379</f>
        <v>-529</v>
      </c>
      <c r="B1383" t="s">
        <v>24</v>
      </c>
      <c r="C1383" s="2">
        <v>1</v>
      </c>
      <c r="D1383" s="12">
        <v>45813</v>
      </c>
      <c r="E1383" s="2">
        <v>40</v>
      </c>
      <c r="F1383" s="13">
        <v>0.33751157407407406</v>
      </c>
      <c r="G1383" s="3">
        <v>0.56288194444444439</v>
      </c>
      <c r="H1383" s="1">
        <v>0.22500000000000001</v>
      </c>
      <c r="I1383" s="5">
        <v>812</v>
      </c>
      <c r="J1383">
        <v>10045</v>
      </c>
      <c r="K1383">
        <v>150</v>
      </c>
      <c r="L1383" s="5">
        <v>321</v>
      </c>
      <c r="M1383" s="5">
        <v>812</v>
      </c>
      <c r="N1383">
        <v>31</v>
      </c>
      <c r="O1383">
        <v>781</v>
      </c>
      <c r="P1383" s="1">
        <v>0.22777777777777777</v>
      </c>
      <c r="Q1383" s="5">
        <v>1857</v>
      </c>
      <c r="R1383" s="14">
        <v>12.4</v>
      </c>
      <c r="S1383">
        <v>150</v>
      </c>
      <c r="T1383" s="5">
        <v>31</v>
      </c>
      <c r="U1383" s="5">
        <v>781</v>
      </c>
      <c r="V1383" s="5">
        <v>1</v>
      </c>
      <c r="W1383" s="5"/>
      <c r="X1383" s="5"/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</row>
    <row r="1384" spans="1:37" x14ac:dyDescent="0.25">
      <c r="A1384" s="11">
        <f>Table1[[#This Row],[Milk Yield]]-J1380</f>
        <v>-31</v>
      </c>
      <c r="B1384" t="s">
        <v>24</v>
      </c>
      <c r="C1384" s="2">
        <v>2</v>
      </c>
      <c r="D1384" s="12">
        <v>45813</v>
      </c>
      <c r="E1384" s="2">
        <v>39</v>
      </c>
      <c r="F1384" s="13">
        <v>0.67229166666666662</v>
      </c>
      <c r="G1384" s="3">
        <v>0.92266203703703709</v>
      </c>
      <c r="H1384" s="1">
        <v>0.25</v>
      </c>
      <c r="I1384" s="5">
        <v>815</v>
      </c>
      <c r="J1384">
        <v>10183</v>
      </c>
      <c r="K1384">
        <v>136</v>
      </c>
      <c r="L1384" s="5">
        <v>342</v>
      </c>
      <c r="M1384" s="5">
        <v>815</v>
      </c>
      <c r="N1384">
        <v>28</v>
      </c>
      <c r="O1384">
        <v>787</v>
      </c>
      <c r="P1384" s="1">
        <v>0.23541666666666666</v>
      </c>
      <c r="Q1384" s="5">
        <v>1695</v>
      </c>
      <c r="R1384" s="14">
        <v>12.5</v>
      </c>
      <c r="S1384">
        <v>136</v>
      </c>
      <c r="T1384" s="5">
        <v>28</v>
      </c>
      <c r="U1384" s="5">
        <v>787</v>
      </c>
      <c r="V1384" s="5">
        <v>0</v>
      </c>
      <c r="W1384" s="5"/>
      <c r="X1384" s="5"/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</row>
    <row r="1385" spans="1:37" x14ac:dyDescent="0.25">
      <c r="A1385" s="11">
        <f>Table1[[#This Row],[Milk Yield]]-J1381</f>
        <v>-769</v>
      </c>
      <c r="B1385" t="s">
        <v>24</v>
      </c>
      <c r="C1385" s="2">
        <v>3</v>
      </c>
      <c r="D1385" s="12">
        <v>45813</v>
      </c>
      <c r="E1385" s="2">
        <v>39</v>
      </c>
      <c r="F1385" s="13">
        <v>7.407407407407407E-4</v>
      </c>
      <c r="G1385" s="3">
        <v>0.22421296296296298</v>
      </c>
      <c r="H1385" s="1">
        <v>0.22291666666666668</v>
      </c>
      <c r="I1385" s="5">
        <v>832</v>
      </c>
      <c r="J1385">
        <v>9811</v>
      </c>
      <c r="K1385">
        <v>155</v>
      </c>
      <c r="L1385" s="5">
        <v>531</v>
      </c>
      <c r="M1385" s="5">
        <v>831</v>
      </c>
      <c r="N1385">
        <v>47</v>
      </c>
      <c r="O1385">
        <v>784</v>
      </c>
      <c r="P1385" s="1">
        <v>0.24236111111111111</v>
      </c>
      <c r="Q1385" s="5">
        <v>1829</v>
      </c>
      <c r="R1385" s="14">
        <v>11.9</v>
      </c>
      <c r="S1385">
        <v>155</v>
      </c>
      <c r="T1385" s="5">
        <v>47</v>
      </c>
      <c r="U1385" s="5">
        <v>784</v>
      </c>
      <c r="V1385" s="5">
        <v>0</v>
      </c>
      <c r="W1385" s="5"/>
      <c r="X1385" s="5"/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</row>
    <row r="1386" spans="1:37" x14ac:dyDescent="0.25">
      <c r="A1386" s="11" t="e">
        <f>Table1[[#This Row],[Milk Yield]]-J1382</f>
        <v>#VALUE!</v>
      </c>
      <c r="B1386" t="s">
        <v>0</v>
      </c>
      <c r="C1386" s="2" t="s">
        <v>1</v>
      </c>
      <c r="D1386" s="12" t="s">
        <v>2</v>
      </c>
      <c r="E1386" s="2" t="s">
        <v>3</v>
      </c>
      <c r="F1386" s="13" t="s">
        <v>4</v>
      </c>
      <c r="G1386" s="3" t="s">
        <v>5</v>
      </c>
      <c r="H1386" s="1" t="s">
        <v>6</v>
      </c>
      <c r="I1386" s="5" t="s">
        <v>8</v>
      </c>
      <c r="J1386" t="s">
        <v>9</v>
      </c>
      <c r="K1386" t="s">
        <v>10</v>
      </c>
      <c r="L1386" s="5" t="s">
        <v>11</v>
      </c>
      <c r="M1386" s="5" t="s">
        <v>12</v>
      </c>
      <c r="N1386" t="s">
        <v>13</v>
      </c>
      <c r="O1386" t="s">
        <v>20</v>
      </c>
      <c r="P1386" s="1" t="s">
        <v>7</v>
      </c>
      <c r="Q1386" s="5" t="s">
        <v>15</v>
      </c>
      <c r="R1386" s="14" t="s">
        <v>18</v>
      </c>
      <c r="S1386" t="s">
        <v>16</v>
      </c>
      <c r="T1386" s="5" t="s">
        <v>14</v>
      </c>
      <c r="U1386" s="5" t="s">
        <v>17</v>
      </c>
      <c r="V1386" s="5" t="s">
        <v>19</v>
      </c>
      <c r="W1386" s="5"/>
      <c r="X1386" s="5"/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</row>
    <row r="1387" spans="1:37" x14ac:dyDescent="0.25">
      <c r="A1387" s="11">
        <f>Table1[[#This Row],[Milk Yield]]-J1383</f>
        <v>169</v>
      </c>
      <c r="B1387" t="s">
        <v>24</v>
      </c>
      <c r="C1387" s="2">
        <v>1</v>
      </c>
      <c r="D1387" s="12">
        <v>45814</v>
      </c>
      <c r="E1387" s="2">
        <v>42</v>
      </c>
      <c r="F1387" s="13">
        <v>0.33594907407407409</v>
      </c>
      <c r="G1387" s="3">
        <v>0.56636574074074075</v>
      </c>
      <c r="H1387" s="1">
        <v>0.2298611111111111</v>
      </c>
      <c r="I1387" s="5">
        <v>822</v>
      </c>
      <c r="J1387">
        <v>10214</v>
      </c>
      <c r="K1387">
        <v>149</v>
      </c>
      <c r="L1387" s="5">
        <v>631</v>
      </c>
      <c r="M1387" s="5">
        <v>822</v>
      </c>
      <c r="N1387">
        <v>55</v>
      </c>
      <c r="O1387">
        <v>767</v>
      </c>
      <c r="P1387" s="1">
        <v>0.24027777777777778</v>
      </c>
      <c r="Q1387" s="5">
        <v>1847</v>
      </c>
      <c r="R1387" s="14">
        <v>12.5</v>
      </c>
      <c r="S1387">
        <v>149</v>
      </c>
      <c r="T1387" s="5">
        <v>55</v>
      </c>
      <c r="U1387" s="5">
        <v>767</v>
      </c>
      <c r="V1387" s="5">
        <v>0</v>
      </c>
      <c r="W1387" s="5"/>
      <c r="X1387" s="5"/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</row>
    <row r="1388" spans="1:37" x14ac:dyDescent="0.25">
      <c r="A1388" s="11">
        <f>Table1[[#This Row],[Milk Yield]]-J1384</f>
        <v>-572</v>
      </c>
      <c r="B1388" t="s">
        <v>24</v>
      </c>
      <c r="C1388" s="2">
        <v>2</v>
      </c>
      <c r="D1388" s="12">
        <v>45814</v>
      </c>
      <c r="E1388" s="2">
        <v>39</v>
      </c>
      <c r="F1388" s="13">
        <v>0.66836805555555556</v>
      </c>
      <c r="G1388" s="3">
        <v>0.87848379629629625</v>
      </c>
      <c r="H1388" s="1">
        <v>0.20972222222222223</v>
      </c>
      <c r="I1388" s="5">
        <v>802</v>
      </c>
      <c r="J1388">
        <v>9611</v>
      </c>
      <c r="K1388">
        <v>159</v>
      </c>
      <c r="L1388" s="5">
        <v>459</v>
      </c>
      <c r="M1388" s="5">
        <v>802</v>
      </c>
      <c r="N1388">
        <v>43</v>
      </c>
      <c r="O1388">
        <v>759</v>
      </c>
      <c r="P1388" s="1">
        <v>0.22569444444444445</v>
      </c>
      <c r="Q1388" s="5">
        <v>1906</v>
      </c>
      <c r="R1388" s="14">
        <v>12</v>
      </c>
      <c r="S1388">
        <v>159</v>
      </c>
      <c r="T1388" s="5">
        <v>43</v>
      </c>
      <c r="U1388" s="5">
        <v>759</v>
      </c>
      <c r="V1388" s="5">
        <v>0</v>
      </c>
      <c r="W1388" s="5"/>
      <c r="X1388" s="5"/>
      <c r="Y1388" s="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</row>
    <row r="1389" spans="1:37" x14ac:dyDescent="0.25">
      <c r="A1389" s="11">
        <f>Table1[[#This Row],[Milk Yield]]-J1385</f>
        <v>1589</v>
      </c>
      <c r="B1389" t="s">
        <v>24</v>
      </c>
      <c r="C1389" s="2">
        <v>3</v>
      </c>
      <c r="D1389" s="12">
        <v>45814</v>
      </c>
      <c r="E1389" s="2">
        <v>38</v>
      </c>
      <c r="F1389" s="13">
        <v>3.5648148148148149E-3</v>
      </c>
      <c r="G1389" s="3">
        <v>0.27921296296296294</v>
      </c>
      <c r="H1389" s="1">
        <v>0.27500000000000002</v>
      </c>
      <c r="I1389" s="5">
        <v>808</v>
      </c>
      <c r="J1389">
        <v>11400</v>
      </c>
      <c r="K1389">
        <v>122</v>
      </c>
      <c r="L1389" s="5">
        <v>338</v>
      </c>
      <c r="M1389" s="5">
        <v>808</v>
      </c>
      <c r="N1389">
        <v>28</v>
      </c>
      <c r="O1389">
        <v>780</v>
      </c>
      <c r="P1389" s="1">
        <v>0.2590277777777778</v>
      </c>
      <c r="Q1389" s="5">
        <v>1723</v>
      </c>
      <c r="R1389" s="14">
        <v>14.2</v>
      </c>
      <c r="S1389">
        <v>122</v>
      </c>
      <c r="T1389" s="5">
        <v>28</v>
      </c>
      <c r="U1389" s="5">
        <v>780</v>
      </c>
      <c r="V1389" s="5">
        <v>0</v>
      </c>
      <c r="W1389" s="5"/>
      <c r="X1389" s="5"/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</row>
    <row r="1390" spans="1:37" x14ac:dyDescent="0.25">
      <c r="A1390" s="11" t="e">
        <f>Table1[[#This Row],[Milk Yield]]-J1386</f>
        <v>#VALUE!</v>
      </c>
      <c r="B1390" t="s">
        <v>0</v>
      </c>
      <c r="C1390" s="2" t="s">
        <v>1</v>
      </c>
      <c r="D1390" s="12" t="s">
        <v>2</v>
      </c>
      <c r="E1390" s="2" t="s">
        <v>3</v>
      </c>
      <c r="F1390" s="13" t="s">
        <v>4</v>
      </c>
      <c r="G1390" s="3" t="s">
        <v>5</v>
      </c>
      <c r="H1390" s="1" t="s">
        <v>6</v>
      </c>
      <c r="I1390" s="5" t="s">
        <v>8</v>
      </c>
      <c r="J1390" t="s">
        <v>9</v>
      </c>
      <c r="K1390" t="s">
        <v>10</v>
      </c>
      <c r="L1390" s="5" t="s">
        <v>11</v>
      </c>
      <c r="M1390" s="5" t="s">
        <v>12</v>
      </c>
      <c r="N1390" t="s">
        <v>13</v>
      </c>
      <c r="O1390" t="s">
        <v>20</v>
      </c>
      <c r="P1390" s="1" t="s">
        <v>7</v>
      </c>
      <c r="Q1390" s="5" t="s">
        <v>15</v>
      </c>
      <c r="R1390" s="14" t="s">
        <v>18</v>
      </c>
      <c r="S1390" t="s">
        <v>16</v>
      </c>
      <c r="T1390" s="5" t="s">
        <v>14</v>
      </c>
      <c r="U1390" s="5" t="s">
        <v>17</v>
      </c>
      <c r="V1390" s="5" t="s">
        <v>19</v>
      </c>
      <c r="W1390" s="5"/>
      <c r="X1390" s="5"/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</row>
    <row r="1391" spans="1:37" x14ac:dyDescent="0.25">
      <c r="A1391" s="11">
        <f>Table1[[#This Row],[Milk Yield]]-J1387</f>
        <v>-635</v>
      </c>
      <c r="B1391" t="s">
        <v>24</v>
      </c>
      <c r="C1391" s="2">
        <v>1</v>
      </c>
      <c r="D1391" s="12">
        <v>45815</v>
      </c>
      <c r="E1391" s="2">
        <v>40</v>
      </c>
      <c r="F1391" s="13">
        <v>0.33939814814814817</v>
      </c>
      <c r="G1391" s="3">
        <v>0.55960648148148151</v>
      </c>
      <c r="H1391" s="1">
        <v>0.22013888888888888</v>
      </c>
      <c r="I1391" s="5">
        <v>800</v>
      </c>
      <c r="J1391">
        <v>9579</v>
      </c>
      <c r="K1391">
        <v>151</v>
      </c>
      <c r="L1391" s="5">
        <v>1427</v>
      </c>
      <c r="M1391" s="5">
        <v>800</v>
      </c>
      <c r="N1391">
        <v>139</v>
      </c>
      <c r="O1391">
        <v>661</v>
      </c>
      <c r="P1391" s="1">
        <v>0.25</v>
      </c>
      <c r="Q1391" s="5">
        <v>1812</v>
      </c>
      <c r="R1391" s="14">
        <v>12</v>
      </c>
      <c r="S1391">
        <v>151</v>
      </c>
      <c r="T1391" s="5">
        <v>139</v>
      </c>
      <c r="U1391" s="5">
        <v>661</v>
      </c>
      <c r="V1391" s="5">
        <v>0</v>
      </c>
      <c r="W1391" s="5"/>
      <c r="X1391" s="5"/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</row>
    <row r="1392" spans="1:37" x14ac:dyDescent="0.25">
      <c r="A1392" s="11">
        <f>Table1[[#This Row],[Milk Yield]]-J1388</f>
        <v>-39</v>
      </c>
      <c r="B1392" t="s">
        <v>24</v>
      </c>
      <c r="C1392" s="2">
        <v>2</v>
      </c>
      <c r="D1392" s="12">
        <v>45815</v>
      </c>
      <c r="E1392" s="2">
        <v>39</v>
      </c>
      <c r="F1392" s="13">
        <v>0.66947916666666663</v>
      </c>
      <c r="G1392" s="3">
        <v>0.88949074074074075</v>
      </c>
      <c r="H1392" s="1">
        <v>0.21944444444444444</v>
      </c>
      <c r="I1392" s="5">
        <v>799</v>
      </c>
      <c r="J1392">
        <v>9572</v>
      </c>
      <c r="K1392">
        <v>151</v>
      </c>
      <c r="L1392" s="5">
        <v>143</v>
      </c>
      <c r="M1392" s="5">
        <v>798</v>
      </c>
      <c r="N1392">
        <v>13</v>
      </c>
      <c r="O1392">
        <v>785</v>
      </c>
      <c r="P1392" s="1">
        <v>0.21944444444444444</v>
      </c>
      <c r="Q1392" s="5">
        <v>1813</v>
      </c>
      <c r="R1392" s="14">
        <v>12</v>
      </c>
      <c r="S1392">
        <v>151</v>
      </c>
      <c r="T1392" s="5">
        <v>13</v>
      </c>
      <c r="U1392" s="5">
        <v>785</v>
      </c>
      <c r="V1392" s="5">
        <v>0</v>
      </c>
      <c r="W1392" s="5"/>
      <c r="X1392" s="5"/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</row>
    <row r="1393" spans="1:37" x14ac:dyDescent="0.25">
      <c r="A1393" s="11">
        <f>Table1[[#This Row],[Milk Yield]]-J1389</f>
        <v>-856</v>
      </c>
      <c r="B1393" t="s">
        <v>24</v>
      </c>
      <c r="C1393" s="2">
        <v>3</v>
      </c>
      <c r="D1393" s="12">
        <v>45815</v>
      </c>
      <c r="E1393" s="2">
        <v>38</v>
      </c>
      <c r="F1393" s="13">
        <v>1.3425925925925925E-3</v>
      </c>
      <c r="G1393" s="3">
        <v>0.24211805555555554</v>
      </c>
      <c r="H1393" s="1">
        <v>0.24027777777777778</v>
      </c>
      <c r="I1393" s="5">
        <v>818</v>
      </c>
      <c r="J1393">
        <v>10544</v>
      </c>
      <c r="K1393">
        <v>142</v>
      </c>
      <c r="L1393" s="5">
        <v>451</v>
      </c>
      <c r="M1393" s="5">
        <v>817</v>
      </c>
      <c r="N1393">
        <v>40</v>
      </c>
      <c r="O1393">
        <v>777</v>
      </c>
      <c r="P1393" s="1">
        <v>0.24236111111111111</v>
      </c>
      <c r="Q1393" s="5">
        <v>1825</v>
      </c>
      <c r="R1393" s="14">
        <v>13</v>
      </c>
      <c r="S1393">
        <v>141</v>
      </c>
      <c r="T1393" s="5">
        <v>40</v>
      </c>
      <c r="U1393" s="5">
        <v>777</v>
      </c>
      <c r="V1393" s="5">
        <v>0</v>
      </c>
      <c r="W1393" s="5"/>
      <c r="X1393" s="5"/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</row>
    <row r="1394" spans="1:37" x14ac:dyDescent="0.25">
      <c r="A1394" s="11" t="e">
        <f>Table1[[#This Row],[Milk Yield]]-J1390</f>
        <v>#VALUE!</v>
      </c>
      <c r="B1394" t="s">
        <v>0</v>
      </c>
      <c r="C1394" s="2" t="s">
        <v>1</v>
      </c>
      <c r="D1394" s="12" t="s">
        <v>2</v>
      </c>
      <c r="E1394" s="2" t="s">
        <v>3</v>
      </c>
      <c r="F1394" s="13" t="s">
        <v>4</v>
      </c>
      <c r="G1394" s="3" t="s">
        <v>5</v>
      </c>
      <c r="H1394" s="1" t="s">
        <v>6</v>
      </c>
      <c r="I1394" s="5" t="s">
        <v>8</v>
      </c>
      <c r="J1394" t="s">
        <v>9</v>
      </c>
      <c r="K1394" t="s">
        <v>10</v>
      </c>
      <c r="L1394" s="5" t="s">
        <v>11</v>
      </c>
      <c r="M1394" s="5" t="s">
        <v>12</v>
      </c>
      <c r="N1394" t="s">
        <v>13</v>
      </c>
      <c r="O1394" t="s">
        <v>20</v>
      </c>
      <c r="P1394" s="1" t="s">
        <v>7</v>
      </c>
      <c r="Q1394" s="5" t="s">
        <v>15</v>
      </c>
      <c r="R1394" s="14" t="s">
        <v>18</v>
      </c>
      <c r="S1394" t="s">
        <v>16</v>
      </c>
      <c r="T1394" s="5" t="s">
        <v>14</v>
      </c>
      <c r="U1394" s="5" t="s">
        <v>17</v>
      </c>
      <c r="V1394" s="5" t="s">
        <v>19</v>
      </c>
      <c r="W1394" s="5"/>
      <c r="X1394" s="5"/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</row>
    <row r="1395" spans="1:37" x14ac:dyDescent="0.25">
      <c r="A1395" s="11">
        <f>Table1[[#This Row],[Milk Yield]]-J1391</f>
        <v>1150</v>
      </c>
      <c r="B1395" t="s">
        <v>24</v>
      </c>
      <c r="C1395" s="2">
        <v>1</v>
      </c>
      <c r="D1395" s="12">
        <v>45816</v>
      </c>
      <c r="E1395" s="2">
        <v>39</v>
      </c>
      <c r="F1395" s="13">
        <v>0.33994212962962961</v>
      </c>
      <c r="G1395" s="3">
        <v>0.55185185185185182</v>
      </c>
      <c r="H1395" s="1">
        <v>0.21180555555555555</v>
      </c>
      <c r="I1395" s="5">
        <v>779</v>
      </c>
      <c r="J1395">
        <v>10729</v>
      </c>
      <c r="K1395">
        <v>153</v>
      </c>
      <c r="L1395" s="5">
        <v>1000</v>
      </c>
      <c r="M1395" s="5">
        <v>777</v>
      </c>
      <c r="N1395">
        <v>99</v>
      </c>
      <c r="O1395">
        <v>678</v>
      </c>
      <c r="P1395" s="1">
        <v>0.26180555555555557</v>
      </c>
      <c r="Q1395" s="5">
        <v>2109</v>
      </c>
      <c r="R1395" s="14">
        <v>13.9</v>
      </c>
      <c r="S1395">
        <v>153</v>
      </c>
      <c r="T1395" s="5">
        <v>99</v>
      </c>
      <c r="U1395" s="5">
        <v>678</v>
      </c>
      <c r="V1395" s="5">
        <v>0</v>
      </c>
      <c r="W1395" s="5"/>
      <c r="X1395" s="5"/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</row>
    <row r="1396" spans="1:37" x14ac:dyDescent="0.25">
      <c r="A1396" s="11">
        <f>Table1[[#This Row],[Milk Yield]]-J1392</f>
        <v>177</v>
      </c>
      <c r="B1396" t="s">
        <v>24</v>
      </c>
      <c r="C1396" s="2">
        <v>2</v>
      </c>
      <c r="D1396" s="12">
        <v>45816</v>
      </c>
      <c r="E1396" s="2">
        <v>38</v>
      </c>
      <c r="F1396" s="13">
        <v>0.67137731481481477</v>
      </c>
      <c r="G1396" s="3">
        <v>0.90429398148148143</v>
      </c>
      <c r="H1396" s="1">
        <v>0.2326388888888889</v>
      </c>
      <c r="I1396" s="5">
        <v>789</v>
      </c>
      <c r="J1396">
        <v>9749</v>
      </c>
      <c r="K1396">
        <v>141</v>
      </c>
      <c r="L1396" s="5">
        <v>354</v>
      </c>
      <c r="M1396" s="5">
        <v>788</v>
      </c>
      <c r="N1396">
        <v>32</v>
      </c>
      <c r="O1396">
        <v>756</v>
      </c>
      <c r="P1396" s="1">
        <v>0.23055555555555557</v>
      </c>
      <c r="Q1396" s="5">
        <v>1744</v>
      </c>
      <c r="R1396" s="14">
        <v>12.4</v>
      </c>
      <c r="S1396">
        <v>141</v>
      </c>
      <c r="T1396" s="5">
        <v>32</v>
      </c>
      <c r="U1396" s="5">
        <v>756</v>
      </c>
      <c r="V1396" s="5">
        <v>0</v>
      </c>
      <c r="W1396" s="5"/>
      <c r="X1396" s="5"/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</row>
    <row r="1397" spans="1:37" x14ac:dyDescent="0.25">
      <c r="A1397" s="11">
        <f>Table1[[#This Row],[Milk Yield]]-J1393</f>
        <v>-201</v>
      </c>
      <c r="B1397" t="s">
        <v>24</v>
      </c>
      <c r="C1397" s="2">
        <v>3</v>
      </c>
      <c r="D1397" s="12">
        <v>45816</v>
      </c>
      <c r="E1397" s="2">
        <v>38</v>
      </c>
      <c r="F1397" s="13">
        <v>3.2407407407407406E-3</v>
      </c>
      <c r="G1397" s="3">
        <v>0.23783564814814814</v>
      </c>
      <c r="H1397" s="1">
        <v>0.23402777777777778</v>
      </c>
      <c r="I1397" s="5">
        <v>793</v>
      </c>
      <c r="J1397">
        <v>10343</v>
      </c>
      <c r="K1397">
        <v>141</v>
      </c>
      <c r="L1397" s="5">
        <v>348</v>
      </c>
      <c r="M1397" s="5">
        <v>793</v>
      </c>
      <c r="N1397">
        <v>28</v>
      </c>
      <c r="O1397">
        <v>765</v>
      </c>
      <c r="P1397" s="1">
        <v>0.25138888888888888</v>
      </c>
      <c r="Q1397" s="5">
        <v>1837</v>
      </c>
      <c r="R1397" s="14">
        <v>13.1</v>
      </c>
      <c r="S1397">
        <v>141</v>
      </c>
      <c r="T1397" s="5">
        <v>28</v>
      </c>
      <c r="U1397" s="5">
        <v>765</v>
      </c>
      <c r="V1397" s="5">
        <v>0</v>
      </c>
      <c r="W1397" s="5"/>
      <c r="X1397" s="5"/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</row>
    <row r="1398" spans="1:37" x14ac:dyDescent="0.25">
      <c r="A1398" s="11" t="e">
        <f>Table1[[#This Row],[Milk Yield]]-J1394</f>
        <v>#VALUE!</v>
      </c>
      <c r="B1398" t="s">
        <v>0</v>
      </c>
      <c r="C1398" s="2" t="s">
        <v>1</v>
      </c>
      <c r="D1398" s="12" t="s">
        <v>2</v>
      </c>
      <c r="E1398" s="2" t="s">
        <v>3</v>
      </c>
      <c r="F1398" s="13" t="s">
        <v>4</v>
      </c>
      <c r="G1398" s="3" t="s">
        <v>5</v>
      </c>
      <c r="H1398" s="1" t="s">
        <v>6</v>
      </c>
      <c r="I1398" s="5" t="s">
        <v>8</v>
      </c>
      <c r="J1398" t="s">
        <v>9</v>
      </c>
      <c r="K1398" t="s">
        <v>10</v>
      </c>
      <c r="L1398" s="5" t="s">
        <v>11</v>
      </c>
      <c r="M1398" s="5" t="s">
        <v>12</v>
      </c>
      <c r="N1398" t="s">
        <v>13</v>
      </c>
      <c r="O1398" t="s">
        <v>20</v>
      </c>
      <c r="P1398" s="1" t="s">
        <v>7</v>
      </c>
      <c r="Q1398" s="5" t="s">
        <v>15</v>
      </c>
      <c r="R1398" s="14" t="s">
        <v>18</v>
      </c>
      <c r="S1398" t="s">
        <v>16</v>
      </c>
      <c r="T1398" s="5" t="s">
        <v>14</v>
      </c>
      <c r="U1398" s="5" t="s">
        <v>17</v>
      </c>
      <c r="V1398" s="5" t="s">
        <v>19</v>
      </c>
      <c r="W1398" s="5"/>
      <c r="X1398" s="5"/>
      <c r="Y1398" s="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</row>
    <row r="1399" spans="1:37" x14ac:dyDescent="0.25">
      <c r="A1399" s="11">
        <f>Table1[[#This Row],[Milk Yield]]-J1395</f>
        <v>-261</v>
      </c>
      <c r="B1399" t="s">
        <v>24</v>
      </c>
      <c r="C1399" s="2">
        <v>1</v>
      </c>
      <c r="D1399" s="12">
        <v>45817</v>
      </c>
      <c r="E1399" s="2">
        <v>40</v>
      </c>
      <c r="F1399" s="13">
        <v>0.33975694444444443</v>
      </c>
      <c r="G1399" s="3">
        <v>0.57732638888888888</v>
      </c>
      <c r="H1399" s="1">
        <v>0.23749999999999999</v>
      </c>
      <c r="I1399" s="5">
        <v>794</v>
      </c>
      <c r="J1399">
        <v>10468</v>
      </c>
      <c r="K1399">
        <v>139</v>
      </c>
      <c r="L1399" s="5">
        <v>903</v>
      </c>
      <c r="M1399" s="5">
        <v>794</v>
      </c>
      <c r="N1399">
        <v>54</v>
      </c>
      <c r="O1399">
        <v>740</v>
      </c>
      <c r="P1399" s="1">
        <v>0.25069444444444444</v>
      </c>
      <c r="Q1399" s="5">
        <v>1836</v>
      </c>
      <c r="R1399" s="14">
        <v>13.2</v>
      </c>
      <c r="S1399">
        <v>139</v>
      </c>
      <c r="T1399" s="5">
        <v>54</v>
      </c>
      <c r="U1399" s="5">
        <v>739</v>
      </c>
      <c r="V1399" s="5">
        <v>0</v>
      </c>
      <c r="W1399" s="5"/>
      <c r="X1399" s="5"/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</row>
    <row r="1400" spans="1:37" x14ac:dyDescent="0.25">
      <c r="A1400" s="11">
        <f>Table1[[#This Row],[Milk Yield]]-J1396</f>
        <v>70</v>
      </c>
      <c r="B1400" t="s">
        <v>24</v>
      </c>
      <c r="C1400" s="2">
        <v>2</v>
      </c>
      <c r="D1400" s="12">
        <v>45817</v>
      </c>
      <c r="E1400" s="2">
        <v>38</v>
      </c>
      <c r="F1400" s="13">
        <v>0.67317129629629635</v>
      </c>
      <c r="G1400" s="3">
        <v>0.90021990740740743</v>
      </c>
      <c r="H1400" s="1">
        <v>0.22638888888888889</v>
      </c>
      <c r="I1400" s="5">
        <v>795</v>
      </c>
      <c r="J1400">
        <v>9819</v>
      </c>
      <c r="K1400">
        <v>146</v>
      </c>
      <c r="L1400" s="5">
        <v>125</v>
      </c>
      <c r="M1400" s="5">
        <v>795</v>
      </c>
      <c r="N1400">
        <v>10</v>
      </c>
      <c r="O1400">
        <v>785</v>
      </c>
      <c r="P1400" s="1">
        <v>0.23680555555555555</v>
      </c>
      <c r="Q1400" s="5">
        <v>1802</v>
      </c>
      <c r="R1400" s="14">
        <v>12.4</v>
      </c>
      <c r="S1400">
        <v>146</v>
      </c>
      <c r="T1400" s="5">
        <v>10</v>
      </c>
      <c r="U1400" s="5">
        <v>785</v>
      </c>
      <c r="V1400" s="5">
        <v>0</v>
      </c>
      <c r="W1400" s="5"/>
      <c r="X1400" s="5"/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</row>
    <row r="1401" spans="1:37" x14ac:dyDescent="0.25">
      <c r="A1401" s="11">
        <f>Table1[[#This Row],[Milk Yield]]-J1397</f>
        <v>-284</v>
      </c>
      <c r="B1401" t="s">
        <v>24</v>
      </c>
      <c r="C1401" s="2">
        <v>3</v>
      </c>
      <c r="D1401" s="12">
        <v>45817</v>
      </c>
      <c r="E1401" s="2">
        <v>36</v>
      </c>
      <c r="F1401" s="13">
        <v>0.99924768518518514</v>
      </c>
      <c r="G1401" s="3">
        <v>0.22806712962962963</v>
      </c>
      <c r="H1401" s="1">
        <v>0.22847222222222222</v>
      </c>
      <c r="I1401" s="5">
        <v>794</v>
      </c>
      <c r="J1401">
        <v>10059</v>
      </c>
      <c r="K1401">
        <v>145</v>
      </c>
      <c r="L1401" s="5">
        <v>62</v>
      </c>
      <c r="M1401" s="5">
        <v>793</v>
      </c>
      <c r="N1401">
        <v>6</v>
      </c>
      <c r="O1401">
        <v>787</v>
      </c>
      <c r="P1401" s="1">
        <v>0.22222222222222221</v>
      </c>
      <c r="Q1401" s="5">
        <v>1832</v>
      </c>
      <c r="R1401" s="14">
        <v>12.7</v>
      </c>
      <c r="S1401">
        <v>144</v>
      </c>
      <c r="T1401" s="5">
        <v>6</v>
      </c>
      <c r="U1401" s="5">
        <v>787</v>
      </c>
      <c r="V1401" s="5">
        <v>0</v>
      </c>
      <c r="W1401" s="5"/>
      <c r="X1401" s="5"/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</row>
    <row r="1402" spans="1:37" x14ac:dyDescent="0.25">
      <c r="A1402" s="11" t="e">
        <f>Table1[[#This Row],[Milk Yield]]-J1398</f>
        <v>#VALUE!</v>
      </c>
      <c r="B1402" t="s">
        <v>0</v>
      </c>
      <c r="C1402" s="2" t="s">
        <v>1</v>
      </c>
      <c r="D1402" s="12" t="s">
        <v>2</v>
      </c>
      <c r="E1402" s="2" t="s">
        <v>3</v>
      </c>
      <c r="F1402" s="13" t="s">
        <v>4</v>
      </c>
      <c r="G1402" s="3" t="s">
        <v>5</v>
      </c>
      <c r="H1402" s="1" t="s">
        <v>6</v>
      </c>
      <c r="I1402" s="5" t="s">
        <v>8</v>
      </c>
      <c r="J1402" t="s">
        <v>9</v>
      </c>
      <c r="K1402" t="s">
        <v>10</v>
      </c>
      <c r="L1402" s="5" t="s">
        <v>11</v>
      </c>
      <c r="M1402" s="5" t="s">
        <v>12</v>
      </c>
      <c r="N1402" t="s">
        <v>13</v>
      </c>
      <c r="O1402" t="s">
        <v>20</v>
      </c>
      <c r="P1402" s="1" t="s">
        <v>7</v>
      </c>
      <c r="Q1402" s="5" t="s">
        <v>15</v>
      </c>
      <c r="R1402" s="14" t="s">
        <v>18</v>
      </c>
      <c r="S1402" t="s">
        <v>16</v>
      </c>
      <c r="T1402" s="5" t="s">
        <v>14</v>
      </c>
      <c r="U1402" s="5" t="s">
        <v>17</v>
      </c>
      <c r="V1402" s="5" t="s">
        <v>19</v>
      </c>
      <c r="W1402" s="5"/>
      <c r="X1402" s="5"/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</row>
    <row r="1403" spans="1:37" x14ac:dyDescent="0.25">
      <c r="A1403" s="11">
        <f>Table1[[#This Row],[Milk Yield]]-J1399</f>
        <v>-120</v>
      </c>
      <c r="B1403" t="s">
        <v>24</v>
      </c>
      <c r="C1403" s="2">
        <v>1</v>
      </c>
      <c r="D1403" s="12">
        <v>45818</v>
      </c>
      <c r="E1403" s="2">
        <v>36</v>
      </c>
      <c r="F1403" s="13">
        <v>0.33842592592592591</v>
      </c>
      <c r="G1403" s="3">
        <v>0.54538194444444443</v>
      </c>
      <c r="H1403" s="1">
        <v>0.20694444444444443</v>
      </c>
      <c r="I1403" s="5">
        <v>768</v>
      </c>
      <c r="J1403">
        <v>10348</v>
      </c>
      <c r="K1403">
        <v>155</v>
      </c>
      <c r="L1403" s="5">
        <v>1138</v>
      </c>
      <c r="M1403" s="5">
        <v>767</v>
      </c>
      <c r="N1403">
        <v>91</v>
      </c>
      <c r="O1403">
        <v>676</v>
      </c>
      <c r="P1403" s="1">
        <v>0.24305555555555555</v>
      </c>
      <c r="Q1403" s="5">
        <v>2083</v>
      </c>
      <c r="R1403" s="14">
        <v>13.5</v>
      </c>
      <c r="S1403">
        <v>154</v>
      </c>
      <c r="T1403" s="5">
        <v>91</v>
      </c>
      <c r="U1403" s="5">
        <v>676</v>
      </c>
      <c r="V1403" s="5">
        <v>0</v>
      </c>
      <c r="W1403" s="5"/>
      <c r="X1403" s="5"/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</row>
    <row r="1404" spans="1:37" x14ac:dyDescent="0.25">
      <c r="A1404" s="11">
        <f>Table1[[#This Row],[Milk Yield]]-J1400</f>
        <v>261</v>
      </c>
      <c r="B1404" t="s">
        <v>24</v>
      </c>
      <c r="C1404" s="2">
        <v>2</v>
      </c>
      <c r="D1404" s="12">
        <v>45818</v>
      </c>
      <c r="E1404" s="2">
        <v>40</v>
      </c>
      <c r="F1404" s="13">
        <v>0.66637731481481477</v>
      </c>
      <c r="G1404" s="3">
        <v>0.87940972222222225</v>
      </c>
      <c r="H1404" s="1">
        <v>0.21249999999999999</v>
      </c>
      <c r="I1404" s="5">
        <v>800</v>
      </c>
      <c r="J1404">
        <v>10080</v>
      </c>
      <c r="K1404">
        <v>156</v>
      </c>
      <c r="L1404" s="5">
        <v>180</v>
      </c>
      <c r="M1404" s="5">
        <v>799</v>
      </c>
      <c r="N1404">
        <v>17</v>
      </c>
      <c r="O1404">
        <v>782</v>
      </c>
      <c r="P1404" s="1">
        <v>0.23055555555555557</v>
      </c>
      <c r="Q1404" s="5">
        <v>1971</v>
      </c>
      <c r="R1404" s="14">
        <v>12.7</v>
      </c>
      <c r="S1404">
        <v>156</v>
      </c>
      <c r="T1404" s="5">
        <v>17</v>
      </c>
      <c r="U1404" s="5">
        <v>782</v>
      </c>
      <c r="V1404" s="5">
        <v>0</v>
      </c>
      <c r="W1404" s="5"/>
      <c r="X1404" s="5"/>
      <c r="Y1404" s="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</row>
    <row r="1405" spans="1:37" x14ac:dyDescent="0.25">
      <c r="A1405" s="11">
        <f>Table1[[#This Row],[Milk Yield]]-J1401</f>
        <v>-135</v>
      </c>
      <c r="B1405" t="s">
        <v>24</v>
      </c>
      <c r="C1405" s="2">
        <v>3</v>
      </c>
      <c r="D1405" s="12">
        <v>45818</v>
      </c>
      <c r="E1405" s="2">
        <v>39</v>
      </c>
      <c r="F1405" s="13">
        <v>4.1666666666666669E-4</v>
      </c>
      <c r="G1405" s="3">
        <v>0.20190972222222223</v>
      </c>
      <c r="H1405" s="1">
        <v>0.2013888888888889</v>
      </c>
      <c r="I1405" s="5">
        <v>811</v>
      </c>
      <c r="J1405">
        <v>9924</v>
      </c>
      <c r="K1405">
        <v>168</v>
      </c>
      <c r="L1405" s="5">
        <v>1139</v>
      </c>
      <c r="M1405" s="5">
        <v>808</v>
      </c>
      <c r="N1405">
        <v>95</v>
      </c>
      <c r="O1405">
        <v>713</v>
      </c>
      <c r="P1405" s="1">
        <v>0.23402777777777778</v>
      </c>
      <c r="Q1405" s="5">
        <v>2052</v>
      </c>
      <c r="R1405" s="14">
        <v>12.3</v>
      </c>
      <c r="S1405">
        <v>167</v>
      </c>
      <c r="T1405" s="5">
        <v>95</v>
      </c>
      <c r="U1405" s="5">
        <v>713</v>
      </c>
      <c r="V1405" s="5">
        <v>0</v>
      </c>
      <c r="W1405" s="5"/>
      <c r="X1405" s="5"/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</row>
    <row r="1406" spans="1:37" x14ac:dyDescent="0.25">
      <c r="A1406" s="11" t="e">
        <f>Table1[[#This Row],[Milk Yield]]-J1402</f>
        <v>#VALUE!</v>
      </c>
      <c r="B1406" t="s">
        <v>0</v>
      </c>
      <c r="C1406" s="2" t="s">
        <v>1</v>
      </c>
      <c r="D1406" s="12" t="s">
        <v>2</v>
      </c>
      <c r="E1406" s="2" t="s">
        <v>3</v>
      </c>
      <c r="F1406" s="13" t="s">
        <v>4</v>
      </c>
      <c r="G1406" s="3" t="s">
        <v>5</v>
      </c>
      <c r="H1406" s="1" t="s">
        <v>6</v>
      </c>
      <c r="I1406" s="5" t="s">
        <v>8</v>
      </c>
      <c r="J1406" t="s">
        <v>9</v>
      </c>
      <c r="K1406" t="s">
        <v>10</v>
      </c>
      <c r="L1406" s="5" t="s">
        <v>11</v>
      </c>
      <c r="M1406" s="5" t="s">
        <v>12</v>
      </c>
      <c r="N1406" t="s">
        <v>13</v>
      </c>
      <c r="O1406" t="s">
        <v>20</v>
      </c>
      <c r="P1406" s="1" t="s">
        <v>7</v>
      </c>
      <c r="Q1406" s="5" t="s">
        <v>15</v>
      </c>
      <c r="R1406" s="14" t="s">
        <v>18</v>
      </c>
      <c r="S1406" t="s">
        <v>16</v>
      </c>
      <c r="T1406" s="5" t="s">
        <v>14</v>
      </c>
      <c r="U1406" s="5" t="s">
        <v>17</v>
      </c>
      <c r="V1406" s="5" t="s">
        <v>19</v>
      </c>
      <c r="W1406" s="5"/>
      <c r="X1406" s="5"/>
      <c r="Y1406" s="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</row>
    <row r="1407" spans="1:37" x14ac:dyDescent="0.25">
      <c r="A1407" s="11">
        <f>Table1[[#This Row],[Milk Yield]]-J1403</f>
        <v>673</v>
      </c>
      <c r="B1407" t="s">
        <v>24</v>
      </c>
      <c r="C1407" s="2">
        <v>1</v>
      </c>
      <c r="D1407" s="12">
        <v>45819</v>
      </c>
      <c r="E1407" s="2">
        <v>35</v>
      </c>
      <c r="F1407" s="13">
        <v>0.33432870370370371</v>
      </c>
      <c r="G1407" s="3">
        <v>0.54597222222222219</v>
      </c>
      <c r="H1407" s="1">
        <v>0.21111111111111111</v>
      </c>
      <c r="I1407" s="5">
        <v>763</v>
      </c>
      <c r="J1407">
        <v>11021</v>
      </c>
      <c r="K1407">
        <v>150</v>
      </c>
      <c r="L1407" s="5">
        <v>140</v>
      </c>
      <c r="M1407" s="5">
        <v>761</v>
      </c>
      <c r="N1407">
        <v>10</v>
      </c>
      <c r="O1407">
        <v>751</v>
      </c>
      <c r="P1407" s="1">
        <v>0.22500000000000001</v>
      </c>
      <c r="Q1407" s="5">
        <v>2170</v>
      </c>
      <c r="R1407" s="14">
        <v>14.5</v>
      </c>
      <c r="S1407">
        <v>150</v>
      </c>
      <c r="T1407" s="5">
        <v>10</v>
      </c>
      <c r="U1407" s="5">
        <v>751</v>
      </c>
      <c r="V1407" s="5">
        <v>0</v>
      </c>
      <c r="W1407" s="5"/>
      <c r="X1407" s="5"/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</row>
    <row r="1408" spans="1:37" x14ac:dyDescent="0.25">
      <c r="A1408" s="11">
        <f>Table1[[#This Row],[Milk Yield]]-J1404</f>
        <v>-143</v>
      </c>
      <c r="B1408" t="s">
        <v>24</v>
      </c>
      <c r="C1408" s="2">
        <v>2</v>
      </c>
      <c r="D1408" s="12">
        <v>45819</v>
      </c>
      <c r="E1408" s="2">
        <v>38</v>
      </c>
      <c r="F1408" s="13">
        <v>0.66997685185185185</v>
      </c>
      <c r="G1408" s="3">
        <v>0.86600694444444448</v>
      </c>
      <c r="H1408" s="1">
        <v>0.19583333333333333</v>
      </c>
      <c r="I1408" s="5">
        <v>767</v>
      </c>
      <c r="J1408">
        <v>9937</v>
      </c>
      <c r="K1408">
        <v>163</v>
      </c>
      <c r="L1408" s="5">
        <v>1069</v>
      </c>
      <c r="M1408" s="5">
        <v>767</v>
      </c>
      <c r="N1408">
        <v>80</v>
      </c>
      <c r="O1408">
        <v>687</v>
      </c>
      <c r="P1408" s="1">
        <v>0.25694444444444442</v>
      </c>
      <c r="Q1408" s="5">
        <v>2112</v>
      </c>
      <c r="R1408" s="14">
        <v>13</v>
      </c>
      <c r="S1408">
        <v>163</v>
      </c>
      <c r="T1408" s="5">
        <v>80</v>
      </c>
      <c r="U1408" s="5">
        <v>687</v>
      </c>
      <c r="V1408" s="5">
        <v>0</v>
      </c>
      <c r="W1408" s="5"/>
      <c r="X1408" s="5"/>
      <c r="Y1408" s="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</row>
    <row r="1409" spans="1:37" x14ac:dyDescent="0.25">
      <c r="A1409" s="11">
        <f>Table1[[#This Row],[Milk Yield]]-J1405</f>
        <v>454</v>
      </c>
      <c r="B1409" t="s">
        <v>24</v>
      </c>
      <c r="C1409" s="2">
        <v>3</v>
      </c>
      <c r="D1409" s="12">
        <v>45819</v>
      </c>
      <c r="E1409" s="2">
        <v>41</v>
      </c>
      <c r="F1409" s="13">
        <v>0.99861111111111112</v>
      </c>
      <c r="G1409" s="3">
        <v>0.21211805555555555</v>
      </c>
      <c r="H1409" s="1">
        <v>0.21319444444444444</v>
      </c>
      <c r="I1409" s="5">
        <v>821</v>
      </c>
      <c r="J1409">
        <v>10378</v>
      </c>
      <c r="K1409">
        <v>160</v>
      </c>
      <c r="L1409" s="5">
        <v>523</v>
      </c>
      <c r="M1409" s="5">
        <v>820</v>
      </c>
      <c r="N1409">
        <v>54</v>
      </c>
      <c r="O1409">
        <v>766</v>
      </c>
      <c r="P1409" s="1">
        <v>0.23333333333333334</v>
      </c>
      <c r="Q1409" s="5">
        <v>2025</v>
      </c>
      <c r="R1409" s="14">
        <v>12.7</v>
      </c>
      <c r="S1409">
        <v>160</v>
      </c>
      <c r="T1409" s="5">
        <v>54</v>
      </c>
      <c r="U1409" s="5">
        <v>766</v>
      </c>
      <c r="V1409" s="5">
        <v>0</v>
      </c>
      <c r="W1409" s="5"/>
      <c r="X1409" s="5"/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</row>
    <row r="1410" spans="1:37" x14ac:dyDescent="0.25">
      <c r="A1410" s="11" t="e">
        <f>Table1[[#This Row],[Milk Yield]]-J1406</f>
        <v>#VALUE!</v>
      </c>
      <c r="B1410" t="s">
        <v>0</v>
      </c>
      <c r="C1410" s="2" t="s">
        <v>1</v>
      </c>
      <c r="D1410" s="12" t="s">
        <v>2</v>
      </c>
      <c r="E1410" s="2" t="s">
        <v>3</v>
      </c>
      <c r="F1410" s="13" t="s">
        <v>4</v>
      </c>
      <c r="G1410" s="3" t="s">
        <v>5</v>
      </c>
      <c r="H1410" s="1" t="s">
        <v>6</v>
      </c>
      <c r="I1410" s="5" t="s">
        <v>8</v>
      </c>
      <c r="J1410" t="s">
        <v>9</v>
      </c>
      <c r="K1410" t="s">
        <v>10</v>
      </c>
      <c r="L1410" s="5" t="s">
        <v>11</v>
      </c>
      <c r="M1410" s="5" t="s">
        <v>12</v>
      </c>
      <c r="N1410" t="s">
        <v>13</v>
      </c>
      <c r="O1410" t="s">
        <v>20</v>
      </c>
      <c r="P1410" s="1" t="s">
        <v>7</v>
      </c>
      <c r="Q1410" s="5" t="s">
        <v>15</v>
      </c>
      <c r="R1410" s="14" t="s">
        <v>18</v>
      </c>
      <c r="S1410" t="s">
        <v>16</v>
      </c>
      <c r="T1410" s="5" t="s">
        <v>14</v>
      </c>
      <c r="U1410" s="5" t="s">
        <v>17</v>
      </c>
      <c r="V1410" s="5" t="s">
        <v>19</v>
      </c>
      <c r="W1410" s="5"/>
      <c r="X1410" s="5"/>
      <c r="Y1410" s="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</row>
    <row r="1411" spans="1:37" x14ac:dyDescent="0.25">
      <c r="A1411" s="11">
        <f>Table1[[#This Row],[Milk Yield]]-J1407</f>
        <v>-19</v>
      </c>
      <c r="B1411" t="s">
        <v>24</v>
      </c>
      <c r="C1411" s="2">
        <v>1</v>
      </c>
      <c r="D1411" s="12">
        <v>45820</v>
      </c>
      <c r="E1411" s="2">
        <v>37</v>
      </c>
      <c r="F1411" s="13">
        <v>0.33733796296296298</v>
      </c>
      <c r="G1411" s="3">
        <v>0.54268518518518516</v>
      </c>
      <c r="H1411" s="1">
        <v>0.2048611111111111</v>
      </c>
      <c r="I1411" s="5">
        <v>736</v>
      </c>
      <c r="J1411">
        <v>11002</v>
      </c>
      <c r="K1411">
        <v>149</v>
      </c>
      <c r="L1411" s="5">
        <v>1864</v>
      </c>
      <c r="M1411" s="5">
        <v>735</v>
      </c>
      <c r="N1411">
        <v>81</v>
      </c>
      <c r="O1411">
        <v>654</v>
      </c>
      <c r="P1411" s="1">
        <v>0.25624999999999998</v>
      </c>
      <c r="Q1411" s="5">
        <v>2232</v>
      </c>
      <c r="R1411" s="14">
        <v>15</v>
      </c>
      <c r="S1411">
        <v>149</v>
      </c>
      <c r="T1411" s="5">
        <v>81</v>
      </c>
      <c r="U1411" s="5">
        <v>654</v>
      </c>
      <c r="V1411" s="5">
        <v>0</v>
      </c>
      <c r="W1411" s="5"/>
      <c r="X1411" s="5"/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</row>
    <row r="1412" spans="1:37" x14ac:dyDescent="0.25">
      <c r="A1412" s="11">
        <f>Table1[[#This Row],[Milk Yield]]-J1408</f>
        <v>352</v>
      </c>
      <c r="B1412" t="s">
        <v>24</v>
      </c>
      <c r="C1412" s="2">
        <v>2</v>
      </c>
      <c r="D1412" s="12">
        <v>45820</v>
      </c>
      <c r="E1412" s="2">
        <v>38</v>
      </c>
      <c r="F1412" s="13">
        <v>0.66590277777777773</v>
      </c>
      <c r="G1412" s="3">
        <v>0.88270833333333332</v>
      </c>
      <c r="H1412" s="1">
        <v>0.21666666666666667</v>
      </c>
      <c r="I1412" s="5">
        <v>801</v>
      </c>
      <c r="J1412">
        <v>10289</v>
      </c>
      <c r="K1412">
        <v>154</v>
      </c>
      <c r="L1412" s="5">
        <v>556</v>
      </c>
      <c r="M1412" s="5">
        <v>801</v>
      </c>
      <c r="N1412">
        <v>59</v>
      </c>
      <c r="O1412">
        <v>742</v>
      </c>
      <c r="P1412" s="1">
        <v>0.26527777777777778</v>
      </c>
      <c r="Q1412" s="5">
        <v>1977</v>
      </c>
      <c r="R1412" s="14">
        <v>12.9</v>
      </c>
      <c r="S1412">
        <v>154</v>
      </c>
      <c r="T1412" s="5">
        <v>59</v>
      </c>
      <c r="U1412" s="5">
        <v>742</v>
      </c>
      <c r="V1412" s="5">
        <v>0</v>
      </c>
      <c r="W1412" s="5"/>
      <c r="X1412" s="5"/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</row>
    <row r="1413" spans="1:37" x14ac:dyDescent="0.25">
      <c r="A1413" s="11">
        <f>Table1[[#This Row],[Milk Yield]]-J1409</f>
        <v>37</v>
      </c>
      <c r="B1413" t="s">
        <v>24</v>
      </c>
      <c r="C1413" s="2">
        <v>3</v>
      </c>
      <c r="D1413" s="12">
        <v>45820</v>
      </c>
      <c r="E1413" s="2">
        <v>36</v>
      </c>
      <c r="F1413" s="13">
        <v>0.99917824074074069</v>
      </c>
      <c r="G1413" s="3">
        <v>0.20668981481481483</v>
      </c>
      <c r="H1413" s="1">
        <v>0.20694444444444443</v>
      </c>
      <c r="I1413" s="5">
        <v>768</v>
      </c>
      <c r="J1413">
        <v>10415</v>
      </c>
      <c r="K1413">
        <v>154</v>
      </c>
      <c r="L1413" s="5">
        <v>827</v>
      </c>
      <c r="M1413" s="5">
        <v>768</v>
      </c>
      <c r="N1413">
        <v>49</v>
      </c>
      <c r="O1413">
        <v>719</v>
      </c>
      <c r="P1413" s="1">
        <v>0.25972222222222224</v>
      </c>
      <c r="Q1413" s="5">
        <v>2091</v>
      </c>
      <c r="R1413" s="14">
        <v>13.6</v>
      </c>
      <c r="S1413">
        <v>154</v>
      </c>
      <c r="T1413" s="5">
        <v>49</v>
      </c>
      <c r="U1413" s="5">
        <v>719</v>
      </c>
      <c r="V1413" s="5">
        <v>0</v>
      </c>
      <c r="W1413" s="5"/>
      <c r="X1413" s="5"/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</row>
    <row r="1414" spans="1:37" x14ac:dyDescent="0.25">
      <c r="A1414" s="11" t="e">
        <f>Table1[[#This Row],[Milk Yield]]-J1410</f>
        <v>#VALUE!</v>
      </c>
      <c r="B1414" t="s">
        <v>0</v>
      </c>
      <c r="C1414" s="2" t="s">
        <v>1</v>
      </c>
      <c r="D1414" s="12" t="s">
        <v>2</v>
      </c>
      <c r="E1414" s="2" t="s">
        <v>3</v>
      </c>
      <c r="F1414" s="13" t="s">
        <v>4</v>
      </c>
      <c r="G1414" s="3" t="s">
        <v>5</v>
      </c>
      <c r="H1414" s="1" t="s">
        <v>6</v>
      </c>
      <c r="I1414" s="5" t="s">
        <v>8</v>
      </c>
      <c r="J1414" t="s">
        <v>9</v>
      </c>
      <c r="K1414" t="s">
        <v>10</v>
      </c>
      <c r="L1414" s="5" t="s">
        <v>11</v>
      </c>
      <c r="M1414" s="5" t="s">
        <v>12</v>
      </c>
      <c r="N1414" t="s">
        <v>13</v>
      </c>
      <c r="O1414" t="s">
        <v>20</v>
      </c>
      <c r="P1414" s="1" t="s">
        <v>7</v>
      </c>
      <c r="Q1414" s="5" t="s">
        <v>15</v>
      </c>
      <c r="R1414" s="14" t="s">
        <v>18</v>
      </c>
      <c r="S1414" t="s">
        <v>16</v>
      </c>
      <c r="T1414" s="5" t="s">
        <v>14</v>
      </c>
      <c r="U1414" s="5" t="s">
        <v>17</v>
      </c>
      <c r="V1414" s="5" t="s">
        <v>19</v>
      </c>
      <c r="W1414" s="5"/>
      <c r="X1414" s="5"/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</row>
    <row r="1415" spans="1:37" x14ac:dyDescent="0.25">
      <c r="A1415" s="11">
        <f>Table1[[#This Row],[Milk Yield]]-J1411</f>
        <v>-507</v>
      </c>
      <c r="B1415" t="s">
        <v>24</v>
      </c>
      <c r="C1415" s="2">
        <v>1</v>
      </c>
      <c r="D1415" s="12">
        <v>45821</v>
      </c>
      <c r="E1415" s="2">
        <v>40</v>
      </c>
      <c r="F1415" s="13">
        <v>0.33952546296296299</v>
      </c>
      <c r="G1415" s="3">
        <v>0.54881944444444442</v>
      </c>
      <c r="H1415" s="1">
        <v>0.20902777777777778</v>
      </c>
      <c r="I1415" s="5">
        <v>834</v>
      </c>
      <c r="J1415">
        <v>10495</v>
      </c>
      <c r="K1415">
        <v>166</v>
      </c>
      <c r="L1415" s="5">
        <v>2123</v>
      </c>
      <c r="M1415" s="5">
        <v>832</v>
      </c>
      <c r="N1415">
        <v>192</v>
      </c>
      <c r="O1415">
        <v>640</v>
      </c>
      <c r="P1415" s="1">
        <v>0.23958333333333334</v>
      </c>
      <c r="Q1415" s="5">
        <v>2089</v>
      </c>
      <c r="R1415" s="14">
        <v>12.7</v>
      </c>
      <c r="S1415">
        <v>166</v>
      </c>
      <c r="T1415" s="5">
        <v>192</v>
      </c>
      <c r="U1415" s="5">
        <v>637</v>
      </c>
      <c r="V1415" s="5">
        <v>0</v>
      </c>
      <c r="W1415" s="5"/>
      <c r="X1415" s="5"/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</row>
    <row r="1416" spans="1:37" x14ac:dyDescent="0.25">
      <c r="A1416" s="11">
        <f>Table1[[#This Row],[Milk Yield]]-J1412</f>
        <v>-628</v>
      </c>
      <c r="B1416" t="s">
        <v>24</v>
      </c>
      <c r="C1416" s="2">
        <v>2</v>
      </c>
      <c r="D1416" s="12">
        <v>45821</v>
      </c>
      <c r="E1416" s="2">
        <v>38</v>
      </c>
      <c r="F1416" s="13">
        <v>0.66635416666666669</v>
      </c>
      <c r="G1416" s="3">
        <v>0.86707175925925928</v>
      </c>
      <c r="H1416" s="1">
        <v>0.20069444444444445</v>
      </c>
      <c r="I1416" s="5">
        <v>817</v>
      </c>
      <c r="J1416">
        <v>9661</v>
      </c>
      <c r="K1416">
        <v>170</v>
      </c>
      <c r="L1416" s="5">
        <v>433</v>
      </c>
      <c r="M1416" s="5">
        <v>817</v>
      </c>
      <c r="N1416">
        <v>40</v>
      </c>
      <c r="O1416">
        <v>777</v>
      </c>
      <c r="P1416" s="1">
        <v>0.21805555555555556</v>
      </c>
      <c r="Q1416" s="5">
        <v>2005</v>
      </c>
      <c r="R1416" s="14">
        <v>11.9</v>
      </c>
      <c r="S1416">
        <v>170</v>
      </c>
      <c r="T1416" s="5">
        <v>40</v>
      </c>
      <c r="U1416" s="5">
        <v>777</v>
      </c>
      <c r="V1416" s="5">
        <v>0</v>
      </c>
      <c r="W1416" s="5"/>
      <c r="X1416" s="5"/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</row>
    <row r="1417" spans="1:37" x14ac:dyDescent="0.25">
      <c r="A1417" s="11">
        <f>Table1[[#This Row],[Milk Yield]]-J1413</f>
        <v>68</v>
      </c>
      <c r="B1417" t="s">
        <v>24</v>
      </c>
      <c r="C1417" s="2">
        <v>3</v>
      </c>
      <c r="D1417" s="12">
        <v>45821</v>
      </c>
      <c r="E1417" s="2">
        <v>37</v>
      </c>
      <c r="F1417" s="13">
        <v>0.99728009259259254</v>
      </c>
      <c r="G1417" s="3">
        <v>0.21296296296296297</v>
      </c>
      <c r="H1417" s="1">
        <v>0.21527777777777779</v>
      </c>
      <c r="I1417" s="5">
        <v>815</v>
      </c>
      <c r="J1417">
        <v>10483</v>
      </c>
      <c r="K1417">
        <v>157</v>
      </c>
      <c r="L1417" s="5">
        <v>522</v>
      </c>
      <c r="M1417" s="5">
        <v>814</v>
      </c>
      <c r="N1417">
        <v>41</v>
      </c>
      <c r="O1417">
        <v>773</v>
      </c>
      <c r="P1417" s="1">
        <v>0.2298611111111111</v>
      </c>
      <c r="Q1417" s="5">
        <v>2025</v>
      </c>
      <c r="R1417" s="14">
        <v>12.9</v>
      </c>
      <c r="S1417">
        <v>157</v>
      </c>
      <c r="T1417" s="5">
        <v>41</v>
      </c>
      <c r="U1417" s="5">
        <v>773</v>
      </c>
      <c r="V1417" s="5">
        <v>0</v>
      </c>
      <c r="W1417" s="5"/>
      <c r="X1417" s="5"/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</row>
    <row r="1418" spans="1:37" x14ac:dyDescent="0.25">
      <c r="A1418" s="11" t="e">
        <f>Table1[[#This Row],[Milk Yield]]-J1414</f>
        <v>#VALUE!</v>
      </c>
      <c r="B1418" t="s">
        <v>0</v>
      </c>
      <c r="C1418" s="2" t="s">
        <v>1</v>
      </c>
      <c r="D1418" s="12" t="s">
        <v>2</v>
      </c>
      <c r="E1418" s="2" t="s">
        <v>3</v>
      </c>
      <c r="F1418" s="13" t="s">
        <v>4</v>
      </c>
      <c r="G1418" s="3" t="s">
        <v>5</v>
      </c>
      <c r="H1418" s="1" t="s">
        <v>6</v>
      </c>
      <c r="I1418" s="5" t="s">
        <v>8</v>
      </c>
      <c r="J1418" t="s">
        <v>9</v>
      </c>
      <c r="K1418" t="s">
        <v>10</v>
      </c>
      <c r="L1418" s="5" t="s">
        <v>11</v>
      </c>
      <c r="M1418" s="5" t="s">
        <v>12</v>
      </c>
      <c r="N1418" t="s">
        <v>13</v>
      </c>
      <c r="O1418" t="s">
        <v>20</v>
      </c>
      <c r="P1418" s="1" t="s">
        <v>7</v>
      </c>
      <c r="Q1418" s="5" t="s">
        <v>15</v>
      </c>
      <c r="R1418" s="14" t="s">
        <v>18</v>
      </c>
      <c r="S1418" t="s">
        <v>16</v>
      </c>
      <c r="T1418" s="5" t="s">
        <v>14</v>
      </c>
      <c r="U1418" s="5" t="s">
        <v>17</v>
      </c>
      <c r="V1418" s="5" t="s">
        <v>19</v>
      </c>
      <c r="W1418" s="5"/>
      <c r="X1418" s="5"/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</row>
    <row r="1419" spans="1:37" x14ac:dyDescent="0.25">
      <c r="A1419" s="11">
        <f>Table1[[#This Row],[Milk Yield]]-J1415</f>
        <v>-124</v>
      </c>
      <c r="B1419" t="s">
        <v>24</v>
      </c>
      <c r="C1419" s="2">
        <v>1</v>
      </c>
      <c r="D1419" s="12">
        <v>45822</v>
      </c>
      <c r="E1419" s="2">
        <v>38</v>
      </c>
      <c r="F1419" s="13">
        <v>0.33250000000000002</v>
      </c>
      <c r="G1419" s="3">
        <v>0.54171296296296301</v>
      </c>
      <c r="H1419" s="1">
        <v>0.20902777777777778</v>
      </c>
      <c r="I1419" s="5">
        <v>777</v>
      </c>
      <c r="J1419">
        <v>10371</v>
      </c>
      <c r="K1419">
        <v>155</v>
      </c>
      <c r="L1419" s="5">
        <v>1125</v>
      </c>
      <c r="M1419" s="5">
        <v>777</v>
      </c>
      <c r="N1419">
        <v>87</v>
      </c>
      <c r="O1419">
        <v>690</v>
      </c>
      <c r="P1419" s="1">
        <v>0.24583333333333332</v>
      </c>
      <c r="Q1419" s="5">
        <v>2065</v>
      </c>
      <c r="R1419" s="14">
        <v>13.4</v>
      </c>
      <c r="S1419">
        <v>155</v>
      </c>
      <c r="T1419" s="5">
        <v>87</v>
      </c>
      <c r="U1419" s="5">
        <v>686</v>
      </c>
      <c r="V1419" s="5">
        <v>0</v>
      </c>
      <c r="W1419" s="5"/>
      <c r="X1419" s="5"/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</row>
    <row r="1420" spans="1:37" x14ac:dyDescent="0.25">
      <c r="A1420" s="11">
        <f>Table1[[#This Row],[Milk Yield]]-J1416</f>
        <v>353</v>
      </c>
      <c r="B1420" t="s">
        <v>24</v>
      </c>
      <c r="C1420" s="2">
        <v>2</v>
      </c>
      <c r="D1420" s="12">
        <v>45822</v>
      </c>
      <c r="E1420" s="2">
        <v>38</v>
      </c>
      <c r="F1420" s="13">
        <v>0.66708333333333336</v>
      </c>
      <c r="G1420" s="3">
        <v>0.86349537037037039</v>
      </c>
      <c r="H1420" s="1">
        <v>0.19583333333333333</v>
      </c>
      <c r="I1420" s="5">
        <v>809</v>
      </c>
      <c r="J1420">
        <v>10014</v>
      </c>
      <c r="K1420">
        <v>172</v>
      </c>
      <c r="L1420" s="5">
        <v>692</v>
      </c>
      <c r="M1420" s="5">
        <v>808</v>
      </c>
      <c r="N1420">
        <v>46</v>
      </c>
      <c r="O1420">
        <v>762</v>
      </c>
      <c r="P1420" s="1">
        <v>0.2326388888888889</v>
      </c>
      <c r="Q1420" s="5">
        <v>2124</v>
      </c>
      <c r="R1420" s="14">
        <v>12.4</v>
      </c>
      <c r="S1420">
        <v>171</v>
      </c>
      <c r="T1420" s="5">
        <v>46</v>
      </c>
      <c r="U1420" s="5">
        <v>762</v>
      </c>
      <c r="V1420" s="5">
        <v>0</v>
      </c>
      <c r="W1420" s="5"/>
      <c r="X1420" s="5"/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</row>
    <row r="1421" spans="1:37" x14ac:dyDescent="0.25">
      <c r="A1421" s="11">
        <f>Table1[[#This Row],[Milk Yield]]-J1417</f>
        <v>-52</v>
      </c>
      <c r="B1421" t="s">
        <v>24</v>
      </c>
      <c r="C1421" s="2">
        <v>3</v>
      </c>
      <c r="D1421" s="12">
        <v>45822</v>
      </c>
      <c r="E1421" s="2">
        <v>37</v>
      </c>
      <c r="F1421" s="13">
        <v>7.0601851851851847E-4</v>
      </c>
      <c r="G1421" s="3">
        <v>0.20539351851851853</v>
      </c>
      <c r="H1421" s="1">
        <v>0.20416666666666666</v>
      </c>
      <c r="I1421" s="5">
        <v>786</v>
      </c>
      <c r="J1421">
        <v>10431</v>
      </c>
      <c r="K1421">
        <v>160</v>
      </c>
      <c r="L1421" s="5">
        <v>61</v>
      </c>
      <c r="M1421" s="5">
        <v>785</v>
      </c>
      <c r="N1421">
        <v>5</v>
      </c>
      <c r="O1421">
        <v>780</v>
      </c>
      <c r="P1421" s="1">
        <v>0.23402777777777778</v>
      </c>
      <c r="Q1421" s="5">
        <v>2123</v>
      </c>
      <c r="R1421" s="14">
        <v>13.3</v>
      </c>
      <c r="S1421">
        <v>160</v>
      </c>
      <c r="T1421" s="5">
        <v>5</v>
      </c>
      <c r="U1421" s="5">
        <v>780</v>
      </c>
      <c r="V1421" s="5">
        <v>0</v>
      </c>
      <c r="W1421" s="5"/>
      <c r="X1421" s="5"/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</row>
    <row r="1422" spans="1:37" x14ac:dyDescent="0.25">
      <c r="A1422" s="11" t="e">
        <f>Table1[[#This Row],[Milk Yield]]-J1418</f>
        <v>#VALUE!</v>
      </c>
      <c r="B1422" t="s">
        <v>0</v>
      </c>
      <c r="C1422" s="2" t="s">
        <v>1</v>
      </c>
      <c r="D1422" s="12" t="s">
        <v>2</v>
      </c>
      <c r="E1422" s="2" t="s">
        <v>3</v>
      </c>
      <c r="F1422" s="13" t="s">
        <v>4</v>
      </c>
      <c r="G1422" s="3" t="s">
        <v>5</v>
      </c>
      <c r="H1422" s="1" t="s">
        <v>6</v>
      </c>
      <c r="I1422" s="5" t="s">
        <v>8</v>
      </c>
      <c r="J1422" t="s">
        <v>9</v>
      </c>
      <c r="K1422" t="s">
        <v>10</v>
      </c>
      <c r="L1422" s="5" t="s">
        <v>11</v>
      </c>
      <c r="M1422" s="5" t="s">
        <v>12</v>
      </c>
      <c r="N1422" t="s">
        <v>13</v>
      </c>
      <c r="O1422" t="s">
        <v>20</v>
      </c>
      <c r="P1422" s="1" t="s">
        <v>7</v>
      </c>
      <c r="Q1422" s="5" t="s">
        <v>15</v>
      </c>
      <c r="R1422" s="14" t="s">
        <v>18</v>
      </c>
      <c r="S1422" t="s">
        <v>16</v>
      </c>
      <c r="T1422" s="5" t="s">
        <v>14</v>
      </c>
      <c r="U1422" s="5" t="s">
        <v>17</v>
      </c>
      <c r="V1422" s="5" t="s">
        <v>19</v>
      </c>
      <c r="W1422" s="5"/>
      <c r="X1422" s="5"/>
      <c r="Y1422" s="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</row>
    <row r="1423" spans="1:37" x14ac:dyDescent="0.25">
      <c r="A1423" s="11">
        <f>Table1[[#This Row],[Milk Yield]]-J1419</f>
        <v>364</v>
      </c>
      <c r="B1423" t="s">
        <v>24</v>
      </c>
      <c r="C1423" s="2">
        <v>1</v>
      </c>
      <c r="D1423" s="12">
        <v>45823</v>
      </c>
      <c r="E1423" s="2">
        <v>35</v>
      </c>
      <c r="F1423" s="13">
        <v>0.33630787037037035</v>
      </c>
      <c r="G1423" s="3">
        <v>0.56943287037037038</v>
      </c>
      <c r="H1423" s="1">
        <v>0.2326388888888889</v>
      </c>
      <c r="I1423" s="5">
        <v>763</v>
      </c>
      <c r="J1423">
        <v>10735</v>
      </c>
      <c r="K1423">
        <v>136</v>
      </c>
      <c r="L1423" s="5">
        <v>552</v>
      </c>
      <c r="M1423" s="5">
        <v>762</v>
      </c>
      <c r="N1423">
        <v>37</v>
      </c>
      <c r="O1423">
        <v>725</v>
      </c>
      <c r="P1423" s="1">
        <v>0.25</v>
      </c>
      <c r="Q1423" s="5">
        <v>1919</v>
      </c>
      <c r="R1423" s="14">
        <v>14.1</v>
      </c>
      <c r="S1423">
        <v>136</v>
      </c>
      <c r="T1423" s="5">
        <v>37</v>
      </c>
      <c r="U1423" s="5">
        <v>725</v>
      </c>
      <c r="V1423" s="5">
        <v>0</v>
      </c>
      <c r="W1423" s="5"/>
      <c r="X1423" s="5"/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</row>
    <row r="1424" spans="1:37" x14ac:dyDescent="0.25">
      <c r="A1424" s="11">
        <f>Table1[[#This Row],[Milk Yield]]-J1420</f>
        <v>-584</v>
      </c>
      <c r="B1424" t="s">
        <v>24</v>
      </c>
      <c r="C1424" s="2">
        <v>2</v>
      </c>
      <c r="D1424" s="12">
        <v>45823</v>
      </c>
      <c r="E1424" s="2">
        <v>34</v>
      </c>
      <c r="F1424" s="13">
        <v>0.66563657407407406</v>
      </c>
      <c r="G1424" s="3">
        <v>0.85873842592592597</v>
      </c>
      <c r="H1424" s="1">
        <v>0.19305555555555556</v>
      </c>
      <c r="I1424" s="5">
        <v>779</v>
      </c>
      <c r="J1424">
        <v>9430</v>
      </c>
      <c r="K1424">
        <v>168</v>
      </c>
      <c r="L1424" s="5">
        <v>326</v>
      </c>
      <c r="M1424" s="5">
        <v>777</v>
      </c>
      <c r="N1424">
        <v>29</v>
      </c>
      <c r="O1424">
        <v>748</v>
      </c>
      <c r="P1424" s="1">
        <v>0.21666666666666667</v>
      </c>
      <c r="Q1424" s="5">
        <v>2035</v>
      </c>
      <c r="R1424" s="14">
        <v>12.2</v>
      </c>
      <c r="S1424">
        <v>168</v>
      </c>
      <c r="T1424" s="5">
        <v>29</v>
      </c>
      <c r="U1424" s="5">
        <v>748</v>
      </c>
      <c r="V1424" s="5">
        <v>0</v>
      </c>
      <c r="W1424" s="5"/>
      <c r="X1424" s="5"/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</row>
    <row r="1425" spans="1:37" x14ac:dyDescent="0.25">
      <c r="A1425" s="11">
        <f>Table1[[#This Row],[Milk Yield]]-J1421</f>
        <v>-198</v>
      </c>
      <c r="B1425" t="s">
        <v>24</v>
      </c>
      <c r="C1425" s="2">
        <v>3</v>
      </c>
      <c r="D1425" s="12">
        <v>45823</v>
      </c>
      <c r="E1425" s="2">
        <v>35</v>
      </c>
      <c r="F1425" s="13">
        <v>0.99791666666666667</v>
      </c>
      <c r="G1425" s="3">
        <v>0.19015046296296295</v>
      </c>
      <c r="H1425" s="1">
        <v>0.19166666666666668</v>
      </c>
      <c r="I1425" s="5">
        <v>786</v>
      </c>
      <c r="J1425">
        <v>10233</v>
      </c>
      <c r="K1425">
        <v>170</v>
      </c>
      <c r="L1425" s="5">
        <v>65</v>
      </c>
      <c r="M1425" s="5">
        <v>785</v>
      </c>
      <c r="N1425">
        <v>7</v>
      </c>
      <c r="O1425">
        <v>778</v>
      </c>
      <c r="P1425" s="1">
        <v>0.22638888888888889</v>
      </c>
      <c r="Q1425" s="5">
        <v>2218</v>
      </c>
      <c r="R1425" s="14">
        <v>13.1</v>
      </c>
      <c r="S1425">
        <v>170</v>
      </c>
      <c r="T1425" s="5">
        <v>7</v>
      </c>
      <c r="U1425" s="5">
        <v>778</v>
      </c>
      <c r="V1425" s="5">
        <v>0</v>
      </c>
      <c r="W1425" s="5"/>
      <c r="X1425" s="5"/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</row>
    <row r="1426" spans="1:37" x14ac:dyDescent="0.25">
      <c r="A1426" s="11" t="e">
        <f>Table1[[#This Row],[Milk Yield]]-J1422</f>
        <v>#VALUE!</v>
      </c>
      <c r="B1426" t="s">
        <v>0</v>
      </c>
      <c r="C1426" s="2" t="s">
        <v>1</v>
      </c>
      <c r="D1426" s="12" t="s">
        <v>2</v>
      </c>
      <c r="E1426" s="2" t="s">
        <v>3</v>
      </c>
      <c r="F1426" s="13" t="s">
        <v>4</v>
      </c>
      <c r="G1426" s="3" t="s">
        <v>5</v>
      </c>
      <c r="H1426" s="1" t="s">
        <v>6</v>
      </c>
      <c r="I1426" s="5" t="s">
        <v>8</v>
      </c>
      <c r="J1426" t="s">
        <v>9</v>
      </c>
      <c r="K1426" t="s">
        <v>10</v>
      </c>
      <c r="L1426" s="5" t="s">
        <v>11</v>
      </c>
      <c r="M1426" s="5" t="s">
        <v>12</v>
      </c>
      <c r="N1426" t="s">
        <v>13</v>
      </c>
      <c r="O1426" t="s">
        <v>20</v>
      </c>
      <c r="P1426" s="1" t="s">
        <v>7</v>
      </c>
      <c r="Q1426" s="5" t="s">
        <v>15</v>
      </c>
      <c r="R1426" s="14" t="s">
        <v>18</v>
      </c>
      <c r="S1426" t="s">
        <v>16</v>
      </c>
      <c r="T1426" s="5" t="s">
        <v>14</v>
      </c>
      <c r="U1426" s="5" t="s">
        <v>17</v>
      </c>
      <c r="V1426" s="5" t="s">
        <v>19</v>
      </c>
      <c r="W1426" s="5"/>
      <c r="X1426" s="5"/>
      <c r="Y1426" s="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</row>
    <row r="1427" spans="1:37" x14ac:dyDescent="0.25">
      <c r="A1427" s="11">
        <f>Table1[[#This Row],[Milk Yield]]-J1423</f>
        <v>3</v>
      </c>
      <c r="B1427" t="s">
        <v>24</v>
      </c>
      <c r="C1427" s="2">
        <v>1</v>
      </c>
      <c r="D1427" s="12">
        <v>45824</v>
      </c>
      <c r="E1427" s="2">
        <v>39</v>
      </c>
      <c r="F1427" s="13">
        <v>0.33482638888888888</v>
      </c>
      <c r="G1427" s="3">
        <v>0.55053240740740739</v>
      </c>
      <c r="H1427" s="1">
        <v>0.21527777777777779</v>
      </c>
      <c r="I1427" s="5">
        <v>783</v>
      </c>
      <c r="J1427">
        <v>10738</v>
      </c>
      <c r="K1427">
        <v>151</v>
      </c>
      <c r="L1427" s="5">
        <v>309</v>
      </c>
      <c r="M1427" s="5">
        <v>783</v>
      </c>
      <c r="N1427">
        <v>28</v>
      </c>
      <c r="O1427">
        <v>755</v>
      </c>
      <c r="P1427" s="1">
        <v>0.23749999999999999</v>
      </c>
      <c r="Q1427" s="5">
        <v>2074</v>
      </c>
      <c r="R1427" s="14">
        <v>13.8</v>
      </c>
      <c r="S1427">
        <v>151</v>
      </c>
      <c r="T1427" s="5">
        <v>28</v>
      </c>
      <c r="U1427" s="5">
        <v>755</v>
      </c>
      <c r="V1427" s="5">
        <v>0</v>
      </c>
      <c r="W1427" s="5"/>
      <c r="X1427" s="5"/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</row>
    <row r="1428" spans="1:37" x14ac:dyDescent="0.25">
      <c r="A1428" s="11">
        <f>Table1[[#This Row],[Milk Yield]]-J1424</f>
        <v>-370</v>
      </c>
      <c r="B1428" t="s">
        <v>24</v>
      </c>
      <c r="C1428" s="2">
        <v>2</v>
      </c>
      <c r="D1428" s="12">
        <v>45824</v>
      </c>
      <c r="E1428" s="2">
        <v>38</v>
      </c>
      <c r="F1428" s="13">
        <v>0.6647453703703704</v>
      </c>
      <c r="G1428" s="3">
        <v>0.86746527777777782</v>
      </c>
      <c r="H1428" s="1">
        <v>0.20208333333333334</v>
      </c>
      <c r="I1428" s="5">
        <v>782</v>
      </c>
      <c r="J1428">
        <v>9060</v>
      </c>
      <c r="K1428">
        <v>161</v>
      </c>
      <c r="L1428" s="5">
        <v>418</v>
      </c>
      <c r="M1428" s="5">
        <v>781</v>
      </c>
      <c r="N1428">
        <v>42</v>
      </c>
      <c r="O1428">
        <v>739</v>
      </c>
      <c r="P1428" s="1">
        <v>0.22430555555555556</v>
      </c>
      <c r="Q1428" s="5">
        <v>1862</v>
      </c>
      <c r="R1428" s="14">
        <v>11.7</v>
      </c>
      <c r="S1428">
        <v>161</v>
      </c>
      <c r="T1428" s="5">
        <v>42</v>
      </c>
      <c r="U1428" s="5">
        <v>739</v>
      </c>
      <c r="V1428" s="5">
        <v>0</v>
      </c>
      <c r="W1428" s="5"/>
      <c r="X1428" s="5"/>
      <c r="Y1428" s="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</row>
    <row r="1429" spans="1:37" x14ac:dyDescent="0.25">
      <c r="A1429" s="11">
        <f>Table1[[#This Row],[Milk Yield]]-J1425</f>
        <v>467</v>
      </c>
      <c r="B1429" t="s">
        <v>24</v>
      </c>
      <c r="C1429" s="2">
        <v>3</v>
      </c>
      <c r="D1429" s="12">
        <v>45824</v>
      </c>
      <c r="E1429" s="2">
        <v>35</v>
      </c>
      <c r="F1429" s="13">
        <v>0.9994791666666667</v>
      </c>
      <c r="G1429" s="3">
        <v>0.23768518518518519</v>
      </c>
      <c r="H1429" s="1">
        <v>0.23819444444444443</v>
      </c>
      <c r="I1429" s="5">
        <v>778</v>
      </c>
      <c r="J1429">
        <v>10700</v>
      </c>
      <c r="K1429">
        <v>136</v>
      </c>
      <c r="L1429" s="5">
        <v>34</v>
      </c>
      <c r="M1429" s="5">
        <v>778</v>
      </c>
      <c r="N1429">
        <v>3</v>
      </c>
      <c r="O1429">
        <v>775</v>
      </c>
      <c r="P1429" s="1">
        <v>0.22708333333333333</v>
      </c>
      <c r="Q1429" s="5">
        <v>1872</v>
      </c>
      <c r="R1429" s="14">
        <v>13.8</v>
      </c>
      <c r="S1429">
        <v>136</v>
      </c>
      <c r="T1429" s="5">
        <v>3</v>
      </c>
      <c r="U1429" s="5">
        <v>775</v>
      </c>
      <c r="V1429" s="5">
        <v>0</v>
      </c>
      <c r="W1429" s="5"/>
      <c r="X1429" s="5"/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</row>
    <row r="1430" spans="1:37" x14ac:dyDescent="0.25">
      <c r="A1430" s="11" t="e">
        <f>Table1[[#This Row],[Milk Yield]]-J1426</f>
        <v>#VALUE!</v>
      </c>
      <c r="B1430" t="s">
        <v>0</v>
      </c>
      <c r="C1430" s="2" t="s">
        <v>1</v>
      </c>
      <c r="D1430" s="12" t="s">
        <v>2</v>
      </c>
      <c r="E1430" s="2" t="s">
        <v>3</v>
      </c>
      <c r="F1430" s="13" t="s">
        <v>4</v>
      </c>
      <c r="G1430" s="3" t="s">
        <v>5</v>
      </c>
      <c r="H1430" s="1" t="s">
        <v>6</v>
      </c>
      <c r="I1430" s="5" t="s">
        <v>8</v>
      </c>
      <c r="J1430" t="s">
        <v>9</v>
      </c>
      <c r="K1430" t="s">
        <v>10</v>
      </c>
      <c r="L1430" s="5" t="s">
        <v>11</v>
      </c>
      <c r="M1430" s="5" t="s">
        <v>12</v>
      </c>
      <c r="N1430" t="s">
        <v>13</v>
      </c>
      <c r="O1430" t="s">
        <v>20</v>
      </c>
      <c r="P1430" s="1" t="s">
        <v>7</v>
      </c>
      <c r="Q1430" s="5" t="s">
        <v>15</v>
      </c>
      <c r="R1430" s="14" t="s">
        <v>18</v>
      </c>
      <c r="S1430" t="s">
        <v>16</v>
      </c>
      <c r="T1430" s="5" t="s">
        <v>14</v>
      </c>
      <c r="U1430" s="5" t="s">
        <v>17</v>
      </c>
      <c r="V1430" s="5" t="s">
        <v>19</v>
      </c>
      <c r="W1430" s="5"/>
      <c r="X1430" s="5"/>
      <c r="Y1430" s="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</row>
    <row r="1431" spans="1:37" x14ac:dyDescent="0.25">
      <c r="A1431" s="11">
        <f>Table1[[#This Row],[Milk Yield]]-J1427</f>
        <v>-368</v>
      </c>
      <c r="B1431" t="s">
        <v>24</v>
      </c>
      <c r="C1431" s="2">
        <v>1</v>
      </c>
      <c r="D1431" s="12">
        <v>45825</v>
      </c>
      <c r="E1431" s="2">
        <v>39</v>
      </c>
      <c r="F1431" s="13">
        <v>0.33530092592592592</v>
      </c>
      <c r="G1431" s="3">
        <v>0.55298611111111107</v>
      </c>
      <c r="H1431" s="1">
        <v>0.21736111111111112</v>
      </c>
      <c r="I1431" s="5">
        <v>808</v>
      </c>
      <c r="J1431">
        <v>10370</v>
      </c>
      <c r="K1431">
        <v>155</v>
      </c>
      <c r="L1431" s="5">
        <v>372</v>
      </c>
      <c r="M1431" s="5">
        <v>806</v>
      </c>
      <c r="N1431">
        <v>40</v>
      </c>
      <c r="O1431">
        <v>766</v>
      </c>
      <c r="P1431" s="1">
        <v>0.23333333333333334</v>
      </c>
      <c r="Q1431" s="5">
        <v>1985</v>
      </c>
      <c r="R1431" s="14">
        <v>12.9</v>
      </c>
      <c r="S1431">
        <v>154</v>
      </c>
      <c r="T1431" s="5">
        <v>40</v>
      </c>
      <c r="U1431" s="5">
        <v>766</v>
      </c>
      <c r="V1431" s="5">
        <v>0</v>
      </c>
      <c r="W1431" s="5"/>
      <c r="X1431" s="5"/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</row>
    <row r="1432" spans="1:37" x14ac:dyDescent="0.25">
      <c r="A1432" s="11">
        <f>Table1[[#This Row],[Milk Yield]]-J1428</f>
        <v>386</v>
      </c>
      <c r="B1432" t="s">
        <v>24</v>
      </c>
      <c r="C1432" s="2">
        <v>2</v>
      </c>
      <c r="D1432" s="12">
        <v>45825</v>
      </c>
      <c r="E1432" s="2">
        <v>39</v>
      </c>
      <c r="F1432" s="13">
        <v>0.67186342592592596</v>
      </c>
      <c r="G1432" s="3">
        <v>0.86450231481481477</v>
      </c>
      <c r="H1432" s="1">
        <v>0.19236111111111112</v>
      </c>
      <c r="I1432" s="5">
        <v>782</v>
      </c>
      <c r="J1432">
        <v>9446</v>
      </c>
      <c r="K1432">
        <v>169</v>
      </c>
      <c r="L1432" s="5">
        <v>1803</v>
      </c>
      <c r="M1432" s="5">
        <v>782</v>
      </c>
      <c r="N1432">
        <v>153</v>
      </c>
      <c r="O1432">
        <v>629</v>
      </c>
      <c r="P1432" s="1">
        <v>0.24027777777777778</v>
      </c>
      <c r="Q1432" s="5">
        <v>2043</v>
      </c>
      <c r="R1432" s="14">
        <v>12.1</v>
      </c>
      <c r="S1432">
        <v>169</v>
      </c>
      <c r="T1432" s="5">
        <v>153</v>
      </c>
      <c r="U1432" s="5">
        <v>629</v>
      </c>
      <c r="V1432" s="5">
        <v>0</v>
      </c>
      <c r="W1432" s="5"/>
      <c r="X1432" s="5"/>
      <c r="Y1432" s="5"/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</row>
    <row r="1433" spans="1:37" x14ac:dyDescent="0.25">
      <c r="A1433" s="11">
        <f>Table1[[#This Row],[Milk Yield]]-J1429</f>
        <v>-304</v>
      </c>
      <c r="B1433" t="s">
        <v>24</v>
      </c>
      <c r="C1433" s="2">
        <v>3</v>
      </c>
      <c r="D1433" s="12">
        <v>45825</v>
      </c>
      <c r="E1433" s="2">
        <v>35</v>
      </c>
      <c r="F1433" s="13">
        <v>8.7962962962962962E-4</v>
      </c>
      <c r="G1433" s="3">
        <v>0.20552083333333335</v>
      </c>
      <c r="H1433" s="1">
        <v>0.20416666666666666</v>
      </c>
      <c r="I1433" s="5">
        <v>785</v>
      </c>
      <c r="J1433">
        <v>10396</v>
      </c>
      <c r="K1433">
        <v>160</v>
      </c>
      <c r="L1433" s="5">
        <v>73</v>
      </c>
      <c r="M1433" s="5">
        <v>785</v>
      </c>
      <c r="N1433">
        <v>5</v>
      </c>
      <c r="O1433">
        <v>780</v>
      </c>
      <c r="P1433" s="1">
        <v>0.22569444444444445</v>
      </c>
      <c r="Q1433" s="5">
        <v>2117</v>
      </c>
      <c r="R1433" s="14">
        <v>13.3</v>
      </c>
      <c r="S1433">
        <v>160</v>
      </c>
      <c r="T1433" s="5">
        <v>5</v>
      </c>
      <c r="U1433" s="5">
        <v>780</v>
      </c>
      <c r="V1433" s="5">
        <v>0</v>
      </c>
      <c r="W1433" s="5"/>
      <c r="X1433" s="5"/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</row>
    <row r="1434" spans="1:37" x14ac:dyDescent="0.25">
      <c r="A1434" s="11" t="e">
        <f>Table1[[#This Row],[Milk Yield]]-J1430</f>
        <v>#VALUE!</v>
      </c>
      <c r="B1434" t="s">
        <v>0</v>
      </c>
      <c r="C1434" s="2" t="s">
        <v>1</v>
      </c>
      <c r="D1434" s="12" t="s">
        <v>2</v>
      </c>
      <c r="E1434" s="2" t="s">
        <v>3</v>
      </c>
      <c r="F1434" s="13" t="s">
        <v>4</v>
      </c>
      <c r="G1434" s="3" t="s">
        <v>5</v>
      </c>
      <c r="H1434" s="1" t="s">
        <v>6</v>
      </c>
      <c r="I1434" s="5" t="s">
        <v>8</v>
      </c>
      <c r="J1434" t="s">
        <v>9</v>
      </c>
      <c r="K1434" t="s">
        <v>10</v>
      </c>
      <c r="L1434" s="5" t="s">
        <v>11</v>
      </c>
      <c r="M1434" s="5" t="s">
        <v>12</v>
      </c>
      <c r="N1434" t="s">
        <v>13</v>
      </c>
      <c r="O1434" t="s">
        <v>20</v>
      </c>
      <c r="P1434" s="1" t="s">
        <v>7</v>
      </c>
      <c r="Q1434" s="5" t="s">
        <v>15</v>
      </c>
      <c r="R1434" s="14" t="s">
        <v>18</v>
      </c>
      <c r="S1434" t="s">
        <v>16</v>
      </c>
      <c r="T1434" s="5" t="s">
        <v>14</v>
      </c>
      <c r="U1434" s="5" t="s">
        <v>17</v>
      </c>
      <c r="V1434" s="5" t="s">
        <v>19</v>
      </c>
      <c r="W1434" s="5"/>
      <c r="X1434" s="5"/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</row>
    <row r="1435" spans="1:37" x14ac:dyDescent="0.25">
      <c r="A1435" s="11">
        <f>Table1[[#This Row],[Milk Yield]]-J1431</f>
        <v>55</v>
      </c>
      <c r="B1435" t="s">
        <v>24</v>
      </c>
      <c r="C1435" s="2">
        <v>1</v>
      </c>
      <c r="D1435" s="12">
        <v>45826</v>
      </c>
      <c r="E1435" s="2">
        <v>38</v>
      </c>
      <c r="F1435" s="13">
        <v>0.33697916666666666</v>
      </c>
      <c r="G1435" s="3">
        <v>0.54491898148148143</v>
      </c>
      <c r="H1435" s="1">
        <v>0.20793981481481483</v>
      </c>
      <c r="I1435" s="5">
        <v>781</v>
      </c>
      <c r="J1435">
        <v>10425</v>
      </c>
      <c r="K1435">
        <v>180</v>
      </c>
      <c r="L1435" s="5">
        <v>151</v>
      </c>
      <c r="M1435" s="5">
        <v>780</v>
      </c>
      <c r="N1435">
        <v>48</v>
      </c>
      <c r="O1435">
        <v>712</v>
      </c>
      <c r="P1435" s="1">
        <v>0.24107638888888888</v>
      </c>
      <c r="Q1435" s="5">
        <v>2076</v>
      </c>
      <c r="R1435" s="14">
        <v>13.3</v>
      </c>
      <c r="S1435">
        <v>152</v>
      </c>
      <c r="T1435" s="5">
        <v>71</v>
      </c>
      <c r="U1435" s="5">
        <v>712</v>
      </c>
      <c r="V1435" s="5">
        <v>0</v>
      </c>
      <c r="W1435" s="5"/>
      <c r="X1435" s="5"/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</row>
    <row r="1436" spans="1:37" x14ac:dyDescent="0.25">
      <c r="A1436" s="11">
        <f>Table1[[#This Row],[Milk Yield]]-J1432</f>
        <v>-69</v>
      </c>
      <c r="B1436" t="s">
        <v>24</v>
      </c>
      <c r="C1436" s="2">
        <v>2</v>
      </c>
      <c r="D1436" s="12">
        <v>45826</v>
      </c>
      <c r="E1436" s="2">
        <v>37</v>
      </c>
      <c r="F1436" s="13">
        <v>0.66644675925925922</v>
      </c>
      <c r="G1436" s="3">
        <v>0.86319444444444449</v>
      </c>
      <c r="H1436" s="1">
        <v>0.19652777777777777</v>
      </c>
      <c r="I1436" s="5">
        <v>724</v>
      </c>
      <c r="J1436">
        <v>9377</v>
      </c>
      <c r="K1436">
        <v>153</v>
      </c>
      <c r="L1436" s="5">
        <v>926</v>
      </c>
      <c r="M1436" s="5">
        <v>723</v>
      </c>
      <c r="N1436">
        <v>54</v>
      </c>
      <c r="O1436">
        <v>669</v>
      </c>
      <c r="P1436" s="1">
        <v>0.25347222222222221</v>
      </c>
      <c r="Q1436" s="5">
        <v>1986</v>
      </c>
      <c r="R1436" s="14">
        <v>13</v>
      </c>
      <c r="S1436">
        <v>153</v>
      </c>
      <c r="T1436" s="5">
        <v>54</v>
      </c>
      <c r="U1436" s="5">
        <v>669</v>
      </c>
      <c r="V1436" s="5">
        <v>0</v>
      </c>
      <c r="W1436" s="5"/>
      <c r="X1436" s="5"/>
      <c r="Y1436" s="5"/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</row>
    <row r="1437" spans="1:37" x14ac:dyDescent="0.25">
      <c r="A1437" s="11">
        <f>Table1[[#This Row],[Milk Yield]]-J1433</f>
        <v>-107</v>
      </c>
      <c r="B1437" t="s">
        <v>24</v>
      </c>
      <c r="C1437" s="2">
        <v>3</v>
      </c>
      <c r="D1437" s="12">
        <v>45826</v>
      </c>
      <c r="E1437" s="2">
        <v>34</v>
      </c>
      <c r="F1437" s="13">
        <v>0.99869212962962961</v>
      </c>
      <c r="G1437" s="3">
        <v>0.22383101851851853</v>
      </c>
      <c r="H1437" s="1">
        <v>0.22500000000000001</v>
      </c>
      <c r="I1437" s="5">
        <v>757</v>
      </c>
      <c r="J1437">
        <v>10289</v>
      </c>
      <c r="K1437">
        <v>140</v>
      </c>
      <c r="L1437" s="5">
        <v>118</v>
      </c>
      <c r="M1437" s="5">
        <v>756</v>
      </c>
      <c r="N1437">
        <v>11</v>
      </c>
      <c r="O1437">
        <v>745</v>
      </c>
      <c r="P1437" s="1">
        <v>0.23749999999999999</v>
      </c>
      <c r="Q1437" s="5">
        <v>1904</v>
      </c>
      <c r="R1437" s="14">
        <v>13.7</v>
      </c>
      <c r="S1437">
        <v>140</v>
      </c>
      <c r="T1437" s="5">
        <v>11</v>
      </c>
      <c r="U1437" s="5">
        <v>745</v>
      </c>
      <c r="V1437" s="5">
        <v>0</v>
      </c>
      <c r="W1437" s="5"/>
      <c r="X1437" s="5"/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</row>
    <row r="1438" spans="1:37" x14ac:dyDescent="0.25">
      <c r="A1438" s="11" t="e">
        <f>Table1[[#This Row],[Milk Yield]]-J1434</f>
        <v>#VALUE!</v>
      </c>
      <c r="B1438" t="s">
        <v>0</v>
      </c>
      <c r="C1438" s="2" t="s">
        <v>1</v>
      </c>
      <c r="D1438" s="12" t="s">
        <v>2</v>
      </c>
      <c r="E1438" s="2" t="s">
        <v>3</v>
      </c>
      <c r="F1438" s="13" t="s">
        <v>4</v>
      </c>
      <c r="G1438" s="3" t="s">
        <v>5</v>
      </c>
      <c r="H1438" s="1" t="s">
        <v>6</v>
      </c>
      <c r="I1438" s="5" t="s">
        <v>8</v>
      </c>
      <c r="J1438" t="s">
        <v>9</v>
      </c>
      <c r="K1438" t="s">
        <v>10</v>
      </c>
      <c r="L1438" s="5" t="s">
        <v>11</v>
      </c>
      <c r="M1438" s="5" t="s">
        <v>12</v>
      </c>
      <c r="N1438" t="s">
        <v>13</v>
      </c>
      <c r="O1438" t="s">
        <v>20</v>
      </c>
      <c r="P1438" s="1" t="s">
        <v>7</v>
      </c>
      <c r="Q1438" s="5" t="s">
        <v>15</v>
      </c>
      <c r="R1438" s="14" t="s">
        <v>18</v>
      </c>
      <c r="S1438" t="s">
        <v>16</v>
      </c>
      <c r="T1438" s="5" t="s">
        <v>14</v>
      </c>
      <c r="U1438" s="5" t="s">
        <v>17</v>
      </c>
      <c r="V1438" s="5" t="s">
        <v>19</v>
      </c>
      <c r="W1438" s="5"/>
      <c r="X1438" s="5"/>
      <c r="Y1438" s="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</row>
    <row r="1439" spans="1:37" x14ac:dyDescent="0.25">
      <c r="A1439" s="11">
        <f>Table1[[#This Row],[Milk Yield]]-J1435</f>
        <v>-204</v>
      </c>
      <c r="B1439" t="s">
        <v>24</v>
      </c>
      <c r="C1439" s="2">
        <v>1</v>
      </c>
      <c r="D1439" s="12">
        <v>45827</v>
      </c>
      <c r="E1439" s="2">
        <v>36</v>
      </c>
      <c r="F1439" s="13">
        <v>0.33575231481481482</v>
      </c>
      <c r="G1439" s="3">
        <v>0.54840277777777779</v>
      </c>
      <c r="H1439" s="1">
        <v>0.21249999999999999</v>
      </c>
      <c r="I1439" s="5">
        <v>754</v>
      </c>
      <c r="J1439">
        <v>10221</v>
      </c>
      <c r="K1439">
        <v>148</v>
      </c>
      <c r="L1439" s="5">
        <v>151</v>
      </c>
      <c r="M1439" s="5">
        <v>754</v>
      </c>
      <c r="N1439">
        <v>13</v>
      </c>
      <c r="O1439">
        <v>741</v>
      </c>
      <c r="P1439" s="1">
        <v>0.2388888888888889</v>
      </c>
      <c r="Q1439" s="5">
        <v>2003</v>
      </c>
      <c r="R1439" s="14">
        <v>13.6</v>
      </c>
      <c r="S1439">
        <v>148</v>
      </c>
      <c r="T1439" s="5">
        <v>13</v>
      </c>
      <c r="U1439" s="5">
        <v>741</v>
      </c>
      <c r="V1439" s="5">
        <v>0</v>
      </c>
      <c r="W1439" s="5"/>
      <c r="X1439" s="5"/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</row>
    <row r="1440" spans="1:37" x14ac:dyDescent="0.25">
      <c r="A1440" s="11">
        <f>Table1[[#This Row],[Milk Yield]]-J1436</f>
        <v>328</v>
      </c>
      <c r="B1440" t="s">
        <v>24</v>
      </c>
      <c r="C1440" s="2">
        <v>2</v>
      </c>
      <c r="D1440" s="12">
        <v>45827</v>
      </c>
      <c r="E1440" s="2">
        <v>35</v>
      </c>
      <c r="F1440" s="13">
        <v>0.66722222222222227</v>
      </c>
      <c r="G1440" s="3">
        <v>0.88185185185185189</v>
      </c>
      <c r="H1440" s="1">
        <v>0.21458333333333332</v>
      </c>
      <c r="I1440" s="5">
        <v>756</v>
      </c>
      <c r="J1440">
        <v>9705</v>
      </c>
      <c r="K1440">
        <v>147</v>
      </c>
      <c r="L1440" s="5">
        <v>22</v>
      </c>
      <c r="M1440" s="5">
        <v>756</v>
      </c>
      <c r="N1440">
        <v>2</v>
      </c>
      <c r="O1440">
        <v>754</v>
      </c>
      <c r="P1440" s="1">
        <v>0.22638888888888889</v>
      </c>
      <c r="Q1440" s="5">
        <v>1884</v>
      </c>
      <c r="R1440" s="14">
        <v>12.9</v>
      </c>
      <c r="S1440">
        <v>147</v>
      </c>
      <c r="T1440" s="5">
        <v>2</v>
      </c>
      <c r="U1440" s="5">
        <v>754</v>
      </c>
      <c r="V1440" s="5">
        <v>0</v>
      </c>
      <c r="W1440" s="5"/>
      <c r="X1440" s="5"/>
      <c r="Y1440" s="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</row>
    <row r="1441" spans="1:37" x14ac:dyDescent="0.25">
      <c r="A1441" s="11">
        <f>Table1[[#This Row],[Milk Yield]]-J1437</f>
        <v>-431</v>
      </c>
      <c r="B1441" t="s">
        <v>24</v>
      </c>
      <c r="C1441" s="2">
        <v>3</v>
      </c>
      <c r="D1441" s="12">
        <v>45827</v>
      </c>
      <c r="E1441" s="2">
        <v>36</v>
      </c>
      <c r="F1441" s="13">
        <v>0.99693287037037037</v>
      </c>
      <c r="G1441" s="3">
        <v>0.21427083333333333</v>
      </c>
      <c r="H1441" s="1">
        <v>0.21666666666666667</v>
      </c>
      <c r="I1441" s="5">
        <v>758</v>
      </c>
      <c r="J1441">
        <v>9858</v>
      </c>
      <c r="K1441">
        <v>145</v>
      </c>
      <c r="L1441" s="5">
        <v>66</v>
      </c>
      <c r="M1441" s="5">
        <v>756</v>
      </c>
      <c r="N1441">
        <v>5</v>
      </c>
      <c r="O1441">
        <v>751</v>
      </c>
      <c r="P1441" s="1">
        <v>0.22916666666666666</v>
      </c>
      <c r="Q1441" s="5">
        <v>1890</v>
      </c>
      <c r="R1441" s="14">
        <v>13.1</v>
      </c>
      <c r="S1441">
        <v>145</v>
      </c>
      <c r="T1441" s="5">
        <v>5</v>
      </c>
      <c r="U1441" s="5">
        <v>751</v>
      </c>
      <c r="V1441" s="5">
        <v>0</v>
      </c>
      <c r="W1441" s="5"/>
      <c r="X1441" s="5"/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</row>
    <row r="1442" spans="1:37" x14ac:dyDescent="0.25">
      <c r="A1442" s="11" t="e">
        <f>Table1[[#This Row],[Milk Yield]]-J1438</f>
        <v>#VALUE!</v>
      </c>
      <c r="B1442" t="s">
        <v>0</v>
      </c>
      <c r="C1442" s="2" t="s">
        <v>1</v>
      </c>
      <c r="D1442" s="12" t="s">
        <v>2</v>
      </c>
      <c r="E1442" s="2" t="s">
        <v>3</v>
      </c>
      <c r="F1442" s="13" t="s">
        <v>4</v>
      </c>
      <c r="G1442" s="3" t="s">
        <v>5</v>
      </c>
      <c r="H1442" s="1" t="s">
        <v>6</v>
      </c>
      <c r="I1442" s="5" t="s">
        <v>8</v>
      </c>
      <c r="J1442" t="s">
        <v>9</v>
      </c>
      <c r="K1442" t="s">
        <v>10</v>
      </c>
      <c r="L1442" s="5" t="s">
        <v>11</v>
      </c>
      <c r="M1442" s="5" t="s">
        <v>12</v>
      </c>
      <c r="N1442" t="s">
        <v>13</v>
      </c>
      <c r="O1442" t="s">
        <v>20</v>
      </c>
      <c r="P1442" s="1" t="s">
        <v>7</v>
      </c>
      <c r="Q1442" s="5" t="s">
        <v>15</v>
      </c>
      <c r="R1442" s="14" t="s">
        <v>18</v>
      </c>
      <c r="S1442" t="s">
        <v>16</v>
      </c>
      <c r="T1442" s="5" t="s">
        <v>14</v>
      </c>
      <c r="U1442" s="5" t="s">
        <v>17</v>
      </c>
      <c r="V1442" s="5" t="s">
        <v>19</v>
      </c>
      <c r="W1442" s="5"/>
      <c r="X1442" s="5"/>
      <c r="Y1442" s="5"/>
      <c r="Z1442" s="5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</row>
    <row r="1443" spans="1:37" x14ac:dyDescent="0.25">
      <c r="A1443" s="11">
        <f>Table1[[#This Row],[Milk Yield]]-J1439</f>
        <v>-229</v>
      </c>
      <c r="B1443" t="s">
        <v>24</v>
      </c>
      <c r="C1443" s="2">
        <v>1</v>
      </c>
      <c r="D1443" s="12">
        <v>45828</v>
      </c>
      <c r="E1443" s="2">
        <v>40</v>
      </c>
      <c r="F1443" s="13">
        <v>0.33828703703703705</v>
      </c>
      <c r="G1443" s="3">
        <v>0.5513541666666667</v>
      </c>
      <c r="H1443" s="1">
        <v>0.21249999999999999</v>
      </c>
      <c r="I1443" s="5">
        <v>787</v>
      </c>
      <c r="J1443">
        <v>9992</v>
      </c>
      <c r="K1443">
        <v>154</v>
      </c>
      <c r="L1443" s="5">
        <v>740</v>
      </c>
      <c r="M1443" s="5">
        <v>785</v>
      </c>
      <c r="N1443">
        <v>72</v>
      </c>
      <c r="O1443">
        <v>713</v>
      </c>
      <c r="P1443" s="1">
        <v>0.24236111111111111</v>
      </c>
      <c r="Q1443" s="5">
        <v>1954</v>
      </c>
      <c r="R1443" s="14">
        <v>12.8</v>
      </c>
      <c r="S1443">
        <v>154</v>
      </c>
      <c r="T1443" s="5">
        <v>72</v>
      </c>
      <c r="U1443" s="5">
        <v>713</v>
      </c>
      <c r="V1443" s="5">
        <v>0</v>
      </c>
      <c r="W1443" s="5"/>
      <c r="X1443" s="5"/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</row>
    <row r="1444" spans="1:37" x14ac:dyDescent="0.25">
      <c r="A1444" s="11">
        <f>Table1[[#This Row],[Milk Yield]]-J1440</f>
        <v>-298</v>
      </c>
      <c r="B1444" t="s">
        <v>24</v>
      </c>
      <c r="C1444" s="2">
        <v>2</v>
      </c>
      <c r="D1444" s="12">
        <v>45828</v>
      </c>
      <c r="E1444" s="2">
        <v>34</v>
      </c>
      <c r="F1444" s="13">
        <v>0.66789351851851853</v>
      </c>
      <c r="G1444" s="3">
        <v>0.87035879629629631</v>
      </c>
      <c r="H1444" s="1">
        <v>0.20208333333333334</v>
      </c>
      <c r="I1444" s="5">
        <v>745</v>
      </c>
      <c r="J1444">
        <v>9407</v>
      </c>
      <c r="K1444">
        <v>153</v>
      </c>
      <c r="L1444" s="5">
        <v>24</v>
      </c>
      <c r="M1444" s="5">
        <v>745</v>
      </c>
      <c r="N1444">
        <v>2</v>
      </c>
      <c r="O1444">
        <v>743</v>
      </c>
      <c r="P1444" s="1">
        <v>0.2326388888888889</v>
      </c>
      <c r="Q1444" s="5">
        <v>1936</v>
      </c>
      <c r="R1444" s="14">
        <v>12.7</v>
      </c>
      <c r="S1444">
        <v>153</v>
      </c>
      <c r="T1444" s="5">
        <v>2</v>
      </c>
      <c r="U1444" s="5">
        <v>743</v>
      </c>
      <c r="V1444" s="5">
        <v>0</v>
      </c>
      <c r="W1444" s="5"/>
      <c r="X1444" s="5"/>
      <c r="Y1444" s="5"/>
      <c r="Z1444" s="5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</row>
    <row r="1445" spans="1:37" x14ac:dyDescent="0.25">
      <c r="A1445" s="11">
        <f>Table1[[#This Row],[Milk Yield]]-J1441</f>
        <v>81</v>
      </c>
      <c r="B1445" t="s">
        <v>24</v>
      </c>
      <c r="C1445" s="2">
        <v>3</v>
      </c>
      <c r="D1445" s="12">
        <v>45828</v>
      </c>
      <c r="E1445" s="2">
        <v>35</v>
      </c>
      <c r="F1445" s="13">
        <v>0.99664351851851851</v>
      </c>
      <c r="G1445" s="3">
        <v>0.21408564814814815</v>
      </c>
      <c r="H1445" s="1">
        <v>0.21736111111111112</v>
      </c>
      <c r="I1445" s="5">
        <v>754</v>
      </c>
      <c r="J1445">
        <v>9939</v>
      </c>
      <c r="K1445">
        <v>144</v>
      </c>
      <c r="L1445" s="5">
        <v>125</v>
      </c>
      <c r="M1445" s="5">
        <v>754</v>
      </c>
      <c r="N1445">
        <v>9</v>
      </c>
      <c r="O1445">
        <v>745</v>
      </c>
      <c r="P1445" s="1">
        <v>0.23402777777777778</v>
      </c>
      <c r="Q1445" s="5">
        <v>1905</v>
      </c>
      <c r="R1445" s="14">
        <v>13.2</v>
      </c>
      <c r="S1445">
        <v>144</v>
      </c>
      <c r="T1445" s="5">
        <v>9</v>
      </c>
      <c r="U1445" s="5">
        <v>745</v>
      </c>
      <c r="V1445" s="5">
        <v>0</v>
      </c>
      <c r="W1445" s="5"/>
      <c r="X1445" s="5"/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</row>
    <row r="1446" spans="1:37" x14ac:dyDescent="0.25">
      <c r="A1446" s="11" t="e">
        <f>Table1[[#This Row],[Milk Yield]]-J1442</f>
        <v>#VALUE!</v>
      </c>
      <c r="B1446" t="s">
        <v>0</v>
      </c>
      <c r="C1446" s="2" t="s">
        <v>1</v>
      </c>
      <c r="D1446" s="12" t="s">
        <v>2</v>
      </c>
      <c r="E1446" s="2" t="s">
        <v>3</v>
      </c>
      <c r="F1446" s="13" t="s">
        <v>4</v>
      </c>
      <c r="G1446" s="3" t="s">
        <v>5</v>
      </c>
      <c r="H1446" s="1" t="s">
        <v>6</v>
      </c>
      <c r="I1446" s="5" t="s">
        <v>8</v>
      </c>
      <c r="J1446" t="s">
        <v>9</v>
      </c>
      <c r="K1446" t="s">
        <v>10</v>
      </c>
      <c r="L1446" s="5" t="s">
        <v>11</v>
      </c>
      <c r="M1446" s="5" t="s">
        <v>12</v>
      </c>
      <c r="N1446" t="s">
        <v>13</v>
      </c>
      <c r="O1446" t="s">
        <v>20</v>
      </c>
      <c r="P1446" s="1" t="s">
        <v>7</v>
      </c>
      <c r="Q1446" s="5" t="s">
        <v>15</v>
      </c>
      <c r="R1446" s="14" t="s">
        <v>18</v>
      </c>
      <c r="S1446" t="s">
        <v>16</v>
      </c>
      <c r="T1446" s="5" t="s">
        <v>14</v>
      </c>
      <c r="U1446" s="5" t="s">
        <v>17</v>
      </c>
      <c r="V1446" s="5" t="s">
        <v>19</v>
      </c>
      <c r="W1446" s="5"/>
      <c r="X1446" s="5"/>
      <c r="Y1446" s="5"/>
      <c r="Z1446" s="5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</row>
    <row r="1447" spans="1:37" x14ac:dyDescent="0.25">
      <c r="A1447" s="11">
        <f>Table1[[#This Row],[Milk Yield]]-J1443</f>
        <v>178</v>
      </c>
      <c r="B1447" t="s">
        <v>24</v>
      </c>
      <c r="C1447" s="2">
        <v>1</v>
      </c>
      <c r="D1447" s="12">
        <v>45829</v>
      </c>
      <c r="E1447" s="2">
        <v>39</v>
      </c>
      <c r="F1447" s="13">
        <v>0.33756944444444442</v>
      </c>
      <c r="G1447" s="3">
        <v>0.54038194444444443</v>
      </c>
      <c r="H1447" s="1">
        <v>0.20277777777777778</v>
      </c>
      <c r="I1447" s="5">
        <v>770</v>
      </c>
      <c r="J1447">
        <v>10170</v>
      </c>
      <c r="K1447">
        <v>158</v>
      </c>
      <c r="L1447" s="5">
        <v>339</v>
      </c>
      <c r="M1447" s="5">
        <v>769</v>
      </c>
      <c r="N1447">
        <v>36</v>
      </c>
      <c r="O1447">
        <v>733</v>
      </c>
      <c r="P1447" s="1">
        <v>0.23680555555555555</v>
      </c>
      <c r="Q1447" s="5">
        <v>2089</v>
      </c>
      <c r="R1447" s="14">
        <v>13.3</v>
      </c>
      <c r="S1447">
        <v>158</v>
      </c>
      <c r="T1447" s="5">
        <v>36</v>
      </c>
      <c r="U1447" s="5">
        <v>733</v>
      </c>
      <c r="V1447" s="5">
        <v>0</v>
      </c>
      <c r="W1447" s="5"/>
      <c r="X1447" s="5"/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</row>
    <row r="1448" spans="1:37" x14ac:dyDescent="0.25">
      <c r="A1448" s="11">
        <f>Table1[[#This Row],[Milk Yield]]-J1444</f>
        <v>-105</v>
      </c>
      <c r="B1448" t="s">
        <v>24</v>
      </c>
      <c r="C1448" s="2">
        <v>2</v>
      </c>
      <c r="D1448" s="12">
        <v>45829</v>
      </c>
      <c r="E1448" s="2">
        <v>35</v>
      </c>
      <c r="F1448" s="13">
        <v>0.66629629629629628</v>
      </c>
      <c r="G1448" s="3">
        <v>0.86894675925925924</v>
      </c>
      <c r="H1448" s="1">
        <v>0.20208333333333334</v>
      </c>
      <c r="I1448" s="5">
        <v>774</v>
      </c>
      <c r="J1448">
        <v>9302</v>
      </c>
      <c r="K1448">
        <v>159</v>
      </c>
      <c r="L1448" s="5">
        <v>376</v>
      </c>
      <c r="M1448" s="5">
        <v>774</v>
      </c>
      <c r="N1448">
        <v>36</v>
      </c>
      <c r="O1448">
        <v>738</v>
      </c>
      <c r="P1448" s="1">
        <v>0.22569444444444445</v>
      </c>
      <c r="Q1448" s="5">
        <v>1913</v>
      </c>
      <c r="R1448" s="14">
        <v>12.1</v>
      </c>
      <c r="S1448">
        <v>159</v>
      </c>
      <c r="T1448" s="5">
        <v>36</v>
      </c>
      <c r="U1448" s="5">
        <v>738</v>
      </c>
      <c r="V1448" s="5">
        <v>0</v>
      </c>
      <c r="W1448" s="5"/>
      <c r="X1448" s="5"/>
      <c r="Y1448" s="5"/>
      <c r="Z1448" s="5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</row>
    <row r="1449" spans="1:37" x14ac:dyDescent="0.25">
      <c r="A1449" s="11">
        <f>Table1[[#This Row],[Milk Yield]]-J1445</f>
        <v>67</v>
      </c>
      <c r="B1449" t="s">
        <v>24</v>
      </c>
      <c r="C1449" s="2">
        <v>3</v>
      </c>
      <c r="D1449" s="12">
        <v>45829</v>
      </c>
      <c r="E1449" s="2">
        <v>33</v>
      </c>
      <c r="F1449" s="13">
        <v>0.99693287037037037</v>
      </c>
      <c r="G1449" s="3">
        <v>0.22476851851851851</v>
      </c>
      <c r="H1449" s="1">
        <v>0.22777777777777777</v>
      </c>
      <c r="I1449" s="5">
        <v>746</v>
      </c>
      <c r="J1449">
        <v>10006</v>
      </c>
      <c r="K1449">
        <v>136</v>
      </c>
      <c r="L1449" s="5">
        <v>406</v>
      </c>
      <c r="M1449" s="5">
        <v>746</v>
      </c>
      <c r="N1449">
        <v>29</v>
      </c>
      <c r="O1449">
        <v>717</v>
      </c>
      <c r="P1449" s="1">
        <v>0.23472222222222222</v>
      </c>
      <c r="Q1449" s="5">
        <v>1830</v>
      </c>
      <c r="R1449" s="14">
        <v>13.5</v>
      </c>
      <c r="S1449">
        <v>136</v>
      </c>
      <c r="T1449" s="5">
        <v>29</v>
      </c>
      <c r="U1449" s="5">
        <v>717</v>
      </c>
      <c r="V1449" s="5">
        <v>0</v>
      </c>
      <c r="W1449" s="5"/>
      <c r="X1449" s="5"/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</row>
    <row r="1450" spans="1:37" x14ac:dyDescent="0.25">
      <c r="A1450" s="11" t="e">
        <f>Table1[[#This Row],[Milk Yield]]-J1446</f>
        <v>#VALUE!</v>
      </c>
      <c r="B1450" t="s">
        <v>0</v>
      </c>
      <c r="C1450" s="2" t="s">
        <v>1</v>
      </c>
      <c r="D1450" s="12" t="s">
        <v>2</v>
      </c>
      <c r="E1450" s="2" t="s">
        <v>3</v>
      </c>
      <c r="F1450" s="13" t="s">
        <v>4</v>
      </c>
      <c r="G1450" s="3" t="s">
        <v>5</v>
      </c>
      <c r="H1450" s="1" t="s">
        <v>6</v>
      </c>
      <c r="I1450" s="5" t="s">
        <v>8</v>
      </c>
      <c r="J1450" t="s">
        <v>9</v>
      </c>
      <c r="K1450" t="s">
        <v>10</v>
      </c>
      <c r="L1450" s="5" t="s">
        <v>11</v>
      </c>
      <c r="M1450" s="5" t="s">
        <v>12</v>
      </c>
      <c r="N1450" t="s">
        <v>13</v>
      </c>
      <c r="O1450" t="s">
        <v>20</v>
      </c>
      <c r="P1450" s="1" t="s">
        <v>7</v>
      </c>
      <c r="Q1450" s="5" t="s">
        <v>15</v>
      </c>
      <c r="R1450" s="14" t="s">
        <v>18</v>
      </c>
      <c r="S1450" t="s">
        <v>16</v>
      </c>
      <c r="T1450" s="5" t="s">
        <v>14</v>
      </c>
      <c r="U1450" s="5" t="s">
        <v>17</v>
      </c>
      <c r="V1450" s="5" t="s">
        <v>19</v>
      </c>
      <c r="W1450" s="5"/>
      <c r="X1450" s="5"/>
      <c r="Y1450" s="5"/>
      <c r="Z1450" s="5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</row>
    <row r="1451" spans="1:37" x14ac:dyDescent="0.25">
      <c r="A1451" s="11">
        <f>Table1[[#This Row],[Milk Yield]]-J1447</f>
        <v>25</v>
      </c>
      <c r="B1451" t="s">
        <v>24</v>
      </c>
      <c r="C1451" s="2">
        <v>1</v>
      </c>
      <c r="D1451" s="12">
        <v>45830</v>
      </c>
      <c r="E1451" s="2">
        <v>38</v>
      </c>
      <c r="F1451" s="13">
        <v>0.33718749999999997</v>
      </c>
      <c r="G1451" s="3">
        <v>0.55243055555555554</v>
      </c>
      <c r="H1451" s="1">
        <v>0.21458333333333332</v>
      </c>
      <c r="I1451" s="5">
        <v>789</v>
      </c>
      <c r="J1451">
        <v>10195</v>
      </c>
      <c r="K1451">
        <v>153</v>
      </c>
      <c r="L1451" s="5">
        <v>842</v>
      </c>
      <c r="M1451" s="5">
        <v>788</v>
      </c>
      <c r="N1451">
        <v>80</v>
      </c>
      <c r="O1451">
        <v>708</v>
      </c>
      <c r="P1451" s="1">
        <v>0.24652777777777779</v>
      </c>
      <c r="Q1451" s="5">
        <v>1973</v>
      </c>
      <c r="R1451" s="14">
        <v>13</v>
      </c>
      <c r="S1451">
        <v>153</v>
      </c>
      <c r="T1451" s="5">
        <v>80</v>
      </c>
      <c r="U1451" s="5">
        <v>708</v>
      </c>
      <c r="V1451" s="5">
        <v>0</v>
      </c>
      <c r="W1451" s="5"/>
      <c r="X1451" s="5"/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</row>
    <row r="1452" spans="1:37" x14ac:dyDescent="0.25">
      <c r="A1452" s="11">
        <f>Table1[[#This Row],[Milk Yield]]-J1448</f>
        <v>154</v>
      </c>
      <c r="B1452" t="s">
        <v>24</v>
      </c>
      <c r="C1452" s="2">
        <v>2</v>
      </c>
      <c r="D1452" s="12">
        <v>45830</v>
      </c>
      <c r="E1452" s="2">
        <v>35</v>
      </c>
      <c r="F1452" s="13">
        <v>0.66700231481481487</v>
      </c>
      <c r="G1452" s="3">
        <v>0.86793981481481486</v>
      </c>
      <c r="H1452" s="1">
        <v>0.20069444444444445</v>
      </c>
      <c r="I1452" s="5">
        <v>754</v>
      </c>
      <c r="J1452">
        <v>9456</v>
      </c>
      <c r="K1452">
        <v>156</v>
      </c>
      <c r="L1452" s="5">
        <v>405</v>
      </c>
      <c r="M1452" s="5">
        <v>754</v>
      </c>
      <c r="N1452">
        <v>38</v>
      </c>
      <c r="O1452">
        <v>716</v>
      </c>
      <c r="P1452" s="1">
        <v>0.21597222222222223</v>
      </c>
      <c r="Q1452" s="5">
        <v>1961</v>
      </c>
      <c r="R1452" s="14">
        <v>12.6</v>
      </c>
      <c r="S1452">
        <v>156</v>
      </c>
      <c r="T1452" s="5">
        <v>38</v>
      </c>
      <c r="U1452" s="5">
        <v>716</v>
      </c>
      <c r="V1452" s="5">
        <v>0</v>
      </c>
      <c r="W1452" s="5"/>
      <c r="X1452" s="5"/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</row>
    <row r="1453" spans="1:37" x14ac:dyDescent="0.25">
      <c r="A1453" s="11">
        <f>Table1[[#This Row],[Milk Yield]]-J1449</f>
        <v>-170</v>
      </c>
      <c r="B1453" t="s">
        <v>24</v>
      </c>
      <c r="C1453" s="2">
        <v>3</v>
      </c>
      <c r="D1453" s="12">
        <v>45830</v>
      </c>
      <c r="E1453" s="2">
        <v>35</v>
      </c>
      <c r="F1453" s="13">
        <v>0.99879629629629629</v>
      </c>
      <c r="G1453" s="3">
        <v>0.19074074074074074</v>
      </c>
      <c r="H1453" s="1">
        <v>0.19166666666666668</v>
      </c>
      <c r="I1453" s="5">
        <v>759</v>
      </c>
      <c r="J1453">
        <v>9836</v>
      </c>
      <c r="K1453">
        <v>165</v>
      </c>
      <c r="L1453" s="5">
        <v>152</v>
      </c>
      <c r="M1453" s="5">
        <v>758</v>
      </c>
      <c r="N1453">
        <v>12</v>
      </c>
      <c r="O1453">
        <v>746</v>
      </c>
      <c r="P1453" s="1">
        <v>0.22708333333333333</v>
      </c>
      <c r="Q1453" s="5">
        <v>2135</v>
      </c>
      <c r="R1453" s="14">
        <v>13</v>
      </c>
      <c r="S1453">
        <v>165</v>
      </c>
      <c r="T1453" s="5">
        <v>12</v>
      </c>
      <c r="U1453" s="5">
        <v>746</v>
      </c>
      <c r="V1453" s="5">
        <v>0</v>
      </c>
      <c r="W1453" s="5"/>
      <c r="X1453" s="5"/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</row>
    <row r="1454" spans="1:37" x14ac:dyDescent="0.25">
      <c r="A1454" s="11" t="e">
        <f>Table1[[#This Row],[Milk Yield]]-J1450</f>
        <v>#VALUE!</v>
      </c>
      <c r="B1454" t="s">
        <v>0</v>
      </c>
      <c r="C1454" s="2" t="s">
        <v>1</v>
      </c>
      <c r="D1454" s="12" t="s">
        <v>2</v>
      </c>
      <c r="E1454" s="2" t="s">
        <v>3</v>
      </c>
      <c r="F1454" s="13" t="s">
        <v>4</v>
      </c>
      <c r="G1454" s="3" t="s">
        <v>5</v>
      </c>
      <c r="H1454" s="1" t="s">
        <v>6</v>
      </c>
      <c r="I1454" s="5" t="s">
        <v>8</v>
      </c>
      <c r="J1454" t="s">
        <v>9</v>
      </c>
      <c r="K1454" t="s">
        <v>10</v>
      </c>
      <c r="L1454" s="5" t="s">
        <v>11</v>
      </c>
      <c r="M1454" s="5" t="s">
        <v>12</v>
      </c>
      <c r="N1454" t="s">
        <v>13</v>
      </c>
      <c r="O1454" t="s">
        <v>20</v>
      </c>
      <c r="P1454" s="1" t="s">
        <v>7</v>
      </c>
      <c r="Q1454" s="5" t="s">
        <v>15</v>
      </c>
      <c r="R1454" s="14" t="s">
        <v>18</v>
      </c>
      <c r="S1454" t="s">
        <v>16</v>
      </c>
      <c r="T1454" s="5" t="s">
        <v>14</v>
      </c>
      <c r="U1454" s="5" t="s">
        <v>17</v>
      </c>
      <c r="V1454" s="5" t="s">
        <v>19</v>
      </c>
      <c r="W1454" s="5"/>
      <c r="X1454" s="5"/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</row>
    <row r="1455" spans="1:37" x14ac:dyDescent="0.25">
      <c r="A1455" s="11">
        <f>Table1[[#This Row],[Milk Yield]]-J1451</f>
        <v>-84</v>
      </c>
      <c r="B1455" t="s">
        <v>24</v>
      </c>
      <c r="C1455" s="2">
        <v>1</v>
      </c>
      <c r="D1455" s="12">
        <v>45831</v>
      </c>
      <c r="E1455" s="2">
        <v>33</v>
      </c>
      <c r="F1455" s="13">
        <v>0.3384375</v>
      </c>
      <c r="G1455" s="3">
        <v>0.53437500000000004</v>
      </c>
      <c r="H1455" s="1">
        <v>0.19583333333333333</v>
      </c>
      <c r="I1455" s="5">
        <v>744</v>
      </c>
      <c r="J1455">
        <v>10111</v>
      </c>
      <c r="K1455">
        <v>158</v>
      </c>
      <c r="L1455" s="5">
        <v>126</v>
      </c>
      <c r="M1455" s="5">
        <v>744</v>
      </c>
      <c r="N1455">
        <v>13</v>
      </c>
      <c r="O1455">
        <v>731</v>
      </c>
      <c r="P1455" s="1">
        <v>0.22638888888888889</v>
      </c>
      <c r="Q1455" s="5">
        <v>2150</v>
      </c>
      <c r="R1455" s="14">
        <v>13.6</v>
      </c>
      <c r="S1455">
        <v>158</v>
      </c>
      <c r="T1455" s="5">
        <v>13</v>
      </c>
      <c r="U1455" s="5">
        <v>731</v>
      </c>
      <c r="V1455" s="5">
        <v>0</v>
      </c>
      <c r="W1455" s="5"/>
      <c r="X1455" s="5"/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</row>
    <row r="1456" spans="1:37" x14ac:dyDescent="0.25">
      <c r="A1456" s="11">
        <f>Table1[[#This Row],[Milk Yield]]-J1452</f>
        <v>40</v>
      </c>
      <c r="B1456" t="s">
        <v>24</v>
      </c>
      <c r="C1456" s="2">
        <v>2</v>
      </c>
      <c r="D1456" s="12">
        <v>45831</v>
      </c>
      <c r="E1456" s="2">
        <v>33</v>
      </c>
      <c r="F1456" s="13">
        <v>0.66700231481481487</v>
      </c>
      <c r="G1456" s="3">
        <v>0.84349537037037037</v>
      </c>
      <c r="H1456" s="1">
        <v>0.1763888888888889</v>
      </c>
      <c r="I1456" s="5">
        <v>716</v>
      </c>
      <c r="J1456">
        <v>9496</v>
      </c>
      <c r="K1456">
        <v>169</v>
      </c>
      <c r="L1456" s="5">
        <v>1309</v>
      </c>
      <c r="M1456" s="5">
        <v>716</v>
      </c>
      <c r="N1456">
        <v>88</v>
      </c>
      <c r="O1456">
        <v>628</v>
      </c>
      <c r="P1456" s="1">
        <v>0.22916666666666666</v>
      </c>
      <c r="Q1456" s="5">
        <v>2242</v>
      </c>
      <c r="R1456" s="14">
        <v>13.3</v>
      </c>
      <c r="S1456">
        <v>169</v>
      </c>
      <c r="T1456" s="5">
        <v>88</v>
      </c>
      <c r="U1456" s="5">
        <v>628</v>
      </c>
      <c r="V1456" s="5">
        <v>0</v>
      </c>
      <c r="W1456" s="5"/>
      <c r="X1456" s="5"/>
      <c r="Y1456" s="5"/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</row>
    <row r="1457" spans="1:37" x14ac:dyDescent="0.25">
      <c r="A1457" s="11">
        <f>Table1[[#This Row],[Milk Yield]]-J1453</f>
        <v>409</v>
      </c>
      <c r="B1457" t="s">
        <v>24</v>
      </c>
      <c r="C1457" s="2">
        <v>3</v>
      </c>
      <c r="D1457" s="12">
        <v>45831</v>
      </c>
      <c r="E1457" s="2">
        <v>33</v>
      </c>
      <c r="F1457" s="13">
        <v>0.99668981481481478</v>
      </c>
      <c r="G1457" s="3">
        <v>0.19896990740740741</v>
      </c>
      <c r="H1457" s="1">
        <v>0.20208333333333334</v>
      </c>
      <c r="I1457" s="5">
        <v>760</v>
      </c>
      <c r="J1457">
        <v>10245</v>
      </c>
      <c r="K1457">
        <v>157</v>
      </c>
      <c r="L1457" s="5">
        <v>149</v>
      </c>
      <c r="M1457" s="5">
        <v>757</v>
      </c>
      <c r="N1457">
        <v>13</v>
      </c>
      <c r="O1457">
        <v>744</v>
      </c>
      <c r="P1457" s="1">
        <v>0.23194444444444445</v>
      </c>
      <c r="Q1457" s="5">
        <v>2110</v>
      </c>
      <c r="R1457" s="14">
        <v>13.6</v>
      </c>
      <c r="S1457">
        <v>156</v>
      </c>
      <c r="T1457" s="5">
        <v>13</v>
      </c>
      <c r="U1457" s="5">
        <v>744</v>
      </c>
      <c r="V1457" s="5">
        <v>0</v>
      </c>
      <c r="W1457" s="5"/>
      <c r="X1457" s="5"/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</row>
    <row r="1458" spans="1:37" x14ac:dyDescent="0.25">
      <c r="A1458" s="11" t="e">
        <f>Table1[[#This Row],[Milk Yield]]-J1454</f>
        <v>#VALUE!</v>
      </c>
      <c r="B1458" t="s">
        <v>0</v>
      </c>
      <c r="C1458" s="2" t="s">
        <v>1</v>
      </c>
      <c r="D1458" s="12" t="s">
        <v>2</v>
      </c>
      <c r="E1458" s="2" t="s">
        <v>3</v>
      </c>
      <c r="F1458" s="13" t="s">
        <v>4</v>
      </c>
      <c r="G1458" s="3" t="s">
        <v>5</v>
      </c>
      <c r="H1458" s="1" t="s">
        <v>6</v>
      </c>
      <c r="I1458" s="5" t="s">
        <v>8</v>
      </c>
      <c r="J1458" t="s">
        <v>9</v>
      </c>
      <c r="K1458" t="s">
        <v>10</v>
      </c>
      <c r="L1458" s="5" t="s">
        <v>11</v>
      </c>
      <c r="M1458" s="5" t="s">
        <v>12</v>
      </c>
      <c r="N1458" t="s">
        <v>13</v>
      </c>
      <c r="O1458" t="s">
        <v>20</v>
      </c>
      <c r="P1458" s="1" t="s">
        <v>7</v>
      </c>
      <c r="Q1458" s="5" t="s">
        <v>15</v>
      </c>
      <c r="R1458" s="14" t="s">
        <v>18</v>
      </c>
      <c r="S1458" t="s">
        <v>16</v>
      </c>
      <c r="T1458" s="5" t="s">
        <v>14</v>
      </c>
      <c r="U1458" s="5" t="s">
        <v>17</v>
      </c>
      <c r="V1458" s="5" t="s">
        <v>19</v>
      </c>
      <c r="W1458" s="5"/>
      <c r="X1458" s="5"/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</row>
    <row r="1459" spans="1:37" x14ac:dyDescent="0.25">
      <c r="A1459" s="11">
        <f>Table1[[#This Row],[Milk Yield]]-J1455</f>
        <v>91</v>
      </c>
      <c r="B1459" t="s">
        <v>24</v>
      </c>
      <c r="C1459" s="2">
        <v>1</v>
      </c>
      <c r="D1459" s="12">
        <v>45832</v>
      </c>
      <c r="E1459" s="2">
        <v>34</v>
      </c>
      <c r="F1459" s="13">
        <v>0.33818287037037037</v>
      </c>
      <c r="G1459" s="3">
        <v>0.54920138888888892</v>
      </c>
      <c r="H1459" s="1">
        <v>0.21041666666666667</v>
      </c>
      <c r="I1459" s="5">
        <v>747</v>
      </c>
      <c r="J1459">
        <v>10202</v>
      </c>
      <c r="K1459">
        <v>147</v>
      </c>
      <c r="L1459" s="5">
        <v>984</v>
      </c>
      <c r="M1459" s="5">
        <v>745</v>
      </c>
      <c r="N1459">
        <v>75</v>
      </c>
      <c r="O1459">
        <v>670</v>
      </c>
      <c r="P1459" s="1">
        <v>0.26458333333333334</v>
      </c>
      <c r="Q1459" s="5">
        <v>2014</v>
      </c>
      <c r="R1459" s="14">
        <v>13.7</v>
      </c>
      <c r="S1459">
        <v>147</v>
      </c>
      <c r="T1459" s="5">
        <v>75</v>
      </c>
      <c r="U1459" s="5">
        <v>670</v>
      </c>
      <c r="V1459" s="5">
        <v>0</v>
      </c>
      <c r="W1459" s="5"/>
      <c r="X1459" s="5"/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</row>
    <row r="1460" spans="1:37" x14ac:dyDescent="0.25">
      <c r="A1460" s="11">
        <f>Table1[[#This Row],[Milk Yield]]-J1456</f>
        <v>-81</v>
      </c>
      <c r="B1460" t="s">
        <v>24</v>
      </c>
      <c r="C1460" s="2">
        <v>2</v>
      </c>
      <c r="D1460" s="12">
        <v>45832</v>
      </c>
      <c r="E1460" s="2">
        <v>38</v>
      </c>
      <c r="F1460" s="13">
        <v>0.6685416666666667</v>
      </c>
      <c r="G1460" s="3">
        <v>0.87285879629629626</v>
      </c>
      <c r="H1460" s="1">
        <v>0.20416666666666666</v>
      </c>
      <c r="I1460" s="5">
        <v>784</v>
      </c>
      <c r="J1460">
        <v>9415</v>
      </c>
      <c r="K1460">
        <v>160</v>
      </c>
      <c r="L1460" s="5">
        <v>737</v>
      </c>
      <c r="M1460" s="5">
        <v>784</v>
      </c>
      <c r="N1460">
        <v>69</v>
      </c>
      <c r="O1460">
        <v>715</v>
      </c>
      <c r="P1460" s="1">
        <v>0.22222222222222221</v>
      </c>
      <c r="Q1460" s="5">
        <v>1920</v>
      </c>
      <c r="R1460" s="14">
        <v>12.1</v>
      </c>
      <c r="S1460">
        <v>160</v>
      </c>
      <c r="T1460" s="5">
        <v>69</v>
      </c>
      <c r="U1460" s="5">
        <v>715</v>
      </c>
      <c r="V1460" s="5">
        <v>0</v>
      </c>
      <c r="W1460" s="5"/>
      <c r="X1460" s="5"/>
      <c r="Y1460" s="5"/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</row>
    <row r="1461" spans="1:37" x14ac:dyDescent="0.25">
      <c r="A1461" s="11">
        <f>Table1[[#This Row],[Milk Yield]]-J1457</f>
        <v>177</v>
      </c>
      <c r="B1461" t="s">
        <v>24</v>
      </c>
      <c r="C1461" s="2">
        <v>3</v>
      </c>
      <c r="D1461" s="12">
        <v>45832</v>
      </c>
      <c r="E1461" s="2">
        <v>36</v>
      </c>
      <c r="F1461" s="13">
        <v>5.6481481481481478E-3</v>
      </c>
      <c r="G1461" s="3">
        <v>0.23468749999999999</v>
      </c>
      <c r="H1461" s="1">
        <v>0.22847222222222222</v>
      </c>
      <c r="I1461" s="5">
        <v>752</v>
      </c>
      <c r="J1461">
        <v>10422</v>
      </c>
      <c r="K1461">
        <v>137</v>
      </c>
      <c r="L1461" s="5">
        <v>1236</v>
      </c>
      <c r="M1461" s="5">
        <v>751</v>
      </c>
      <c r="N1461">
        <v>100</v>
      </c>
      <c r="O1461">
        <v>651</v>
      </c>
      <c r="P1461" s="1">
        <v>0.24305555555555555</v>
      </c>
      <c r="Q1461" s="5">
        <v>1896</v>
      </c>
      <c r="R1461" s="14">
        <v>13.9</v>
      </c>
      <c r="S1461">
        <v>137</v>
      </c>
      <c r="T1461" s="5">
        <v>100</v>
      </c>
      <c r="U1461" s="5">
        <v>651</v>
      </c>
      <c r="V1461" s="5">
        <v>0</v>
      </c>
      <c r="W1461" s="5"/>
      <c r="X1461" s="5"/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</row>
    <row r="1462" spans="1:37" x14ac:dyDescent="0.25">
      <c r="A1462" s="11" t="e">
        <f>Table1[[#This Row],[Milk Yield]]-J1458</f>
        <v>#VALUE!</v>
      </c>
      <c r="B1462" t="s">
        <v>0</v>
      </c>
      <c r="C1462" s="2" t="s">
        <v>1</v>
      </c>
      <c r="D1462" s="12" t="s">
        <v>2</v>
      </c>
      <c r="E1462" s="2" t="s">
        <v>3</v>
      </c>
      <c r="F1462" s="13" t="s">
        <v>4</v>
      </c>
      <c r="G1462" s="3" t="s">
        <v>5</v>
      </c>
      <c r="H1462" s="1" t="s">
        <v>6</v>
      </c>
      <c r="I1462" s="5" t="s">
        <v>8</v>
      </c>
      <c r="J1462" t="s">
        <v>9</v>
      </c>
      <c r="K1462" t="s">
        <v>10</v>
      </c>
      <c r="L1462" s="5" t="s">
        <v>11</v>
      </c>
      <c r="M1462" s="5" t="s">
        <v>12</v>
      </c>
      <c r="N1462" t="s">
        <v>13</v>
      </c>
      <c r="O1462" t="s">
        <v>20</v>
      </c>
      <c r="P1462" s="1" t="s">
        <v>7</v>
      </c>
      <c r="Q1462" s="5" t="s">
        <v>15</v>
      </c>
      <c r="R1462" s="14" t="s">
        <v>18</v>
      </c>
      <c r="S1462" t="s">
        <v>16</v>
      </c>
      <c r="T1462" s="5" t="s">
        <v>14</v>
      </c>
      <c r="U1462" s="5" t="s">
        <v>17</v>
      </c>
      <c r="V1462" s="5" t="s">
        <v>19</v>
      </c>
      <c r="W1462" s="5"/>
      <c r="X1462" s="5"/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</row>
    <row r="1463" spans="1:37" x14ac:dyDescent="0.25">
      <c r="A1463" s="11">
        <f>Table1[[#This Row],[Milk Yield]]-J1459</f>
        <v>-460</v>
      </c>
      <c r="B1463" t="s">
        <v>24</v>
      </c>
      <c r="C1463" s="2">
        <v>1</v>
      </c>
      <c r="D1463" s="12">
        <v>45833</v>
      </c>
      <c r="E1463" s="2">
        <v>35</v>
      </c>
      <c r="F1463" s="13">
        <v>0.33460648148148148</v>
      </c>
      <c r="G1463" s="3">
        <v>0.54869212962962965</v>
      </c>
      <c r="H1463" s="1">
        <v>0.21388888888888888</v>
      </c>
      <c r="I1463" s="5">
        <v>763</v>
      </c>
      <c r="J1463">
        <v>9742</v>
      </c>
      <c r="K1463">
        <v>148</v>
      </c>
      <c r="L1463" s="5">
        <v>552</v>
      </c>
      <c r="M1463" s="5">
        <v>762</v>
      </c>
      <c r="N1463">
        <v>58</v>
      </c>
      <c r="O1463">
        <v>704</v>
      </c>
      <c r="P1463" s="1">
        <v>0.23680555555555555</v>
      </c>
      <c r="Q1463" s="5">
        <v>1896</v>
      </c>
      <c r="R1463" s="14">
        <v>12.8</v>
      </c>
      <c r="S1463">
        <v>148</v>
      </c>
      <c r="T1463" s="5">
        <v>58</v>
      </c>
      <c r="U1463" s="5">
        <v>704</v>
      </c>
      <c r="V1463" s="5">
        <v>0</v>
      </c>
      <c r="W1463" s="5"/>
      <c r="X1463" s="5"/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</row>
    <row r="1464" spans="1:37" x14ac:dyDescent="0.25">
      <c r="A1464" s="11">
        <f>Table1[[#This Row],[Milk Yield]]-J1460</f>
        <v>-441</v>
      </c>
      <c r="B1464" t="s">
        <v>24</v>
      </c>
      <c r="C1464" s="2">
        <v>2</v>
      </c>
      <c r="D1464" s="12">
        <v>45833</v>
      </c>
      <c r="E1464" s="2">
        <v>34</v>
      </c>
      <c r="F1464" s="13">
        <v>0.66969907407407403</v>
      </c>
      <c r="G1464" s="3">
        <v>0.86858796296296292</v>
      </c>
      <c r="H1464" s="1">
        <v>0.1986111111111111</v>
      </c>
      <c r="I1464" s="5">
        <v>782</v>
      </c>
      <c r="J1464">
        <v>8974</v>
      </c>
      <c r="K1464">
        <v>164</v>
      </c>
      <c r="L1464" s="5">
        <v>349</v>
      </c>
      <c r="M1464" s="5">
        <v>782</v>
      </c>
      <c r="N1464">
        <v>54</v>
      </c>
      <c r="O1464">
        <v>728</v>
      </c>
      <c r="P1464" s="1">
        <v>0.22291666666666668</v>
      </c>
      <c r="Q1464" s="5">
        <v>1880</v>
      </c>
      <c r="R1464" s="14">
        <v>11.5</v>
      </c>
      <c r="S1464">
        <v>164</v>
      </c>
      <c r="T1464" s="5">
        <v>54</v>
      </c>
      <c r="U1464" s="5">
        <v>728</v>
      </c>
      <c r="V1464" s="5">
        <v>0</v>
      </c>
      <c r="W1464" s="5"/>
      <c r="X1464" s="5"/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</row>
    <row r="1465" spans="1:37" x14ac:dyDescent="0.25">
      <c r="A1465" s="11">
        <f>Table1[[#This Row],[Milk Yield]]-J1461</f>
        <v>340</v>
      </c>
      <c r="B1465" t="s">
        <v>24</v>
      </c>
      <c r="C1465" s="2">
        <v>3</v>
      </c>
      <c r="D1465" s="12">
        <v>45833</v>
      </c>
      <c r="E1465" s="2">
        <v>34</v>
      </c>
      <c r="F1465" s="13">
        <v>0.99959490740740742</v>
      </c>
      <c r="G1465" s="3">
        <v>0.21228009259259259</v>
      </c>
      <c r="H1465" s="1">
        <v>0.21249999999999999</v>
      </c>
      <c r="I1465" s="5">
        <v>722</v>
      </c>
      <c r="J1465">
        <v>10762</v>
      </c>
      <c r="K1465">
        <v>141</v>
      </c>
      <c r="L1465" s="5">
        <v>831</v>
      </c>
      <c r="M1465" s="5">
        <v>720</v>
      </c>
      <c r="N1465">
        <v>52</v>
      </c>
      <c r="O1465">
        <v>668</v>
      </c>
      <c r="P1465" s="1">
        <v>0.24236111111111111</v>
      </c>
      <c r="Q1465" s="5">
        <v>2108</v>
      </c>
      <c r="R1465" s="14">
        <v>15</v>
      </c>
      <c r="S1465">
        <v>141</v>
      </c>
      <c r="T1465" s="5">
        <v>52</v>
      </c>
      <c r="U1465" s="5">
        <v>668</v>
      </c>
      <c r="V1465" s="5">
        <v>0</v>
      </c>
      <c r="W1465" s="5"/>
      <c r="X1465" s="5"/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</row>
    <row r="1466" spans="1:37" x14ac:dyDescent="0.25">
      <c r="A1466" s="11" t="e">
        <f>Table1[[#This Row],[Milk Yield]]-J1462</f>
        <v>#VALUE!</v>
      </c>
      <c r="B1466" t="s">
        <v>0</v>
      </c>
      <c r="C1466" s="2" t="s">
        <v>1</v>
      </c>
      <c r="D1466" s="12" t="s">
        <v>2</v>
      </c>
      <c r="E1466" s="2" t="s">
        <v>3</v>
      </c>
      <c r="F1466" s="13" t="s">
        <v>4</v>
      </c>
      <c r="G1466" s="3" t="s">
        <v>5</v>
      </c>
      <c r="H1466" s="1" t="s">
        <v>6</v>
      </c>
      <c r="I1466" s="5" t="s">
        <v>8</v>
      </c>
      <c r="J1466" t="s">
        <v>9</v>
      </c>
      <c r="K1466" t="s">
        <v>10</v>
      </c>
      <c r="L1466" s="5" t="s">
        <v>11</v>
      </c>
      <c r="M1466" s="5" t="s">
        <v>12</v>
      </c>
      <c r="N1466" t="s">
        <v>13</v>
      </c>
      <c r="O1466" t="s">
        <v>20</v>
      </c>
      <c r="P1466" s="1" t="s">
        <v>7</v>
      </c>
      <c r="Q1466" s="5" t="s">
        <v>15</v>
      </c>
      <c r="R1466" s="14" t="s">
        <v>18</v>
      </c>
      <c r="S1466" t="s">
        <v>16</v>
      </c>
      <c r="T1466" s="5" t="s">
        <v>14</v>
      </c>
      <c r="U1466" s="5" t="s">
        <v>17</v>
      </c>
      <c r="V1466" s="5" t="s">
        <v>19</v>
      </c>
      <c r="W1466" s="5"/>
      <c r="X1466" s="5"/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</row>
    <row r="1467" spans="1:37" x14ac:dyDescent="0.25">
      <c r="A1467" s="11">
        <f>Table1[[#This Row],[Milk Yield]]-J1463</f>
        <v>429</v>
      </c>
      <c r="B1467" t="s">
        <v>24</v>
      </c>
      <c r="C1467" s="2">
        <v>1</v>
      </c>
      <c r="D1467" s="12">
        <v>45834</v>
      </c>
      <c r="E1467" s="2">
        <v>35</v>
      </c>
      <c r="F1467" s="13">
        <v>0.33724537037037039</v>
      </c>
      <c r="G1467" s="3">
        <v>0.54969907407407403</v>
      </c>
      <c r="H1467" s="1">
        <v>0.21180555555555555</v>
      </c>
      <c r="I1467" s="5">
        <v>762</v>
      </c>
      <c r="J1467">
        <v>10171</v>
      </c>
      <c r="K1467">
        <v>149</v>
      </c>
      <c r="L1467" s="5">
        <v>677</v>
      </c>
      <c r="M1467" s="5">
        <v>761</v>
      </c>
      <c r="N1467">
        <v>54</v>
      </c>
      <c r="O1467">
        <v>707</v>
      </c>
      <c r="P1467" s="1">
        <v>0.23819444444444443</v>
      </c>
      <c r="Q1467" s="5">
        <v>1995</v>
      </c>
      <c r="R1467" s="14">
        <v>13.4</v>
      </c>
      <c r="S1467">
        <v>149</v>
      </c>
      <c r="T1467" s="5">
        <v>54</v>
      </c>
      <c r="U1467" s="5">
        <v>707</v>
      </c>
      <c r="V1467" s="5">
        <v>0</v>
      </c>
      <c r="W1467" s="5"/>
      <c r="X1467" s="5"/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</row>
    <row r="1468" spans="1:37" x14ac:dyDescent="0.25">
      <c r="A1468" s="11">
        <f>Table1[[#This Row],[Milk Yield]]-J1464</f>
        <v>448</v>
      </c>
      <c r="B1468" t="s">
        <v>24</v>
      </c>
      <c r="C1468" s="2">
        <v>2</v>
      </c>
      <c r="D1468" s="12">
        <v>45834</v>
      </c>
      <c r="E1468" s="2">
        <v>37</v>
      </c>
      <c r="F1468" s="13">
        <v>0.66800925925925925</v>
      </c>
      <c r="G1468" s="3">
        <v>0.87468749999999995</v>
      </c>
      <c r="H1468" s="1">
        <v>0.20624999999999999</v>
      </c>
      <c r="I1468" s="5">
        <v>817</v>
      </c>
      <c r="J1468">
        <v>9422</v>
      </c>
      <c r="K1468">
        <v>165</v>
      </c>
      <c r="L1468" s="5">
        <v>1489</v>
      </c>
      <c r="M1468" s="5">
        <v>817</v>
      </c>
      <c r="N1468">
        <v>132</v>
      </c>
      <c r="O1468">
        <v>685</v>
      </c>
      <c r="P1468" s="1">
        <v>0.22569444444444445</v>
      </c>
      <c r="Q1468" s="5">
        <v>1899</v>
      </c>
      <c r="R1468" s="14">
        <v>11.6</v>
      </c>
      <c r="S1468">
        <v>165</v>
      </c>
      <c r="T1468" s="5">
        <v>132</v>
      </c>
      <c r="U1468" s="5">
        <v>685</v>
      </c>
      <c r="V1468" s="5">
        <v>0</v>
      </c>
      <c r="W1468" s="5"/>
      <c r="X1468" s="5"/>
      <c r="Y1468" s="5"/>
      <c r="Z1468" s="5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</row>
    <row r="1469" spans="1:37" x14ac:dyDescent="0.25">
      <c r="A1469" s="11">
        <f>Table1[[#This Row],[Milk Yield]]-J1465</f>
        <v>-488</v>
      </c>
      <c r="B1469" t="s">
        <v>24</v>
      </c>
      <c r="C1469" s="2">
        <v>3</v>
      </c>
      <c r="D1469" s="12">
        <v>45834</v>
      </c>
      <c r="E1469" s="2">
        <v>35</v>
      </c>
      <c r="F1469" s="13">
        <v>8.2175925925925927E-4</v>
      </c>
      <c r="G1469" s="3">
        <v>0.23618055555555556</v>
      </c>
      <c r="H1469" s="1">
        <v>0.23472222222222222</v>
      </c>
      <c r="I1469" s="5">
        <v>779</v>
      </c>
      <c r="J1469">
        <v>10274</v>
      </c>
      <c r="K1469">
        <v>138</v>
      </c>
      <c r="L1469" s="5">
        <v>1185</v>
      </c>
      <c r="M1469" s="5">
        <v>777</v>
      </c>
      <c r="N1469">
        <v>93</v>
      </c>
      <c r="O1469">
        <v>684</v>
      </c>
      <c r="P1469" s="1">
        <v>0.25347222222222221</v>
      </c>
      <c r="Q1469" s="5">
        <v>1819</v>
      </c>
      <c r="R1469" s="14">
        <v>13.3</v>
      </c>
      <c r="S1469">
        <v>138</v>
      </c>
      <c r="T1469" s="5">
        <v>93</v>
      </c>
      <c r="U1469" s="5">
        <v>684</v>
      </c>
      <c r="V1469" s="5">
        <v>0</v>
      </c>
      <c r="W1469" s="5"/>
      <c r="X1469" s="5"/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</row>
    <row r="1470" spans="1:37" x14ac:dyDescent="0.25">
      <c r="A1470" s="11" t="e">
        <f>Table1[[#This Row],[Milk Yield]]-J1466</f>
        <v>#VALUE!</v>
      </c>
      <c r="B1470" t="s">
        <v>0</v>
      </c>
      <c r="C1470" s="2" t="s">
        <v>1</v>
      </c>
      <c r="D1470" s="12" t="s">
        <v>2</v>
      </c>
      <c r="E1470" s="2" t="s">
        <v>3</v>
      </c>
      <c r="F1470" s="13" t="s">
        <v>4</v>
      </c>
      <c r="G1470" s="3" t="s">
        <v>5</v>
      </c>
      <c r="H1470" s="1" t="s">
        <v>6</v>
      </c>
      <c r="I1470" s="5" t="s">
        <v>8</v>
      </c>
      <c r="J1470" t="s">
        <v>9</v>
      </c>
      <c r="K1470" t="s">
        <v>10</v>
      </c>
      <c r="L1470" s="5" t="s">
        <v>11</v>
      </c>
      <c r="M1470" s="5" t="s">
        <v>12</v>
      </c>
      <c r="N1470" t="s">
        <v>13</v>
      </c>
      <c r="O1470" t="s">
        <v>20</v>
      </c>
      <c r="P1470" s="1" t="s">
        <v>7</v>
      </c>
      <c r="Q1470" s="5" t="s">
        <v>15</v>
      </c>
      <c r="R1470" s="14" t="s">
        <v>18</v>
      </c>
      <c r="S1470" t="s">
        <v>16</v>
      </c>
      <c r="T1470" s="5" t="s">
        <v>14</v>
      </c>
      <c r="U1470" s="5" t="s">
        <v>17</v>
      </c>
      <c r="V1470" s="5" t="s">
        <v>19</v>
      </c>
      <c r="W1470" s="5"/>
      <c r="X1470" s="5"/>
      <c r="Y1470" s="5"/>
      <c r="Z1470" s="5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5"/>
    </row>
    <row r="1471" spans="1:37" x14ac:dyDescent="0.25">
      <c r="A1471" s="11">
        <f>Table1[[#This Row],[Milk Yield]]-J1467</f>
        <v>-668</v>
      </c>
      <c r="B1471" t="s">
        <v>24</v>
      </c>
      <c r="C1471" s="2">
        <v>1</v>
      </c>
      <c r="D1471" s="12">
        <v>45835</v>
      </c>
      <c r="E1471" s="2">
        <v>36</v>
      </c>
      <c r="F1471" s="13">
        <v>0.33527777777777779</v>
      </c>
      <c r="G1471" s="3">
        <v>0.55737268518518523</v>
      </c>
      <c r="H1471" s="1">
        <v>0.22152777777777777</v>
      </c>
      <c r="I1471" s="5">
        <v>764</v>
      </c>
      <c r="J1471">
        <v>9503</v>
      </c>
      <c r="K1471">
        <v>143</v>
      </c>
      <c r="L1471" s="5">
        <v>118</v>
      </c>
      <c r="M1471" s="5">
        <v>763</v>
      </c>
      <c r="N1471">
        <v>10</v>
      </c>
      <c r="O1471">
        <v>753</v>
      </c>
      <c r="P1471" s="1">
        <v>0.22430555555555556</v>
      </c>
      <c r="Q1471" s="5">
        <v>1783</v>
      </c>
      <c r="R1471" s="14">
        <v>12.5</v>
      </c>
      <c r="S1471">
        <v>143</v>
      </c>
      <c r="T1471" s="5">
        <v>10</v>
      </c>
      <c r="U1471" s="5">
        <v>753</v>
      </c>
      <c r="V1471" s="5">
        <v>0</v>
      </c>
      <c r="W1471" s="5"/>
      <c r="X1471" s="5"/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</row>
    <row r="1472" spans="1:37" x14ac:dyDescent="0.25">
      <c r="A1472" s="11">
        <f>Table1[[#This Row],[Milk Yield]]-J1468</f>
        <v>257</v>
      </c>
      <c r="B1472" t="s">
        <v>24</v>
      </c>
      <c r="C1472" s="2">
        <v>2</v>
      </c>
      <c r="D1472" s="12">
        <v>45835</v>
      </c>
      <c r="E1472" s="2">
        <v>34</v>
      </c>
      <c r="F1472" s="13">
        <v>0.66842592592592598</v>
      </c>
      <c r="G1472" s="3">
        <v>0.8653819444444445</v>
      </c>
      <c r="H1472" s="1">
        <v>0.19652777777777777</v>
      </c>
      <c r="I1472" s="5">
        <v>766</v>
      </c>
      <c r="J1472">
        <v>9679</v>
      </c>
      <c r="K1472">
        <v>162</v>
      </c>
      <c r="L1472" s="5">
        <v>728</v>
      </c>
      <c r="M1472" s="5">
        <v>766</v>
      </c>
      <c r="N1472">
        <v>45</v>
      </c>
      <c r="O1472">
        <v>721</v>
      </c>
      <c r="P1472" s="1">
        <v>0.2326388888888889</v>
      </c>
      <c r="Q1472" s="5">
        <v>2048</v>
      </c>
      <c r="R1472" s="14">
        <v>12.7</v>
      </c>
      <c r="S1472">
        <v>162</v>
      </c>
      <c r="T1472" s="5">
        <v>45</v>
      </c>
      <c r="U1472" s="5">
        <v>721</v>
      </c>
      <c r="V1472" s="5">
        <v>0</v>
      </c>
      <c r="W1472" s="5"/>
      <c r="X1472" s="5"/>
      <c r="Y1472" s="5"/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</row>
    <row r="1473" spans="1:37" x14ac:dyDescent="0.25">
      <c r="A1473" s="11">
        <f>Table1[[#This Row],[Milk Yield]]-J1469</f>
        <v>-219</v>
      </c>
      <c r="B1473" t="s">
        <v>24</v>
      </c>
      <c r="C1473" s="2">
        <v>3</v>
      </c>
      <c r="D1473" s="12">
        <v>45835</v>
      </c>
      <c r="E1473" s="2">
        <v>34</v>
      </c>
      <c r="F1473" s="13">
        <v>0.99600694444444449</v>
      </c>
      <c r="G1473" s="3">
        <v>0.19628472222222224</v>
      </c>
      <c r="H1473" s="1">
        <v>0.2</v>
      </c>
      <c r="I1473" s="5">
        <v>747</v>
      </c>
      <c r="J1473">
        <v>10055</v>
      </c>
      <c r="K1473">
        <v>155</v>
      </c>
      <c r="L1473" s="5">
        <v>1280</v>
      </c>
      <c r="M1473" s="5">
        <v>745</v>
      </c>
      <c r="N1473">
        <v>74</v>
      </c>
      <c r="O1473">
        <v>671</v>
      </c>
      <c r="P1473" s="1">
        <v>0.24097222222222223</v>
      </c>
      <c r="Q1473" s="5">
        <v>2092</v>
      </c>
      <c r="R1473" s="14">
        <v>13.5</v>
      </c>
      <c r="S1473">
        <v>155</v>
      </c>
      <c r="T1473" s="5">
        <v>74</v>
      </c>
      <c r="U1473" s="5">
        <v>671</v>
      </c>
      <c r="V1473" s="5">
        <v>0</v>
      </c>
      <c r="W1473" s="5"/>
      <c r="X1473" s="5"/>
      <c r="Y1473" s="5"/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</row>
    <row r="1474" spans="1:37" x14ac:dyDescent="0.25">
      <c r="A1474" s="11" t="e">
        <f>Table1[[#This Row],[Milk Yield]]-J1470</f>
        <v>#VALUE!</v>
      </c>
      <c r="B1474" t="s">
        <v>0</v>
      </c>
      <c r="C1474" s="2" t="s">
        <v>1</v>
      </c>
      <c r="D1474" s="12" t="s">
        <v>2</v>
      </c>
      <c r="E1474" s="2" t="s">
        <v>3</v>
      </c>
      <c r="F1474" s="13" t="s">
        <v>4</v>
      </c>
      <c r="G1474" s="3" t="s">
        <v>5</v>
      </c>
      <c r="H1474" s="1" t="s">
        <v>6</v>
      </c>
      <c r="I1474" s="5" t="s">
        <v>8</v>
      </c>
      <c r="J1474" t="s">
        <v>9</v>
      </c>
      <c r="K1474" t="s">
        <v>10</v>
      </c>
      <c r="L1474" s="5" t="s">
        <v>11</v>
      </c>
      <c r="M1474" s="5" t="s">
        <v>12</v>
      </c>
      <c r="N1474" t="s">
        <v>13</v>
      </c>
      <c r="O1474" t="s">
        <v>20</v>
      </c>
      <c r="P1474" s="1" t="s">
        <v>7</v>
      </c>
      <c r="Q1474" s="5" t="s">
        <v>15</v>
      </c>
      <c r="R1474" s="14" t="s">
        <v>18</v>
      </c>
      <c r="S1474" t="s">
        <v>16</v>
      </c>
      <c r="T1474" s="5" t="s">
        <v>14</v>
      </c>
      <c r="U1474" s="5" t="s">
        <v>17</v>
      </c>
      <c r="V1474" s="5" t="s">
        <v>19</v>
      </c>
      <c r="W1474" s="5"/>
      <c r="X1474" s="5"/>
      <c r="Y1474" s="5"/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</row>
    <row r="1475" spans="1:37" x14ac:dyDescent="0.25">
      <c r="A1475" s="11">
        <f>Table1[[#This Row],[Milk Yield]]-J1471</f>
        <v>851</v>
      </c>
      <c r="B1475" t="s">
        <v>24</v>
      </c>
      <c r="C1475" s="2">
        <v>1</v>
      </c>
      <c r="D1475" s="12">
        <v>45836</v>
      </c>
      <c r="E1475" s="2">
        <v>33</v>
      </c>
      <c r="F1475" s="13">
        <v>0.33473379629629629</v>
      </c>
      <c r="G1475" s="3">
        <v>0.53106481481481482</v>
      </c>
      <c r="H1475" s="1">
        <v>0.19583333333333333</v>
      </c>
      <c r="I1475" s="5">
        <v>732</v>
      </c>
      <c r="J1475">
        <v>10354</v>
      </c>
      <c r="K1475">
        <v>155</v>
      </c>
      <c r="L1475" s="5">
        <v>2419</v>
      </c>
      <c r="M1475" s="5">
        <v>731</v>
      </c>
      <c r="N1475">
        <v>139</v>
      </c>
      <c r="O1475">
        <v>592</v>
      </c>
      <c r="P1475" s="1">
        <v>0.2638888888888889</v>
      </c>
      <c r="Q1475" s="5">
        <v>2197</v>
      </c>
      <c r="R1475" s="14">
        <v>14.2</v>
      </c>
      <c r="S1475">
        <v>155</v>
      </c>
      <c r="T1475" s="5">
        <v>139</v>
      </c>
      <c r="U1475" s="5">
        <v>592</v>
      </c>
      <c r="V1475" s="5">
        <v>0</v>
      </c>
      <c r="W1475" s="5"/>
      <c r="X1475" s="5"/>
      <c r="Y1475" s="5"/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</row>
    <row r="1476" spans="1:37" x14ac:dyDescent="0.25">
      <c r="A1476" s="11">
        <f>Table1[[#This Row],[Milk Yield]]-J1472</f>
        <v>361</v>
      </c>
      <c r="B1476" t="s">
        <v>24</v>
      </c>
      <c r="C1476" s="2">
        <v>2</v>
      </c>
      <c r="D1476" s="12">
        <v>45836</v>
      </c>
      <c r="E1476" s="2">
        <v>34</v>
      </c>
      <c r="F1476" s="13">
        <v>0.67354166666666671</v>
      </c>
      <c r="G1476" s="3">
        <v>0.86771990740740745</v>
      </c>
      <c r="H1476" s="1">
        <v>0.19375000000000001</v>
      </c>
      <c r="I1476" s="5">
        <v>730</v>
      </c>
      <c r="J1476">
        <v>10040</v>
      </c>
      <c r="K1476">
        <v>157</v>
      </c>
      <c r="L1476" s="5">
        <v>791</v>
      </c>
      <c r="M1476" s="5">
        <v>729</v>
      </c>
      <c r="N1476">
        <v>50</v>
      </c>
      <c r="O1476">
        <v>679</v>
      </c>
      <c r="P1476" s="1">
        <v>0.25555555555555554</v>
      </c>
      <c r="Q1476" s="5">
        <v>2154</v>
      </c>
      <c r="R1476" s="14">
        <v>13.8</v>
      </c>
      <c r="S1476">
        <v>156</v>
      </c>
      <c r="T1476" s="5">
        <v>50</v>
      </c>
      <c r="U1476" s="5">
        <v>679</v>
      </c>
      <c r="V1476" s="5">
        <v>0</v>
      </c>
      <c r="W1476" s="5"/>
      <c r="X1476" s="5"/>
      <c r="Y1476" s="5"/>
      <c r="Z1476" s="5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</row>
    <row r="1477" spans="1:37" x14ac:dyDescent="0.25">
      <c r="A1477" s="11">
        <f>Table1[[#This Row],[Milk Yield]]-J1473</f>
        <v>-381</v>
      </c>
      <c r="B1477" t="s">
        <v>24</v>
      </c>
      <c r="C1477" s="2">
        <v>3</v>
      </c>
      <c r="D1477" s="12">
        <v>45836</v>
      </c>
      <c r="E1477" s="2">
        <v>34</v>
      </c>
      <c r="F1477" s="13">
        <v>0.99630787037037039</v>
      </c>
      <c r="G1477" s="3">
        <v>0.19949074074074075</v>
      </c>
      <c r="H1477" s="1">
        <v>0.20277777777777778</v>
      </c>
      <c r="I1477" s="5">
        <v>781</v>
      </c>
      <c r="J1477">
        <v>9674</v>
      </c>
      <c r="K1477">
        <v>160</v>
      </c>
      <c r="L1477" s="5">
        <v>760</v>
      </c>
      <c r="M1477" s="5">
        <v>781</v>
      </c>
      <c r="N1477">
        <v>62</v>
      </c>
      <c r="O1477">
        <v>719</v>
      </c>
      <c r="P1477" s="1">
        <v>0.22569444444444445</v>
      </c>
      <c r="Q1477" s="5">
        <v>1984</v>
      </c>
      <c r="R1477" s="14">
        <v>12.4</v>
      </c>
      <c r="S1477">
        <v>160</v>
      </c>
      <c r="T1477" s="5">
        <v>62</v>
      </c>
      <c r="U1477" s="5">
        <v>719</v>
      </c>
      <c r="V1477" s="5">
        <v>0</v>
      </c>
      <c r="W1477" s="5"/>
      <c r="X1477" s="5"/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</row>
    <row r="1478" spans="1:37" x14ac:dyDescent="0.25">
      <c r="A1478" s="11" t="e">
        <f>Table1[[#This Row],[Milk Yield]]-J1474</f>
        <v>#VALUE!</v>
      </c>
      <c r="B1478" t="s">
        <v>0</v>
      </c>
      <c r="C1478" s="2" t="s">
        <v>1</v>
      </c>
      <c r="D1478" s="12" t="s">
        <v>2</v>
      </c>
      <c r="E1478" s="2" t="s">
        <v>3</v>
      </c>
      <c r="F1478" s="13" t="s">
        <v>4</v>
      </c>
      <c r="G1478" s="3" t="s">
        <v>5</v>
      </c>
      <c r="H1478" s="1" t="s">
        <v>6</v>
      </c>
      <c r="I1478" s="5" t="s">
        <v>8</v>
      </c>
      <c r="J1478" t="s">
        <v>9</v>
      </c>
      <c r="K1478" t="s">
        <v>10</v>
      </c>
      <c r="L1478" s="5" t="s">
        <v>11</v>
      </c>
      <c r="M1478" s="5" t="s">
        <v>12</v>
      </c>
      <c r="N1478" t="s">
        <v>13</v>
      </c>
      <c r="O1478" t="s">
        <v>20</v>
      </c>
      <c r="P1478" s="1" t="s">
        <v>7</v>
      </c>
      <c r="Q1478" s="5" t="s">
        <v>15</v>
      </c>
      <c r="R1478" s="14" t="s">
        <v>18</v>
      </c>
      <c r="S1478" t="s">
        <v>16</v>
      </c>
      <c r="T1478" s="5" t="s">
        <v>14</v>
      </c>
      <c r="U1478" s="5" t="s">
        <v>17</v>
      </c>
      <c r="V1478" s="5" t="s">
        <v>19</v>
      </c>
      <c r="W1478" s="5"/>
      <c r="X1478" s="5"/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</row>
    <row r="1479" spans="1:37" x14ac:dyDescent="0.25">
      <c r="A1479" s="11">
        <f>Table1[[#This Row],[Milk Yield]]-J1475</f>
        <v>-419</v>
      </c>
      <c r="B1479" t="s">
        <v>24</v>
      </c>
      <c r="C1479" s="2">
        <v>1</v>
      </c>
      <c r="D1479" s="12">
        <v>45837</v>
      </c>
      <c r="E1479" s="2">
        <v>35</v>
      </c>
      <c r="F1479" s="13">
        <v>0.33990740740740738</v>
      </c>
      <c r="G1479" s="3">
        <v>0.53186342592592595</v>
      </c>
      <c r="H1479" s="1">
        <v>0.19166666666666668</v>
      </c>
      <c r="I1479" s="5">
        <v>760</v>
      </c>
      <c r="J1479">
        <v>9935</v>
      </c>
      <c r="K1479">
        <v>165</v>
      </c>
      <c r="L1479" s="5">
        <v>472</v>
      </c>
      <c r="M1479" s="5">
        <v>757</v>
      </c>
      <c r="N1479">
        <v>38</v>
      </c>
      <c r="O1479">
        <v>719</v>
      </c>
      <c r="P1479" s="1">
        <v>0.22638888888888889</v>
      </c>
      <c r="Q1479" s="5">
        <v>2157</v>
      </c>
      <c r="R1479" s="14">
        <v>13.2</v>
      </c>
      <c r="S1479">
        <v>164</v>
      </c>
      <c r="T1479" s="5">
        <v>38</v>
      </c>
      <c r="U1479" s="5">
        <v>719</v>
      </c>
      <c r="V1479" s="5">
        <v>0</v>
      </c>
      <c r="W1479" s="5"/>
      <c r="X1479" s="5"/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</row>
    <row r="1480" spans="1:37" x14ac:dyDescent="0.25">
      <c r="A1480" s="11">
        <f>Table1[[#This Row],[Milk Yield]]-J1476</f>
        <v>-835</v>
      </c>
      <c r="B1480" t="s">
        <v>24</v>
      </c>
      <c r="C1480" s="2">
        <v>2</v>
      </c>
      <c r="D1480" s="12">
        <v>45837</v>
      </c>
      <c r="E1480" s="2">
        <v>34</v>
      </c>
      <c r="F1480" s="13">
        <v>0.66881944444444441</v>
      </c>
      <c r="G1480" s="3">
        <v>0.86103009259259256</v>
      </c>
      <c r="H1480" s="1">
        <v>0.19166666666666668</v>
      </c>
      <c r="I1480" s="5">
        <v>751</v>
      </c>
      <c r="J1480">
        <v>9205</v>
      </c>
      <c r="K1480">
        <v>163</v>
      </c>
      <c r="L1480" s="5">
        <v>74</v>
      </c>
      <c r="M1480" s="5">
        <v>750</v>
      </c>
      <c r="N1480">
        <v>9</v>
      </c>
      <c r="O1480">
        <v>741</v>
      </c>
      <c r="P1480" s="1">
        <v>0.23819444444444443</v>
      </c>
      <c r="Q1480" s="5">
        <v>1995</v>
      </c>
      <c r="R1480" s="14">
        <v>12.3</v>
      </c>
      <c r="S1480">
        <v>163</v>
      </c>
      <c r="T1480" s="5">
        <v>9</v>
      </c>
      <c r="U1480" s="5">
        <v>741</v>
      </c>
      <c r="V1480" s="5">
        <v>0</v>
      </c>
      <c r="W1480" s="5"/>
      <c r="X1480" s="5"/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</row>
    <row r="1481" spans="1:37" x14ac:dyDescent="0.25">
      <c r="A1481" s="11">
        <f>Table1[[#This Row],[Milk Yield]]-J1477</f>
        <v>343</v>
      </c>
      <c r="B1481" t="s">
        <v>24</v>
      </c>
      <c r="C1481" s="2">
        <v>3</v>
      </c>
      <c r="D1481" s="12">
        <v>45837</v>
      </c>
      <c r="E1481" s="2">
        <v>32</v>
      </c>
      <c r="F1481" s="13">
        <v>0.99730324074074073</v>
      </c>
      <c r="G1481" s="3">
        <v>0.19256944444444443</v>
      </c>
      <c r="H1481" s="1">
        <v>0.19513888888888889</v>
      </c>
      <c r="I1481" s="5">
        <v>754</v>
      </c>
      <c r="J1481">
        <v>10017</v>
      </c>
      <c r="K1481">
        <v>161</v>
      </c>
      <c r="L1481" s="5">
        <v>116</v>
      </c>
      <c r="M1481" s="5">
        <v>751</v>
      </c>
      <c r="N1481">
        <v>10</v>
      </c>
      <c r="O1481">
        <v>741</v>
      </c>
      <c r="P1481" s="1">
        <v>0.22361111111111112</v>
      </c>
      <c r="Q1481" s="5">
        <v>2137</v>
      </c>
      <c r="R1481" s="14">
        <v>13.4</v>
      </c>
      <c r="S1481">
        <v>160</v>
      </c>
      <c r="T1481" s="5">
        <v>10</v>
      </c>
      <c r="U1481" s="5">
        <v>741</v>
      </c>
      <c r="V1481" s="5">
        <v>0</v>
      </c>
      <c r="W1481" s="5"/>
      <c r="X1481" s="5"/>
      <c r="Y1481" s="5"/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</row>
    <row r="1482" spans="1:37" x14ac:dyDescent="0.25">
      <c r="A1482" s="11" t="e">
        <f>Table1[[#This Row],[Milk Yield]]-J1478</f>
        <v>#VALUE!</v>
      </c>
      <c r="B1482" t="s">
        <v>0</v>
      </c>
      <c r="C1482" s="2" t="s">
        <v>1</v>
      </c>
      <c r="D1482" s="12" t="s">
        <v>2</v>
      </c>
      <c r="E1482" s="2" t="s">
        <v>3</v>
      </c>
      <c r="F1482" s="13" t="s">
        <v>4</v>
      </c>
      <c r="G1482" s="3" t="s">
        <v>5</v>
      </c>
      <c r="H1482" s="1" t="s">
        <v>6</v>
      </c>
      <c r="I1482" s="5" t="s">
        <v>8</v>
      </c>
      <c r="J1482" t="s">
        <v>9</v>
      </c>
      <c r="K1482" t="s">
        <v>10</v>
      </c>
      <c r="L1482" s="5" t="s">
        <v>11</v>
      </c>
      <c r="M1482" s="5" t="s">
        <v>12</v>
      </c>
      <c r="N1482" t="s">
        <v>13</v>
      </c>
      <c r="O1482" t="s">
        <v>20</v>
      </c>
      <c r="P1482" s="1" t="s">
        <v>7</v>
      </c>
      <c r="Q1482" s="5" t="s">
        <v>15</v>
      </c>
      <c r="R1482" s="14" t="s">
        <v>18</v>
      </c>
      <c r="S1482" t="s">
        <v>16</v>
      </c>
      <c r="T1482" s="5" t="s">
        <v>14</v>
      </c>
      <c r="U1482" s="5" t="s">
        <v>17</v>
      </c>
      <c r="V1482" s="5" t="s">
        <v>19</v>
      </c>
      <c r="W1482" s="5"/>
      <c r="X1482" s="5"/>
      <c r="Y1482" s="5"/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</row>
    <row r="1483" spans="1:37" x14ac:dyDescent="0.25">
      <c r="A1483" s="11">
        <f>Table1[[#This Row],[Milk Yield]]-J1479</f>
        <v>108</v>
      </c>
      <c r="B1483" t="s">
        <v>24</v>
      </c>
      <c r="C1483" s="2">
        <v>1</v>
      </c>
      <c r="D1483" s="12">
        <v>45838</v>
      </c>
      <c r="E1483" s="2">
        <v>35</v>
      </c>
      <c r="F1483" s="13">
        <v>0.33403935185185185</v>
      </c>
      <c r="G1483" s="3">
        <v>0.52858796296296295</v>
      </c>
      <c r="H1483" s="1">
        <v>0.19444444444444445</v>
      </c>
      <c r="I1483" s="5">
        <v>757</v>
      </c>
      <c r="J1483">
        <v>10043</v>
      </c>
      <c r="K1483">
        <v>162</v>
      </c>
      <c r="L1483" s="5">
        <v>94</v>
      </c>
      <c r="M1483" s="5">
        <v>756</v>
      </c>
      <c r="N1483">
        <v>11</v>
      </c>
      <c r="O1483">
        <v>745</v>
      </c>
      <c r="P1483" s="1">
        <v>0.22013888888888888</v>
      </c>
      <c r="Q1483" s="5">
        <v>2151</v>
      </c>
      <c r="R1483" s="14">
        <v>13.3</v>
      </c>
      <c r="S1483">
        <v>162</v>
      </c>
      <c r="T1483" s="5">
        <v>11</v>
      </c>
      <c r="U1483" s="5">
        <v>745</v>
      </c>
      <c r="V1483" s="5">
        <v>0</v>
      </c>
      <c r="W1483" s="5"/>
      <c r="X1483" s="5"/>
      <c r="Y1483" s="5"/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</row>
    <row r="1484" spans="1:37" x14ac:dyDescent="0.25">
      <c r="A1484" s="11">
        <f>Table1[[#This Row],[Milk Yield]]-J1480</f>
        <v>-57</v>
      </c>
      <c r="B1484" t="s">
        <v>24</v>
      </c>
      <c r="C1484" s="2">
        <v>2</v>
      </c>
      <c r="D1484" s="12">
        <v>45838</v>
      </c>
      <c r="E1484" s="2">
        <v>34</v>
      </c>
      <c r="F1484" s="13">
        <v>0.66917824074074073</v>
      </c>
      <c r="G1484" s="3">
        <v>0.85276620370370371</v>
      </c>
      <c r="H1484" s="1">
        <v>0.18333333333333332</v>
      </c>
      <c r="I1484" s="5">
        <v>758</v>
      </c>
      <c r="J1484">
        <v>9148</v>
      </c>
      <c r="K1484">
        <v>172</v>
      </c>
      <c r="L1484" s="5">
        <v>806</v>
      </c>
      <c r="M1484" s="5">
        <v>752</v>
      </c>
      <c r="N1484">
        <v>65</v>
      </c>
      <c r="O1484">
        <v>687</v>
      </c>
      <c r="P1484" s="1">
        <v>0.23333333333333334</v>
      </c>
      <c r="Q1484" s="5">
        <v>2076</v>
      </c>
      <c r="R1484" s="14">
        <v>12.2</v>
      </c>
      <c r="S1484">
        <v>171</v>
      </c>
      <c r="T1484" s="5">
        <v>65</v>
      </c>
      <c r="U1484" s="5">
        <v>687</v>
      </c>
      <c r="V1484" s="5">
        <v>0</v>
      </c>
      <c r="W1484" s="5"/>
      <c r="X1484" s="5"/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</row>
    <row r="1485" spans="1:37" x14ac:dyDescent="0.25">
      <c r="A1485" s="11">
        <f>Table1[[#This Row],[Milk Yield]]-J1481</f>
        <v>407</v>
      </c>
      <c r="B1485" t="s">
        <v>24</v>
      </c>
      <c r="C1485" s="2">
        <v>3</v>
      </c>
      <c r="D1485" s="12">
        <v>45838</v>
      </c>
      <c r="E1485" s="2">
        <v>34</v>
      </c>
      <c r="F1485" s="13">
        <v>2.673611111111111E-3</v>
      </c>
      <c r="G1485" s="3">
        <v>0.2202662037037037</v>
      </c>
      <c r="H1485" s="1">
        <v>0.21736111111111112</v>
      </c>
      <c r="I1485" s="5">
        <v>751</v>
      </c>
      <c r="J1485">
        <v>10424</v>
      </c>
      <c r="K1485">
        <v>144</v>
      </c>
      <c r="L1485" s="5">
        <v>297</v>
      </c>
      <c r="M1485" s="5">
        <v>751</v>
      </c>
      <c r="N1485">
        <v>25</v>
      </c>
      <c r="O1485">
        <v>726</v>
      </c>
      <c r="P1485" s="1">
        <v>0.2361111111111111</v>
      </c>
      <c r="Q1485" s="5">
        <v>1996</v>
      </c>
      <c r="R1485" s="14">
        <v>13.9</v>
      </c>
      <c r="S1485">
        <v>144</v>
      </c>
      <c r="T1485" s="5">
        <v>25</v>
      </c>
      <c r="U1485" s="5">
        <v>726</v>
      </c>
      <c r="V1485" s="5">
        <v>0</v>
      </c>
      <c r="W1485" s="5"/>
      <c r="X1485" s="5"/>
      <c r="Y1485" s="5"/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</row>
    <row r="1486" spans="1:37" x14ac:dyDescent="0.25">
      <c r="A1486" s="11" t="e">
        <f>Table1[[#This Row],[Milk Yield]]-J1482</f>
        <v>#VALUE!</v>
      </c>
      <c r="B1486" t="s">
        <v>0</v>
      </c>
      <c r="C1486" s="2" t="s">
        <v>1</v>
      </c>
      <c r="D1486" s="12" t="s">
        <v>2</v>
      </c>
      <c r="E1486" s="2" t="s">
        <v>3</v>
      </c>
      <c r="F1486" s="13" t="s">
        <v>4</v>
      </c>
      <c r="G1486" s="3" t="s">
        <v>5</v>
      </c>
      <c r="H1486" s="1" t="s">
        <v>6</v>
      </c>
      <c r="I1486" s="5" t="s">
        <v>8</v>
      </c>
      <c r="J1486" t="s">
        <v>9</v>
      </c>
      <c r="K1486" t="s">
        <v>10</v>
      </c>
      <c r="L1486" s="5" t="s">
        <v>11</v>
      </c>
      <c r="M1486" s="5" t="s">
        <v>12</v>
      </c>
      <c r="N1486" t="s">
        <v>13</v>
      </c>
      <c r="O1486" t="s">
        <v>20</v>
      </c>
      <c r="P1486" s="1" t="s">
        <v>7</v>
      </c>
      <c r="Q1486" s="5" t="s">
        <v>15</v>
      </c>
      <c r="R1486" s="14" t="s">
        <v>18</v>
      </c>
      <c r="S1486" t="s">
        <v>16</v>
      </c>
      <c r="T1486" s="5" t="s">
        <v>14</v>
      </c>
      <c r="U1486" s="5" t="s">
        <v>17</v>
      </c>
      <c r="V1486" s="5" t="s">
        <v>19</v>
      </c>
      <c r="W1486" s="5"/>
      <c r="X1486" s="5"/>
      <c r="Y1486" s="5"/>
      <c r="Z1486" s="5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</row>
    <row r="1487" spans="1:37" x14ac:dyDescent="0.25">
      <c r="A1487" s="11">
        <f>Table1[[#This Row],[Milk Yield]]-J1483</f>
        <v>2649</v>
      </c>
      <c r="B1487" t="s">
        <v>24</v>
      </c>
      <c r="C1487" s="2">
        <v>1</v>
      </c>
      <c r="D1487" s="12">
        <v>45839</v>
      </c>
      <c r="E1487" s="2">
        <v>38</v>
      </c>
      <c r="F1487" s="13">
        <v>0.33756944444444442</v>
      </c>
      <c r="G1487" s="3">
        <v>0.59658564814814818</v>
      </c>
      <c r="H1487" s="1">
        <v>0.2590277777777778</v>
      </c>
      <c r="I1487" s="5">
        <v>871</v>
      </c>
      <c r="J1487">
        <v>12692</v>
      </c>
      <c r="K1487">
        <v>140</v>
      </c>
      <c r="L1487" s="5">
        <v>2268</v>
      </c>
      <c r="M1487" s="5">
        <v>868</v>
      </c>
      <c r="N1487">
        <v>144</v>
      </c>
      <c r="O1487">
        <v>724</v>
      </c>
      <c r="P1487" s="1">
        <v>0.2673611111111111</v>
      </c>
      <c r="Q1487" s="5">
        <v>2042</v>
      </c>
      <c r="R1487" s="14">
        <v>14.7</v>
      </c>
      <c r="S1487">
        <v>140</v>
      </c>
      <c r="T1487" s="5">
        <v>144</v>
      </c>
      <c r="U1487" s="5">
        <v>724</v>
      </c>
      <c r="V1487" s="5">
        <v>0</v>
      </c>
      <c r="W1487" s="5"/>
      <c r="X1487" s="5"/>
      <c r="Y1487" s="5"/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</row>
    <row r="1488" spans="1:37" x14ac:dyDescent="0.25">
      <c r="A1488" s="11">
        <f>Table1[[#This Row],[Milk Yield]]-J1484</f>
        <v>1186</v>
      </c>
      <c r="B1488" t="s">
        <v>24</v>
      </c>
      <c r="C1488" s="2">
        <v>2</v>
      </c>
      <c r="D1488" s="12">
        <v>45839</v>
      </c>
      <c r="E1488" s="2">
        <v>39</v>
      </c>
      <c r="F1488" s="13">
        <v>0.66796296296296298</v>
      </c>
      <c r="G1488" s="3">
        <v>0.90525462962962966</v>
      </c>
      <c r="H1488" s="1">
        <v>0.23680555555555555</v>
      </c>
      <c r="I1488" s="5">
        <v>871</v>
      </c>
      <c r="J1488">
        <v>10334</v>
      </c>
      <c r="K1488">
        <v>153</v>
      </c>
      <c r="L1488" s="5">
        <v>850</v>
      </c>
      <c r="M1488" s="5">
        <v>871</v>
      </c>
      <c r="N1488">
        <v>83</v>
      </c>
      <c r="O1488">
        <v>788</v>
      </c>
      <c r="P1488" s="1">
        <v>0.22083333333333333</v>
      </c>
      <c r="Q1488" s="5">
        <v>1815</v>
      </c>
      <c r="R1488" s="14">
        <v>11.9</v>
      </c>
      <c r="S1488">
        <v>153</v>
      </c>
      <c r="T1488" s="5">
        <v>83</v>
      </c>
      <c r="U1488" s="5">
        <v>788</v>
      </c>
      <c r="V1488" s="5">
        <v>0</v>
      </c>
      <c r="W1488" s="5"/>
      <c r="X1488" s="5"/>
      <c r="Y1488" s="5"/>
      <c r="Z1488" s="5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</row>
    <row r="1489" spans="1:37" x14ac:dyDescent="0.25">
      <c r="A1489" s="11">
        <f>Table1[[#This Row],[Milk Yield]]-J1485</f>
        <v>307</v>
      </c>
      <c r="B1489" t="s">
        <v>24</v>
      </c>
      <c r="C1489" s="2">
        <v>3</v>
      </c>
      <c r="D1489" s="12">
        <v>45839</v>
      </c>
      <c r="E1489" s="2">
        <v>43</v>
      </c>
      <c r="F1489" s="13">
        <v>2.8819444444444444E-3</v>
      </c>
      <c r="G1489" s="3">
        <v>0.23630787037037038</v>
      </c>
      <c r="H1489" s="1">
        <v>0.23333333333333334</v>
      </c>
      <c r="I1489" s="5">
        <v>897</v>
      </c>
      <c r="J1489">
        <v>10731</v>
      </c>
      <c r="K1489">
        <v>160</v>
      </c>
      <c r="L1489" s="5">
        <v>780</v>
      </c>
      <c r="M1489" s="5">
        <v>896</v>
      </c>
      <c r="N1489">
        <v>80</v>
      </c>
      <c r="O1489">
        <v>816</v>
      </c>
      <c r="P1489" s="1">
        <v>0.22569444444444445</v>
      </c>
      <c r="Q1489" s="5">
        <v>1915</v>
      </c>
      <c r="R1489" s="14">
        <v>12</v>
      </c>
      <c r="S1489">
        <v>160</v>
      </c>
      <c r="T1489" s="5">
        <v>80</v>
      </c>
      <c r="U1489" s="5">
        <v>816</v>
      </c>
      <c r="V1489" s="5">
        <v>0</v>
      </c>
      <c r="W1489" s="5"/>
      <c r="X1489" s="5"/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</row>
    <row r="1490" spans="1:37" x14ac:dyDescent="0.25">
      <c r="A1490" s="11" t="e">
        <f>Table1[[#This Row],[Milk Yield]]-J1486</f>
        <v>#VALUE!</v>
      </c>
      <c r="B1490" t="s">
        <v>0</v>
      </c>
      <c r="C1490" s="2" t="s">
        <v>1</v>
      </c>
      <c r="D1490" s="12" t="s">
        <v>2</v>
      </c>
      <c r="E1490" s="2" t="s">
        <v>3</v>
      </c>
      <c r="F1490" s="13" t="s">
        <v>4</v>
      </c>
      <c r="G1490" s="3" t="s">
        <v>5</v>
      </c>
      <c r="H1490" s="1" t="s">
        <v>6</v>
      </c>
      <c r="I1490" s="5" t="s">
        <v>8</v>
      </c>
      <c r="J1490" t="s">
        <v>9</v>
      </c>
      <c r="K1490" t="s">
        <v>10</v>
      </c>
      <c r="L1490" s="5" t="s">
        <v>11</v>
      </c>
      <c r="M1490" s="5" t="s">
        <v>12</v>
      </c>
      <c r="N1490" t="s">
        <v>13</v>
      </c>
      <c r="O1490" t="s">
        <v>20</v>
      </c>
      <c r="P1490" s="1" t="s">
        <v>7</v>
      </c>
      <c r="Q1490" s="5" t="s">
        <v>15</v>
      </c>
      <c r="R1490" s="14" t="s">
        <v>18</v>
      </c>
      <c r="S1490" t="s">
        <v>16</v>
      </c>
      <c r="T1490" s="5" t="s">
        <v>14</v>
      </c>
      <c r="U1490" s="5" t="s">
        <v>17</v>
      </c>
      <c r="V1490" s="5" t="s">
        <v>19</v>
      </c>
      <c r="W1490" s="5"/>
      <c r="X1490" s="5"/>
      <c r="Y1490" s="5"/>
      <c r="Z1490" s="5"/>
      <c r="AA1490" s="5"/>
      <c r="AB1490" s="5"/>
      <c r="AC1490" s="5"/>
      <c r="AD1490" s="5"/>
      <c r="AE1490" s="5"/>
      <c r="AF1490" s="5"/>
      <c r="AG1490" s="5"/>
      <c r="AH1490" s="5"/>
      <c r="AI1490" s="5"/>
      <c r="AJ1490" s="5"/>
      <c r="AK1490" s="5"/>
    </row>
    <row r="1491" spans="1:37" x14ac:dyDescent="0.25">
      <c r="A1491" s="11">
        <f>Table1[[#This Row],[Milk Yield]]-J1487</f>
        <v>-1414</v>
      </c>
      <c r="B1491" t="s">
        <v>24</v>
      </c>
      <c r="C1491" s="2">
        <v>1</v>
      </c>
      <c r="D1491" s="12">
        <v>45840</v>
      </c>
      <c r="E1491" s="2">
        <v>37</v>
      </c>
      <c r="F1491" s="13">
        <v>0.33806712962962965</v>
      </c>
      <c r="G1491" s="3">
        <v>0.58708333333333329</v>
      </c>
      <c r="H1491" s="1">
        <v>0.24861111111111112</v>
      </c>
      <c r="I1491" s="5">
        <v>864</v>
      </c>
      <c r="J1491">
        <v>11278</v>
      </c>
      <c r="K1491">
        <v>145</v>
      </c>
      <c r="L1491" s="5">
        <v>62</v>
      </c>
      <c r="M1491" s="5">
        <v>864</v>
      </c>
      <c r="N1491">
        <v>6</v>
      </c>
      <c r="O1491">
        <v>858</v>
      </c>
      <c r="P1491" s="1">
        <v>0.22638888888888889</v>
      </c>
      <c r="Q1491" s="5">
        <v>1887</v>
      </c>
      <c r="R1491" s="14">
        <v>13.1</v>
      </c>
      <c r="S1491">
        <v>145</v>
      </c>
      <c r="T1491" s="5">
        <v>6</v>
      </c>
      <c r="U1491" s="5">
        <v>858</v>
      </c>
      <c r="V1491" s="5">
        <v>0</v>
      </c>
      <c r="W1491" s="5"/>
      <c r="X1491" s="5"/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</row>
    <row r="1492" spans="1:37" x14ac:dyDescent="0.25">
      <c r="A1492" s="11">
        <f>Table1[[#This Row],[Milk Yield]]-J1488</f>
        <v>21</v>
      </c>
      <c r="B1492" t="s">
        <v>24</v>
      </c>
      <c r="C1492" s="2">
        <v>2</v>
      </c>
      <c r="D1492" s="12">
        <v>45840</v>
      </c>
      <c r="E1492" s="2">
        <v>40</v>
      </c>
      <c r="F1492" s="13">
        <v>0.6698263888888889</v>
      </c>
      <c r="G1492" s="3">
        <v>0.90782407407407406</v>
      </c>
      <c r="H1492" s="1">
        <v>0.23749999999999999</v>
      </c>
      <c r="I1492" s="5">
        <v>874</v>
      </c>
      <c r="J1492">
        <v>10355</v>
      </c>
      <c r="K1492">
        <v>153</v>
      </c>
      <c r="L1492" s="5">
        <v>522</v>
      </c>
      <c r="M1492" s="5">
        <v>873</v>
      </c>
      <c r="N1492">
        <v>51</v>
      </c>
      <c r="O1492">
        <v>822</v>
      </c>
      <c r="P1492" s="1">
        <v>0.21458333333333332</v>
      </c>
      <c r="Q1492" s="5">
        <v>1813</v>
      </c>
      <c r="R1492" s="14">
        <v>11.9</v>
      </c>
      <c r="S1492">
        <v>153</v>
      </c>
      <c r="T1492" s="5">
        <v>51</v>
      </c>
      <c r="U1492" s="5">
        <v>822</v>
      </c>
      <c r="V1492" s="5">
        <v>0</v>
      </c>
      <c r="W1492" s="5"/>
      <c r="X1492" s="5"/>
      <c r="Y1492" s="5"/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</row>
    <row r="1493" spans="1:37" x14ac:dyDescent="0.25">
      <c r="A1493" s="11">
        <f>Table1[[#This Row],[Milk Yield]]-J1489</f>
        <v>-404</v>
      </c>
      <c r="B1493" t="s">
        <v>24</v>
      </c>
      <c r="C1493" s="2">
        <v>3</v>
      </c>
      <c r="D1493" s="12">
        <v>45840</v>
      </c>
      <c r="E1493" s="2">
        <v>38</v>
      </c>
      <c r="F1493" s="13">
        <v>1.5625000000000001E-3</v>
      </c>
      <c r="G1493" s="3">
        <v>0.2104398148148148</v>
      </c>
      <c r="H1493" s="1">
        <v>0.20833333333333334</v>
      </c>
      <c r="I1493" s="5">
        <v>875</v>
      </c>
      <c r="J1493">
        <v>10327</v>
      </c>
      <c r="K1493">
        <v>175</v>
      </c>
      <c r="L1493" s="5">
        <v>512</v>
      </c>
      <c r="M1493" s="5">
        <v>874</v>
      </c>
      <c r="N1493">
        <v>74</v>
      </c>
      <c r="O1493">
        <v>800</v>
      </c>
      <c r="P1493" s="1">
        <v>0.22222222222222221</v>
      </c>
      <c r="Q1493" s="5">
        <v>2060</v>
      </c>
      <c r="R1493" s="14">
        <v>11.9</v>
      </c>
      <c r="S1493">
        <v>174</v>
      </c>
      <c r="T1493" s="5">
        <v>74</v>
      </c>
      <c r="U1493" s="5">
        <v>800</v>
      </c>
      <c r="V1493" s="5">
        <v>0</v>
      </c>
      <c r="W1493" s="5"/>
      <c r="X1493" s="5"/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</row>
    <row r="1494" spans="1:37" x14ac:dyDescent="0.25">
      <c r="A1494" s="11" t="e">
        <f>Table1[[#This Row],[Milk Yield]]-J1490</f>
        <v>#VALUE!</v>
      </c>
      <c r="B1494" t="s">
        <v>0</v>
      </c>
      <c r="C1494" s="2" t="s">
        <v>1</v>
      </c>
      <c r="D1494" s="12" t="s">
        <v>2</v>
      </c>
      <c r="E1494" s="2" t="s">
        <v>3</v>
      </c>
      <c r="F1494" s="13" t="s">
        <v>4</v>
      </c>
      <c r="G1494" s="3" t="s">
        <v>5</v>
      </c>
      <c r="H1494" s="1" t="s">
        <v>6</v>
      </c>
      <c r="I1494" s="5" t="s">
        <v>8</v>
      </c>
      <c r="J1494" t="s">
        <v>9</v>
      </c>
      <c r="K1494" t="s">
        <v>10</v>
      </c>
      <c r="L1494" s="5" t="s">
        <v>11</v>
      </c>
      <c r="M1494" s="5" t="s">
        <v>12</v>
      </c>
      <c r="N1494" t="s">
        <v>13</v>
      </c>
      <c r="O1494" t="s">
        <v>20</v>
      </c>
      <c r="P1494" s="1" t="s">
        <v>7</v>
      </c>
      <c r="Q1494" s="5" t="s">
        <v>15</v>
      </c>
      <c r="R1494" s="14" t="s">
        <v>18</v>
      </c>
      <c r="S1494" t="s">
        <v>16</v>
      </c>
      <c r="T1494" s="5" t="s">
        <v>14</v>
      </c>
      <c r="U1494" s="5" t="s">
        <v>17</v>
      </c>
      <c r="V1494" s="5" t="s">
        <v>19</v>
      </c>
      <c r="W1494" s="5"/>
      <c r="X1494" s="5"/>
      <c r="Y1494" s="5"/>
      <c r="Z1494" s="5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</row>
    <row r="1495" spans="1:37" x14ac:dyDescent="0.25">
      <c r="A1495" s="11">
        <f>Table1[[#This Row],[Milk Yield]]-J1491</f>
        <v>242</v>
      </c>
      <c r="B1495" t="s">
        <v>24</v>
      </c>
      <c r="C1495" s="2">
        <v>1</v>
      </c>
      <c r="D1495" s="12">
        <v>45841</v>
      </c>
      <c r="E1495" s="2">
        <v>39</v>
      </c>
      <c r="F1495" s="13">
        <v>0.33839120370370368</v>
      </c>
      <c r="G1495" s="3">
        <v>0.58046296296296296</v>
      </c>
      <c r="H1495" s="1">
        <v>0.24166666666666667</v>
      </c>
      <c r="I1495" s="5">
        <v>864</v>
      </c>
      <c r="J1495">
        <v>11520</v>
      </c>
      <c r="K1495">
        <v>149</v>
      </c>
      <c r="L1495" s="5">
        <v>75</v>
      </c>
      <c r="M1495" s="5">
        <v>864</v>
      </c>
      <c r="N1495">
        <v>7</v>
      </c>
      <c r="O1495">
        <v>857</v>
      </c>
      <c r="P1495" s="1">
        <v>0.23194444444444445</v>
      </c>
      <c r="Q1495" s="5">
        <v>1983</v>
      </c>
      <c r="R1495" s="14">
        <v>13.4</v>
      </c>
      <c r="S1495">
        <v>149</v>
      </c>
      <c r="T1495" s="5">
        <v>7</v>
      </c>
      <c r="U1495" s="5">
        <v>857</v>
      </c>
      <c r="V1495" s="5">
        <v>0</v>
      </c>
      <c r="W1495" s="5"/>
      <c r="X1495" s="5"/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</row>
    <row r="1496" spans="1:37" x14ac:dyDescent="0.25">
      <c r="A1496" s="11">
        <f>Table1[[#This Row],[Milk Yield]]-J1492</f>
        <v>326</v>
      </c>
      <c r="B1496" t="s">
        <v>24</v>
      </c>
      <c r="C1496" s="2">
        <v>2</v>
      </c>
      <c r="D1496" s="12">
        <v>45841</v>
      </c>
      <c r="E1496" s="2">
        <v>39</v>
      </c>
      <c r="F1496" s="13">
        <v>0.67085648148148147</v>
      </c>
      <c r="G1496" s="3">
        <v>0.89390046296296299</v>
      </c>
      <c r="H1496" s="1">
        <v>0.22291666666666668</v>
      </c>
      <c r="I1496" s="5">
        <v>872</v>
      </c>
      <c r="J1496">
        <v>10681</v>
      </c>
      <c r="K1496">
        <v>163</v>
      </c>
      <c r="L1496" s="5">
        <v>105</v>
      </c>
      <c r="M1496" s="5">
        <v>872</v>
      </c>
      <c r="N1496">
        <v>10</v>
      </c>
      <c r="O1496">
        <v>862</v>
      </c>
      <c r="P1496" s="1">
        <v>0.21527777777777779</v>
      </c>
      <c r="Q1496" s="5">
        <v>1995</v>
      </c>
      <c r="R1496" s="14">
        <v>12.3</v>
      </c>
      <c r="S1496">
        <v>163</v>
      </c>
      <c r="T1496" s="5">
        <v>10</v>
      </c>
      <c r="U1496" s="5">
        <v>862</v>
      </c>
      <c r="V1496" s="5">
        <v>0</v>
      </c>
      <c r="W1496" s="5"/>
      <c r="X1496" s="5"/>
      <c r="Y1496" s="5"/>
      <c r="Z1496" s="5"/>
      <c r="AA1496" s="5"/>
      <c r="AB1496" s="5"/>
      <c r="AC1496" s="5"/>
      <c r="AD1496" s="5"/>
      <c r="AE1496" s="5"/>
      <c r="AF1496" s="5"/>
      <c r="AG1496" s="5"/>
      <c r="AH1496" s="5"/>
      <c r="AI1496" s="5"/>
      <c r="AJ1496" s="5"/>
      <c r="AK1496" s="5"/>
    </row>
    <row r="1497" spans="1:37" x14ac:dyDescent="0.25">
      <c r="A1497" s="11">
        <f>Table1[[#This Row],[Milk Yield]]-J1493</f>
        <v>769</v>
      </c>
      <c r="B1497" t="s">
        <v>24</v>
      </c>
      <c r="C1497" s="2">
        <v>3</v>
      </c>
      <c r="D1497" s="12">
        <v>45841</v>
      </c>
      <c r="E1497" s="2">
        <v>42</v>
      </c>
      <c r="F1497" s="13">
        <v>0.9997800925925926</v>
      </c>
      <c r="G1497" s="3">
        <v>0.22370370370370371</v>
      </c>
      <c r="H1497" s="1">
        <v>0.22361111111111112</v>
      </c>
      <c r="I1497" s="5">
        <v>878</v>
      </c>
      <c r="J1497">
        <v>11096</v>
      </c>
      <c r="K1497">
        <v>163</v>
      </c>
      <c r="L1497" s="5">
        <v>380</v>
      </c>
      <c r="M1497" s="5">
        <v>876</v>
      </c>
      <c r="N1497">
        <v>36</v>
      </c>
      <c r="O1497">
        <v>840</v>
      </c>
      <c r="P1497" s="1">
        <v>0.22638888888888889</v>
      </c>
      <c r="Q1497" s="5">
        <v>2065</v>
      </c>
      <c r="R1497" s="14">
        <v>12.7</v>
      </c>
      <c r="S1497">
        <v>163</v>
      </c>
      <c r="T1497" s="5">
        <v>36</v>
      </c>
      <c r="U1497" s="5">
        <v>840</v>
      </c>
      <c r="V1497" s="5">
        <v>0</v>
      </c>
      <c r="W1497" s="5"/>
      <c r="X1497" s="5"/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</row>
    <row r="1498" spans="1:37" x14ac:dyDescent="0.25">
      <c r="A1498" s="11" t="e">
        <f>Table1[[#This Row],[Milk Yield]]-J1494</f>
        <v>#VALUE!</v>
      </c>
      <c r="B1498" t="s">
        <v>0</v>
      </c>
      <c r="C1498" s="2" t="s">
        <v>1</v>
      </c>
      <c r="D1498" s="12" t="s">
        <v>2</v>
      </c>
      <c r="E1498" s="2" t="s">
        <v>3</v>
      </c>
      <c r="F1498" s="13" t="s">
        <v>4</v>
      </c>
      <c r="G1498" s="3" t="s">
        <v>5</v>
      </c>
      <c r="H1498" s="1" t="s">
        <v>6</v>
      </c>
      <c r="I1498" s="5" t="s">
        <v>8</v>
      </c>
      <c r="J1498" t="s">
        <v>9</v>
      </c>
      <c r="K1498" t="s">
        <v>10</v>
      </c>
      <c r="L1498" s="5" t="s">
        <v>11</v>
      </c>
      <c r="M1498" s="5" t="s">
        <v>12</v>
      </c>
      <c r="N1498" t="s">
        <v>13</v>
      </c>
      <c r="O1498" t="s">
        <v>20</v>
      </c>
      <c r="P1498" s="1" t="s">
        <v>7</v>
      </c>
      <c r="Q1498" s="5" t="s">
        <v>15</v>
      </c>
      <c r="R1498" s="14" t="s">
        <v>18</v>
      </c>
      <c r="S1498" t="s">
        <v>16</v>
      </c>
      <c r="T1498" s="5" t="s">
        <v>14</v>
      </c>
      <c r="U1498" s="5" t="s">
        <v>17</v>
      </c>
      <c r="V1498" s="5" t="s">
        <v>19</v>
      </c>
      <c r="W1498" s="5"/>
      <c r="X1498" s="5"/>
      <c r="Y1498" s="5"/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</row>
    <row r="1499" spans="1:37" x14ac:dyDescent="0.25">
      <c r="A1499" s="11">
        <f>Table1[[#This Row],[Milk Yield]]-J1495</f>
        <v>339</v>
      </c>
      <c r="B1499" t="s">
        <v>24</v>
      </c>
      <c r="C1499" s="2">
        <v>1</v>
      </c>
      <c r="D1499" s="12">
        <v>45842</v>
      </c>
      <c r="E1499" s="2">
        <v>41</v>
      </c>
      <c r="F1499" s="13">
        <v>0.33702546296296299</v>
      </c>
      <c r="G1499" s="3">
        <v>0.59160879629629626</v>
      </c>
      <c r="H1499" s="1">
        <v>0.25416666666666665</v>
      </c>
      <c r="I1499" s="5">
        <v>909</v>
      </c>
      <c r="J1499">
        <v>11859</v>
      </c>
      <c r="K1499">
        <v>149</v>
      </c>
      <c r="L1499" s="5">
        <v>760</v>
      </c>
      <c r="M1499" s="5">
        <v>909</v>
      </c>
      <c r="N1499">
        <v>91</v>
      </c>
      <c r="O1499">
        <v>818</v>
      </c>
      <c r="P1499" s="1">
        <v>0.24930555555555556</v>
      </c>
      <c r="Q1499" s="5">
        <v>1941</v>
      </c>
      <c r="R1499" s="14">
        <v>13.1</v>
      </c>
      <c r="S1499">
        <v>149</v>
      </c>
      <c r="T1499" s="5">
        <v>91</v>
      </c>
      <c r="U1499" s="5">
        <v>818</v>
      </c>
      <c r="V1499" s="5">
        <v>0</v>
      </c>
      <c r="W1499" s="5"/>
      <c r="X1499" s="5"/>
      <c r="Y1499" s="5"/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</row>
    <row r="1500" spans="1:37" x14ac:dyDescent="0.25">
      <c r="A1500" s="11">
        <f>Table1[[#This Row],[Milk Yield]]-J1496</f>
        <v>532</v>
      </c>
      <c r="B1500" t="s">
        <v>24</v>
      </c>
      <c r="C1500" s="2">
        <v>2</v>
      </c>
      <c r="D1500" s="12">
        <v>45842</v>
      </c>
      <c r="E1500" s="2">
        <v>39</v>
      </c>
      <c r="F1500" s="13">
        <v>0.67103009259259261</v>
      </c>
      <c r="G1500" s="3">
        <v>0.90773148148148153</v>
      </c>
      <c r="H1500" s="1">
        <v>0.2361111111111111</v>
      </c>
      <c r="I1500" s="5">
        <v>844</v>
      </c>
      <c r="J1500">
        <v>11213</v>
      </c>
      <c r="K1500">
        <v>149</v>
      </c>
      <c r="L1500" s="5">
        <v>120</v>
      </c>
      <c r="M1500" s="5">
        <v>844</v>
      </c>
      <c r="N1500">
        <v>10</v>
      </c>
      <c r="O1500">
        <v>834</v>
      </c>
      <c r="P1500" s="1">
        <v>0.24861111111111112</v>
      </c>
      <c r="Q1500" s="5">
        <v>1974</v>
      </c>
      <c r="R1500" s="14">
        <v>13.3</v>
      </c>
      <c r="S1500">
        <v>149</v>
      </c>
      <c r="T1500" s="5">
        <v>10</v>
      </c>
      <c r="U1500" s="5">
        <v>834</v>
      </c>
      <c r="V1500" s="5">
        <v>0</v>
      </c>
      <c r="W1500" s="5"/>
      <c r="X1500" s="5"/>
      <c r="Y1500" s="5"/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</row>
    <row r="1501" spans="1:37" x14ac:dyDescent="0.25">
      <c r="A1501" s="11">
        <f>Table1[[#This Row],[Milk Yield]]-J1497</f>
        <v>158</v>
      </c>
      <c r="B1501" t="s">
        <v>24</v>
      </c>
      <c r="C1501" s="2">
        <v>3</v>
      </c>
      <c r="D1501" s="12">
        <v>45842</v>
      </c>
      <c r="E1501" s="2">
        <v>40</v>
      </c>
      <c r="F1501" s="13">
        <v>2.3379629629629631E-3</v>
      </c>
      <c r="G1501" s="3">
        <v>0.25223379629629628</v>
      </c>
      <c r="H1501" s="1">
        <v>0.24930555555555556</v>
      </c>
      <c r="I1501" s="5">
        <v>862</v>
      </c>
      <c r="J1501">
        <v>11254</v>
      </c>
      <c r="K1501">
        <v>144</v>
      </c>
      <c r="L1501" s="5">
        <v>62</v>
      </c>
      <c r="M1501" s="5">
        <v>862</v>
      </c>
      <c r="N1501">
        <v>5</v>
      </c>
      <c r="O1501">
        <v>857</v>
      </c>
      <c r="P1501" s="1">
        <v>0.22708333333333333</v>
      </c>
      <c r="Q1501" s="5">
        <v>1876</v>
      </c>
      <c r="R1501" s="14">
        <v>13.1</v>
      </c>
      <c r="S1501">
        <v>144</v>
      </c>
      <c r="T1501" s="5">
        <v>5</v>
      </c>
      <c r="U1501" s="5">
        <v>857</v>
      </c>
      <c r="V1501" s="5">
        <v>0</v>
      </c>
      <c r="W1501" s="5"/>
      <c r="X1501" s="5"/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</row>
    <row r="1502" spans="1:37" x14ac:dyDescent="0.25">
      <c r="A1502" s="11" t="e">
        <f>Table1[[#This Row],[Milk Yield]]-J1498</f>
        <v>#VALUE!</v>
      </c>
      <c r="B1502" t="s">
        <v>0</v>
      </c>
      <c r="C1502" s="2" t="s">
        <v>1</v>
      </c>
      <c r="D1502" s="12" t="s">
        <v>2</v>
      </c>
      <c r="E1502" s="2" t="s">
        <v>3</v>
      </c>
      <c r="F1502" s="13" t="s">
        <v>4</v>
      </c>
      <c r="G1502" s="3" t="s">
        <v>5</v>
      </c>
      <c r="H1502" s="1" t="s">
        <v>6</v>
      </c>
      <c r="I1502" s="5" t="s">
        <v>8</v>
      </c>
      <c r="J1502" t="s">
        <v>9</v>
      </c>
      <c r="K1502" t="s">
        <v>10</v>
      </c>
      <c r="L1502" s="5" t="s">
        <v>11</v>
      </c>
      <c r="M1502" s="5" t="s">
        <v>12</v>
      </c>
      <c r="N1502" t="s">
        <v>13</v>
      </c>
      <c r="O1502" t="s">
        <v>20</v>
      </c>
      <c r="P1502" s="1" t="s">
        <v>7</v>
      </c>
      <c r="Q1502" s="5" t="s">
        <v>15</v>
      </c>
      <c r="R1502" s="14" t="s">
        <v>18</v>
      </c>
      <c r="S1502" t="s">
        <v>16</v>
      </c>
      <c r="T1502" s="5" t="s">
        <v>14</v>
      </c>
      <c r="U1502" s="5" t="s">
        <v>17</v>
      </c>
      <c r="V1502" s="5" t="s">
        <v>19</v>
      </c>
      <c r="W1502" s="5"/>
      <c r="X1502" s="5"/>
      <c r="Y1502" s="5"/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</row>
    <row r="1503" spans="1:37" x14ac:dyDescent="0.25">
      <c r="A1503" s="11">
        <f>Table1[[#This Row],[Milk Yield]]-J1499</f>
        <v>-829</v>
      </c>
      <c r="B1503" t="s">
        <v>24</v>
      </c>
      <c r="C1503" s="2">
        <v>1</v>
      </c>
      <c r="D1503" s="12">
        <v>45843</v>
      </c>
      <c r="E1503" s="2">
        <v>41</v>
      </c>
      <c r="F1503" s="13">
        <v>0.33498842592592593</v>
      </c>
      <c r="G1503" s="3">
        <v>0.58134259259259258</v>
      </c>
      <c r="H1503" s="1">
        <v>0.24583333333333332</v>
      </c>
      <c r="I1503" s="5">
        <v>883</v>
      </c>
      <c r="J1503">
        <v>11030</v>
      </c>
      <c r="K1503">
        <v>149</v>
      </c>
      <c r="L1503" s="5">
        <v>183</v>
      </c>
      <c r="M1503" s="5">
        <v>878</v>
      </c>
      <c r="N1503">
        <v>22</v>
      </c>
      <c r="O1503">
        <v>856</v>
      </c>
      <c r="P1503" s="1">
        <v>0.25486111111111109</v>
      </c>
      <c r="Q1503" s="5">
        <v>1865</v>
      </c>
      <c r="R1503" s="14">
        <v>12.6</v>
      </c>
      <c r="S1503">
        <v>148</v>
      </c>
      <c r="T1503" s="5">
        <v>22</v>
      </c>
      <c r="U1503" s="5">
        <v>856</v>
      </c>
      <c r="V1503" s="5">
        <v>0</v>
      </c>
      <c r="W1503" s="5"/>
      <c r="X1503" s="5"/>
      <c r="Y1503" s="5"/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</row>
    <row r="1504" spans="1:37" x14ac:dyDescent="0.25">
      <c r="A1504" s="11">
        <f>Table1[[#This Row],[Milk Yield]]-J1500</f>
        <v>130</v>
      </c>
      <c r="B1504" t="s">
        <v>24</v>
      </c>
      <c r="C1504" s="2">
        <v>2</v>
      </c>
      <c r="D1504" s="12">
        <v>45843</v>
      </c>
      <c r="E1504" s="2">
        <v>38</v>
      </c>
      <c r="F1504" s="13">
        <v>0.67100694444444442</v>
      </c>
      <c r="G1504" s="3">
        <v>0.93620370370370365</v>
      </c>
      <c r="H1504" s="1">
        <v>0.26458333333333334</v>
      </c>
      <c r="I1504" s="5">
        <v>863</v>
      </c>
      <c r="J1504">
        <v>11343</v>
      </c>
      <c r="K1504">
        <v>136</v>
      </c>
      <c r="L1504" s="5">
        <v>454</v>
      </c>
      <c r="M1504" s="5">
        <v>860</v>
      </c>
      <c r="N1504">
        <v>37</v>
      </c>
      <c r="O1504">
        <v>823</v>
      </c>
      <c r="P1504" s="1">
        <v>0.25347222222222221</v>
      </c>
      <c r="Q1504" s="5">
        <v>1782</v>
      </c>
      <c r="R1504" s="14">
        <v>13.2</v>
      </c>
      <c r="S1504">
        <v>135</v>
      </c>
      <c r="T1504" s="5">
        <v>37</v>
      </c>
      <c r="U1504" s="5">
        <v>823</v>
      </c>
      <c r="V1504" s="5">
        <v>0</v>
      </c>
      <c r="W1504" s="5"/>
      <c r="X1504" s="5"/>
      <c r="Y1504" s="5"/>
      <c r="Z1504" s="5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</row>
    <row r="1505" spans="1:37" x14ac:dyDescent="0.25">
      <c r="A1505" s="11">
        <f>Table1[[#This Row],[Milk Yield]]-J1501</f>
        <v>-362</v>
      </c>
      <c r="B1505" t="s">
        <v>24</v>
      </c>
      <c r="C1505" s="2">
        <v>3</v>
      </c>
      <c r="D1505" s="12">
        <v>45843</v>
      </c>
      <c r="E1505" s="2">
        <v>41</v>
      </c>
      <c r="F1505" s="13">
        <v>4.8263888888888887E-3</v>
      </c>
      <c r="G1505" s="3">
        <v>0.25207175925925923</v>
      </c>
      <c r="H1505" s="1">
        <v>0.24722222222222223</v>
      </c>
      <c r="I1505" s="5">
        <v>861</v>
      </c>
      <c r="J1505">
        <v>10892</v>
      </c>
      <c r="K1505">
        <v>145</v>
      </c>
      <c r="L1505" s="5">
        <v>202</v>
      </c>
      <c r="M1505" s="5">
        <v>860</v>
      </c>
      <c r="N1505">
        <v>17</v>
      </c>
      <c r="O1505">
        <v>843</v>
      </c>
      <c r="P1505" s="1">
        <v>0.22916666666666666</v>
      </c>
      <c r="Q1505" s="5">
        <v>1836</v>
      </c>
      <c r="R1505" s="14">
        <v>12.7</v>
      </c>
      <c r="S1505">
        <v>145</v>
      </c>
      <c r="T1505" s="5">
        <v>17</v>
      </c>
      <c r="U1505" s="5">
        <v>843</v>
      </c>
      <c r="V1505" s="5">
        <v>0</v>
      </c>
      <c r="W1505" s="5"/>
      <c r="X1505" s="5"/>
      <c r="Y1505" s="5"/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</row>
    <row r="1506" spans="1:37" x14ac:dyDescent="0.25">
      <c r="A1506" s="11" t="e">
        <f>Table1[[#This Row],[Milk Yield]]-J1502</f>
        <v>#VALUE!</v>
      </c>
      <c r="B1506" t="s">
        <v>0</v>
      </c>
      <c r="C1506" s="2" t="s">
        <v>1</v>
      </c>
      <c r="D1506" s="12" t="s">
        <v>2</v>
      </c>
      <c r="E1506" s="2" t="s">
        <v>3</v>
      </c>
      <c r="F1506" s="13" t="s">
        <v>4</v>
      </c>
      <c r="G1506" s="3" t="s">
        <v>5</v>
      </c>
      <c r="H1506" s="1" t="s">
        <v>6</v>
      </c>
      <c r="I1506" s="5" t="s">
        <v>8</v>
      </c>
      <c r="J1506" t="s">
        <v>9</v>
      </c>
      <c r="K1506" t="s">
        <v>10</v>
      </c>
      <c r="L1506" s="5" t="s">
        <v>11</v>
      </c>
      <c r="M1506" s="5" t="s">
        <v>12</v>
      </c>
      <c r="N1506" t="s">
        <v>13</v>
      </c>
      <c r="O1506" t="s">
        <v>20</v>
      </c>
      <c r="P1506" s="1" t="s">
        <v>7</v>
      </c>
      <c r="Q1506" s="5" t="s">
        <v>15</v>
      </c>
      <c r="R1506" s="14" t="s">
        <v>18</v>
      </c>
      <c r="S1506" t="s">
        <v>16</v>
      </c>
      <c r="T1506" s="5" t="s">
        <v>14</v>
      </c>
      <c r="U1506" s="5" t="s">
        <v>17</v>
      </c>
      <c r="V1506" s="5" t="s">
        <v>19</v>
      </c>
      <c r="W1506" s="5"/>
      <c r="X1506" s="5"/>
      <c r="Y1506" s="5"/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</row>
    <row r="1507" spans="1:37" x14ac:dyDescent="0.25">
      <c r="A1507" s="11">
        <f>Table1[[#This Row],[Milk Yield]]-J1503</f>
        <v>-870</v>
      </c>
      <c r="B1507" t="s">
        <v>24</v>
      </c>
      <c r="C1507" s="2">
        <v>1</v>
      </c>
      <c r="D1507" s="12">
        <v>45844</v>
      </c>
      <c r="E1507" s="2">
        <v>42</v>
      </c>
      <c r="F1507" s="13">
        <v>0.33498842592592593</v>
      </c>
      <c r="G1507" s="3">
        <v>0.56853009259259257</v>
      </c>
      <c r="H1507" s="1">
        <v>0.23333333333333334</v>
      </c>
      <c r="I1507" s="5">
        <v>880</v>
      </c>
      <c r="J1507">
        <v>10160</v>
      </c>
      <c r="K1507">
        <v>157</v>
      </c>
      <c r="L1507" s="5">
        <v>236</v>
      </c>
      <c r="M1507" s="5">
        <v>880</v>
      </c>
      <c r="N1507">
        <v>72</v>
      </c>
      <c r="O1507">
        <v>808</v>
      </c>
      <c r="P1507" s="1">
        <v>0.2326388888888889</v>
      </c>
      <c r="Q1507" s="5">
        <v>1813</v>
      </c>
      <c r="R1507" s="14">
        <v>11.6</v>
      </c>
      <c r="S1507">
        <v>157</v>
      </c>
      <c r="T1507" s="5">
        <v>72</v>
      </c>
      <c r="U1507" s="5">
        <v>808</v>
      </c>
      <c r="V1507" s="5">
        <v>0</v>
      </c>
      <c r="W1507" s="5"/>
      <c r="X1507" s="5"/>
      <c r="Y1507" s="5"/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</row>
    <row r="1508" spans="1:37" x14ac:dyDescent="0.25">
      <c r="A1508" s="11">
        <f>Table1[[#This Row],[Milk Yield]]-J1504</f>
        <v>-483</v>
      </c>
      <c r="B1508" t="s">
        <v>24</v>
      </c>
      <c r="C1508" s="2">
        <v>2</v>
      </c>
      <c r="D1508" s="12">
        <v>45844</v>
      </c>
      <c r="E1508" s="2">
        <v>41</v>
      </c>
      <c r="F1508" s="13">
        <v>0.67133101851851851</v>
      </c>
      <c r="G1508" s="3">
        <v>0.89725694444444448</v>
      </c>
      <c r="H1508" s="1">
        <v>0.22569444444444445</v>
      </c>
      <c r="I1508" s="5">
        <v>859</v>
      </c>
      <c r="J1508">
        <v>10860</v>
      </c>
      <c r="K1508">
        <v>158</v>
      </c>
      <c r="L1508" s="5">
        <v>609</v>
      </c>
      <c r="M1508" s="5">
        <v>857</v>
      </c>
      <c r="N1508">
        <v>68</v>
      </c>
      <c r="O1508">
        <v>789</v>
      </c>
      <c r="P1508" s="1">
        <v>0.22916666666666666</v>
      </c>
      <c r="Q1508" s="5">
        <v>2003</v>
      </c>
      <c r="R1508" s="14">
        <v>12.7</v>
      </c>
      <c r="S1508">
        <v>158</v>
      </c>
      <c r="T1508" s="5">
        <v>68</v>
      </c>
      <c r="U1508" s="5">
        <v>789</v>
      </c>
      <c r="V1508" s="5">
        <v>0</v>
      </c>
      <c r="W1508" s="5"/>
      <c r="X1508" s="5"/>
      <c r="Y1508" s="5"/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</row>
    <row r="1509" spans="1:37" x14ac:dyDescent="0.25">
      <c r="A1509" s="11">
        <f>Table1[[#This Row],[Milk Yield]]-J1505</f>
        <v>1172</v>
      </c>
      <c r="B1509" t="s">
        <v>24</v>
      </c>
      <c r="C1509" s="2">
        <v>3</v>
      </c>
      <c r="D1509" s="12">
        <v>45844</v>
      </c>
      <c r="E1509" s="2">
        <v>39</v>
      </c>
      <c r="F1509" s="13">
        <v>6.7129629629629625E-4</v>
      </c>
      <c r="G1509" s="3">
        <v>0.2280787037037037</v>
      </c>
      <c r="H1509" s="1">
        <v>0.22708333333333333</v>
      </c>
      <c r="I1509" s="5">
        <v>778</v>
      </c>
      <c r="J1509">
        <v>12064</v>
      </c>
      <c r="K1509">
        <v>143</v>
      </c>
      <c r="L1509" s="5">
        <v>3065</v>
      </c>
      <c r="M1509" s="5">
        <v>776</v>
      </c>
      <c r="N1509">
        <v>110</v>
      </c>
      <c r="O1509">
        <v>666</v>
      </c>
      <c r="P1509" s="1">
        <v>0.29097222222222224</v>
      </c>
      <c r="Q1509" s="5">
        <v>2210</v>
      </c>
      <c r="R1509" s="14">
        <v>15.6</v>
      </c>
      <c r="S1509">
        <v>142</v>
      </c>
      <c r="T1509" s="5">
        <v>110</v>
      </c>
      <c r="U1509" s="5">
        <v>666</v>
      </c>
      <c r="V1509" s="5">
        <v>0</v>
      </c>
      <c r="W1509" s="5"/>
      <c r="X1509" s="5"/>
      <c r="Y1509" s="5"/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</row>
    <row r="1510" spans="1:37" x14ac:dyDescent="0.25">
      <c r="A1510" s="11" t="e">
        <f>Table1[[#This Row],[Milk Yield]]-J1506</f>
        <v>#VALUE!</v>
      </c>
      <c r="B1510" t="s">
        <v>0</v>
      </c>
      <c r="C1510" s="2" t="s">
        <v>1</v>
      </c>
      <c r="D1510" s="12" t="s">
        <v>2</v>
      </c>
      <c r="E1510" s="2" t="s">
        <v>3</v>
      </c>
      <c r="F1510" s="13" t="s">
        <v>4</v>
      </c>
      <c r="G1510" s="3" t="s">
        <v>5</v>
      </c>
      <c r="H1510" s="1" t="s">
        <v>6</v>
      </c>
      <c r="I1510" s="5" t="s">
        <v>8</v>
      </c>
      <c r="J1510" t="s">
        <v>9</v>
      </c>
      <c r="K1510" t="s">
        <v>10</v>
      </c>
      <c r="L1510" s="5" t="s">
        <v>11</v>
      </c>
      <c r="M1510" s="5" t="s">
        <v>12</v>
      </c>
      <c r="N1510" t="s">
        <v>13</v>
      </c>
      <c r="O1510" t="s">
        <v>20</v>
      </c>
      <c r="P1510" s="1" t="s">
        <v>7</v>
      </c>
      <c r="Q1510" s="5" t="s">
        <v>15</v>
      </c>
      <c r="R1510" s="14" t="s">
        <v>18</v>
      </c>
      <c r="S1510" t="s">
        <v>16</v>
      </c>
      <c r="T1510" s="5" t="s">
        <v>14</v>
      </c>
      <c r="U1510" s="5" t="s">
        <v>17</v>
      </c>
      <c r="V1510" s="5" t="s">
        <v>19</v>
      </c>
      <c r="W1510" s="5"/>
      <c r="X1510" s="5"/>
      <c r="Y1510" s="5"/>
      <c r="Z1510" s="5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</row>
    <row r="1511" spans="1:37" x14ac:dyDescent="0.25">
      <c r="A1511" s="11">
        <f>Table1[[#This Row],[Milk Yield]]-J1507</f>
        <v>1567</v>
      </c>
      <c r="B1511" t="s">
        <v>24</v>
      </c>
      <c r="C1511" s="2">
        <v>1</v>
      </c>
      <c r="D1511" s="12">
        <v>45845</v>
      </c>
      <c r="E1511" s="2">
        <v>39</v>
      </c>
      <c r="F1511" s="13">
        <v>0.33641203703703704</v>
      </c>
      <c r="G1511" s="3">
        <v>0.57024305555555554</v>
      </c>
      <c r="H1511" s="1">
        <v>0.23333333333333334</v>
      </c>
      <c r="I1511" s="5">
        <v>852</v>
      </c>
      <c r="J1511">
        <v>11727</v>
      </c>
      <c r="K1511">
        <v>152</v>
      </c>
      <c r="L1511" s="5">
        <v>330</v>
      </c>
      <c r="M1511" s="5">
        <v>849</v>
      </c>
      <c r="N1511">
        <v>29</v>
      </c>
      <c r="O1511">
        <v>820</v>
      </c>
      <c r="P1511" s="1">
        <v>0.23125000000000001</v>
      </c>
      <c r="Q1511" s="5">
        <v>2090</v>
      </c>
      <c r="R1511" s="14">
        <v>13.9</v>
      </c>
      <c r="S1511">
        <v>151</v>
      </c>
      <c r="T1511" s="5">
        <v>29</v>
      </c>
      <c r="U1511" s="5">
        <v>820</v>
      </c>
      <c r="V1511" s="5">
        <v>0</v>
      </c>
      <c r="W1511" s="5"/>
      <c r="X1511" s="5"/>
      <c r="Y1511" s="5"/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</row>
    <row r="1512" spans="1:37" x14ac:dyDescent="0.25">
      <c r="A1512" s="11">
        <f>Table1[[#This Row],[Milk Yield]]-J1508</f>
        <v>-380</v>
      </c>
      <c r="B1512" t="s">
        <v>24</v>
      </c>
      <c r="C1512" s="2">
        <v>2</v>
      </c>
      <c r="D1512" s="12">
        <v>45845</v>
      </c>
      <c r="E1512" s="2">
        <v>40</v>
      </c>
      <c r="F1512" s="13">
        <v>0.67211805555555559</v>
      </c>
      <c r="G1512" s="3">
        <v>0.93148148148148147</v>
      </c>
      <c r="H1512" s="1">
        <v>0.2590277777777778</v>
      </c>
      <c r="I1512" s="5">
        <v>863</v>
      </c>
      <c r="J1512">
        <v>10480</v>
      </c>
      <c r="K1512">
        <v>139</v>
      </c>
      <c r="L1512" s="5">
        <v>1118</v>
      </c>
      <c r="M1512" s="5">
        <v>859</v>
      </c>
      <c r="N1512">
        <v>111</v>
      </c>
      <c r="O1512">
        <v>748</v>
      </c>
      <c r="P1512" s="1">
        <v>0.26666666666666666</v>
      </c>
      <c r="Q1512" s="5">
        <v>1684</v>
      </c>
      <c r="R1512" s="14">
        <v>12.2</v>
      </c>
      <c r="S1512">
        <v>138</v>
      </c>
      <c r="T1512" s="5">
        <v>111</v>
      </c>
      <c r="U1512" s="5">
        <v>748</v>
      </c>
      <c r="V1512" s="5">
        <v>0</v>
      </c>
      <c r="W1512" s="5"/>
      <c r="X1512" s="5"/>
      <c r="Y1512" s="5"/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</row>
    <row r="1513" spans="1:37" x14ac:dyDescent="0.25">
      <c r="A1513" s="11">
        <f>Table1[[#This Row],[Milk Yield]]-J1509</f>
        <v>-601</v>
      </c>
      <c r="B1513" t="s">
        <v>24</v>
      </c>
      <c r="C1513" s="2">
        <v>3</v>
      </c>
      <c r="D1513" s="12">
        <v>45845</v>
      </c>
      <c r="E1513" s="2">
        <v>38</v>
      </c>
      <c r="F1513" s="13">
        <v>1.7708333333333332E-3</v>
      </c>
      <c r="G1513" s="3">
        <v>0.25413194444444442</v>
      </c>
      <c r="H1513" s="1">
        <v>0.25208333333333333</v>
      </c>
      <c r="I1513" s="5">
        <v>864</v>
      </c>
      <c r="J1513">
        <v>11463</v>
      </c>
      <c r="K1513">
        <v>143</v>
      </c>
      <c r="L1513" s="5">
        <v>166</v>
      </c>
      <c r="M1513" s="5">
        <v>863</v>
      </c>
      <c r="N1513">
        <v>14</v>
      </c>
      <c r="O1513">
        <v>849</v>
      </c>
      <c r="P1513" s="1">
        <v>0.23125000000000001</v>
      </c>
      <c r="Q1513" s="5">
        <v>1893</v>
      </c>
      <c r="R1513" s="14">
        <v>13.3</v>
      </c>
      <c r="S1513">
        <v>142</v>
      </c>
      <c r="T1513" s="5">
        <v>14</v>
      </c>
      <c r="U1513" s="5">
        <v>849</v>
      </c>
      <c r="V1513" s="5">
        <v>0</v>
      </c>
      <c r="W1513" s="5"/>
      <c r="X1513" s="5"/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</row>
    <row r="1514" spans="1:37" x14ac:dyDescent="0.25">
      <c r="A1514" s="11" t="e">
        <f>Table1[[#This Row],[Milk Yield]]-J1510</f>
        <v>#VALUE!</v>
      </c>
      <c r="B1514" t="s">
        <v>0</v>
      </c>
      <c r="C1514" s="2" t="s">
        <v>1</v>
      </c>
      <c r="D1514" s="12" t="s">
        <v>2</v>
      </c>
      <c r="E1514" s="2" t="s">
        <v>3</v>
      </c>
      <c r="F1514" s="13" t="s">
        <v>4</v>
      </c>
      <c r="G1514" s="3" t="s">
        <v>5</v>
      </c>
      <c r="H1514" s="1" t="s">
        <v>6</v>
      </c>
      <c r="I1514" s="5" t="s">
        <v>8</v>
      </c>
      <c r="J1514" t="s">
        <v>9</v>
      </c>
      <c r="K1514" t="s">
        <v>10</v>
      </c>
      <c r="L1514" s="5" t="s">
        <v>11</v>
      </c>
      <c r="M1514" s="5" t="s">
        <v>12</v>
      </c>
      <c r="N1514" t="s">
        <v>13</v>
      </c>
      <c r="O1514" t="s">
        <v>20</v>
      </c>
      <c r="P1514" s="1" t="s">
        <v>7</v>
      </c>
      <c r="Q1514" s="5" t="s">
        <v>15</v>
      </c>
      <c r="R1514" s="14" t="s">
        <v>18</v>
      </c>
      <c r="S1514" t="s">
        <v>16</v>
      </c>
      <c r="T1514" s="5" t="s">
        <v>14</v>
      </c>
      <c r="U1514" s="5" t="s">
        <v>17</v>
      </c>
      <c r="V1514" s="5" t="s">
        <v>19</v>
      </c>
      <c r="W1514" s="5"/>
      <c r="X1514" s="5"/>
      <c r="Y1514" s="5"/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</row>
    <row r="1515" spans="1:37" x14ac:dyDescent="0.25">
      <c r="A1515" s="11">
        <f>Table1[[#This Row],[Milk Yield]]-J1511</f>
        <v>-927</v>
      </c>
      <c r="B1515" t="s">
        <v>24</v>
      </c>
      <c r="C1515" s="2">
        <v>1</v>
      </c>
      <c r="D1515" s="12">
        <v>45846</v>
      </c>
      <c r="E1515" s="2">
        <v>35</v>
      </c>
      <c r="F1515" s="13">
        <v>0.33881944444444445</v>
      </c>
      <c r="G1515" s="3">
        <v>0.55278935185185185</v>
      </c>
      <c r="H1515" s="1">
        <v>0.21388888888888888</v>
      </c>
      <c r="I1515" s="5">
        <v>732</v>
      </c>
      <c r="J1515">
        <v>10800</v>
      </c>
      <c r="K1515">
        <v>143</v>
      </c>
      <c r="L1515" s="5">
        <v>3576</v>
      </c>
      <c r="M1515" s="5">
        <v>732</v>
      </c>
      <c r="N1515">
        <v>91</v>
      </c>
      <c r="O1515">
        <v>641</v>
      </c>
      <c r="P1515" s="1">
        <v>0.28680555555555554</v>
      </c>
      <c r="Q1515" s="5">
        <v>2523</v>
      </c>
      <c r="R1515" s="14">
        <v>12.5</v>
      </c>
      <c r="S1515">
        <v>143</v>
      </c>
      <c r="T1515" s="5">
        <v>91</v>
      </c>
      <c r="U1515" s="5">
        <v>641</v>
      </c>
      <c r="V1515" s="5">
        <v>0</v>
      </c>
      <c r="W1515" s="5"/>
      <c r="X1515" s="5"/>
      <c r="Y1515" s="5"/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</row>
    <row r="1516" spans="1:37" x14ac:dyDescent="0.25">
      <c r="A1516" s="11">
        <f>Table1[[#This Row],[Milk Yield]]-J1512</f>
        <v>343</v>
      </c>
      <c r="B1516" t="s">
        <v>24</v>
      </c>
      <c r="C1516" s="2">
        <v>2</v>
      </c>
      <c r="D1516" s="12">
        <v>45846</v>
      </c>
      <c r="E1516" s="2">
        <v>42</v>
      </c>
      <c r="F1516" s="13">
        <v>0.66974537037037041</v>
      </c>
      <c r="G1516" s="3">
        <v>0.89271990740740736</v>
      </c>
      <c r="H1516" s="1">
        <v>0.22291666666666668</v>
      </c>
      <c r="I1516" s="5">
        <v>878</v>
      </c>
      <c r="J1516">
        <v>10823</v>
      </c>
      <c r="K1516">
        <v>164</v>
      </c>
      <c r="L1516" s="5">
        <v>707</v>
      </c>
      <c r="M1516" s="5">
        <v>878</v>
      </c>
      <c r="N1516">
        <v>62</v>
      </c>
      <c r="O1516">
        <v>816</v>
      </c>
      <c r="P1516" s="1">
        <v>0.23055555555555557</v>
      </c>
      <c r="Q1516" s="5">
        <v>2022</v>
      </c>
      <c r="R1516" s="14">
        <v>12.4</v>
      </c>
      <c r="S1516">
        <v>164</v>
      </c>
      <c r="T1516" s="5">
        <v>62</v>
      </c>
      <c r="U1516" s="5">
        <v>816</v>
      </c>
      <c r="V1516" s="5">
        <v>0</v>
      </c>
      <c r="W1516" s="5"/>
      <c r="X1516" s="5"/>
      <c r="Y1516" s="5"/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</row>
    <row r="1517" spans="1:37" x14ac:dyDescent="0.25">
      <c r="A1517" s="11">
        <f>Table1[[#This Row],[Milk Yield]]-J1513</f>
        <v>301</v>
      </c>
      <c r="B1517" t="s">
        <v>24</v>
      </c>
      <c r="C1517" s="2">
        <v>3</v>
      </c>
      <c r="D1517" s="12">
        <v>45846</v>
      </c>
      <c r="E1517" s="2">
        <v>41</v>
      </c>
      <c r="F1517" s="13">
        <v>5.2083333333333333E-4</v>
      </c>
      <c r="G1517" s="3">
        <v>0.23354166666666668</v>
      </c>
      <c r="H1517" s="1">
        <v>0.2326388888888889</v>
      </c>
      <c r="I1517" s="5">
        <v>879</v>
      </c>
      <c r="J1517">
        <v>11764</v>
      </c>
      <c r="K1517">
        <v>157</v>
      </c>
      <c r="L1517" s="5">
        <v>833</v>
      </c>
      <c r="M1517" s="5">
        <v>879</v>
      </c>
      <c r="N1517">
        <v>59</v>
      </c>
      <c r="O1517">
        <v>820</v>
      </c>
      <c r="P1517" s="1">
        <v>0.27291666666666664</v>
      </c>
      <c r="Q1517" s="5">
        <v>2103</v>
      </c>
      <c r="R1517" s="14">
        <v>13.4</v>
      </c>
      <c r="S1517">
        <v>157</v>
      </c>
      <c r="T1517" s="5">
        <v>59</v>
      </c>
      <c r="U1517" s="5">
        <v>820</v>
      </c>
      <c r="V1517" s="5">
        <v>0</v>
      </c>
      <c r="W1517" s="5"/>
      <c r="X1517" s="5"/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</row>
    <row r="1518" spans="1:37" x14ac:dyDescent="0.25">
      <c r="A1518" s="11" t="e">
        <f>Table1[[#This Row],[Milk Yield]]-J1514</f>
        <v>#VALUE!</v>
      </c>
      <c r="B1518" t="s">
        <v>0</v>
      </c>
      <c r="C1518" s="2" t="s">
        <v>1</v>
      </c>
      <c r="D1518" s="12" t="s">
        <v>2</v>
      </c>
      <c r="E1518" s="2" t="s">
        <v>3</v>
      </c>
      <c r="F1518" s="13" t="s">
        <v>4</v>
      </c>
      <c r="G1518" s="3" t="s">
        <v>5</v>
      </c>
      <c r="H1518" s="1" t="s">
        <v>6</v>
      </c>
      <c r="I1518" s="5" t="s">
        <v>8</v>
      </c>
      <c r="J1518" t="s">
        <v>9</v>
      </c>
      <c r="K1518" t="s">
        <v>10</v>
      </c>
      <c r="L1518" s="5" t="s">
        <v>11</v>
      </c>
      <c r="M1518" s="5" t="s">
        <v>12</v>
      </c>
      <c r="N1518" t="s">
        <v>13</v>
      </c>
      <c r="O1518" t="s">
        <v>20</v>
      </c>
      <c r="P1518" s="1" t="s">
        <v>7</v>
      </c>
      <c r="Q1518" s="5" t="s">
        <v>15</v>
      </c>
      <c r="R1518" s="14" t="s">
        <v>18</v>
      </c>
      <c r="S1518" t="s">
        <v>16</v>
      </c>
      <c r="T1518" s="5" t="s">
        <v>14</v>
      </c>
      <c r="U1518" s="5" t="s">
        <v>17</v>
      </c>
      <c r="V1518" s="5" t="s">
        <v>19</v>
      </c>
      <c r="W1518" s="5"/>
      <c r="X1518" s="5"/>
      <c r="Y1518" s="5"/>
      <c r="Z1518" s="5"/>
      <c r="AA1518" s="5"/>
      <c r="AB1518" s="5"/>
      <c r="AC1518" s="5"/>
      <c r="AD1518" s="5"/>
      <c r="AE1518" s="5"/>
      <c r="AF1518" s="5"/>
      <c r="AG1518" s="5"/>
      <c r="AH1518" s="5"/>
      <c r="AI1518" s="5"/>
      <c r="AJ1518" s="5"/>
      <c r="AK1518" s="5"/>
    </row>
    <row r="1519" spans="1:37" x14ac:dyDescent="0.25">
      <c r="A1519" s="11">
        <f>Table1[[#This Row],[Milk Yield]]-J1515</f>
        <v>1211</v>
      </c>
      <c r="B1519" t="s">
        <v>24</v>
      </c>
      <c r="C1519" s="2">
        <v>1</v>
      </c>
      <c r="D1519" s="12">
        <v>45847</v>
      </c>
      <c r="E1519" s="2">
        <v>41</v>
      </c>
      <c r="F1519" s="13">
        <v>0.33666666666666667</v>
      </c>
      <c r="G1519" s="3">
        <v>0.57085648148148149</v>
      </c>
      <c r="H1519" s="1">
        <v>0.23402777777777778</v>
      </c>
      <c r="I1519" s="5">
        <v>851</v>
      </c>
      <c r="J1519">
        <v>12011</v>
      </c>
      <c r="K1519">
        <v>151</v>
      </c>
      <c r="L1519" s="5">
        <v>588</v>
      </c>
      <c r="M1519" s="5">
        <v>850</v>
      </c>
      <c r="N1519">
        <v>46</v>
      </c>
      <c r="O1519">
        <v>804</v>
      </c>
      <c r="P1519" s="1">
        <v>0.28194444444444444</v>
      </c>
      <c r="Q1519" s="5">
        <v>2137</v>
      </c>
      <c r="R1519" s="14">
        <v>14.2</v>
      </c>
      <c r="S1519">
        <v>151</v>
      </c>
      <c r="T1519" s="5">
        <v>46</v>
      </c>
      <c r="U1519" s="5">
        <v>804</v>
      </c>
      <c r="V1519" s="5">
        <v>0</v>
      </c>
      <c r="W1519" s="5"/>
      <c r="X1519" s="5"/>
      <c r="Y1519" s="5"/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</row>
    <row r="1520" spans="1:37" x14ac:dyDescent="0.25">
      <c r="A1520" s="11">
        <f>Table1[[#This Row],[Milk Yield]]-J1516</f>
        <v>62</v>
      </c>
      <c r="B1520" t="s">
        <v>24</v>
      </c>
      <c r="C1520" s="2">
        <v>2</v>
      </c>
      <c r="D1520" s="12">
        <v>45847</v>
      </c>
      <c r="E1520" s="2">
        <v>29</v>
      </c>
      <c r="F1520" s="13">
        <v>0.67104166666666665</v>
      </c>
      <c r="G1520" s="3">
        <v>0.90017361111111116</v>
      </c>
      <c r="H1520" s="1">
        <v>0.22847222222222222</v>
      </c>
      <c r="I1520" s="5">
        <v>932</v>
      </c>
      <c r="J1520">
        <v>10885</v>
      </c>
      <c r="K1520">
        <v>169</v>
      </c>
      <c r="L1520" s="5">
        <v>755</v>
      </c>
      <c r="M1520" s="5">
        <v>930</v>
      </c>
      <c r="N1520">
        <v>101</v>
      </c>
      <c r="O1520">
        <v>829</v>
      </c>
      <c r="P1520" s="1">
        <v>0.23472222222222222</v>
      </c>
      <c r="Q1520" s="5">
        <v>1979</v>
      </c>
      <c r="R1520" s="14">
        <v>11.8</v>
      </c>
      <c r="S1520">
        <v>169</v>
      </c>
      <c r="T1520" s="5">
        <v>101</v>
      </c>
      <c r="U1520" s="5">
        <v>829</v>
      </c>
      <c r="V1520" s="5">
        <v>0</v>
      </c>
      <c r="W1520" s="5"/>
      <c r="X1520" s="5"/>
      <c r="Y1520" s="5"/>
      <c r="Z1520" s="5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</row>
    <row r="1521" spans="1:37" x14ac:dyDescent="0.25">
      <c r="A1521" s="11">
        <f>Table1[[#This Row],[Milk Yield]]-J1517</f>
        <v>464</v>
      </c>
      <c r="B1521" t="s">
        <v>24</v>
      </c>
      <c r="C1521" s="2">
        <v>3</v>
      </c>
      <c r="D1521" s="12">
        <v>45847</v>
      </c>
      <c r="E1521" s="2">
        <v>40</v>
      </c>
      <c r="F1521" s="13">
        <v>2.650462962962963E-3</v>
      </c>
      <c r="G1521" s="3">
        <v>0.2426736111111111</v>
      </c>
      <c r="H1521" s="1">
        <v>0.23958333333333334</v>
      </c>
      <c r="I1521" s="5">
        <v>870</v>
      </c>
      <c r="J1521">
        <v>12228</v>
      </c>
      <c r="K1521">
        <v>151</v>
      </c>
      <c r="L1521" s="5">
        <v>910</v>
      </c>
      <c r="M1521" s="5">
        <v>870</v>
      </c>
      <c r="N1521">
        <v>78</v>
      </c>
      <c r="O1521">
        <v>792</v>
      </c>
      <c r="P1521" s="1">
        <v>0.26874999999999999</v>
      </c>
      <c r="Q1521" s="5">
        <v>2123</v>
      </c>
      <c r="R1521" s="14">
        <v>14.1</v>
      </c>
      <c r="S1521">
        <v>151</v>
      </c>
      <c r="T1521" s="5">
        <v>78</v>
      </c>
      <c r="U1521" s="5">
        <v>792</v>
      </c>
      <c r="V1521" s="5">
        <v>0</v>
      </c>
      <c r="W1521" s="5"/>
      <c r="X1521" s="5"/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</row>
    <row r="1522" spans="1:37" x14ac:dyDescent="0.25">
      <c r="A1522" s="11" t="e">
        <f>Table1[[#This Row],[Milk Yield]]-J1518</f>
        <v>#VALUE!</v>
      </c>
      <c r="B1522" t="s">
        <v>0</v>
      </c>
      <c r="C1522" s="2" t="s">
        <v>1</v>
      </c>
      <c r="D1522" s="12" t="s">
        <v>2</v>
      </c>
      <c r="E1522" s="2" t="s">
        <v>3</v>
      </c>
      <c r="F1522" s="13" t="s">
        <v>4</v>
      </c>
      <c r="G1522" s="3" t="s">
        <v>5</v>
      </c>
      <c r="H1522" s="1" t="s">
        <v>6</v>
      </c>
      <c r="I1522" s="5" t="s">
        <v>8</v>
      </c>
      <c r="J1522" t="s">
        <v>9</v>
      </c>
      <c r="K1522" t="s">
        <v>10</v>
      </c>
      <c r="L1522" s="5" t="s">
        <v>11</v>
      </c>
      <c r="M1522" s="5" t="s">
        <v>12</v>
      </c>
      <c r="N1522" t="s">
        <v>13</v>
      </c>
      <c r="O1522" t="s">
        <v>20</v>
      </c>
      <c r="P1522" s="1" t="s">
        <v>7</v>
      </c>
      <c r="Q1522" s="5" t="s">
        <v>15</v>
      </c>
      <c r="R1522" s="14" t="s">
        <v>18</v>
      </c>
      <c r="S1522" t="s">
        <v>16</v>
      </c>
      <c r="T1522" s="5" t="s">
        <v>14</v>
      </c>
      <c r="U1522" s="5" t="s">
        <v>17</v>
      </c>
      <c r="V1522" s="5" t="s">
        <v>19</v>
      </c>
      <c r="W1522" s="5"/>
      <c r="X1522" s="5"/>
      <c r="Y1522" s="5"/>
      <c r="Z1522" s="5"/>
      <c r="AA1522" s="5"/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</row>
    <row r="1523" spans="1:37" x14ac:dyDescent="0.25">
      <c r="A1523" s="11">
        <f>Table1[[#This Row],[Milk Yield]]-J1519</f>
        <v>-276</v>
      </c>
      <c r="B1523" t="s">
        <v>24</v>
      </c>
      <c r="C1523" s="2">
        <v>1</v>
      </c>
      <c r="D1523" s="12">
        <v>45848</v>
      </c>
      <c r="E1523" s="2">
        <v>37</v>
      </c>
      <c r="F1523" s="13">
        <v>0.33898148148148149</v>
      </c>
      <c r="G1523" s="3">
        <v>0.56145833333333328</v>
      </c>
      <c r="H1523" s="1">
        <v>0.22222222222222221</v>
      </c>
      <c r="I1523" s="5">
        <v>821</v>
      </c>
      <c r="J1523">
        <v>11735</v>
      </c>
      <c r="K1523">
        <v>154</v>
      </c>
      <c r="L1523" s="5">
        <v>893</v>
      </c>
      <c r="M1523" s="5">
        <v>819</v>
      </c>
      <c r="N1523">
        <v>70</v>
      </c>
      <c r="O1523">
        <v>749</v>
      </c>
      <c r="P1523" s="1">
        <v>0.23402777777777778</v>
      </c>
      <c r="Q1523" s="5">
        <v>2198</v>
      </c>
      <c r="R1523" s="14">
        <v>14.4</v>
      </c>
      <c r="S1523">
        <v>153</v>
      </c>
      <c r="T1523" s="5">
        <v>70</v>
      </c>
      <c r="U1523" s="5">
        <v>749</v>
      </c>
      <c r="V1523" s="5">
        <v>0</v>
      </c>
      <c r="W1523" s="5"/>
      <c r="X1523" s="5"/>
      <c r="Y1523" s="5"/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</row>
    <row r="1524" spans="1:37" x14ac:dyDescent="0.25">
      <c r="A1524" s="11">
        <f>Table1[[#This Row],[Milk Yield]]-J1520</f>
        <v>315</v>
      </c>
      <c r="B1524" t="s">
        <v>24</v>
      </c>
      <c r="C1524" s="2">
        <v>2</v>
      </c>
      <c r="D1524" s="12">
        <v>45848</v>
      </c>
      <c r="E1524" s="2">
        <v>39</v>
      </c>
      <c r="F1524" s="13">
        <v>0.66876157407407411</v>
      </c>
      <c r="G1524" s="3">
        <v>0.90917824074074072</v>
      </c>
      <c r="H1524" s="1">
        <v>0.24027777777777778</v>
      </c>
      <c r="I1524" s="5">
        <v>834</v>
      </c>
      <c r="J1524">
        <v>11200</v>
      </c>
      <c r="K1524">
        <v>145</v>
      </c>
      <c r="L1524" s="5">
        <v>1375</v>
      </c>
      <c r="M1524" s="5">
        <v>832</v>
      </c>
      <c r="N1524">
        <v>54</v>
      </c>
      <c r="O1524">
        <v>778</v>
      </c>
      <c r="P1524" s="1">
        <v>0.25833333333333336</v>
      </c>
      <c r="Q1524" s="5">
        <v>2207</v>
      </c>
      <c r="R1524" s="14">
        <v>12</v>
      </c>
      <c r="S1524">
        <v>144</v>
      </c>
      <c r="T1524" s="5">
        <v>54</v>
      </c>
      <c r="U1524" s="5">
        <v>778</v>
      </c>
      <c r="V1524" s="5">
        <v>0</v>
      </c>
      <c r="W1524" s="5"/>
      <c r="X1524" s="5"/>
      <c r="Y1524" s="5"/>
      <c r="Z1524" s="5"/>
      <c r="AA1524" s="5"/>
      <c r="AB1524" s="5"/>
      <c r="AC1524" s="5"/>
      <c r="AD1524" s="5"/>
      <c r="AE1524" s="5"/>
      <c r="AF1524" s="5"/>
      <c r="AG1524" s="5"/>
      <c r="AH1524" s="5"/>
      <c r="AI1524" s="5"/>
      <c r="AJ1524" s="5"/>
      <c r="AK1524" s="5"/>
    </row>
    <row r="1525" spans="1:37" x14ac:dyDescent="0.25">
      <c r="A1525" s="11">
        <f>Table1[[#This Row],[Milk Yield]]-J1521</f>
        <v>-540</v>
      </c>
      <c r="B1525" t="s">
        <v>24</v>
      </c>
      <c r="C1525" s="2">
        <v>3</v>
      </c>
      <c r="D1525" s="12">
        <v>45848</v>
      </c>
      <c r="E1525" s="2">
        <v>42</v>
      </c>
      <c r="F1525" s="13">
        <v>1.5509259259259259E-3</v>
      </c>
      <c r="G1525" s="3">
        <v>0.23542824074074073</v>
      </c>
      <c r="H1525" s="1">
        <v>0.23333333333333334</v>
      </c>
      <c r="I1525" s="5">
        <v>881</v>
      </c>
      <c r="J1525">
        <v>11688</v>
      </c>
      <c r="K1525">
        <v>157</v>
      </c>
      <c r="L1525" s="5">
        <v>199</v>
      </c>
      <c r="M1525" s="5">
        <v>879</v>
      </c>
      <c r="N1525">
        <v>20</v>
      </c>
      <c r="O1525">
        <v>859</v>
      </c>
      <c r="P1525" s="1">
        <v>0.23472222222222222</v>
      </c>
      <c r="Q1525" s="5">
        <v>2082</v>
      </c>
      <c r="R1525" s="14">
        <v>13.3</v>
      </c>
      <c r="S1525">
        <v>157</v>
      </c>
      <c r="T1525" s="5">
        <v>20</v>
      </c>
      <c r="U1525" s="5">
        <v>859</v>
      </c>
      <c r="V1525" s="5">
        <v>0</v>
      </c>
      <c r="W1525" s="5"/>
      <c r="X1525" s="5"/>
      <c r="Y1525" s="5"/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</row>
    <row r="1526" spans="1:37" x14ac:dyDescent="0.25">
      <c r="A1526" s="11" t="e">
        <f>Table1[[#This Row],[Milk Yield]]-J1522</f>
        <v>#VALUE!</v>
      </c>
      <c r="B1526" t="s">
        <v>0</v>
      </c>
      <c r="C1526" s="2" t="s">
        <v>1</v>
      </c>
      <c r="D1526" s="12" t="s">
        <v>2</v>
      </c>
      <c r="E1526" s="2" t="s">
        <v>3</v>
      </c>
      <c r="F1526" s="13" t="s">
        <v>4</v>
      </c>
      <c r="G1526" s="3" t="s">
        <v>5</v>
      </c>
      <c r="H1526" s="1" t="s">
        <v>6</v>
      </c>
      <c r="I1526" s="5" t="s">
        <v>8</v>
      </c>
      <c r="J1526" t="s">
        <v>9</v>
      </c>
      <c r="K1526" t="s">
        <v>10</v>
      </c>
      <c r="L1526" s="5" t="s">
        <v>11</v>
      </c>
      <c r="M1526" s="5" t="s">
        <v>12</v>
      </c>
      <c r="N1526" t="s">
        <v>13</v>
      </c>
      <c r="O1526" t="s">
        <v>20</v>
      </c>
      <c r="P1526" s="1" t="s">
        <v>7</v>
      </c>
      <c r="Q1526" s="5" t="s">
        <v>15</v>
      </c>
      <c r="R1526" s="14" t="s">
        <v>18</v>
      </c>
      <c r="S1526" t="s">
        <v>16</v>
      </c>
      <c r="T1526" s="5" t="s">
        <v>14</v>
      </c>
      <c r="U1526" s="5" t="s">
        <v>17</v>
      </c>
      <c r="V1526" s="5" t="s">
        <v>19</v>
      </c>
      <c r="W1526" s="5"/>
      <c r="X1526" s="5"/>
      <c r="Y1526" s="5"/>
      <c r="Z1526" s="5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</row>
    <row r="1527" spans="1:37" x14ac:dyDescent="0.25">
      <c r="A1527" s="11">
        <f>Table1[[#This Row],[Milk Yield]]-J1523</f>
        <v>-189</v>
      </c>
      <c r="B1527" t="s">
        <v>24</v>
      </c>
      <c r="C1527" s="2">
        <v>1</v>
      </c>
      <c r="D1527" s="12">
        <v>45849</v>
      </c>
      <c r="E1527" s="2">
        <v>43</v>
      </c>
      <c r="F1527" s="13">
        <v>0.33743055555555557</v>
      </c>
      <c r="G1527" s="3">
        <v>0.57723379629629634</v>
      </c>
      <c r="H1527" s="1">
        <v>0.23958333333333334</v>
      </c>
      <c r="I1527" s="5">
        <v>886</v>
      </c>
      <c r="J1527">
        <v>11546</v>
      </c>
      <c r="K1527">
        <v>154</v>
      </c>
      <c r="L1527" s="5">
        <v>809</v>
      </c>
      <c r="M1527" s="5">
        <v>884</v>
      </c>
      <c r="N1527">
        <v>54</v>
      </c>
      <c r="O1527">
        <v>830</v>
      </c>
      <c r="P1527" s="1">
        <v>0.24652777777777779</v>
      </c>
      <c r="Q1527" s="5">
        <v>2006</v>
      </c>
      <c r="R1527" s="14">
        <v>13.1</v>
      </c>
      <c r="S1527">
        <v>154</v>
      </c>
      <c r="T1527" s="5">
        <v>54</v>
      </c>
      <c r="U1527" s="5">
        <v>830</v>
      </c>
      <c r="V1527" s="5">
        <v>0</v>
      </c>
      <c r="W1527" s="5"/>
      <c r="X1527" s="5"/>
      <c r="Y1527" s="5"/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</row>
    <row r="1528" spans="1:37" x14ac:dyDescent="0.25">
      <c r="A1528" s="11">
        <f>Table1[[#This Row],[Milk Yield]]-J1524</f>
        <v>-137</v>
      </c>
      <c r="B1528" t="s">
        <v>24</v>
      </c>
      <c r="C1528" s="2">
        <v>2</v>
      </c>
      <c r="D1528" s="12">
        <v>45849</v>
      </c>
      <c r="E1528" s="2">
        <v>25</v>
      </c>
      <c r="F1528" s="13">
        <v>0.67222222222222228</v>
      </c>
      <c r="G1528" s="3">
        <v>0.93406250000000002</v>
      </c>
      <c r="H1528" s="1">
        <v>0.26180555555555557</v>
      </c>
      <c r="I1528" s="5">
        <v>873</v>
      </c>
      <c r="J1528">
        <v>11063</v>
      </c>
      <c r="K1528">
        <v>139</v>
      </c>
      <c r="L1528" s="5">
        <v>1986</v>
      </c>
      <c r="M1528" s="5">
        <v>847</v>
      </c>
      <c r="N1528">
        <v>180</v>
      </c>
      <c r="O1528">
        <v>667</v>
      </c>
      <c r="P1528" s="1">
        <v>0.27638888888888891</v>
      </c>
      <c r="Q1528" s="5">
        <v>1760</v>
      </c>
      <c r="R1528" s="14">
        <v>13.1</v>
      </c>
      <c r="S1528">
        <v>135</v>
      </c>
      <c r="T1528" s="5">
        <v>180</v>
      </c>
      <c r="U1528" s="5">
        <v>667</v>
      </c>
      <c r="V1528" s="5">
        <v>0</v>
      </c>
      <c r="W1528" s="5"/>
      <c r="X1528" s="5"/>
      <c r="Y1528" s="5"/>
      <c r="Z1528" s="5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</row>
    <row r="1529" spans="1:37" x14ac:dyDescent="0.25">
      <c r="A1529" s="11">
        <f>Table1[[#This Row],[Milk Yield]]-J1525</f>
        <v>-438</v>
      </c>
      <c r="B1529" t="s">
        <v>24</v>
      </c>
      <c r="C1529" s="2">
        <v>3</v>
      </c>
      <c r="D1529" s="12">
        <v>45849</v>
      </c>
      <c r="E1529" s="2">
        <v>41</v>
      </c>
      <c r="F1529" s="13">
        <v>3.5879629629629629E-4</v>
      </c>
      <c r="G1529" s="3">
        <v>0.22702546296296297</v>
      </c>
      <c r="H1529" s="1">
        <v>0.22638888888888889</v>
      </c>
      <c r="I1529" s="5">
        <v>887</v>
      </c>
      <c r="J1529">
        <v>11250</v>
      </c>
      <c r="K1529">
        <v>163</v>
      </c>
      <c r="L1529" s="5">
        <v>751</v>
      </c>
      <c r="M1529" s="5">
        <v>885</v>
      </c>
      <c r="N1529">
        <v>78</v>
      </c>
      <c r="O1529">
        <v>807</v>
      </c>
      <c r="P1529" s="1">
        <v>0.24236111111111111</v>
      </c>
      <c r="Q1529" s="5">
        <v>2068</v>
      </c>
      <c r="R1529" s="14">
        <v>12.8</v>
      </c>
      <c r="S1529">
        <v>163</v>
      </c>
      <c r="T1529" s="5">
        <v>78</v>
      </c>
      <c r="U1529" s="5">
        <v>807</v>
      </c>
      <c r="V1529" s="5">
        <v>0</v>
      </c>
      <c r="W1529" s="5"/>
      <c r="X1529" s="5"/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</row>
    <row r="1530" spans="1:37" x14ac:dyDescent="0.25">
      <c r="A1530" s="11" t="e">
        <f>Table1[[#This Row],[Milk Yield]]-J1526</f>
        <v>#VALUE!</v>
      </c>
      <c r="B1530" t="s">
        <v>0</v>
      </c>
      <c r="C1530" s="2" t="s">
        <v>1</v>
      </c>
      <c r="D1530" s="12" t="s">
        <v>2</v>
      </c>
      <c r="E1530" s="2" t="s">
        <v>3</v>
      </c>
      <c r="F1530" s="13" t="s">
        <v>4</v>
      </c>
      <c r="G1530" s="3" t="s">
        <v>5</v>
      </c>
      <c r="H1530" s="1" t="s">
        <v>6</v>
      </c>
      <c r="I1530" s="5" t="s">
        <v>8</v>
      </c>
      <c r="J1530" t="s">
        <v>9</v>
      </c>
      <c r="K1530" t="s">
        <v>10</v>
      </c>
      <c r="L1530" s="5" t="s">
        <v>11</v>
      </c>
      <c r="M1530" s="5" t="s">
        <v>12</v>
      </c>
      <c r="N1530" t="s">
        <v>13</v>
      </c>
      <c r="O1530" t="s">
        <v>20</v>
      </c>
      <c r="P1530" s="1" t="s">
        <v>7</v>
      </c>
      <c r="Q1530" s="5" t="s">
        <v>15</v>
      </c>
      <c r="R1530" s="14" t="s">
        <v>18</v>
      </c>
      <c r="S1530" t="s">
        <v>16</v>
      </c>
      <c r="T1530" s="5" t="s">
        <v>14</v>
      </c>
      <c r="U1530" s="5" t="s">
        <v>17</v>
      </c>
      <c r="V1530" s="5" t="s">
        <v>19</v>
      </c>
      <c r="W1530" s="5"/>
      <c r="X1530" s="5"/>
      <c r="Y1530" s="5"/>
      <c r="Z1530" s="5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</row>
    <row r="1531" spans="1:37" x14ac:dyDescent="0.25">
      <c r="A1531" s="11">
        <f>Table1[[#This Row],[Milk Yield]]-J1527</f>
        <v>583</v>
      </c>
      <c r="B1531" t="s">
        <v>24</v>
      </c>
      <c r="C1531" s="2">
        <v>1</v>
      </c>
      <c r="D1531" s="12">
        <v>45850</v>
      </c>
      <c r="E1531" s="2">
        <v>39</v>
      </c>
      <c r="F1531" s="13">
        <v>0.34008101851851852</v>
      </c>
      <c r="G1531" s="3">
        <v>0.57478009259259255</v>
      </c>
      <c r="H1531" s="1">
        <v>0.23402777777777778</v>
      </c>
      <c r="I1531" s="5">
        <v>863</v>
      </c>
      <c r="J1531">
        <v>12129</v>
      </c>
      <c r="K1531">
        <v>153</v>
      </c>
      <c r="L1531" s="5">
        <v>1025</v>
      </c>
      <c r="M1531" s="5">
        <v>863</v>
      </c>
      <c r="N1531">
        <v>72</v>
      </c>
      <c r="O1531">
        <v>791</v>
      </c>
      <c r="P1531" s="1">
        <v>0.23541666666666666</v>
      </c>
      <c r="Q1531" s="5">
        <v>2153</v>
      </c>
      <c r="R1531" s="14">
        <v>14.1</v>
      </c>
      <c r="S1531">
        <v>153</v>
      </c>
      <c r="T1531" s="5">
        <v>72</v>
      </c>
      <c r="U1531" s="5">
        <v>791</v>
      </c>
      <c r="V1531" s="5">
        <v>0</v>
      </c>
      <c r="W1531" s="5"/>
      <c r="X1531" s="5"/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</row>
    <row r="1532" spans="1:37" x14ac:dyDescent="0.25">
      <c r="A1532" s="11">
        <f>Table1[[#This Row],[Milk Yield]]-J1528</f>
        <v>-800</v>
      </c>
      <c r="B1532" t="s">
        <v>24</v>
      </c>
      <c r="C1532" s="2">
        <v>2</v>
      </c>
      <c r="D1532" s="12">
        <v>45850</v>
      </c>
      <c r="E1532" s="2">
        <v>38</v>
      </c>
      <c r="F1532" s="13">
        <v>0.6750694444444445</v>
      </c>
      <c r="G1532" s="3">
        <v>0.89538194444444441</v>
      </c>
      <c r="H1532" s="1">
        <v>0.22013888888888888</v>
      </c>
      <c r="I1532" s="5">
        <v>853</v>
      </c>
      <c r="J1532">
        <v>10263</v>
      </c>
      <c r="K1532">
        <v>161</v>
      </c>
      <c r="L1532" s="5">
        <v>1060</v>
      </c>
      <c r="M1532" s="5">
        <v>852</v>
      </c>
      <c r="N1532">
        <v>76</v>
      </c>
      <c r="O1532">
        <v>776</v>
      </c>
      <c r="P1532" s="1">
        <v>0.23680555555555555</v>
      </c>
      <c r="Q1532" s="5">
        <v>1941</v>
      </c>
      <c r="R1532" s="14">
        <v>12.1</v>
      </c>
      <c r="S1532">
        <v>161</v>
      </c>
      <c r="T1532" s="5">
        <v>76</v>
      </c>
      <c r="U1532" s="5">
        <v>776</v>
      </c>
      <c r="V1532" s="5">
        <v>0</v>
      </c>
      <c r="W1532" s="5"/>
      <c r="X1532" s="5"/>
      <c r="Y1532" s="5"/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</row>
    <row r="1533" spans="1:37" x14ac:dyDescent="0.25">
      <c r="A1533" s="11">
        <f>Table1[[#This Row],[Milk Yield]]-J1529</f>
        <v>1225</v>
      </c>
      <c r="B1533" t="s">
        <v>24</v>
      </c>
      <c r="C1533" s="2">
        <v>3</v>
      </c>
      <c r="D1533" s="12">
        <v>45850</v>
      </c>
      <c r="E1533" s="2">
        <v>39</v>
      </c>
      <c r="F1533" s="13">
        <v>0.99982638888888886</v>
      </c>
      <c r="G1533" s="3">
        <v>0.2316087962962963</v>
      </c>
      <c r="H1533" s="1">
        <v>0.23125000000000001</v>
      </c>
      <c r="I1533" s="5">
        <v>844</v>
      </c>
      <c r="J1533">
        <v>12475</v>
      </c>
      <c r="K1533">
        <v>152</v>
      </c>
      <c r="L1533" s="5">
        <v>410</v>
      </c>
      <c r="M1533" s="5">
        <v>840</v>
      </c>
      <c r="N1533">
        <v>35</v>
      </c>
      <c r="O1533">
        <v>805</v>
      </c>
      <c r="P1533" s="1">
        <v>0.25694444444444442</v>
      </c>
      <c r="Q1533" s="5">
        <v>2243</v>
      </c>
      <c r="R1533" s="14">
        <v>14.9</v>
      </c>
      <c r="S1533">
        <v>151</v>
      </c>
      <c r="T1533" s="5">
        <v>35</v>
      </c>
      <c r="U1533" s="5">
        <v>805</v>
      </c>
      <c r="V1533" s="5">
        <v>0</v>
      </c>
      <c r="W1533" s="5"/>
      <c r="X1533" s="5"/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</row>
    <row r="1534" spans="1:37" x14ac:dyDescent="0.25">
      <c r="A1534" s="11" t="e">
        <f>Table1[[#This Row],[Milk Yield]]-J1530</f>
        <v>#VALUE!</v>
      </c>
      <c r="B1534" t="s">
        <v>0</v>
      </c>
      <c r="C1534" s="2" t="s">
        <v>1</v>
      </c>
      <c r="D1534" s="12" t="s">
        <v>2</v>
      </c>
      <c r="E1534" s="2" t="s">
        <v>3</v>
      </c>
      <c r="F1534" s="13" t="s">
        <v>4</v>
      </c>
      <c r="G1534" s="3" t="s">
        <v>5</v>
      </c>
      <c r="H1534" s="1" t="s">
        <v>6</v>
      </c>
      <c r="I1534" s="5" t="s">
        <v>8</v>
      </c>
      <c r="J1534" t="s">
        <v>9</v>
      </c>
      <c r="K1534" t="s">
        <v>10</v>
      </c>
      <c r="L1534" s="5" t="s">
        <v>11</v>
      </c>
      <c r="M1534" s="5" t="s">
        <v>12</v>
      </c>
      <c r="N1534" t="s">
        <v>13</v>
      </c>
      <c r="O1534" t="s">
        <v>20</v>
      </c>
      <c r="P1534" s="1" t="s">
        <v>7</v>
      </c>
      <c r="Q1534" s="5" t="s">
        <v>15</v>
      </c>
      <c r="R1534" s="14" t="s">
        <v>18</v>
      </c>
      <c r="S1534" t="s">
        <v>16</v>
      </c>
      <c r="T1534" s="5" t="s">
        <v>14</v>
      </c>
      <c r="U1534" s="5" t="s">
        <v>17</v>
      </c>
      <c r="V1534" s="5" t="s">
        <v>19</v>
      </c>
      <c r="W1534" s="5"/>
      <c r="X1534" s="5"/>
      <c r="Y1534" s="5"/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</row>
    <row r="1535" spans="1:37" x14ac:dyDescent="0.25">
      <c r="A1535" s="11">
        <f>Table1[[#This Row],[Milk Yield]]-J1531</f>
        <v>166</v>
      </c>
      <c r="B1535" t="s">
        <v>24</v>
      </c>
      <c r="C1535" s="2">
        <v>1</v>
      </c>
      <c r="D1535" s="12">
        <v>45851</v>
      </c>
      <c r="E1535" s="2">
        <v>38</v>
      </c>
      <c r="F1535" s="13">
        <v>0.33810185185185188</v>
      </c>
      <c r="G1535" s="3">
        <v>0.56996527777777772</v>
      </c>
      <c r="H1535" s="1">
        <v>0.23125000000000001</v>
      </c>
      <c r="I1535" s="5">
        <v>840</v>
      </c>
      <c r="J1535">
        <v>12295</v>
      </c>
      <c r="K1535">
        <v>151</v>
      </c>
      <c r="L1535" s="5">
        <v>619</v>
      </c>
      <c r="M1535" s="5">
        <v>838</v>
      </c>
      <c r="N1535">
        <v>37</v>
      </c>
      <c r="O1535">
        <v>801</v>
      </c>
      <c r="P1535" s="1">
        <v>0.22708333333333333</v>
      </c>
      <c r="Q1535" s="5">
        <v>2209</v>
      </c>
      <c r="R1535" s="14">
        <v>14.7</v>
      </c>
      <c r="S1535">
        <v>151</v>
      </c>
      <c r="T1535" s="5">
        <v>37</v>
      </c>
      <c r="U1535" s="5">
        <v>801</v>
      </c>
      <c r="V1535" s="5">
        <v>0</v>
      </c>
      <c r="W1535" s="5"/>
      <c r="X1535" s="5"/>
      <c r="Y1535" s="5"/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</row>
    <row r="1536" spans="1:37" x14ac:dyDescent="0.25">
      <c r="A1536" s="11">
        <f>Table1[[#This Row],[Milk Yield]]-J1532</f>
        <v>883</v>
      </c>
      <c r="B1536" t="s">
        <v>24</v>
      </c>
      <c r="C1536" s="2">
        <v>2</v>
      </c>
      <c r="D1536" s="12">
        <v>45851</v>
      </c>
      <c r="E1536" s="2">
        <v>42</v>
      </c>
      <c r="F1536" s="13">
        <v>0.67184027777777777</v>
      </c>
      <c r="G1536" s="3">
        <v>0.89217592592592587</v>
      </c>
      <c r="H1536" s="1">
        <v>0.22013888888888888</v>
      </c>
      <c r="I1536" s="5">
        <v>896</v>
      </c>
      <c r="J1536">
        <v>11146</v>
      </c>
      <c r="K1536">
        <v>169</v>
      </c>
      <c r="L1536" s="5">
        <v>1134</v>
      </c>
      <c r="M1536" s="5">
        <v>895</v>
      </c>
      <c r="N1536">
        <v>111</v>
      </c>
      <c r="O1536">
        <v>784</v>
      </c>
      <c r="P1536" s="1">
        <v>0.22569444444444445</v>
      </c>
      <c r="Q1536" s="5">
        <v>2108</v>
      </c>
      <c r="R1536" s="14">
        <v>12.5</v>
      </c>
      <c r="S1536">
        <v>169</v>
      </c>
      <c r="T1536" s="5">
        <v>111</v>
      </c>
      <c r="U1536" s="5">
        <v>784</v>
      </c>
      <c r="V1536" s="5">
        <v>0</v>
      </c>
      <c r="W1536" s="5"/>
      <c r="X1536" s="5"/>
      <c r="Y1536" s="5"/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</row>
    <row r="1537" spans="1:37" x14ac:dyDescent="0.25">
      <c r="A1537" s="11">
        <f>Table1[[#This Row],[Milk Yield]]-J1533</f>
        <v>-905</v>
      </c>
      <c r="B1537" t="s">
        <v>24</v>
      </c>
      <c r="C1537" s="2">
        <v>3</v>
      </c>
      <c r="D1537" s="12">
        <v>45851</v>
      </c>
      <c r="E1537" s="2">
        <v>41</v>
      </c>
      <c r="F1537" s="13">
        <v>0.99594907407407407</v>
      </c>
      <c r="G1537" s="3">
        <v>0.23542824074074073</v>
      </c>
      <c r="H1537" s="1">
        <v>0.2388888888888889</v>
      </c>
      <c r="I1537" s="5">
        <v>868</v>
      </c>
      <c r="J1537">
        <v>11570</v>
      </c>
      <c r="K1537">
        <v>151</v>
      </c>
      <c r="L1537" s="5">
        <v>178</v>
      </c>
      <c r="M1537" s="5">
        <v>868</v>
      </c>
      <c r="N1537">
        <v>16</v>
      </c>
      <c r="O1537">
        <v>852</v>
      </c>
      <c r="P1537" s="1">
        <v>0.2326388888888889</v>
      </c>
      <c r="Q1537" s="5">
        <v>2013</v>
      </c>
      <c r="R1537" s="14">
        <v>13.4</v>
      </c>
      <c r="S1537">
        <v>151</v>
      </c>
      <c r="T1537" s="5">
        <v>16</v>
      </c>
      <c r="U1537" s="5">
        <v>852</v>
      </c>
      <c r="V1537" s="5">
        <v>0</v>
      </c>
      <c r="W1537" s="5"/>
      <c r="X1537" s="5"/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</row>
    <row r="1538" spans="1:37" x14ac:dyDescent="0.25">
      <c r="A1538" s="11" t="e">
        <f>Table1[[#This Row],[Milk Yield]]-J1534</f>
        <v>#VALUE!</v>
      </c>
      <c r="B1538" t="s">
        <v>0</v>
      </c>
      <c r="C1538" s="2" t="s">
        <v>1</v>
      </c>
      <c r="D1538" s="12" t="s">
        <v>2</v>
      </c>
      <c r="E1538" s="2" t="s">
        <v>3</v>
      </c>
      <c r="F1538" s="13" t="s">
        <v>4</v>
      </c>
      <c r="G1538" s="3" t="s">
        <v>5</v>
      </c>
      <c r="H1538" s="1" t="s">
        <v>6</v>
      </c>
      <c r="I1538" s="5" t="s">
        <v>8</v>
      </c>
      <c r="J1538" t="s">
        <v>9</v>
      </c>
      <c r="K1538" t="s">
        <v>10</v>
      </c>
      <c r="L1538" s="5" t="s">
        <v>11</v>
      </c>
      <c r="M1538" s="5" t="s">
        <v>12</v>
      </c>
      <c r="N1538" t="s">
        <v>13</v>
      </c>
      <c r="O1538" t="s">
        <v>20</v>
      </c>
      <c r="P1538" s="1" t="s">
        <v>7</v>
      </c>
      <c r="Q1538" s="5" t="s">
        <v>15</v>
      </c>
      <c r="R1538" s="14" t="s">
        <v>18</v>
      </c>
      <c r="S1538" t="s">
        <v>16</v>
      </c>
      <c r="T1538" s="5" t="s">
        <v>14</v>
      </c>
      <c r="U1538" s="5" t="s">
        <v>17</v>
      </c>
      <c r="V1538" s="5" t="s">
        <v>19</v>
      </c>
      <c r="W1538" s="5"/>
      <c r="X1538" s="5"/>
      <c r="Y1538" s="5"/>
      <c r="Z1538" s="5"/>
      <c r="AA1538" s="5"/>
      <c r="AB1538" s="5"/>
      <c r="AC1538" s="5"/>
      <c r="AD1538" s="5"/>
      <c r="AE1538" s="5"/>
      <c r="AF1538" s="5"/>
      <c r="AG1538" s="5"/>
      <c r="AH1538" s="5"/>
      <c r="AI1538" s="5"/>
      <c r="AJ1538" s="5"/>
      <c r="AK1538" s="5"/>
    </row>
    <row r="1539" spans="1:37" x14ac:dyDescent="0.25">
      <c r="A1539" s="11">
        <f>Table1[[#This Row],[Milk Yield]]-J1535</f>
        <v>-854</v>
      </c>
      <c r="B1539" t="s">
        <v>24</v>
      </c>
      <c r="C1539" s="2">
        <v>1</v>
      </c>
      <c r="D1539" s="12">
        <v>45852</v>
      </c>
      <c r="E1539" s="2">
        <v>44</v>
      </c>
      <c r="F1539" s="13">
        <v>0.33947916666666667</v>
      </c>
      <c r="G1539" s="3">
        <v>0.57620370370370366</v>
      </c>
      <c r="H1539" s="1">
        <v>0.2361111111111111</v>
      </c>
      <c r="I1539" s="5">
        <v>897</v>
      </c>
      <c r="J1539">
        <v>11441</v>
      </c>
      <c r="K1539">
        <v>158</v>
      </c>
      <c r="L1539" s="5">
        <v>1379</v>
      </c>
      <c r="M1539" s="5">
        <v>896</v>
      </c>
      <c r="N1539">
        <v>129</v>
      </c>
      <c r="O1539">
        <v>767</v>
      </c>
      <c r="P1539" s="1">
        <v>0.23819444444444443</v>
      </c>
      <c r="Q1539" s="5">
        <v>2014</v>
      </c>
      <c r="R1539" s="14">
        <v>12.8</v>
      </c>
      <c r="S1539">
        <v>158</v>
      </c>
      <c r="T1539" s="5">
        <v>129</v>
      </c>
      <c r="U1539" s="5">
        <v>767</v>
      </c>
      <c r="V1539" s="5">
        <v>0</v>
      </c>
      <c r="W1539" s="5"/>
      <c r="X1539" s="5"/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</row>
    <row r="1540" spans="1:37" x14ac:dyDescent="0.25">
      <c r="A1540" s="11">
        <f>Table1[[#This Row],[Milk Yield]]-J1536</f>
        <v>173</v>
      </c>
      <c r="B1540" t="s">
        <v>24</v>
      </c>
      <c r="C1540" s="2">
        <v>2</v>
      </c>
      <c r="D1540" s="12">
        <v>45852</v>
      </c>
      <c r="E1540" s="2">
        <v>42</v>
      </c>
      <c r="F1540" s="13">
        <v>0.66717592592592589</v>
      </c>
      <c r="G1540" s="3">
        <v>0.90127314814814818</v>
      </c>
      <c r="H1540" s="1">
        <v>0.23402777777777778</v>
      </c>
      <c r="I1540" s="5">
        <v>906</v>
      </c>
      <c r="J1540">
        <v>11319</v>
      </c>
      <c r="K1540">
        <v>161</v>
      </c>
      <c r="L1540" s="5">
        <v>1044</v>
      </c>
      <c r="M1540" s="5">
        <v>904</v>
      </c>
      <c r="N1540">
        <v>107</v>
      </c>
      <c r="O1540">
        <v>797</v>
      </c>
      <c r="P1540" s="1">
        <v>0.23541666666666666</v>
      </c>
      <c r="Q1540" s="5">
        <v>2015</v>
      </c>
      <c r="R1540" s="14">
        <v>12.6</v>
      </c>
      <c r="S1540">
        <v>161</v>
      </c>
      <c r="T1540" s="5">
        <v>107</v>
      </c>
      <c r="U1540" s="5">
        <v>797</v>
      </c>
      <c r="V1540" s="5">
        <v>0</v>
      </c>
      <c r="W1540" s="5"/>
      <c r="X1540" s="5"/>
      <c r="Y1540" s="5"/>
      <c r="Z1540" s="5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</row>
    <row r="1541" spans="1:37" x14ac:dyDescent="0.25">
      <c r="A1541" s="11">
        <f>Table1[[#This Row],[Milk Yield]]-J1537</f>
        <v>320</v>
      </c>
      <c r="B1541" t="s">
        <v>24</v>
      </c>
      <c r="C1541" s="2">
        <v>3</v>
      </c>
      <c r="D1541" s="12">
        <v>45852</v>
      </c>
      <c r="E1541" s="2">
        <v>38</v>
      </c>
      <c r="F1541" s="13">
        <v>0.99821759259259257</v>
      </c>
      <c r="G1541" s="3">
        <v>0.2305787037037037</v>
      </c>
      <c r="H1541" s="1">
        <v>0.23194444444444445</v>
      </c>
      <c r="I1541" s="5">
        <v>867</v>
      </c>
      <c r="J1541">
        <v>11890</v>
      </c>
      <c r="K1541">
        <v>155</v>
      </c>
      <c r="L1541" s="5">
        <v>270</v>
      </c>
      <c r="M1541" s="5">
        <v>867</v>
      </c>
      <c r="N1541">
        <v>24</v>
      </c>
      <c r="O1541">
        <v>843</v>
      </c>
      <c r="P1541" s="1">
        <v>0.22500000000000001</v>
      </c>
      <c r="Q1541" s="5">
        <v>2132</v>
      </c>
      <c r="R1541" s="14">
        <v>13.8</v>
      </c>
      <c r="S1541">
        <v>155</v>
      </c>
      <c r="T1541" s="5">
        <v>24</v>
      </c>
      <c r="U1541" s="5">
        <v>843</v>
      </c>
      <c r="V1541" s="5">
        <v>0</v>
      </c>
      <c r="W1541" s="5"/>
      <c r="X1541" s="5"/>
      <c r="Y1541" s="5"/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</row>
    <row r="1542" spans="1:37" x14ac:dyDescent="0.25">
      <c r="A1542" s="11" t="e">
        <f>Table1[[#This Row],[Milk Yield]]-J1538</f>
        <v>#VALUE!</v>
      </c>
      <c r="B1542" t="s">
        <v>0</v>
      </c>
      <c r="C1542" s="2" t="s">
        <v>1</v>
      </c>
      <c r="D1542" s="12" t="s">
        <v>2</v>
      </c>
      <c r="E1542" s="2" t="s">
        <v>3</v>
      </c>
      <c r="F1542" s="13" t="s">
        <v>4</v>
      </c>
      <c r="G1542" s="3" t="s">
        <v>5</v>
      </c>
      <c r="H1542" s="1" t="s">
        <v>6</v>
      </c>
      <c r="I1542" s="5" t="s">
        <v>8</v>
      </c>
      <c r="J1542" t="s">
        <v>9</v>
      </c>
      <c r="K1542" t="s">
        <v>10</v>
      </c>
      <c r="L1542" s="5" t="s">
        <v>11</v>
      </c>
      <c r="M1542" s="5" t="s">
        <v>12</v>
      </c>
      <c r="N1542" t="s">
        <v>13</v>
      </c>
      <c r="O1542" t="s">
        <v>20</v>
      </c>
      <c r="P1542" s="1" t="s">
        <v>7</v>
      </c>
      <c r="Q1542" s="5" t="s">
        <v>15</v>
      </c>
      <c r="R1542" s="14" t="s">
        <v>18</v>
      </c>
      <c r="S1542" t="s">
        <v>16</v>
      </c>
      <c r="T1542" s="5" t="s">
        <v>14</v>
      </c>
      <c r="U1542" s="5" t="s">
        <v>17</v>
      </c>
      <c r="V1542" s="5" t="s">
        <v>19</v>
      </c>
      <c r="W1542" s="5"/>
      <c r="X1542" s="5"/>
      <c r="Y1542" s="5"/>
      <c r="Z1542" s="5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</row>
    <row r="1543" spans="1:37" x14ac:dyDescent="0.25">
      <c r="A1543" s="11">
        <f>Table1[[#This Row],[Milk Yield]]-J1539</f>
        <v>117</v>
      </c>
      <c r="B1543" t="s">
        <v>24</v>
      </c>
      <c r="C1543" s="2">
        <v>1</v>
      </c>
      <c r="D1543" s="12">
        <v>45853</v>
      </c>
      <c r="E1543" s="2">
        <v>43</v>
      </c>
      <c r="F1543" s="13">
        <v>0.33504629629629629</v>
      </c>
      <c r="G1543" s="3">
        <v>0.57207175925925924</v>
      </c>
      <c r="H1543" s="1">
        <v>0.23680555555555555</v>
      </c>
      <c r="I1543" s="5">
        <v>876</v>
      </c>
      <c r="J1543">
        <v>11558</v>
      </c>
      <c r="K1543">
        <v>154</v>
      </c>
      <c r="L1543" s="5">
        <v>424</v>
      </c>
      <c r="M1543" s="5">
        <v>875</v>
      </c>
      <c r="N1543">
        <v>37</v>
      </c>
      <c r="O1543">
        <v>838</v>
      </c>
      <c r="P1543" s="1">
        <v>0.22222222222222221</v>
      </c>
      <c r="Q1543" s="5">
        <v>2032</v>
      </c>
      <c r="R1543" s="14">
        <v>13.3</v>
      </c>
      <c r="S1543">
        <v>154</v>
      </c>
      <c r="T1543" s="5">
        <v>37</v>
      </c>
      <c r="U1543" s="5">
        <v>838</v>
      </c>
      <c r="V1543" s="5">
        <v>0</v>
      </c>
      <c r="W1543" s="5"/>
      <c r="X1543" s="5"/>
      <c r="Y1543" s="5"/>
      <c r="Z1543" s="5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</row>
    <row r="1544" spans="1:37" x14ac:dyDescent="0.25">
      <c r="A1544" s="11">
        <f>Table1[[#This Row],[Milk Yield]]-J1540</f>
        <v>-568</v>
      </c>
      <c r="B1544" t="s">
        <v>24</v>
      </c>
      <c r="C1544" s="2">
        <v>2</v>
      </c>
      <c r="D1544" s="12">
        <v>45853</v>
      </c>
      <c r="E1544" s="2">
        <v>40</v>
      </c>
      <c r="F1544" s="13">
        <v>0.66620370370370374</v>
      </c>
      <c r="G1544" s="3">
        <v>0.87297453703703709</v>
      </c>
      <c r="H1544" s="1">
        <v>0.20624999999999999</v>
      </c>
      <c r="I1544" s="5">
        <v>866</v>
      </c>
      <c r="J1544">
        <v>10751</v>
      </c>
      <c r="K1544">
        <v>174</v>
      </c>
      <c r="L1544" s="5">
        <v>953</v>
      </c>
      <c r="M1544" s="5">
        <v>864</v>
      </c>
      <c r="N1544">
        <v>89</v>
      </c>
      <c r="O1544">
        <v>775</v>
      </c>
      <c r="P1544" s="1">
        <v>0.22361111111111112</v>
      </c>
      <c r="Q1544" s="5">
        <v>2166</v>
      </c>
      <c r="R1544" s="14">
        <v>12.5</v>
      </c>
      <c r="S1544">
        <v>174</v>
      </c>
      <c r="T1544" s="5">
        <v>89</v>
      </c>
      <c r="U1544" s="5">
        <v>775</v>
      </c>
      <c r="V1544" s="5">
        <v>0</v>
      </c>
      <c r="W1544" s="5"/>
      <c r="X1544" s="5"/>
      <c r="Y1544" s="5"/>
      <c r="Z1544" s="5"/>
      <c r="AA1544" s="5"/>
      <c r="AB1544" s="5"/>
      <c r="AC1544" s="5"/>
      <c r="AD1544" s="5"/>
      <c r="AE1544" s="5"/>
      <c r="AF1544" s="5"/>
      <c r="AG1544" s="5"/>
      <c r="AH1544" s="5"/>
      <c r="AI1544" s="5"/>
      <c r="AJ1544" s="5"/>
      <c r="AK1544" s="5"/>
    </row>
    <row r="1545" spans="1:37" x14ac:dyDescent="0.25">
      <c r="A1545" s="11">
        <f>Table1[[#This Row],[Milk Yield]]-J1541</f>
        <v>236</v>
      </c>
      <c r="B1545" t="s">
        <v>24</v>
      </c>
      <c r="C1545" s="2">
        <v>3</v>
      </c>
      <c r="D1545" s="12">
        <v>45853</v>
      </c>
      <c r="E1545" s="2">
        <v>41</v>
      </c>
      <c r="F1545" s="13">
        <v>2.5810185185185185E-3</v>
      </c>
      <c r="G1545" s="3">
        <v>0.23186342592592593</v>
      </c>
      <c r="H1545" s="1">
        <v>0.22916666666666666</v>
      </c>
      <c r="I1545" s="5">
        <v>884</v>
      </c>
      <c r="J1545">
        <v>12126</v>
      </c>
      <c r="K1545">
        <v>161</v>
      </c>
      <c r="L1545" s="5">
        <v>1514</v>
      </c>
      <c r="M1545" s="5">
        <v>883</v>
      </c>
      <c r="N1545">
        <v>124</v>
      </c>
      <c r="O1545">
        <v>759</v>
      </c>
      <c r="P1545" s="1">
        <v>0.23819444444444443</v>
      </c>
      <c r="Q1545" s="5">
        <v>2204</v>
      </c>
      <c r="R1545" s="14">
        <v>13.8</v>
      </c>
      <c r="S1545">
        <v>160</v>
      </c>
      <c r="T1545" s="5">
        <v>124</v>
      </c>
      <c r="U1545" s="5">
        <v>759</v>
      </c>
      <c r="V1545" s="5">
        <v>0</v>
      </c>
      <c r="W1545" s="5"/>
      <c r="X1545" s="5"/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</row>
    <row r="1546" spans="1:37" x14ac:dyDescent="0.25">
      <c r="A1546" s="11" t="e">
        <f>Table1[[#This Row],[Milk Yield]]-J1542</f>
        <v>#VALUE!</v>
      </c>
      <c r="B1546" t="s">
        <v>0</v>
      </c>
      <c r="C1546" s="2" t="s">
        <v>1</v>
      </c>
      <c r="D1546" s="12" t="s">
        <v>2</v>
      </c>
      <c r="E1546" s="2" t="s">
        <v>3</v>
      </c>
      <c r="F1546" s="13" t="s">
        <v>4</v>
      </c>
      <c r="G1546" s="3" t="s">
        <v>5</v>
      </c>
      <c r="H1546" s="1" t="s">
        <v>6</v>
      </c>
      <c r="I1546" s="5" t="s">
        <v>8</v>
      </c>
      <c r="J1546" t="s">
        <v>9</v>
      </c>
      <c r="K1546" t="s">
        <v>10</v>
      </c>
      <c r="L1546" s="5" t="s">
        <v>11</v>
      </c>
      <c r="M1546" s="5" t="s">
        <v>12</v>
      </c>
      <c r="N1546" t="s">
        <v>13</v>
      </c>
      <c r="O1546" t="s">
        <v>20</v>
      </c>
      <c r="P1546" s="1" t="s">
        <v>7</v>
      </c>
      <c r="Q1546" s="5" t="s">
        <v>15</v>
      </c>
      <c r="R1546" s="14" t="s">
        <v>18</v>
      </c>
      <c r="S1546" t="s">
        <v>16</v>
      </c>
      <c r="T1546" s="5" t="s">
        <v>14</v>
      </c>
      <c r="U1546" s="5" t="s">
        <v>17</v>
      </c>
      <c r="V1546" s="5" t="s">
        <v>19</v>
      </c>
      <c r="W1546" s="5"/>
      <c r="X1546" s="5"/>
      <c r="Y1546" s="5"/>
      <c r="Z1546" s="5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/>
    </row>
    <row r="1547" spans="1:37" x14ac:dyDescent="0.25">
      <c r="A1547" s="11">
        <f>Table1[[#This Row],[Milk Yield]]-J1543</f>
        <v>189</v>
      </c>
      <c r="B1547" t="s">
        <v>24</v>
      </c>
      <c r="C1547" s="2">
        <v>1</v>
      </c>
      <c r="D1547" s="12">
        <v>45854</v>
      </c>
      <c r="E1547" s="2">
        <v>42</v>
      </c>
      <c r="F1547" s="13">
        <v>0.33435185185185184</v>
      </c>
      <c r="G1547" s="3">
        <v>0.56678240740740737</v>
      </c>
      <c r="H1547" s="1">
        <v>0.23194444444444445</v>
      </c>
      <c r="I1547" s="5">
        <v>886</v>
      </c>
      <c r="J1547">
        <v>11747</v>
      </c>
      <c r="K1547">
        <v>159</v>
      </c>
      <c r="L1547" s="5">
        <v>710</v>
      </c>
      <c r="M1547" s="5">
        <v>884</v>
      </c>
      <c r="N1547">
        <v>62</v>
      </c>
      <c r="O1547">
        <v>822</v>
      </c>
      <c r="P1547" s="1">
        <v>0.22569444444444445</v>
      </c>
      <c r="Q1547" s="5">
        <v>2106</v>
      </c>
      <c r="R1547" s="14">
        <v>13.3</v>
      </c>
      <c r="S1547">
        <v>158</v>
      </c>
      <c r="T1547" s="5">
        <v>62</v>
      </c>
      <c r="U1547" s="5">
        <v>822</v>
      </c>
      <c r="V1547" s="5">
        <v>0</v>
      </c>
      <c r="W1547" s="5"/>
      <c r="X1547" s="5"/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</row>
    <row r="1548" spans="1:37" x14ac:dyDescent="0.25">
      <c r="A1548" s="11">
        <f>Table1[[#This Row],[Milk Yield]]-J1544</f>
        <v>757</v>
      </c>
      <c r="B1548" t="s">
        <v>24</v>
      </c>
      <c r="C1548" s="2">
        <v>2</v>
      </c>
      <c r="D1548" s="12">
        <v>45854</v>
      </c>
      <c r="E1548" s="2">
        <v>38</v>
      </c>
      <c r="F1548" s="13">
        <v>0.66978009259259264</v>
      </c>
      <c r="G1548" s="3">
        <v>0.89603009259259259</v>
      </c>
      <c r="H1548" s="1">
        <v>0.22569444444444445</v>
      </c>
      <c r="I1548" s="5">
        <v>841</v>
      </c>
      <c r="J1548">
        <v>11508</v>
      </c>
      <c r="K1548">
        <v>155</v>
      </c>
      <c r="L1548" s="5">
        <v>397</v>
      </c>
      <c r="M1548" s="5">
        <v>840</v>
      </c>
      <c r="N1548">
        <v>33</v>
      </c>
      <c r="O1548">
        <v>807</v>
      </c>
      <c r="P1548" s="1">
        <v>0.25416666666666665</v>
      </c>
      <c r="Q1548" s="5">
        <v>2119</v>
      </c>
      <c r="R1548" s="14">
        <v>13.7</v>
      </c>
      <c r="S1548">
        <v>155</v>
      </c>
      <c r="T1548" s="5">
        <v>33</v>
      </c>
      <c r="U1548" s="5">
        <v>807</v>
      </c>
      <c r="V1548" s="5">
        <v>0</v>
      </c>
      <c r="W1548" s="5"/>
      <c r="X1548" s="5"/>
      <c r="Y1548" s="5"/>
      <c r="Z1548" s="5"/>
      <c r="AA1548" s="5"/>
      <c r="AB1548" s="5"/>
      <c r="AC1548" s="5"/>
      <c r="AD1548" s="5"/>
      <c r="AE1548" s="5"/>
      <c r="AF1548" s="5"/>
      <c r="AG1548" s="5"/>
      <c r="AH1548" s="5"/>
      <c r="AI1548" s="5"/>
      <c r="AJ1548" s="5"/>
      <c r="AK1548" s="5"/>
    </row>
    <row r="1549" spans="1:37" x14ac:dyDescent="0.25">
      <c r="A1549" s="11">
        <f>Table1[[#This Row],[Milk Yield]]-J1545</f>
        <v>-528</v>
      </c>
      <c r="B1549" t="s">
        <v>24</v>
      </c>
      <c r="C1549" s="2">
        <v>3</v>
      </c>
      <c r="D1549" s="12">
        <v>45854</v>
      </c>
      <c r="E1549" s="2">
        <v>42</v>
      </c>
      <c r="F1549" s="13">
        <v>2.5462962962962965E-3</v>
      </c>
      <c r="G1549" s="3">
        <v>0.24577546296296296</v>
      </c>
      <c r="H1549" s="1">
        <v>0.24305555555555555</v>
      </c>
      <c r="I1549" s="5">
        <v>876</v>
      </c>
      <c r="J1549">
        <v>11598</v>
      </c>
      <c r="K1549">
        <v>150</v>
      </c>
      <c r="L1549" s="5">
        <v>338</v>
      </c>
      <c r="M1549" s="5">
        <v>875</v>
      </c>
      <c r="N1549">
        <v>30</v>
      </c>
      <c r="O1549">
        <v>845</v>
      </c>
      <c r="P1549" s="1">
        <v>0.2298611111111111</v>
      </c>
      <c r="Q1549" s="5">
        <v>1987</v>
      </c>
      <c r="R1549" s="14">
        <v>13.3</v>
      </c>
      <c r="S1549">
        <v>150</v>
      </c>
      <c r="T1549" s="5">
        <v>30</v>
      </c>
      <c r="U1549" s="5">
        <v>845</v>
      </c>
      <c r="V1549" s="5">
        <v>0</v>
      </c>
      <c r="W1549" s="5"/>
      <c r="X1549" s="5"/>
      <c r="Y1549" s="5"/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</row>
    <row r="1550" spans="1:37" x14ac:dyDescent="0.25">
      <c r="A1550" s="11" t="e">
        <f>Table1[[#This Row],[Milk Yield]]-J1546</f>
        <v>#VALUE!</v>
      </c>
      <c r="B1550" t="s">
        <v>0</v>
      </c>
      <c r="C1550" s="2" t="s">
        <v>1</v>
      </c>
      <c r="D1550" s="12" t="s">
        <v>2</v>
      </c>
      <c r="E1550" s="2" t="s">
        <v>3</v>
      </c>
      <c r="F1550" s="13" t="s">
        <v>4</v>
      </c>
      <c r="G1550" s="3" t="s">
        <v>5</v>
      </c>
      <c r="H1550" s="1" t="s">
        <v>6</v>
      </c>
      <c r="I1550" s="5" t="s">
        <v>8</v>
      </c>
      <c r="J1550" t="s">
        <v>9</v>
      </c>
      <c r="K1550" t="s">
        <v>10</v>
      </c>
      <c r="L1550" s="5" t="s">
        <v>11</v>
      </c>
      <c r="M1550" s="5" t="s">
        <v>12</v>
      </c>
      <c r="N1550" t="s">
        <v>13</v>
      </c>
      <c r="O1550" t="s">
        <v>20</v>
      </c>
      <c r="P1550" s="1" t="s">
        <v>7</v>
      </c>
      <c r="Q1550" s="5" t="s">
        <v>15</v>
      </c>
      <c r="R1550" s="14" t="s">
        <v>18</v>
      </c>
      <c r="S1550" t="s">
        <v>16</v>
      </c>
      <c r="T1550" s="5" t="s">
        <v>14</v>
      </c>
      <c r="U1550" s="5" t="s">
        <v>17</v>
      </c>
      <c r="V1550" s="5" t="s">
        <v>19</v>
      </c>
      <c r="W1550" s="5"/>
      <c r="X1550" s="5"/>
      <c r="Y1550" s="5"/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</row>
    <row r="1551" spans="1:37" x14ac:dyDescent="0.25">
      <c r="A1551" s="11">
        <f>Table1[[#This Row],[Milk Yield]]-J1547</f>
        <v>-474</v>
      </c>
      <c r="B1551" t="s">
        <v>24</v>
      </c>
      <c r="C1551" s="2">
        <v>1</v>
      </c>
      <c r="D1551" s="12">
        <v>45855</v>
      </c>
      <c r="E1551" s="2">
        <v>31</v>
      </c>
      <c r="F1551" s="13">
        <v>0.33824074074074073</v>
      </c>
      <c r="G1551" s="3">
        <v>0.57413194444444449</v>
      </c>
      <c r="H1551" s="1">
        <v>0.23541666666666666</v>
      </c>
      <c r="I1551" s="5">
        <v>860</v>
      </c>
      <c r="J1551">
        <v>11273</v>
      </c>
      <c r="K1551">
        <v>152</v>
      </c>
      <c r="L1551" s="5">
        <v>1580</v>
      </c>
      <c r="M1551" s="5">
        <v>859</v>
      </c>
      <c r="N1551">
        <v>175</v>
      </c>
      <c r="O1551">
        <v>684</v>
      </c>
      <c r="P1551" s="1">
        <v>0.2638888888888889</v>
      </c>
      <c r="Q1551" s="5">
        <v>1991</v>
      </c>
      <c r="R1551" s="14">
        <v>13.2</v>
      </c>
      <c r="S1551">
        <v>152</v>
      </c>
      <c r="T1551" s="5">
        <v>175</v>
      </c>
      <c r="U1551" s="5">
        <v>684</v>
      </c>
      <c r="V1551" s="5">
        <v>0</v>
      </c>
      <c r="W1551" s="5"/>
      <c r="X1551" s="5"/>
      <c r="Y1551" s="5"/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</row>
    <row r="1552" spans="1:37" x14ac:dyDescent="0.25">
      <c r="A1552" s="11">
        <f>Table1[[#This Row],[Milk Yield]]-J1548</f>
        <v>-188</v>
      </c>
      <c r="B1552" t="s">
        <v>24</v>
      </c>
      <c r="C1552" s="2">
        <v>2</v>
      </c>
      <c r="D1552" s="12">
        <v>45855</v>
      </c>
      <c r="E1552" s="2">
        <v>43</v>
      </c>
      <c r="F1552" s="13">
        <v>0.66781250000000003</v>
      </c>
      <c r="G1552" s="3">
        <v>0.90016203703703701</v>
      </c>
      <c r="H1552" s="1">
        <v>0.23194444444444445</v>
      </c>
      <c r="I1552" s="5">
        <v>873</v>
      </c>
      <c r="J1552">
        <v>11320</v>
      </c>
      <c r="K1552">
        <v>157</v>
      </c>
      <c r="L1552" s="5">
        <v>926</v>
      </c>
      <c r="M1552" s="5">
        <v>873</v>
      </c>
      <c r="N1552">
        <v>75</v>
      </c>
      <c r="O1552">
        <v>798</v>
      </c>
      <c r="P1552" s="1">
        <v>0.22638888888888889</v>
      </c>
      <c r="Q1552" s="5">
        <v>2030</v>
      </c>
      <c r="R1552" s="14">
        <v>13</v>
      </c>
      <c r="S1552">
        <v>157</v>
      </c>
      <c r="T1552" s="5">
        <v>75</v>
      </c>
      <c r="U1552" s="5">
        <v>798</v>
      </c>
      <c r="V1552" s="5">
        <v>0</v>
      </c>
      <c r="W1552" s="5"/>
      <c r="X1552" s="5"/>
      <c r="Y1552" s="5"/>
      <c r="Z1552" s="5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/>
    </row>
    <row r="1553" spans="1:37" x14ac:dyDescent="0.25">
      <c r="A1553" s="11">
        <f>Table1[[#This Row],[Milk Yield]]-J1549</f>
        <v>336</v>
      </c>
      <c r="B1553" t="s">
        <v>24</v>
      </c>
      <c r="C1553" s="2">
        <v>3</v>
      </c>
      <c r="D1553" s="12">
        <v>45855</v>
      </c>
      <c r="E1553" s="2">
        <v>39</v>
      </c>
      <c r="F1553" s="13">
        <v>3.5185185185185185E-3</v>
      </c>
      <c r="G1553" s="3">
        <v>0.24412037037037038</v>
      </c>
      <c r="H1553" s="1">
        <v>0.24027777777777778</v>
      </c>
      <c r="I1553" s="5">
        <v>813</v>
      </c>
      <c r="J1553">
        <v>11934</v>
      </c>
      <c r="K1553">
        <v>141</v>
      </c>
      <c r="L1553" s="5">
        <v>1820</v>
      </c>
      <c r="M1553" s="5">
        <v>813</v>
      </c>
      <c r="N1553">
        <v>125</v>
      </c>
      <c r="O1553">
        <v>688</v>
      </c>
      <c r="P1553" s="1">
        <v>0.28194444444444444</v>
      </c>
      <c r="Q1553" s="5">
        <v>2067</v>
      </c>
      <c r="R1553" s="14">
        <v>14.7</v>
      </c>
      <c r="S1553">
        <v>141</v>
      </c>
      <c r="T1553" s="5">
        <v>125</v>
      </c>
      <c r="U1553" s="5">
        <v>688</v>
      </c>
      <c r="V1553" s="5">
        <v>0</v>
      </c>
      <c r="W1553" s="5"/>
      <c r="X1553" s="5"/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</row>
    <row r="1554" spans="1:37" x14ac:dyDescent="0.25">
      <c r="A1554" s="11" t="e">
        <f>Table1[[#This Row],[Milk Yield]]-J1550</f>
        <v>#VALUE!</v>
      </c>
      <c r="B1554" t="s">
        <v>0</v>
      </c>
      <c r="C1554" s="2" t="s">
        <v>1</v>
      </c>
      <c r="D1554" s="12" t="s">
        <v>2</v>
      </c>
      <c r="E1554" s="2" t="s">
        <v>3</v>
      </c>
      <c r="F1554" s="13" t="s">
        <v>4</v>
      </c>
      <c r="G1554" s="3" t="s">
        <v>5</v>
      </c>
      <c r="H1554" s="1" t="s">
        <v>6</v>
      </c>
      <c r="I1554" s="5" t="s">
        <v>8</v>
      </c>
      <c r="J1554" t="s">
        <v>9</v>
      </c>
      <c r="K1554" t="s">
        <v>10</v>
      </c>
      <c r="L1554" s="5" t="s">
        <v>11</v>
      </c>
      <c r="M1554" s="5" t="s">
        <v>12</v>
      </c>
      <c r="N1554" t="s">
        <v>13</v>
      </c>
      <c r="O1554" t="s">
        <v>20</v>
      </c>
      <c r="P1554" s="1" t="s">
        <v>7</v>
      </c>
      <c r="Q1554" s="5" t="s">
        <v>15</v>
      </c>
      <c r="R1554" s="14" t="s">
        <v>18</v>
      </c>
      <c r="S1554" t="s">
        <v>16</v>
      </c>
      <c r="T1554" s="5" t="s">
        <v>14</v>
      </c>
      <c r="U1554" s="5" t="s">
        <v>17</v>
      </c>
      <c r="V1554" s="5" t="s">
        <v>19</v>
      </c>
      <c r="W1554" s="5"/>
      <c r="X1554" s="5"/>
      <c r="Y1554" s="5"/>
      <c r="Z1554" s="5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/>
    </row>
    <row r="1555" spans="1:37" x14ac:dyDescent="0.25">
      <c r="A1555" s="11">
        <f>Table1[[#This Row],[Milk Yield]]-J1551</f>
        <v>786</v>
      </c>
      <c r="B1555" t="s">
        <v>24</v>
      </c>
      <c r="C1555" s="2">
        <v>1</v>
      </c>
      <c r="D1555" s="12">
        <v>45856</v>
      </c>
      <c r="E1555" s="2">
        <v>42</v>
      </c>
      <c r="F1555" s="13">
        <v>0.33459490740740738</v>
      </c>
      <c r="G1555" s="3">
        <v>0.55717592592592591</v>
      </c>
      <c r="H1555" s="1">
        <v>0.22222222222222221</v>
      </c>
      <c r="I1555" s="5">
        <v>873</v>
      </c>
      <c r="J1555">
        <v>12059</v>
      </c>
      <c r="K1555">
        <v>163</v>
      </c>
      <c r="L1555" s="5">
        <v>314</v>
      </c>
      <c r="M1555" s="5">
        <v>870</v>
      </c>
      <c r="N1555">
        <v>38</v>
      </c>
      <c r="O1555">
        <v>832</v>
      </c>
      <c r="P1555" s="1">
        <v>0.24444444444444444</v>
      </c>
      <c r="Q1555" s="5">
        <v>2257</v>
      </c>
      <c r="R1555" s="14">
        <v>13.9</v>
      </c>
      <c r="S1555">
        <v>163</v>
      </c>
      <c r="T1555" s="5">
        <v>38</v>
      </c>
      <c r="U1555" s="5">
        <v>831</v>
      </c>
      <c r="V1555" s="5">
        <v>0</v>
      </c>
      <c r="W1555" s="5"/>
      <c r="X1555" s="5"/>
      <c r="Y1555" s="5"/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</row>
    <row r="1556" spans="1:37" x14ac:dyDescent="0.25">
      <c r="A1556" s="11">
        <f>Table1[[#This Row],[Milk Yield]]-J1552</f>
        <v>509</v>
      </c>
      <c r="B1556" t="s">
        <v>24</v>
      </c>
      <c r="C1556" s="2">
        <v>2</v>
      </c>
      <c r="D1556" s="12">
        <v>45856</v>
      </c>
      <c r="E1556" s="2">
        <v>41</v>
      </c>
      <c r="F1556" s="13">
        <v>0.66806712962962966</v>
      </c>
      <c r="G1556" s="3">
        <v>0.9122569444444445</v>
      </c>
      <c r="H1556" s="1">
        <v>0.24374999999999999</v>
      </c>
      <c r="I1556" s="5">
        <v>885</v>
      </c>
      <c r="J1556">
        <v>11829</v>
      </c>
      <c r="K1556">
        <v>151</v>
      </c>
      <c r="L1556" s="5">
        <v>287</v>
      </c>
      <c r="M1556" s="5">
        <v>884</v>
      </c>
      <c r="N1556">
        <v>31</v>
      </c>
      <c r="O1556">
        <v>853</v>
      </c>
      <c r="P1556" s="1">
        <v>0.22847222222222222</v>
      </c>
      <c r="Q1556" s="5">
        <v>2018</v>
      </c>
      <c r="R1556" s="14">
        <v>13.4</v>
      </c>
      <c r="S1556">
        <v>151</v>
      </c>
      <c r="T1556" s="5">
        <v>31</v>
      </c>
      <c r="U1556" s="5">
        <v>853</v>
      </c>
      <c r="V1556" s="5">
        <v>0</v>
      </c>
      <c r="W1556" s="5"/>
      <c r="X1556" s="5"/>
      <c r="Y1556" s="5"/>
      <c r="Z1556" s="5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</row>
    <row r="1557" spans="1:37" x14ac:dyDescent="0.25">
      <c r="A1557" s="11">
        <f>Table1[[#This Row],[Milk Yield]]-J1553</f>
        <v>-521</v>
      </c>
      <c r="B1557" t="s">
        <v>24</v>
      </c>
      <c r="C1557" s="2">
        <v>3</v>
      </c>
      <c r="D1557" s="12">
        <v>45856</v>
      </c>
      <c r="E1557" s="2">
        <v>38</v>
      </c>
      <c r="F1557" s="13">
        <v>1.6435185185185185E-3</v>
      </c>
      <c r="G1557" s="3">
        <v>0.22300925925925927</v>
      </c>
      <c r="H1557" s="1">
        <v>0.22083333333333333</v>
      </c>
      <c r="I1557" s="5">
        <v>854</v>
      </c>
      <c r="J1557">
        <v>11413</v>
      </c>
      <c r="K1557">
        <v>161</v>
      </c>
      <c r="L1557" s="5">
        <v>783</v>
      </c>
      <c r="M1557" s="5">
        <v>852</v>
      </c>
      <c r="N1557">
        <v>43</v>
      </c>
      <c r="O1557">
        <v>809</v>
      </c>
      <c r="P1557" s="1">
        <v>0.23055555555555557</v>
      </c>
      <c r="Q1557" s="5">
        <v>2148</v>
      </c>
      <c r="R1557" s="14">
        <v>13.4</v>
      </c>
      <c r="S1557">
        <v>160</v>
      </c>
      <c r="T1557" s="5">
        <v>43</v>
      </c>
      <c r="U1557" s="5">
        <v>809</v>
      </c>
      <c r="V1557" s="5">
        <v>0</v>
      </c>
      <c r="W1557" s="5"/>
      <c r="X1557" s="5"/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</row>
    <row r="1558" spans="1:37" x14ac:dyDescent="0.25">
      <c r="A1558" s="11" t="e">
        <f>Table1[[#This Row],[Milk Yield]]-J1554</f>
        <v>#VALUE!</v>
      </c>
      <c r="B1558" t="s">
        <v>0</v>
      </c>
      <c r="C1558" s="2" t="s">
        <v>1</v>
      </c>
      <c r="D1558" s="12" t="s">
        <v>2</v>
      </c>
      <c r="E1558" s="2" t="s">
        <v>3</v>
      </c>
      <c r="F1558" s="13" t="s">
        <v>4</v>
      </c>
      <c r="G1558" s="3" t="s">
        <v>5</v>
      </c>
      <c r="H1558" s="1" t="s">
        <v>6</v>
      </c>
      <c r="I1558" s="5" t="s">
        <v>8</v>
      </c>
      <c r="J1558" t="s">
        <v>9</v>
      </c>
      <c r="K1558" t="s">
        <v>10</v>
      </c>
      <c r="L1558" s="5" t="s">
        <v>11</v>
      </c>
      <c r="M1558" s="5" t="s">
        <v>12</v>
      </c>
      <c r="N1558" t="s">
        <v>13</v>
      </c>
      <c r="O1558" t="s">
        <v>20</v>
      </c>
      <c r="P1558" s="1" t="s">
        <v>7</v>
      </c>
      <c r="Q1558" s="5" t="s">
        <v>15</v>
      </c>
      <c r="R1558" s="14" t="s">
        <v>18</v>
      </c>
      <c r="S1558" t="s">
        <v>16</v>
      </c>
      <c r="T1558" s="5" t="s">
        <v>14</v>
      </c>
      <c r="U1558" s="5" t="s">
        <v>17</v>
      </c>
      <c r="V1558" s="5" t="s">
        <v>19</v>
      </c>
      <c r="W1558" s="5"/>
      <c r="X1558" s="5"/>
      <c r="Y1558" s="5"/>
      <c r="Z1558" s="5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</row>
    <row r="1559" spans="1:37" x14ac:dyDescent="0.25">
      <c r="A1559" s="11">
        <f>Table1[[#This Row],[Milk Yield]]-J1555</f>
        <v>83</v>
      </c>
      <c r="B1559" t="s">
        <v>24</v>
      </c>
      <c r="C1559" s="2">
        <v>1</v>
      </c>
      <c r="D1559" s="12">
        <v>45857</v>
      </c>
      <c r="E1559" s="2">
        <v>42</v>
      </c>
      <c r="F1559" s="13">
        <v>0.33378472222222222</v>
      </c>
      <c r="G1559" s="3">
        <v>0.55902777777777779</v>
      </c>
      <c r="H1559" s="1">
        <v>0.22500000000000001</v>
      </c>
      <c r="I1559" s="5">
        <v>863</v>
      </c>
      <c r="J1559">
        <v>12142</v>
      </c>
      <c r="K1559">
        <v>160</v>
      </c>
      <c r="L1559" s="5">
        <v>590</v>
      </c>
      <c r="M1559" s="5">
        <v>863</v>
      </c>
      <c r="N1559">
        <v>45</v>
      </c>
      <c r="O1559">
        <v>818</v>
      </c>
      <c r="P1559" s="1">
        <v>0.24513888888888888</v>
      </c>
      <c r="Q1559" s="5">
        <v>2246</v>
      </c>
      <c r="R1559" s="14">
        <v>14.1</v>
      </c>
      <c r="S1559">
        <v>160</v>
      </c>
      <c r="T1559" s="5">
        <v>45</v>
      </c>
      <c r="U1559" s="5">
        <v>818</v>
      </c>
      <c r="V1559" s="5">
        <v>0</v>
      </c>
      <c r="W1559" s="5"/>
      <c r="X1559" s="5"/>
      <c r="Y1559" s="5"/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</row>
    <row r="1560" spans="1:37" x14ac:dyDescent="0.25">
      <c r="A1560" s="11">
        <f>Table1[[#This Row],[Milk Yield]]-J1556</f>
        <v>179</v>
      </c>
      <c r="B1560" t="s">
        <v>24</v>
      </c>
      <c r="C1560" s="2">
        <v>2</v>
      </c>
      <c r="D1560" s="12">
        <v>45857</v>
      </c>
      <c r="E1560" s="2">
        <v>40</v>
      </c>
      <c r="F1560" s="13">
        <v>0.67086805555555551</v>
      </c>
      <c r="G1560" s="3">
        <v>0.90986111111111112</v>
      </c>
      <c r="H1560" s="1">
        <v>0.2388888888888889</v>
      </c>
      <c r="I1560" s="5">
        <v>863</v>
      </c>
      <c r="J1560">
        <v>12008</v>
      </c>
      <c r="K1560">
        <v>150</v>
      </c>
      <c r="L1560" s="5">
        <v>559</v>
      </c>
      <c r="M1560" s="5">
        <v>860</v>
      </c>
      <c r="N1560">
        <v>49</v>
      </c>
      <c r="O1560">
        <v>811</v>
      </c>
      <c r="P1560" s="1">
        <v>0.25208333333333333</v>
      </c>
      <c r="Q1560" s="5">
        <v>2094</v>
      </c>
      <c r="R1560" s="14">
        <v>14</v>
      </c>
      <c r="S1560">
        <v>150</v>
      </c>
      <c r="T1560" s="5">
        <v>49</v>
      </c>
      <c r="U1560" s="5">
        <v>811</v>
      </c>
      <c r="V1560" s="5">
        <v>0</v>
      </c>
      <c r="W1560" s="5"/>
      <c r="X1560" s="5"/>
      <c r="Y1560" s="5"/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</row>
    <row r="1561" spans="1:37" x14ac:dyDescent="0.25">
      <c r="A1561" s="11">
        <f>Table1[[#This Row],[Milk Yield]]-J1557</f>
        <v>1211</v>
      </c>
      <c r="B1561" t="s">
        <v>24</v>
      </c>
      <c r="C1561" s="2">
        <v>3</v>
      </c>
      <c r="D1561" s="12">
        <v>45857</v>
      </c>
      <c r="E1561" s="2">
        <v>39</v>
      </c>
      <c r="F1561" s="13">
        <v>0.99815972222222227</v>
      </c>
      <c r="G1561" s="3">
        <v>0.24440972222222221</v>
      </c>
      <c r="H1561" s="1">
        <v>0.24583333333333332</v>
      </c>
      <c r="I1561" s="5">
        <v>804</v>
      </c>
      <c r="J1561">
        <v>12624</v>
      </c>
      <c r="K1561">
        <v>136</v>
      </c>
      <c r="L1561" s="5">
        <v>354</v>
      </c>
      <c r="M1561" s="5">
        <v>804</v>
      </c>
      <c r="N1561">
        <v>35</v>
      </c>
      <c r="O1561">
        <v>769</v>
      </c>
      <c r="P1561" s="1">
        <v>0.28194444444444444</v>
      </c>
      <c r="Q1561" s="5">
        <v>2136</v>
      </c>
      <c r="R1561" s="14">
        <v>15.8</v>
      </c>
      <c r="S1561">
        <v>136</v>
      </c>
      <c r="T1561" s="5">
        <v>35</v>
      </c>
      <c r="U1561" s="5">
        <v>769</v>
      </c>
      <c r="V1561" s="5">
        <v>0</v>
      </c>
      <c r="W1561" s="5"/>
      <c r="X1561" s="5"/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</row>
    <row r="1562" spans="1:37" x14ac:dyDescent="0.25">
      <c r="A1562" s="11" t="e">
        <f>Table1[[#This Row],[Milk Yield]]-J1558</f>
        <v>#VALUE!</v>
      </c>
      <c r="B1562" t="s">
        <v>0</v>
      </c>
      <c r="C1562" s="2" t="s">
        <v>1</v>
      </c>
      <c r="D1562" s="12" t="s">
        <v>2</v>
      </c>
      <c r="E1562" s="2" t="s">
        <v>3</v>
      </c>
      <c r="F1562" s="13" t="s">
        <v>4</v>
      </c>
      <c r="G1562" s="3" t="s">
        <v>5</v>
      </c>
      <c r="H1562" s="1" t="s">
        <v>6</v>
      </c>
      <c r="I1562" s="5" t="s">
        <v>8</v>
      </c>
      <c r="J1562" t="s">
        <v>9</v>
      </c>
      <c r="K1562" t="s">
        <v>10</v>
      </c>
      <c r="L1562" s="5" t="s">
        <v>11</v>
      </c>
      <c r="M1562" s="5" t="s">
        <v>12</v>
      </c>
      <c r="N1562" t="s">
        <v>13</v>
      </c>
      <c r="O1562" t="s">
        <v>20</v>
      </c>
      <c r="P1562" s="1" t="s">
        <v>7</v>
      </c>
      <c r="Q1562" s="5" t="s">
        <v>15</v>
      </c>
      <c r="R1562" s="14" t="s">
        <v>18</v>
      </c>
      <c r="S1562" t="s">
        <v>16</v>
      </c>
      <c r="T1562" s="5" t="s">
        <v>14</v>
      </c>
      <c r="U1562" s="5" t="s">
        <v>17</v>
      </c>
      <c r="V1562" s="5" t="s">
        <v>19</v>
      </c>
      <c r="W1562" s="5"/>
      <c r="X1562" s="5"/>
      <c r="Y1562" s="5"/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</row>
    <row r="1563" spans="1:37" x14ac:dyDescent="0.25">
      <c r="A1563" s="11">
        <f>Table1[[#This Row],[Milk Yield]]-J1559</f>
        <v>-291</v>
      </c>
      <c r="B1563" t="s">
        <v>24</v>
      </c>
      <c r="C1563" s="2">
        <v>1</v>
      </c>
      <c r="D1563" s="12">
        <v>45858</v>
      </c>
      <c r="E1563" s="2">
        <v>43</v>
      </c>
      <c r="F1563" s="13">
        <v>0.33478009259259262</v>
      </c>
      <c r="G1563" s="3">
        <v>0.5508912037037037</v>
      </c>
      <c r="H1563" s="1">
        <v>0.21597222222222223</v>
      </c>
      <c r="I1563" s="5">
        <v>890</v>
      </c>
      <c r="J1563">
        <v>11851</v>
      </c>
      <c r="K1563">
        <v>172</v>
      </c>
      <c r="L1563" s="5">
        <v>1201</v>
      </c>
      <c r="M1563" s="5">
        <v>888</v>
      </c>
      <c r="N1563">
        <v>82</v>
      </c>
      <c r="O1563">
        <v>806</v>
      </c>
      <c r="P1563" s="1">
        <v>0.22638888888888889</v>
      </c>
      <c r="Q1563" s="5">
        <v>2285</v>
      </c>
      <c r="R1563" s="14">
        <v>13.4</v>
      </c>
      <c r="S1563">
        <v>171</v>
      </c>
      <c r="T1563" s="5">
        <v>82</v>
      </c>
      <c r="U1563" s="5">
        <v>806</v>
      </c>
      <c r="V1563" s="5">
        <v>0</v>
      </c>
      <c r="W1563" s="5"/>
      <c r="X1563" s="5"/>
      <c r="Y1563" s="5"/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</row>
    <row r="1564" spans="1:37" x14ac:dyDescent="0.25">
      <c r="A1564" s="11">
        <f>Table1[[#This Row],[Milk Yield]]-J1560</f>
        <v>287</v>
      </c>
      <c r="B1564" t="s">
        <v>24</v>
      </c>
      <c r="C1564" s="2">
        <v>2</v>
      </c>
      <c r="D1564" s="12">
        <v>45858</v>
      </c>
      <c r="E1564" s="2">
        <v>37</v>
      </c>
      <c r="F1564" s="13">
        <v>0.66849537037037032</v>
      </c>
      <c r="G1564" s="3">
        <v>0.91689814814814818</v>
      </c>
      <c r="H1564" s="1">
        <v>0.24791666666666667</v>
      </c>
      <c r="I1564" s="5">
        <v>839</v>
      </c>
      <c r="J1564">
        <v>12295</v>
      </c>
      <c r="K1564">
        <v>141</v>
      </c>
      <c r="L1564" s="5">
        <v>3020</v>
      </c>
      <c r="M1564" s="5">
        <v>838</v>
      </c>
      <c r="N1564">
        <v>187</v>
      </c>
      <c r="O1564">
        <v>651</v>
      </c>
      <c r="P1564" s="1">
        <v>0.31527777777777777</v>
      </c>
      <c r="Q1564" s="5">
        <v>2062</v>
      </c>
      <c r="R1564" s="14">
        <v>14.7</v>
      </c>
      <c r="S1564">
        <v>141</v>
      </c>
      <c r="T1564" s="5">
        <v>187</v>
      </c>
      <c r="U1564" s="5">
        <v>651</v>
      </c>
      <c r="V1564" s="5">
        <v>0</v>
      </c>
      <c r="W1564" s="5"/>
      <c r="X1564" s="5"/>
      <c r="Y1564" s="5"/>
      <c r="Z1564" s="5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</row>
    <row r="1565" spans="1:37" x14ac:dyDescent="0.25">
      <c r="A1565" s="11">
        <f>Table1[[#This Row],[Milk Yield]]-J1561</f>
        <v>-575</v>
      </c>
      <c r="B1565" t="s">
        <v>24</v>
      </c>
      <c r="C1565" s="2">
        <v>3</v>
      </c>
      <c r="D1565" s="12">
        <v>45858</v>
      </c>
      <c r="E1565" s="2">
        <v>44</v>
      </c>
      <c r="F1565" s="13">
        <v>3.5648148148148149E-3</v>
      </c>
      <c r="G1565" s="3">
        <v>0.24212962962962964</v>
      </c>
      <c r="H1565" s="1">
        <v>0.23819444444444443</v>
      </c>
      <c r="I1565" s="5">
        <v>890</v>
      </c>
      <c r="J1565">
        <v>12049</v>
      </c>
      <c r="K1565">
        <v>155</v>
      </c>
      <c r="L1565" s="5">
        <v>1821</v>
      </c>
      <c r="M1565" s="5">
        <v>889</v>
      </c>
      <c r="N1565">
        <v>139</v>
      </c>
      <c r="O1565">
        <v>750</v>
      </c>
      <c r="P1565" s="1">
        <v>0.24374999999999999</v>
      </c>
      <c r="Q1565" s="5">
        <v>2104</v>
      </c>
      <c r="R1565" s="14">
        <v>13.6</v>
      </c>
      <c r="S1565">
        <v>155</v>
      </c>
      <c r="T1565" s="5">
        <v>139</v>
      </c>
      <c r="U1565" s="5">
        <v>750</v>
      </c>
      <c r="V1565" s="5">
        <v>0</v>
      </c>
      <c r="W1565" s="5"/>
      <c r="X1565" s="5"/>
      <c r="Y1565" s="5"/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</row>
    <row r="1566" spans="1:37" x14ac:dyDescent="0.25">
      <c r="A1566" s="11" t="e">
        <f>Table1[[#This Row],[Milk Yield]]-J1562</f>
        <v>#VALUE!</v>
      </c>
      <c r="B1566" t="s">
        <v>0</v>
      </c>
      <c r="C1566" s="2" t="s">
        <v>1</v>
      </c>
      <c r="D1566" s="12" t="s">
        <v>2</v>
      </c>
      <c r="E1566" s="2" t="s">
        <v>3</v>
      </c>
      <c r="F1566" s="13" t="s">
        <v>4</v>
      </c>
      <c r="G1566" s="3" t="s">
        <v>5</v>
      </c>
      <c r="H1566" s="1" t="s">
        <v>6</v>
      </c>
      <c r="I1566" s="5" t="s">
        <v>8</v>
      </c>
      <c r="J1566" t="s">
        <v>9</v>
      </c>
      <c r="K1566" t="s">
        <v>10</v>
      </c>
      <c r="L1566" s="5" t="s">
        <v>11</v>
      </c>
      <c r="M1566" s="5" t="s">
        <v>12</v>
      </c>
      <c r="N1566" t="s">
        <v>13</v>
      </c>
      <c r="O1566" t="s">
        <v>20</v>
      </c>
      <c r="P1566" s="1" t="s">
        <v>7</v>
      </c>
      <c r="Q1566" s="5" t="s">
        <v>15</v>
      </c>
      <c r="R1566" s="14" t="s">
        <v>18</v>
      </c>
      <c r="S1566" t="s">
        <v>16</v>
      </c>
      <c r="T1566" s="5" t="s">
        <v>14</v>
      </c>
      <c r="U1566" s="5" t="s">
        <v>17</v>
      </c>
      <c r="V1566" s="5" t="s">
        <v>19</v>
      </c>
      <c r="W1566" s="5"/>
      <c r="X1566" s="5"/>
      <c r="Y1566" s="5"/>
      <c r="Z1566" s="5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</row>
    <row r="1567" spans="1:37" x14ac:dyDescent="0.25">
      <c r="A1567" s="11">
        <f>Table1[[#This Row],[Milk Yield]]-J1563</f>
        <v>-80</v>
      </c>
      <c r="B1567" t="s">
        <v>24</v>
      </c>
      <c r="C1567" s="2">
        <v>1</v>
      </c>
      <c r="D1567" s="12">
        <v>45859</v>
      </c>
      <c r="E1567" s="2">
        <v>43</v>
      </c>
      <c r="F1567" s="13">
        <v>0.33480324074074075</v>
      </c>
      <c r="G1567" s="3">
        <v>0.55925925925925923</v>
      </c>
      <c r="H1567" s="1">
        <v>0.22430555555555556</v>
      </c>
      <c r="I1567" s="5">
        <v>876</v>
      </c>
      <c r="J1567">
        <v>11771</v>
      </c>
      <c r="K1567">
        <v>163</v>
      </c>
      <c r="L1567" s="5">
        <v>1477</v>
      </c>
      <c r="M1567" s="5">
        <v>876</v>
      </c>
      <c r="N1567">
        <v>127</v>
      </c>
      <c r="O1567">
        <v>749</v>
      </c>
      <c r="P1567" s="1">
        <v>0.25416666666666665</v>
      </c>
      <c r="Q1567" s="5">
        <v>2185</v>
      </c>
      <c r="R1567" s="14">
        <v>13.5</v>
      </c>
      <c r="S1567">
        <v>163</v>
      </c>
      <c r="T1567" s="5">
        <v>127</v>
      </c>
      <c r="U1567" s="5">
        <v>750</v>
      </c>
      <c r="V1567" s="5">
        <v>1</v>
      </c>
      <c r="W1567" s="5"/>
      <c r="X1567" s="5"/>
      <c r="Y1567" s="5"/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</row>
    <row r="1568" spans="1:37" x14ac:dyDescent="0.25">
      <c r="A1568" s="11">
        <f>Table1[[#This Row],[Milk Yield]]-J1564</f>
        <v>-979</v>
      </c>
      <c r="B1568" t="s">
        <v>24</v>
      </c>
      <c r="C1568" s="2">
        <v>2</v>
      </c>
      <c r="D1568" s="12">
        <v>45859</v>
      </c>
      <c r="E1568" s="2">
        <v>8</v>
      </c>
      <c r="F1568" s="13">
        <v>0.67072916666666671</v>
      </c>
      <c r="G1568" s="3">
        <v>0.71603009259259254</v>
      </c>
      <c r="H1568" s="1">
        <v>4.5138888888888888E-2</v>
      </c>
      <c r="I1568" s="5">
        <v>869</v>
      </c>
      <c r="J1568">
        <v>11316</v>
      </c>
      <c r="K1568">
        <v>233</v>
      </c>
      <c r="L1568" s="5">
        <v>2662</v>
      </c>
      <c r="M1568" s="5">
        <v>249</v>
      </c>
      <c r="N1568">
        <v>172</v>
      </c>
      <c r="O1568">
        <v>77</v>
      </c>
      <c r="P1568" s="1">
        <v>0.27361111111111114</v>
      </c>
      <c r="Q1568" s="5">
        <v>3524</v>
      </c>
      <c r="R1568" s="14">
        <v>13.02</v>
      </c>
      <c r="S1568">
        <v>229</v>
      </c>
      <c r="T1568" s="5">
        <v>172</v>
      </c>
      <c r="U1568" s="5">
        <v>77</v>
      </c>
      <c r="V1568" s="5">
        <v>1</v>
      </c>
      <c r="W1568" s="5"/>
      <c r="X1568" s="5"/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</row>
    <row r="1569" spans="1:37" x14ac:dyDescent="0.25">
      <c r="A1569" s="11">
        <f>Table1[[#This Row],[Milk Yield]]-J1565</f>
        <v>-379</v>
      </c>
      <c r="B1569" t="s">
        <v>24</v>
      </c>
      <c r="C1569" s="2">
        <v>3</v>
      </c>
      <c r="D1569" s="12">
        <v>45859</v>
      </c>
      <c r="E1569" s="2">
        <v>14</v>
      </c>
      <c r="F1569" s="13">
        <v>6.3078703703703708E-3</v>
      </c>
      <c r="G1569" s="3">
        <v>0.24709490740740742</v>
      </c>
      <c r="H1569" s="1">
        <v>0.24027777777777778</v>
      </c>
      <c r="I1569" s="5">
        <v>871</v>
      </c>
      <c r="J1569">
        <v>11670</v>
      </c>
      <c r="K1569">
        <v>3</v>
      </c>
      <c r="L1569" s="5">
        <v>0</v>
      </c>
      <c r="M1569" s="5">
        <v>20</v>
      </c>
      <c r="N1569">
        <v>0</v>
      </c>
      <c r="O1569">
        <v>20</v>
      </c>
      <c r="P1569" s="1">
        <v>0.2590277777777778</v>
      </c>
      <c r="Q1569" s="5">
        <v>61</v>
      </c>
      <c r="R1569" s="14">
        <v>13.39</v>
      </c>
      <c r="S1569">
        <v>3</v>
      </c>
      <c r="T1569" s="5">
        <v>0</v>
      </c>
      <c r="U1569" s="5">
        <v>20</v>
      </c>
      <c r="V1569" s="5">
        <v>0</v>
      </c>
      <c r="W1569" s="5"/>
      <c r="X1569" s="5"/>
      <c r="Y1569" s="5"/>
      <c r="Z1569" s="5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/>
    </row>
    <row r="1570" spans="1:37" x14ac:dyDescent="0.25">
      <c r="A1570" s="11" t="e">
        <f>Table1[[#This Row],[Milk Yield]]-J1566</f>
        <v>#VALUE!</v>
      </c>
      <c r="B1570" t="s">
        <v>0</v>
      </c>
      <c r="C1570" s="2" t="s">
        <v>1</v>
      </c>
      <c r="D1570" s="12" t="s">
        <v>2</v>
      </c>
      <c r="E1570" s="2" t="s">
        <v>3</v>
      </c>
      <c r="F1570" s="13" t="s">
        <v>4</v>
      </c>
      <c r="G1570" s="3" t="s">
        <v>5</v>
      </c>
      <c r="H1570" s="1" t="s">
        <v>6</v>
      </c>
      <c r="I1570" s="5" t="s">
        <v>8</v>
      </c>
      <c r="J1570" t="s">
        <v>9</v>
      </c>
      <c r="K1570" t="s">
        <v>10</v>
      </c>
      <c r="L1570" s="5" t="s">
        <v>11</v>
      </c>
      <c r="M1570" s="5" t="s">
        <v>12</v>
      </c>
      <c r="N1570" t="s">
        <v>13</v>
      </c>
      <c r="O1570" t="s">
        <v>20</v>
      </c>
      <c r="P1570" s="1" t="s">
        <v>7</v>
      </c>
      <c r="Q1570" s="5" t="s">
        <v>15</v>
      </c>
      <c r="R1570" s="14" t="s">
        <v>18</v>
      </c>
      <c r="S1570" t="s">
        <v>16</v>
      </c>
      <c r="T1570" s="5" t="s">
        <v>14</v>
      </c>
      <c r="U1570" s="5" t="s">
        <v>17</v>
      </c>
      <c r="V1570" s="5" t="s">
        <v>19</v>
      </c>
      <c r="W1570" s="5"/>
      <c r="X1570" s="5"/>
      <c r="Y1570" s="5"/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</row>
    <row r="1571" spans="1:37" x14ac:dyDescent="0.25">
      <c r="A1571" s="11">
        <f>Table1[[#This Row],[Milk Yield]]-J1567</f>
        <v>-321</v>
      </c>
      <c r="B1571" t="s">
        <v>24</v>
      </c>
      <c r="C1571" s="2">
        <v>1</v>
      </c>
      <c r="D1571" s="12">
        <v>45860</v>
      </c>
      <c r="E1571" s="2">
        <v>20</v>
      </c>
      <c r="F1571" s="13">
        <v>0.33569444444444446</v>
      </c>
      <c r="G1571" s="3">
        <v>0.56542824074074072</v>
      </c>
      <c r="H1571" s="1">
        <v>0.22916666666666666</v>
      </c>
      <c r="I1571" s="5">
        <v>878</v>
      </c>
      <c r="J1571">
        <v>11450</v>
      </c>
      <c r="K1571">
        <v>121</v>
      </c>
      <c r="L1571" s="5">
        <v>1790</v>
      </c>
      <c r="M1571" s="5">
        <v>661</v>
      </c>
      <c r="N1571">
        <v>160</v>
      </c>
      <c r="O1571">
        <v>501</v>
      </c>
      <c r="P1571" s="1">
        <v>0.24583333333333332</v>
      </c>
      <c r="Q1571" s="5">
        <v>1521</v>
      </c>
      <c r="R1571" s="14">
        <v>13.04</v>
      </c>
      <c r="S1571">
        <v>120</v>
      </c>
      <c r="T1571" s="5">
        <v>160</v>
      </c>
      <c r="U1571" s="5">
        <v>491</v>
      </c>
      <c r="V1571" s="5">
        <v>0</v>
      </c>
      <c r="W1571" s="5"/>
      <c r="X1571" s="5"/>
      <c r="Y1571" s="5"/>
      <c r="Z1571" s="5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</row>
    <row r="1572" spans="1:37" x14ac:dyDescent="0.25">
      <c r="A1572" s="11">
        <f>Table1[[#This Row],[Milk Yield]]-J1568</f>
        <v>-316</v>
      </c>
      <c r="B1572" t="s">
        <v>24</v>
      </c>
      <c r="C1572" s="2">
        <v>2</v>
      </c>
      <c r="D1572" s="12">
        <v>45860</v>
      </c>
      <c r="E1572" s="2">
        <v>26</v>
      </c>
      <c r="F1572" s="13">
        <v>0.66706018518518517</v>
      </c>
      <c r="G1572" s="3">
        <v>0.91251157407407413</v>
      </c>
      <c r="H1572" s="1">
        <v>0.24513888888888888</v>
      </c>
      <c r="I1572" s="5">
        <v>863</v>
      </c>
      <c r="J1572">
        <v>11000</v>
      </c>
      <c r="K1572">
        <v>85</v>
      </c>
      <c r="L1572" s="5">
        <v>0</v>
      </c>
      <c r="M1572" s="5">
        <v>474</v>
      </c>
      <c r="N1572">
        <v>0</v>
      </c>
      <c r="O1572">
        <v>474</v>
      </c>
      <c r="P1572" s="1">
        <v>0.2361111111111111</v>
      </c>
      <c r="Q1572" s="5">
        <v>1142</v>
      </c>
      <c r="R1572" s="14">
        <v>12.75</v>
      </c>
      <c r="S1572">
        <v>80</v>
      </c>
      <c r="T1572" s="5">
        <v>0</v>
      </c>
      <c r="U1572" s="5">
        <v>474</v>
      </c>
      <c r="V1572" s="5">
        <v>0</v>
      </c>
      <c r="W1572" s="5"/>
      <c r="X1572" s="5"/>
      <c r="Y1572" s="5"/>
      <c r="Z1572" s="5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/>
    </row>
    <row r="1573" spans="1:37" x14ac:dyDescent="0.25">
      <c r="A1573" s="11">
        <f>Table1[[#This Row],[Milk Yield]]-J1569</f>
        <v>80</v>
      </c>
      <c r="B1573" t="s">
        <v>24</v>
      </c>
      <c r="C1573" s="2">
        <v>3</v>
      </c>
      <c r="D1573" s="12">
        <v>45860</v>
      </c>
      <c r="E1573" s="2">
        <v>22</v>
      </c>
      <c r="F1573" s="13">
        <v>2.5231481481481481E-3</v>
      </c>
      <c r="G1573" s="3">
        <v>0.22716435185185185</v>
      </c>
      <c r="H1573" s="1">
        <v>0.22430555555555556</v>
      </c>
      <c r="I1573" s="5">
        <v>860</v>
      </c>
      <c r="J1573">
        <v>11750</v>
      </c>
      <c r="K1573">
        <v>83</v>
      </c>
      <c r="L1573" s="5">
        <v>0</v>
      </c>
      <c r="M1573" s="5">
        <v>449</v>
      </c>
      <c r="N1573">
        <v>0</v>
      </c>
      <c r="O1573">
        <v>449</v>
      </c>
      <c r="P1573" s="1">
        <v>0.21736111111111112</v>
      </c>
      <c r="Q1573" s="5">
        <v>1088</v>
      </c>
      <c r="R1573" s="14">
        <v>13.66</v>
      </c>
      <c r="S1573">
        <v>83</v>
      </c>
      <c r="T1573" s="5">
        <v>0</v>
      </c>
      <c r="U1573" s="5">
        <v>449</v>
      </c>
      <c r="V1573" s="5">
        <v>0</v>
      </c>
      <c r="W1573" s="5"/>
      <c r="X1573" s="5"/>
      <c r="Y1573" s="5"/>
      <c r="Z1573" s="5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</row>
    <row r="1574" spans="1:37" x14ac:dyDescent="0.25">
      <c r="A1574" s="11" t="e">
        <f>Table1[[#This Row],[Milk Yield]]-J1570</f>
        <v>#VALUE!</v>
      </c>
      <c r="B1574" t="s">
        <v>0</v>
      </c>
      <c r="C1574" s="2" t="s">
        <v>1</v>
      </c>
      <c r="D1574" s="12" t="s">
        <v>2</v>
      </c>
      <c r="E1574" s="2" t="s">
        <v>3</v>
      </c>
      <c r="F1574" s="13" t="s">
        <v>4</v>
      </c>
      <c r="G1574" s="3" t="s">
        <v>5</v>
      </c>
      <c r="H1574" s="1" t="s">
        <v>6</v>
      </c>
      <c r="I1574" s="5" t="s">
        <v>8</v>
      </c>
      <c r="J1574" t="s">
        <v>9</v>
      </c>
      <c r="K1574" t="s">
        <v>10</v>
      </c>
      <c r="L1574" s="5" t="s">
        <v>11</v>
      </c>
      <c r="M1574" s="5" t="s">
        <v>12</v>
      </c>
      <c r="N1574" t="s">
        <v>13</v>
      </c>
      <c r="O1574" t="s">
        <v>20</v>
      </c>
      <c r="P1574" s="1" t="s">
        <v>7</v>
      </c>
      <c r="Q1574" s="5" t="s">
        <v>15</v>
      </c>
      <c r="R1574" s="14" t="s">
        <v>18</v>
      </c>
      <c r="S1574" t="s">
        <v>16</v>
      </c>
      <c r="T1574" s="5" t="s">
        <v>14</v>
      </c>
      <c r="U1574" s="5" t="s">
        <v>17</v>
      </c>
      <c r="V1574" s="5" t="s">
        <v>19</v>
      </c>
      <c r="W1574" s="5"/>
      <c r="X1574" s="5"/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</row>
    <row r="1575" spans="1:37" x14ac:dyDescent="0.25">
      <c r="A1575" s="11">
        <f>Table1[[#This Row],[Milk Yield]]-J1571</f>
        <v>-38</v>
      </c>
      <c r="B1575" t="s">
        <v>24</v>
      </c>
      <c r="C1575" s="2">
        <v>1</v>
      </c>
      <c r="D1575" s="12">
        <v>45861</v>
      </c>
      <c r="E1575" s="2">
        <v>42</v>
      </c>
      <c r="F1575" s="13">
        <v>0.33906249999999999</v>
      </c>
      <c r="G1575" s="3">
        <v>0.5546875</v>
      </c>
      <c r="H1575" s="1">
        <v>0.21527777777777779</v>
      </c>
      <c r="I1575" s="5">
        <v>860</v>
      </c>
      <c r="J1575">
        <v>11412</v>
      </c>
      <c r="K1575">
        <v>166</v>
      </c>
      <c r="L1575" s="5">
        <v>13415</v>
      </c>
      <c r="M1575" s="5">
        <v>859</v>
      </c>
      <c r="N1575">
        <v>413</v>
      </c>
      <c r="O1575">
        <v>446</v>
      </c>
      <c r="P1575" s="1">
        <v>0.27986111111111112</v>
      </c>
      <c r="Q1575" s="5">
        <v>3792</v>
      </c>
      <c r="R1575" s="14">
        <v>13.2</v>
      </c>
      <c r="S1575">
        <v>166</v>
      </c>
      <c r="T1575" s="5">
        <v>413</v>
      </c>
      <c r="U1575" s="5">
        <v>446</v>
      </c>
      <c r="V1575" s="5">
        <v>0</v>
      </c>
      <c r="W1575" s="5"/>
      <c r="X1575" s="5"/>
      <c r="Y1575" s="5"/>
      <c r="Z1575" s="5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</row>
    <row r="1576" spans="1:37" x14ac:dyDescent="0.25">
      <c r="A1576" s="11">
        <f>Table1[[#This Row],[Milk Yield]]-J1572</f>
        <v>396</v>
      </c>
      <c r="B1576" t="s">
        <v>24</v>
      </c>
      <c r="C1576" s="2">
        <v>2</v>
      </c>
      <c r="D1576" s="12">
        <v>45861</v>
      </c>
      <c r="E1576" s="2">
        <v>24</v>
      </c>
      <c r="F1576" s="13">
        <v>0.66986111111111113</v>
      </c>
      <c r="G1576" s="3">
        <v>0.92902777777777779</v>
      </c>
      <c r="H1576" s="1">
        <v>0.2590277777777778</v>
      </c>
      <c r="I1576" s="5">
        <v>845</v>
      </c>
      <c r="J1576">
        <v>11396</v>
      </c>
      <c r="K1576">
        <v>83</v>
      </c>
      <c r="L1576" s="5">
        <v>920</v>
      </c>
      <c r="M1576" s="5">
        <v>514</v>
      </c>
      <c r="N1576">
        <v>27</v>
      </c>
      <c r="O1576">
        <v>487</v>
      </c>
      <c r="P1576" s="1">
        <v>0.25208333333333333</v>
      </c>
      <c r="Q1576" s="5">
        <v>1242</v>
      </c>
      <c r="R1576" s="14">
        <v>13.48</v>
      </c>
      <c r="S1576">
        <v>83</v>
      </c>
      <c r="T1576" s="5">
        <v>27</v>
      </c>
      <c r="U1576" s="5">
        <v>487</v>
      </c>
      <c r="V1576" s="5">
        <v>0</v>
      </c>
      <c r="W1576" s="5"/>
      <c r="X1576" s="5"/>
      <c r="Y1576" s="5"/>
      <c r="Z1576" s="5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</row>
    <row r="1577" spans="1:37" x14ac:dyDescent="0.25">
      <c r="A1577" s="11">
        <f>Table1[[#This Row],[Milk Yield]]-J1573</f>
        <v>245</v>
      </c>
      <c r="B1577" t="s">
        <v>24</v>
      </c>
      <c r="C1577" s="2">
        <v>3</v>
      </c>
      <c r="D1577" s="12">
        <v>45861</v>
      </c>
      <c r="E1577" s="2">
        <v>22</v>
      </c>
      <c r="F1577" s="13">
        <v>5.4050925925925924E-3</v>
      </c>
      <c r="G1577" s="3">
        <v>0.23998842592592592</v>
      </c>
      <c r="H1577" s="1">
        <v>0.23402777777777778</v>
      </c>
      <c r="I1577" s="5">
        <v>841</v>
      </c>
      <c r="J1577">
        <v>11995</v>
      </c>
      <c r="K1577">
        <v>80</v>
      </c>
      <c r="L1577" s="5">
        <v>0</v>
      </c>
      <c r="M1577" s="5">
        <v>445</v>
      </c>
      <c r="N1577">
        <v>0</v>
      </c>
      <c r="O1577">
        <v>445</v>
      </c>
      <c r="P1577" s="1">
        <v>0.22291666666666668</v>
      </c>
      <c r="Q1577" s="5">
        <v>1003</v>
      </c>
      <c r="R1577" s="14">
        <v>14.26</v>
      </c>
      <c r="S1577">
        <v>79</v>
      </c>
      <c r="T1577" s="5">
        <v>0</v>
      </c>
      <c r="U1577" s="5">
        <v>445</v>
      </c>
      <c r="V1577" s="5">
        <v>0</v>
      </c>
      <c r="W1577" s="5"/>
      <c r="X1577" s="5"/>
      <c r="Y1577" s="5"/>
      <c r="Z1577" s="5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</row>
    <row r="1578" spans="1:37" x14ac:dyDescent="0.25">
      <c r="A1578" s="11" t="e">
        <f>Table1[[#This Row],[Milk Yield]]-J1574</f>
        <v>#VALUE!</v>
      </c>
      <c r="B1578" t="s">
        <v>0</v>
      </c>
      <c r="C1578" s="2" t="s">
        <v>1</v>
      </c>
      <c r="D1578" s="12" t="s">
        <v>2</v>
      </c>
      <c r="E1578" s="2" t="s">
        <v>3</v>
      </c>
      <c r="F1578" s="13" t="s">
        <v>4</v>
      </c>
      <c r="G1578" s="3" t="s">
        <v>5</v>
      </c>
      <c r="H1578" s="1" t="s">
        <v>6</v>
      </c>
      <c r="I1578" s="5" t="s">
        <v>8</v>
      </c>
      <c r="J1578" t="s">
        <v>9</v>
      </c>
      <c r="K1578" t="s">
        <v>10</v>
      </c>
      <c r="L1578" s="5" t="s">
        <v>11</v>
      </c>
      <c r="M1578" s="5" t="s">
        <v>12</v>
      </c>
      <c r="N1578" t="s">
        <v>13</v>
      </c>
      <c r="O1578" t="s">
        <v>20</v>
      </c>
      <c r="P1578" s="1" t="s">
        <v>7</v>
      </c>
      <c r="Q1578" s="5" t="s">
        <v>15</v>
      </c>
      <c r="R1578" s="14" t="s">
        <v>18</v>
      </c>
      <c r="S1578" t="s">
        <v>16</v>
      </c>
      <c r="T1578" s="5" t="s">
        <v>14</v>
      </c>
      <c r="U1578" s="5" t="s">
        <v>17</v>
      </c>
      <c r="V1578" s="5" t="s">
        <v>19</v>
      </c>
      <c r="W1578" s="5"/>
      <c r="X1578" s="5"/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</row>
    <row r="1579" spans="1:37" x14ac:dyDescent="0.25">
      <c r="A1579" s="11">
        <f>Table1[[#This Row],[Milk Yield]]-J1575</f>
        <v>-162</v>
      </c>
      <c r="B1579" t="s">
        <v>24</v>
      </c>
      <c r="C1579" s="2">
        <v>1</v>
      </c>
      <c r="D1579" s="12">
        <v>45862</v>
      </c>
      <c r="E1579" s="2">
        <v>39</v>
      </c>
      <c r="F1579" s="13">
        <v>0.33614583333333331</v>
      </c>
      <c r="G1579" s="3">
        <v>0.56134259259259256</v>
      </c>
      <c r="H1579" s="1">
        <v>0.22500000000000001</v>
      </c>
      <c r="I1579" s="5">
        <v>841</v>
      </c>
      <c r="J1579">
        <v>11250</v>
      </c>
      <c r="K1579">
        <v>156</v>
      </c>
      <c r="L1579" s="5">
        <v>3242</v>
      </c>
      <c r="M1579" s="5">
        <v>837</v>
      </c>
      <c r="N1579">
        <v>154</v>
      </c>
      <c r="O1579">
        <v>683</v>
      </c>
      <c r="P1579" s="1">
        <v>0.26527777777777778</v>
      </c>
      <c r="Q1579" s="5">
        <v>2322</v>
      </c>
      <c r="R1579" s="14">
        <v>13.2</v>
      </c>
      <c r="S1579">
        <v>155</v>
      </c>
      <c r="T1579" s="5">
        <v>154</v>
      </c>
      <c r="U1579" s="5">
        <v>683</v>
      </c>
      <c r="V1579" s="5">
        <v>0</v>
      </c>
      <c r="W1579" s="5"/>
      <c r="X1579" s="5"/>
      <c r="Y1579" s="5"/>
      <c r="Z1579" s="5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</row>
    <row r="1580" spans="1:37" x14ac:dyDescent="0.25">
      <c r="A1580" s="11">
        <f>Table1[[#This Row],[Milk Yield]]-J1576</f>
        <v>118</v>
      </c>
      <c r="B1580" t="s">
        <v>24</v>
      </c>
      <c r="C1580" s="2">
        <v>2</v>
      </c>
      <c r="D1580" s="12">
        <v>45862</v>
      </c>
      <c r="E1580" s="2">
        <v>39</v>
      </c>
      <c r="F1580" s="13">
        <v>0.65947916666666662</v>
      </c>
      <c r="G1580" s="3">
        <v>0.90031249999999996</v>
      </c>
      <c r="H1580" s="1">
        <v>0.24027777777777778</v>
      </c>
      <c r="I1580" s="5">
        <v>852</v>
      </c>
      <c r="J1580">
        <v>11514</v>
      </c>
      <c r="K1580">
        <v>147</v>
      </c>
      <c r="L1580" s="5">
        <v>235</v>
      </c>
      <c r="M1580" s="5">
        <v>851</v>
      </c>
      <c r="N1580">
        <v>17</v>
      </c>
      <c r="O1580">
        <v>834</v>
      </c>
      <c r="P1580" s="1">
        <v>0.22222222222222221</v>
      </c>
      <c r="Q1580" s="5">
        <v>1992</v>
      </c>
      <c r="R1580" s="14">
        <v>13.6</v>
      </c>
      <c r="S1580">
        <v>147</v>
      </c>
      <c r="T1580" s="5">
        <v>17</v>
      </c>
      <c r="U1580" s="5">
        <v>834</v>
      </c>
      <c r="V1580" s="5">
        <v>0</v>
      </c>
      <c r="W1580" s="5"/>
      <c r="X1580" s="5"/>
      <c r="Y1580" s="5"/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</row>
    <row r="1581" spans="1:37" x14ac:dyDescent="0.25">
      <c r="A1581" s="11">
        <f>Table1[[#This Row],[Milk Yield]]-J1577</f>
        <v>-718</v>
      </c>
      <c r="B1581" t="s">
        <v>24</v>
      </c>
      <c r="C1581" s="2">
        <v>3</v>
      </c>
      <c r="D1581" s="12">
        <v>45862</v>
      </c>
      <c r="E1581" s="2">
        <v>39</v>
      </c>
      <c r="F1581" s="13">
        <v>3.0902777777777777E-3</v>
      </c>
      <c r="G1581" s="3">
        <v>0.25254629629629627</v>
      </c>
      <c r="H1581" s="1">
        <v>0.24930555555555556</v>
      </c>
      <c r="I1581" s="5">
        <v>845</v>
      </c>
      <c r="J1581">
        <v>11277</v>
      </c>
      <c r="K1581">
        <v>141</v>
      </c>
      <c r="L1581" s="5">
        <v>68</v>
      </c>
      <c r="M1581" s="5">
        <v>844</v>
      </c>
      <c r="N1581">
        <v>8</v>
      </c>
      <c r="O1581">
        <v>836</v>
      </c>
      <c r="P1581" s="1">
        <v>0.27083333333333331</v>
      </c>
      <c r="Q1581" s="5">
        <v>1884</v>
      </c>
      <c r="R1581" s="14">
        <v>13.4</v>
      </c>
      <c r="S1581">
        <v>141</v>
      </c>
      <c r="T1581" s="5">
        <v>8</v>
      </c>
      <c r="U1581" s="5">
        <v>836</v>
      </c>
      <c r="V1581" s="5">
        <v>0</v>
      </c>
      <c r="W1581" s="5"/>
      <c r="X1581" s="5"/>
      <c r="Y1581" s="5"/>
      <c r="Z1581" s="5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</row>
    <row r="1582" spans="1:37" x14ac:dyDescent="0.25">
      <c r="A1582" s="11" t="e">
        <f>Table1[[#This Row],[Milk Yield]]-J1578</f>
        <v>#VALUE!</v>
      </c>
      <c r="B1582" t="s">
        <v>0</v>
      </c>
      <c r="C1582" s="2" t="s">
        <v>1</v>
      </c>
      <c r="D1582" s="12" t="s">
        <v>2</v>
      </c>
      <c r="E1582" s="2" t="s">
        <v>3</v>
      </c>
      <c r="F1582" s="13" t="s">
        <v>4</v>
      </c>
      <c r="G1582" s="3" t="s">
        <v>5</v>
      </c>
      <c r="H1582" s="1" t="s">
        <v>6</v>
      </c>
      <c r="I1582" s="5" t="s">
        <v>8</v>
      </c>
      <c r="J1582" t="s">
        <v>9</v>
      </c>
      <c r="K1582" t="s">
        <v>10</v>
      </c>
      <c r="L1582" s="5" t="s">
        <v>11</v>
      </c>
      <c r="M1582" s="5" t="s">
        <v>12</v>
      </c>
      <c r="N1582" t="s">
        <v>13</v>
      </c>
      <c r="O1582" t="s">
        <v>20</v>
      </c>
      <c r="P1582" s="1" t="s">
        <v>7</v>
      </c>
      <c r="Q1582" s="5" t="s">
        <v>15</v>
      </c>
      <c r="R1582" s="14" t="s">
        <v>18</v>
      </c>
      <c r="S1582" t="s">
        <v>16</v>
      </c>
      <c r="T1582" s="5" t="s">
        <v>14</v>
      </c>
      <c r="U1582" s="5" t="s">
        <v>17</v>
      </c>
      <c r="V1582" s="5" t="s">
        <v>19</v>
      </c>
      <c r="W1582" s="5"/>
      <c r="X1582" s="5"/>
      <c r="Y1582" s="5"/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</row>
    <row r="1583" spans="1:37" x14ac:dyDescent="0.25">
      <c r="A1583" s="11">
        <f>Table1[[#This Row],[Milk Yield]]-J1579</f>
        <v>368</v>
      </c>
      <c r="B1583" t="s">
        <v>24</v>
      </c>
      <c r="C1583" s="2">
        <v>1</v>
      </c>
      <c r="D1583" s="12">
        <v>45863</v>
      </c>
      <c r="E1583" s="2">
        <v>39</v>
      </c>
      <c r="F1583" s="13">
        <v>0.33923611111111113</v>
      </c>
      <c r="G1583" s="3">
        <v>0.61137731481481483</v>
      </c>
      <c r="H1583" s="1">
        <v>0.27152777777777776</v>
      </c>
      <c r="I1583" s="5">
        <v>843</v>
      </c>
      <c r="J1583">
        <v>11618</v>
      </c>
      <c r="K1583">
        <v>129</v>
      </c>
      <c r="L1583" s="5">
        <v>35</v>
      </c>
      <c r="M1583" s="5">
        <v>842</v>
      </c>
      <c r="N1583">
        <v>4</v>
      </c>
      <c r="O1583">
        <v>838</v>
      </c>
      <c r="P1583" s="1">
        <v>0.23333333333333334</v>
      </c>
      <c r="Q1583" s="5">
        <v>1779</v>
      </c>
      <c r="R1583" s="14">
        <v>13.8</v>
      </c>
      <c r="S1583">
        <v>129</v>
      </c>
      <c r="T1583" s="5">
        <v>4</v>
      </c>
      <c r="U1583" s="5">
        <v>838</v>
      </c>
      <c r="V1583" s="5">
        <v>0</v>
      </c>
      <c r="W1583" s="5"/>
      <c r="X1583" s="5"/>
      <c r="Y1583" s="5"/>
      <c r="Z1583" s="5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</row>
    <row r="1584" spans="1:37" x14ac:dyDescent="0.25">
      <c r="A1584" s="11">
        <f>Table1[[#This Row],[Milk Yield]]-J1580</f>
        <v>-847</v>
      </c>
      <c r="B1584" t="s">
        <v>24</v>
      </c>
      <c r="C1584" s="2">
        <v>2</v>
      </c>
      <c r="D1584" s="12">
        <v>45863</v>
      </c>
      <c r="E1584" s="2">
        <v>37</v>
      </c>
      <c r="F1584" s="13">
        <v>0.66874999999999996</v>
      </c>
      <c r="G1584" s="3">
        <v>0.91069444444444447</v>
      </c>
      <c r="H1584" s="1">
        <v>0.24166666666666667</v>
      </c>
      <c r="I1584" s="5">
        <v>834</v>
      </c>
      <c r="J1584">
        <v>10667</v>
      </c>
      <c r="K1584">
        <v>144</v>
      </c>
      <c r="L1584" s="5">
        <v>9</v>
      </c>
      <c r="M1584" s="5">
        <v>834</v>
      </c>
      <c r="N1584">
        <v>1</v>
      </c>
      <c r="O1584">
        <v>833</v>
      </c>
      <c r="P1584" s="1">
        <v>0.23402777777777778</v>
      </c>
      <c r="Q1584" s="5">
        <v>1837</v>
      </c>
      <c r="R1584" s="14">
        <v>12.8</v>
      </c>
      <c r="S1584">
        <v>144</v>
      </c>
      <c r="T1584" s="5">
        <v>1</v>
      </c>
      <c r="U1584" s="5">
        <v>833</v>
      </c>
      <c r="V1584" s="5">
        <v>0</v>
      </c>
      <c r="W1584" s="5"/>
      <c r="X1584" s="5"/>
      <c r="Y1584" s="5"/>
      <c r="Z1584" s="5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</row>
    <row r="1585" spans="1:37" x14ac:dyDescent="0.25">
      <c r="A1585" s="11">
        <f>Table1[[#This Row],[Milk Yield]]-J1581</f>
        <v>446</v>
      </c>
      <c r="B1585" t="s">
        <v>24</v>
      </c>
      <c r="C1585" s="2">
        <v>3</v>
      </c>
      <c r="D1585" s="12">
        <v>45863</v>
      </c>
      <c r="E1585" s="2">
        <v>40</v>
      </c>
      <c r="F1585" s="13">
        <v>3.3680555555555556E-3</v>
      </c>
      <c r="G1585" s="3">
        <v>0.23309027777777777</v>
      </c>
      <c r="H1585" s="1">
        <v>0.22916666666666666</v>
      </c>
      <c r="I1585" s="5">
        <v>840</v>
      </c>
      <c r="J1585">
        <v>11723</v>
      </c>
      <c r="K1585">
        <v>152</v>
      </c>
      <c r="L1585" s="5">
        <v>364</v>
      </c>
      <c r="M1585" s="5">
        <v>840</v>
      </c>
      <c r="N1585">
        <v>34</v>
      </c>
      <c r="O1585">
        <v>806</v>
      </c>
      <c r="P1585" s="1">
        <v>0.23472222222222222</v>
      </c>
      <c r="Q1585" s="5">
        <v>2126</v>
      </c>
      <c r="R1585" s="14">
        <v>14</v>
      </c>
      <c r="S1585">
        <v>152</v>
      </c>
      <c r="T1585" s="5">
        <v>34</v>
      </c>
      <c r="U1585" s="5">
        <v>806</v>
      </c>
      <c r="V1585" s="5">
        <v>0</v>
      </c>
      <c r="W1585" s="5"/>
      <c r="X1585" s="5"/>
      <c r="Y1585" s="5"/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</row>
    <row r="1586" spans="1:37" x14ac:dyDescent="0.25">
      <c r="A1586" s="11" t="e">
        <f>Table1[[#This Row],[Milk Yield]]-J1582</f>
        <v>#VALUE!</v>
      </c>
      <c r="B1586" t="s">
        <v>0</v>
      </c>
      <c r="C1586" s="2" t="s">
        <v>1</v>
      </c>
      <c r="D1586" s="12" t="s">
        <v>2</v>
      </c>
      <c r="E1586" s="2" t="s">
        <v>3</v>
      </c>
      <c r="F1586" s="13" t="s">
        <v>4</v>
      </c>
      <c r="G1586" s="3" t="s">
        <v>5</v>
      </c>
      <c r="H1586" s="1" t="s">
        <v>6</v>
      </c>
      <c r="I1586" s="5" t="s">
        <v>8</v>
      </c>
      <c r="J1586" t="s">
        <v>9</v>
      </c>
      <c r="K1586" t="s">
        <v>10</v>
      </c>
      <c r="L1586" s="5" t="s">
        <v>11</v>
      </c>
      <c r="M1586" s="5" t="s">
        <v>12</v>
      </c>
      <c r="N1586" t="s">
        <v>13</v>
      </c>
      <c r="O1586" t="s">
        <v>20</v>
      </c>
      <c r="P1586" s="1" t="s">
        <v>7</v>
      </c>
      <c r="Q1586" s="5" t="s">
        <v>15</v>
      </c>
      <c r="R1586" s="14" t="s">
        <v>18</v>
      </c>
      <c r="S1586" t="s">
        <v>16</v>
      </c>
      <c r="T1586" s="5" t="s">
        <v>14</v>
      </c>
      <c r="U1586" s="5" t="s">
        <v>17</v>
      </c>
      <c r="V1586" s="5" t="s">
        <v>19</v>
      </c>
      <c r="W1586" s="5"/>
      <c r="X1586" s="5"/>
      <c r="Y1586" s="5"/>
      <c r="Z1586" s="5"/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</row>
    <row r="1587" spans="1:37" x14ac:dyDescent="0.25">
      <c r="A1587" s="11">
        <f>Table1[[#This Row],[Milk Yield]]-J1583</f>
        <v>-232</v>
      </c>
      <c r="B1587" t="s">
        <v>24</v>
      </c>
      <c r="C1587" s="2">
        <v>1</v>
      </c>
      <c r="D1587" s="12">
        <v>45864</v>
      </c>
      <c r="E1587" s="2">
        <v>39</v>
      </c>
      <c r="F1587" s="13">
        <v>0.33846064814814814</v>
      </c>
      <c r="G1587" s="3">
        <v>0.5715972222222222</v>
      </c>
      <c r="H1587" s="1">
        <v>0.2326388888888889</v>
      </c>
      <c r="I1587" s="5">
        <v>834</v>
      </c>
      <c r="J1587">
        <v>11386</v>
      </c>
      <c r="K1587">
        <v>149</v>
      </c>
      <c r="L1587" s="5">
        <v>204</v>
      </c>
      <c r="M1587" s="5">
        <v>832</v>
      </c>
      <c r="N1587">
        <v>14</v>
      </c>
      <c r="O1587">
        <v>818</v>
      </c>
      <c r="P1587" s="1">
        <v>0.22083333333333333</v>
      </c>
      <c r="Q1587" s="5">
        <v>2035</v>
      </c>
      <c r="R1587" s="14">
        <v>13.7</v>
      </c>
      <c r="S1587">
        <v>149</v>
      </c>
      <c r="T1587" s="5">
        <v>14</v>
      </c>
      <c r="U1587" s="5">
        <v>818</v>
      </c>
      <c r="V1587" s="5">
        <v>0</v>
      </c>
      <c r="W1587" s="5"/>
      <c r="X1587" s="5"/>
      <c r="Y1587" s="5"/>
      <c r="Z1587" s="5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</row>
    <row r="1588" spans="1:37" x14ac:dyDescent="0.25">
      <c r="A1588" s="11">
        <f>Table1[[#This Row],[Milk Yield]]-J1584</f>
        <v>-492</v>
      </c>
      <c r="B1588" t="s">
        <v>24</v>
      </c>
      <c r="C1588" s="2">
        <v>2</v>
      </c>
      <c r="D1588" s="12">
        <v>45864</v>
      </c>
      <c r="E1588" s="2">
        <v>39</v>
      </c>
      <c r="F1588" s="13">
        <v>0.66972222222222222</v>
      </c>
      <c r="G1588" s="3">
        <v>0.86527777777777781</v>
      </c>
      <c r="H1588" s="1">
        <v>0.19513888888888889</v>
      </c>
      <c r="I1588" s="5">
        <v>833</v>
      </c>
      <c r="J1588">
        <v>10175</v>
      </c>
      <c r="K1588">
        <v>177</v>
      </c>
      <c r="L1588" s="5">
        <v>54</v>
      </c>
      <c r="M1588" s="5">
        <v>831</v>
      </c>
      <c r="N1588">
        <v>5</v>
      </c>
      <c r="O1588">
        <v>826</v>
      </c>
      <c r="P1588" s="1">
        <v>0.21041666666666667</v>
      </c>
      <c r="Q1588" s="5">
        <v>2168</v>
      </c>
      <c r="R1588" s="14">
        <v>12.3</v>
      </c>
      <c r="S1588">
        <v>177</v>
      </c>
      <c r="T1588" s="5">
        <v>5</v>
      </c>
      <c r="U1588" s="5">
        <v>826</v>
      </c>
      <c r="V1588" s="5">
        <v>0</v>
      </c>
      <c r="W1588" s="5"/>
      <c r="X1588" s="5"/>
      <c r="Y1588" s="5"/>
      <c r="Z1588" s="5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</row>
    <row r="1589" spans="1:37" x14ac:dyDescent="0.25">
      <c r="A1589" s="11">
        <f>Table1[[#This Row],[Milk Yield]]-J1585</f>
        <v>784</v>
      </c>
      <c r="B1589" t="s">
        <v>24</v>
      </c>
      <c r="C1589" s="2">
        <v>3</v>
      </c>
      <c r="D1589" s="12">
        <v>45864</v>
      </c>
      <c r="E1589" s="2">
        <v>39</v>
      </c>
      <c r="F1589" s="13">
        <v>6.030092592592593E-3</v>
      </c>
      <c r="G1589" s="3">
        <v>0.2427199074074074</v>
      </c>
      <c r="H1589" s="1">
        <v>0.2361111111111111</v>
      </c>
      <c r="I1589" s="5">
        <v>839</v>
      </c>
      <c r="J1589">
        <v>12507</v>
      </c>
      <c r="K1589">
        <v>148</v>
      </c>
      <c r="L1589" s="5">
        <v>124</v>
      </c>
      <c r="M1589" s="5">
        <v>838</v>
      </c>
      <c r="N1589">
        <v>11</v>
      </c>
      <c r="O1589">
        <v>827</v>
      </c>
      <c r="P1589" s="1">
        <v>0.23472222222222222</v>
      </c>
      <c r="Q1589" s="5">
        <v>2202</v>
      </c>
      <c r="R1589" s="14">
        <v>15</v>
      </c>
      <c r="S1589">
        <v>148</v>
      </c>
      <c r="T1589" s="5">
        <v>11</v>
      </c>
      <c r="U1589" s="5">
        <v>827</v>
      </c>
      <c r="V1589" s="5">
        <v>0</v>
      </c>
      <c r="W1589" s="5"/>
      <c r="X1589" s="5"/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</row>
    <row r="1590" spans="1:37" x14ac:dyDescent="0.25">
      <c r="A1590" s="11" t="e">
        <f>Table1[[#This Row],[Milk Yield]]-J1586</f>
        <v>#VALUE!</v>
      </c>
      <c r="B1590" t="s">
        <v>0</v>
      </c>
      <c r="C1590" s="2" t="s">
        <v>1</v>
      </c>
      <c r="D1590" s="12" t="s">
        <v>2</v>
      </c>
      <c r="E1590" s="2" t="s">
        <v>3</v>
      </c>
      <c r="F1590" s="13" t="s">
        <v>4</v>
      </c>
      <c r="G1590" s="3" t="s">
        <v>5</v>
      </c>
      <c r="H1590" s="1" t="s">
        <v>6</v>
      </c>
      <c r="I1590" s="5" t="s">
        <v>8</v>
      </c>
      <c r="J1590" t="s">
        <v>9</v>
      </c>
      <c r="K1590" t="s">
        <v>10</v>
      </c>
      <c r="L1590" s="5" t="s">
        <v>11</v>
      </c>
      <c r="M1590" s="5" t="s">
        <v>12</v>
      </c>
      <c r="N1590" t="s">
        <v>13</v>
      </c>
      <c r="O1590" t="s">
        <v>20</v>
      </c>
      <c r="P1590" s="1" t="s">
        <v>7</v>
      </c>
      <c r="Q1590" s="5" t="s">
        <v>15</v>
      </c>
      <c r="R1590" s="14" t="s">
        <v>18</v>
      </c>
      <c r="S1590" t="s">
        <v>16</v>
      </c>
      <c r="T1590" s="5" t="s">
        <v>14</v>
      </c>
      <c r="U1590" s="5" t="s">
        <v>17</v>
      </c>
      <c r="V1590" s="5" t="s">
        <v>19</v>
      </c>
      <c r="W1590" s="5"/>
      <c r="X1590" s="5"/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</row>
    <row r="1591" spans="1:37" x14ac:dyDescent="0.25">
      <c r="A1591" s="11">
        <f>Table1[[#This Row],[Milk Yield]]-J1587</f>
        <v>-281</v>
      </c>
      <c r="B1591" t="s">
        <v>24</v>
      </c>
      <c r="C1591" s="2">
        <v>1</v>
      </c>
      <c r="D1591" s="12">
        <v>45865</v>
      </c>
      <c r="E1591" s="2">
        <v>39</v>
      </c>
      <c r="F1591" s="13">
        <v>0.33466435185185184</v>
      </c>
      <c r="G1591" s="3">
        <v>0.55697916666666669</v>
      </c>
      <c r="H1591" s="1">
        <v>0.22222222222222221</v>
      </c>
      <c r="I1591" s="5">
        <v>832</v>
      </c>
      <c r="J1591">
        <v>11105</v>
      </c>
      <c r="K1591">
        <v>156</v>
      </c>
      <c r="L1591" s="5">
        <v>113</v>
      </c>
      <c r="M1591" s="5">
        <v>832</v>
      </c>
      <c r="N1591">
        <v>9</v>
      </c>
      <c r="O1591">
        <v>823</v>
      </c>
      <c r="P1591" s="1">
        <v>0.22430555555555556</v>
      </c>
      <c r="Q1591" s="5">
        <v>2081</v>
      </c>
      <c r="R1591" s="14">
        <v>13.4</v>
      </c>
      <c r="S1591">
        <v>156</v>
      </c>
      <c r="T1591" s="5">
        <v>9</v>
      </c>
      <c r="U1591" s="5">
        <v>823</v>
      </c>
      <c r="V1591" s="5">
        <v>0</v>
      </c>
      <c r="W1591" s="5"/>
      <c r="X1591" s="5"/>
      <c r="Y1591" s="5"/>
      <c r="Z1591" s="5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</row>
    <row r="1592" spans="1:37" x14ac:dyDescent="0.25">
      <c r="A1592" s="11">
        <f>Table1[[#This Row],[Milk Yield]]-J1588</f>
        <v>326</v>
      </c>
      <c r="B1592" t="s">
        <v>24</v>
      </c>
      <c r="C1592" s="2">
        <v>2</v>
      </c>
      <c r="D1592" s="12">
        <v>45865</v>
      </c>
      <c r="E1592" s="2">
        <v>40</v>
      </c>
      <c r="F1592" s="13">
        <v>0.66721064814814812</v>
      </c>
      <c r="G1592" s="3">
        <v>0.85894675925925923</v>
      </c>
      <c r="H1592" s="1">
        <v>0.19166666666666668</v>
      </c>
      <c r="I1592" s="5">
        <v>835</v>
      </c>
      <c r="J1592">
        <v>10501</v>
      </c>
      <c r="K1592">
        <v>181</v>
      </c>
      <c r="L1592" s="5">
        <v>70</v>
      </c>
      <c r="M1592" s="5">
        <v>834</v>
      </c>
      <c r="N1592">
        <v>6</v>
      </c>
      <c r="O1592">
        <v>828</v>
      </c>
      <c r="P1592" s="1">
        <v>0.20694444444444443</v>
      </c>
      <c r="Q1592" s="5">
        <v>2282</v>
      </c>
      <c r="R1592" s="14">
        <v>12.6</v>
      </c>
      <c r="S1592">
        <v>181</v>
      </c>
      <c r="T1592" s="5">
        <v>6</v>
      </c>
      <c r="U1592" s="5">
        <v>828</v>
      </c>
      <c r="V1592" s="5">
        <v>0</v>
      </c>
      <c r="W1592" s="5"/>
      <c r="X1592" s="5"/>
      <c r="Y1592" s="5"/>
      <c r="Z1592" s="5"/>
      <c r="AA1592" s="5"/>
      <c r="AB1592" s="5"/>
      <c r="AC1592" s="5"/>
      <c r="AD1592" s="5"/>
      <c r="AE1592" s="5"/>
      <c r="AF1592" s="5"/>
      <c r="AG1592" s="5"/>
      <c r="AH1592" s="5"/>
      <c r="AI1592" s="5"/>
      <c r="AJ1592" s="5"/>
      <c r="AK1592" s="5"/>
    </row>
    <row r="1593" spans="1:37" x14ac:dyDescent="0.25">
      <c r="A1593" s="11">
        <f>Table1[[#This Row],[Milk Yield]]-J1589</f>
        <v>-309</v>
      </c>
      <c r="B1593" t="s">
        <v>24</v>
      </c>
      <c r="C1593" s="2">
        <v>3</v>
      </c>
      <c r="D1593" s="12">
        <v>45865</v>
      </c>
      <c r="E1593" s="2">
        <v>38</v>
      </c>
      <c r="F1593" s="13">
        <v>6.0879629629629626E-3</v>
      </c>
      <c r="G1593" s="3">
        <v>0.23813657407407407</v>
      </c>
      <c r="H1593" s="1">
        <v>0.23194444444444445</v>
      </c>
      <c r="I1593" s="5">
        <v>835</v>
      </c>
      <c r="J1593">
        <v>12198</v>
      </c>
      <c r="K1593">
        <v>150</v>
      </c>
      <c r="L1593" s="5">
        <v>69</v>
      </c>
      <c r="M1593" s="5">
        <v>834</v>
      </c>
      <c r="N1593">
        <v>6</v>
      </c>
      <c r="O1593">
        <v>828</v>
      </c>
      <c r="P1593" s="1">
        <v>0.23541666666666666</v>
      </c>
      <c r="Q1593" s="5">
        <v>2190</v>
      </c>
      <c r="R1593" s="14">
        <v>14.7</v>
      </c>
      <c r="S1593">
        <v>150</v>
      </c>
      <c r="T1593" s="5">
        <v>6</v>
      </c>
      <c r="U1593" s="5">
        <v>828</v>
      </c>
      <c r="V1593" s="5">
        <v>0</v>
      </c>
      <c r="W1593" s="5"/>
      <c r="X1593" s="5"/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</row>
    <row r="1594" spans="1:37" x14ac:dyDescent="0.25">
      <c r="A1594" s="11" t="e">
        <f>Table1[[#This Row],[Milk Yield]]-J1590</f>
        <v>#VALUE!</v>
      </c>
      <c r="B1594" t="s">
        <v>0</v>
      </c>
      <c r="C1594" s="2" t="s">
        <v>1</v>
      </c>
      <c r="D1594" s="12" t="s">
        <v>2</v>
      </c>
      <c r="E1594" s="2" t="s">
        <v>3</v>
      </c>
      <c r="F1594" s="13" t="s">
        <v>4</v>
      </c>
      <c r="G1594" s="3" t="s">
        <v>5</v>
      </c>
      <c r="H1594" s="1" t="s">
        <v>6</v>
      </c>
      <c r="I1594" s="5" t="s">
        <v>8</v>
      </c>
      <c r="J1594" t="s">
        <v>9</v>
      </c>
      <c r="K1594" t="s">
        <v>10</v>
      </c>
      <c r="L1594" s="5" t="s">
        <v>11</v>
      </c>
      <c r="M1594" s="5" t="s">
        <v>12</v>
      </c>
      <c r="N1594" t="s">
        <v>13</v>
      </c>
      <c r="O1594" t="s">
        <v>20</v>
      </c>
      <c r="P1594" s="1" t="s">
        <v>7</v>
      </c>
      <c r="Q1594" s="5" t="s">
        <v>15</v>
      </c>
      <c r="R1594" s="14" t="s">
        <v>18</v>
      </c>
      <c r="S1594" t="s">
        <v>16</v>
      </c>
      <c r="T1594" s="5" t="s">
        <v>14</v>
      </c>
      <c r="U1594" s="5" t="s">
        <v>17</v>
      </c>
      <c r="V1594" s="5" t="s">
        <v>19</v>
      </c>
      <c r="W1594" s="5"/>
      <c r="X1594" s="5"/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</row>
    <row r="1595" spans="1:37" x14ac:dyDescent="0.25">
      <c r="A1595" s="11">
        <f>Table1[[#This Row],[Milk Yield]]-J1591</f>
        <v>-413</v>
      </c>
      <c r="B1595" t="s">
        <v>24</v>
      </c>
      <c r="C1595" s="2">
        <v>1</v>
      </c>
      <c r="D1595" s="12">
        <v>45866</v>
      </c>
      <c r="E1595" s="2">
        <v>37</v>
      </c>
      <c r="F1595" s="13">
        <v>0.33586805555555554</v>
      </c>
      <c r="G1595" s="3">
        <v>0.55143518518518519</v>
      </c>
      <c r="H1595" s="1">
        <v>0.21527777777777779</v>
      </c>
      <c r="I1595" s="5">
        <v>830</v>
      </c>
      <c r="J1595">
        <v>10692</v>
      </c>
      <c r="K1595">
        <v>160</v>
      </c>
      <c r="L1595" s="5">
        <v>191</v>
      </c>
      <c r="M1595" s="5">
        <v>828</v>
      </c>
      <c r="N1595">
        <v>16</v>
      </c>
      <c r="O1595">
        <v>812</v>
      </c>
      <c r="P1595" s="1">
        <v>0.21666666666666667</v>
      </c>
      <c r="Q1595" s="5">
        <v>2067</v>
      </c>
      <c r="R1595" s="14">
        <v>13</v>
      </c>
      <c r="S1595">
        <v>160</v>
      </c>
      <c r="T1595" s="5">
        <v>16</v>
      </c>
      <c r="U1595" s="5">
        <v>812</v>
      </c>
      <c r="V1595" s="5">
        <v>0</v>
      </c>
      <c r="W1595" s="5"/>
      <c r="X1595" s="5"/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</row>
    <row r="1596" spans="1:37" x14ac:dyDescent="0.25">
      <c r="A1596" s="11">
        <f>Table1[[#This Row],[Milk Yield]]-J1592</f>
        <v>1002</v>
      </c>
      <c r="B1596" t="s">
        <v>24</v>
      </c>
      <c r="C1596" s="2">
        <v>2</v>
      </c>
      <c r="D1596" s="12">
        <v>45866</v>
      </c>
      <c r="E1596" s="2">
        <v>41</v>
      </c>
      <c r="F1596" s="13">
        <v>0.67416666666666669</v>
      </c>
      <c r="G1596" s="3">
        <v>0.89021990740740742</v>
      </c>
      <c r="H1596" s="1">
        <v>0.21597222222222223</v>
      </c>
      <c r="I1596" s="5">
        <v>839</v>
      </c>
      <c r="J1596">
        <v>11503</v>
      </c>
      <c r="K1596">
        <v>162</v>
      </c>
      <c r="L1596" s="5">
        <v>80</v>
      </c>
      <c r="M1596" s="5">
        <v>837</v>
      </c>
      <c r="N1596">
        <v>8</v>
      </c>
      <c r="O1596">
        <v>829</v>
      </c>
      <c r="P1596" s="1">
        <v>0.21875</v>
      </c>
      <c r="Q1596" s="5">
        <v>2218</v>
      </c>
      <c r="R1596" s="14">
        <v>13.8</v>
      </c>
      <c r="S1596">
        <v>161</v>
      </c>
      <c r="T1596" s="5">
        <v>8</v>
      </c>
      <c r="U1596" s="5">
        <v>829</v>
      </c>
      <c r="V1596" s="5">
        <v>0</v>
      </c>
      <c r="W1596" s="5"/>
      <c r="X1596" s="5"/>
      <c r="Y1596" s="5"/>
      <c r="Z1596" s="5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</row>
    <row r="1597" spans="1:37" x14ac:dyDescent="0.25">
      <c r="A1597" s="11">
        <f>Table1[[#This Row],[Milk Yield]]-J1593</f>
        <v>-1776</v>
      </c>
      <c r="B1597" t="s">
        <v>24</v>
      </c>
      <c r="C1597" s="2">
        <v>3</v>
      </c>
      <c r="D1597" s="12">
        <v>45866</v>
      </c>
      <c r="E1597" s="2">
        <v>37</v>
      </c>
      <c r="F1597" s="13">
        <v>0.9965856481481481</v>
      </c>
      <c r="G1597" s="3">
        <v>0.18305555555555555</v>
      </c>
      <c r="H1597" s="1">
        <v>0.18611111111111112</v>
      </c>
      <c r="I1597" s="5">
        <v>835</v>
      </c>
      <c r="J1597">
        <v>10422</v>
      </c>
      <c r="K1597">
        <v>187</v>
      </c>
      <c r="L1597" s="5">
        <v>61</v>
      </c>
      <c r="M1597" s="5">
        <v>833</v>
      </c>
      <c r="N1597">
        <v>6</v>
      </c>
      <c r="O1597">
        <v>827</v>
      </c>
      <c r="P1597" s="1">
        <v>0.20624999999999999</v>
      </c>
      <c r="Q1597" s="5">
        <v>2329</v>
      </c>
      <c r="R1597" s="14">
        <v>12.6</v>
      </c>
      <c r="S1597">
        <v>186</v>
      </c>
      <c r="T1597" s="5">
        <v>6</v>
      </c>
      <c r="U1597" s="5">
        <v>827</v>
      </c>
      <c r="V1597" s="5">
        <v>0</v>
      </c>
      <c r="W1597" s="5"/>
      <c r="X1597" s="5"/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</row>
    <row r="1598" spans="1:37" x14ac:dyDescent="0.25">
      <c r="A1598" s="11" t="e">
        <f>Table1[[#This Row],[Milk Yield]]-J1594</f>
        <v>#VALUE!</v>
      </c>
      <c r="B1598" t="s">
        <v>0</v>
      </c>
      <c r="C1598" s="2" t="s">
        <v>1</v>
      </c>
      <c r="D1598" s="12" t="s">
        <v>2</v>
      </c>
      <c r="E1598" s="2" t="s">
        <v>3</v>
      </c>
      <c r="F1598" s="13" t="s">
        <v>4</v>
      </c>
      <c r="G1598" s="3" t="s">
        <v>5</v>
      </c>
      <c r="H1598" s="1" t="s">
        <v>6</v>
      </c>
      <c r="I1598" s="5" t="s">
        <v>8</v>
      </c>
      <c r="J1598" t="s">
        <v>9</v>
      </c>
      <c r="K1598" t="s">
        <v>10</v>
      </c>
      <c r="L1598" s="5" t="s">
        <v>11</v>
      </c>
      <c r="M1598" s="5" t="s">
        <v>12</v>
      </c>
      <c r="N1598" t="s">
        <v>13</v>
      </c>
      <c r="O1598" t="s">
        <v>20</v>
      </c>
      <c r="P1598" s="1" t="s">
        <v>7</v>
      </c>
      <c r="Q1598" s="5" t="s">
        <v>15</v>
      </c>
      <c r="R1598" s="14" t="s">
        <v>18</v>
      </c>
      <c r="S1598" t="s">
        <v>16</v>
      </c>
      <c r="T1598" s="5" t="s">
        <v>14</v>
      </c>
      <c r="U1598" s="5" t="s">
        <v>17</v>
      </c>
      <c r="V1598" s="5" t="s">
        <v>19</v>
      </c>
      <c r="W1598" s="5"/>
      <c r="X1598" s="5"/>
      <c r="Y1598" s="5"/>
      <c r="Z1598" s="5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</row>
    <row r="1599" spans="1:37" x14ac:dyDescent="0.25">
      <c r="A1599" s="11">
        <f>Table1[[#This Row],[Milk Yield]]-J1595</f>
        <v>806</v>
      </c>
      <c r="B1599" t="s">
        <v>24</v>
      </c>
      <c r="C1599" s="2">
        <v>1</v>
      </c>
      <c r="D1599" s="12">
        <v>45867</v>
      </c>
      <c r="E1599" s="2">
        <v>38</v>
      </c>
      <c r="F1599" s="13">
        <v>0.33622685185185186</v>
      </c>
      <c r="G1599" s="3">
        <v>0.53773148148148153</v>
      </c>
      <c r="H1599" s="1">
        <v>0.2013888888888889</v>
      </c>
      <c r="I1599" s="5">
        <v>835</v>
      </c>
      <c r="J1599">
        <v>11498</v>
      </c>
      <c r="K1599">
        <v>173</v>
      </c>
      <c r="L1599" s="5">
        <v>434</v>
      </c>
      <c r="M1599" s="5">
        <v>834</v>
      </c>
      <c r="N1599">
        <v>26</v>
      </c>
      <c r="O1599">
        <v>808</v>
      </c>
      <c r="P1599" s="1">
        <v>0.22777777777777777</v>
      </c>
      <c r="Q1599" s="5">
        <v>2377</v>
      </c>
      <c r="R1599" s="14">
        <v>13.8</v>
      </c>
      <c r="S1599">
        <v>172</v>
      </c>
      <c r="T1599" s="5">
        <v>26</v>
      </c>
      <c r="U1599" s="5">
        <v>808</v>
      </c>
      <c r="V1599" s="5">
        <v>0</v>
      </c>
      <c r="W1599" s="5"/>
      <c r="X1599" s="5"/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</row>
    <row r="1600" spans="1:37" x14ac:dyDescent="0.25">
      <c r="A1600" s="11">
        <f>Table1[[#This Row],[Milk Yield]]-J1596</f>
        <v>722</v>
      </c>
      <c r="B1600" t="s">
        <v>24</v>
      </c>
      <c r="C1600" s="2">
        <v>2</v>
      </c>
      <c r="D1600" s="12">
        <v>45867</v>
      </c>
      <c r="E1600" s="2">
        <v>38</v>
      </c>
      <c r="F1600" s="13">
        <v>0.67180555555555554</v>
      </c>
      <c r="G1600" s="3">
        <v>0.92253472222222221</v>
      </c>
      <c r="H1600" s="1">
        <v>0.25069444444444444</v>
      </c>
      <c r="I1600" s="5">
        <v>837</v>
      </c>
      <c r="J1600">
        <v>12225</v>
      </c>
      <c r="K1600">
        <v>139</v>
      </c>
      <c r="L1600" s="5">
        <v>67</v>
      </c>
      <c r="M1600" s="5">
        <v>835</v>
      </c>
      <c r="N1600">
        <v>6</v>
      </c>
      <c r="O1600">
        <v>829</v>
      </c>
      <c r="P1600" s="1">
        <v>0.22916666666666666</v>
      </c>
      <c r="Q1600" s="5">
        <v>2032</v>
      </c>
      <c r="R1600" s="14">
        <v>14.7</v>
      </c>
      <c r="S1600">
        <v>139</v>
      </c>
      <c r="T1600" s="5">
        <v>6</v>
      </c>
      <c r="U1600" s="5">
        <v>829</v>
      </c>
      <c r="V1600" s="5">
        <v>0</v>
      </c>
      <c r="W1600" s="5"/>
      <c r="X1600" s="5"/>
      <c r="Y1600" s="5"/>
      <c r="Z1600" s="5"/>
      <c r="AA1600" s="5"/>
      <c r="AB1600" s="5"/>
      <c r="AC1600" s="5"/>
      <c r="AD1600" s="5"/>
      <c r="AE1600" s="5"/>
      <c r="AF1600" s="5"/>
      <c r="AG1600" s="5"/>
      <c r="AH1600" s="5"/>
      <c r="AI1600" s="5"/>
      <c r="AJ1600" s="5"/>
      <c r="AK1600" s="5"/>
    </row>
    <row r="1601" spans="1:37" x14ac:dyDescent="0.25">
      <c r="A1601" s="11">
        <f>Table1[[#This Row],[Milk Yield]]-J1597</f>
        <v>41</v>
      </c>
      <c r="B1601" t="s">
        <v>24</v>
      </c>
      <c r="C1601" s="2">
        <v>3</v>
      </c>
      <c r="D1601" s="12">
        <v>45867</v>
      </c>
      <c r="E1601" s="2">
        <v>39</v>
      </c>
      <c r="F1601" s="13">
        <v>0.99908564814814815</v>
      </c>
      <c r="G1601" s="3">
        <v>0.21663194444444445</v>
      </c>
      <c r="H1601" s="1">
        <v>0.21736111111111112</v>
      </c>
      <c r="I1601" s="5">
        <v>836</v>
      </c>
      <c r="J1601">
        <v>10463</v>
      </c>
      <c r="K1601">
        <v>160</v>
      </c>
      <c r="L1601" s="5">
        <v>51</v>
      </c>
      <c r="M1601" s="5">
        <v>835</v>
      </c>
      <c r="N1601">
        <v>6</v>
      </c>
      <c r="O1601">
        <v>829</v>
      </c>
      <c r="P1601" s="1">
        <v>0.21666666666666667</v>
      </c>
      <c r="Q1601" s="5">
        <v>2004</v>
      </c>
      <c r="R1601" s="14">
        <v>12.6</v>
      </c>
      <c r="S1601">
        <v>160</v>
      </c>
      <c r="T1601" s="5">
        <v>6</v>
      </c>
      <c r="U1601" s="5">
        <v>829</v>
      </c>
      <c r="V1601" s="5">
        <v>0</v>
      </c>
      <c r="W1601" s="5"/>
      <c r="X1601" s="5"/>
      <c r="Y1601" s="5"/>
      <c r="Z1601" s="5"/>
      <c r="AA1601" s="5"/>
      <c r="AB1601" s="5"/>
      <c r="AC1601" s="5"/>
      <c r="AD1601" s="5"/>
      <c r="AE1601" s="5"/>
      <c r="AF1601" s="5"/>
      <c r="AG1601" s="5"/>
      <c r="AH1601" s="5"/>
      <c r="AI1601" s="5"/>
      <c r="AJ1601" s="5"/>
      <c r="AK1601" s="5"/>
    </row>
    <row r="1602" spans="1:37" x14ac:dyDescent="0.25">
      <c r="A1602" s="11" t="e">
        <f>Table1[[#This Row],[Milk Yield]]-J1598</f>
        <v>#VALUE!</v>
      </c>
      <c r="B1602" t="s">
        <v>0</v>
      </c>
      <c r="C1602" s="2" t="s">
        <v>1</v>
      </c>
      <c r="D1602" s="12" t="s">
        <v>2</v>
      </c>
      <c r="E1602" s="2" t="s">
        <v>3</v>
      </c>
      <c r="F1602" s="13" t="s">
        <v>4</v>
      </c>
      <c r="G1602" s="3" t="s">
        <v>5</v>
      </c>
      <c r="H1602" s="1" t="s">
        <v>6</v>
      </c>
      <c r="I1602" s="5" t="s">
        <v>8</v>
      </c>
      <c r="J1602" t="s">
        <v>9</v>
      </c>
      <c r="K1602" t="s">
        <v>10</v>
      </c>
      <c r="L1602" s="5" t="s">
        <v>11</v>
      </c>
      <c r="M1602" s="5" t="s">
        <v>12</v>
      </c>
      <c r="N1602" t="s">
        <v>13</v>
      </c>
      <c r="O1602" t="s">
        <v>20</v>
      </c>
      <c r="P1602" s="1" t="s">
        <v>7</v>
      </c>
      <c r="Q1602" s="5" t="s">
        <v>15</v>
      </c>
      <c r="R1602" s="14" t="s">
        <v>18</v>
      </c>
      <c r="S1602" t="s">
        <v>16</v>
      </c>
      <c r="T1602" s="5" t="s">
        <v>14</v>
      </c>
      <c r="U1602" s="5" t="s">
        <v>17</v>
      </c>
      <c r="V1602" s="5" t="s">
        <v>19</v>
      </c>
      <c r="W1602" s="5"/>
      <c r="X1602" s="5"/>
      <c r="Y1602" s="5"/>
      <c r="Z1602" s="5"/>
      <c r="AA1602" s="5"/>
      <c r="AB1602" s="5"/>
      <c r="AC1602" s="5"/>
      <c r="AD1602" s="5"/>
      <c r="AE1602" s="5"/>
      <c r="AF1602" s="5"/>
      <c r="AG1602" s="5"/>
      <c r="AH1602" s="5"/>
      <c r="AI1602" s="5"/>
      <c r="AJ1602" s="5"/>
      <c r="AK1602" s="5"/>
    </row>
    <row r="1603" spans="1:37" x14ac:dyDescent="0.25">
      <c r="A1603" s="11">
        <f>Table1[[#This Row],[Milk Yield]]-J1599</f>
        <v>-774</v>
      </c>
      <c r="B1603" t="s">
        <v>24</v>
      </c>
      <c r="C1603" s="2">
        <v>1</v>
      </c>
      <c r="D1603" s="12">
        <v>45868</v>
      </c>
      <c r="E1603" s="2">
        <v>40</v>
      </c>
      <c r="F1603" s="13">
        <v>0.33878472222222222</v>
      </c>
      <c r="G1603" s="3">
        <v>0.51888888888888884</v>
      </c>
      <c r="H1603" s="1">
        <v>0.17986111111111111</v>
      </c>
      <c r="I1603" s="5">
        <v>845</v>
      </c>
      <c r="J1603">
        <v>10724</v>
      </c>
      <c r="K1603">
        <v>195</v>
      </c>
      <c r="L1603" s="5">
        <v>226</v>
      </c>
      <c r="M1603" s="5">
        <v>835</v>
      </c>
      <c r="N1603">
        <v>19</v>
      </c>
      <c r="O1603">
        <v>816</v>
      </c>
      <c r="P1603" s="1">
        <v>0.21249999999999999</v>
      </c>
      <c r="Q1603" s="5">
        <v>2481</v>
      </c>
      <c r="R1603" s="14">
        <v>12.9</v>
      </c>
      <c r="S1603">
        <v>193</v>
      </c>
      <c r="T1603" s="5">
        <v>19</v>
      </c>
      <c r="U1603" s="5">
        <v>816</v>
      </c>
      <c r="V1603" s="5">
        <v>0</v>
      </c>
      <c r="W1603" s="5"/>
      <c r="X1603" s="5"/>
      <c r="Y1603" s="5"/>
      <c r="Z1603" s="5"/>
      <c r="AA1603" s="5"/>
      <c r="AB1603" s="5"/>
      <c r="AC1603" s="5"/>
      <c r="AD1603" s="5"/>
      <c r="AE1603" s="5"/>
      <c r="AF1603" s="5"/>
      <c r="AG1603" s="5"/>
      <c r="AH1603" s="5"/>
      <c r="AI1603" s="5"/>
      <c r="AJ1603" s="5"/>
      <c r="AK1603" s="5"/>
    </row>
    <row r="1604" spans="1:37" x14ac:dyDescent="0.25">
      <c r="A1604" s="11">
        <f>Table1[[#This Row],[Milk Yield]]-J1600</f>
        <v>-169</v>
      </c>
      <c r="B1604" t="s">
        <v>24</v>
      </c>
      <c r="C1604" s="2">
        <v>2</v>
      </c>
      <c r="D1604" s="12">
        <v>45868</v>
      </c>
      <c r="E1604" s="2">
        <v>38</v>
      </c>
      <c r="F1604" s="13">
        <v>0.67180555555555554</v>
      </c>
      <c r="G1604" s="3">
        <v>0.92253472222222221</v>
      </c>
      <c r="H1604" s="1">
        <v>0.25069444444444444</v>
      </c>
      <c r="I1604" s="5">
        <v>837</v>
      </c>
      <c r="J1604">
        <v>12056</v>
      </c>
      <c r="K1604">
        <v>139</v>
      </c>
      <c r="L1604" s="5">
        <v>67</v>
      </c>
      <c r="M1604" s="5">
        <v>835</v>
      </c>
      <c r="N1604">
        <v>6</v>
      </c>
      <c r="O1604">
        <v>829</v>
      </c>
      <c r="P1604" s="1">
        <v>0.22916666666666666</v>
      </c>
      <c r="Q1604" s="5">
        <v>2032</v>
      </c>
      <c r="R1604" s="14">
        <v>14.02</v>
      </c>
      <c r="S1604">
        <v>139</v>
      </c>
      <c r="T1604" s="5">
        <v>6</v>
      </c>
      <c r="U1604" s="5">
        <v>829</v>
      </c>
      <c r="V1604" s="5">
        <v>0</v>
      </c>
      <c r="W1604" s="5"/>
      <c r="X1604" s="5"/>
      <c r="Y1604" s="5"/>
      <c r="Z1604" s="5"/>
      <c r="AA1604" s="5"/>
      <c r="AB1604" s="5"/>
      <c r="AC1604" s="5"/>
      <c r="AD1604" s="5"/>
      <c r="AE1604" s="5"/>
      <c r="AF1604" s="5"/>
      <c r="AG1604" s="5"/>
      <c r="AH1604" s="5"/>
      <c r="AI1604" s="5"/>
      <c r="AJ1604" s="5"/>
      <c r="AK1604" s="5"/>
    </row>
    <row r="1605" spans="1:37" x14ac:dyDescent="0.25">
      <c r="A1605" s="11">
        <f>Table1[[#This Row],[Milk Yield]]-J1601</f>
        <v>791</v>
      </c>
      <c r="B1605" t="s">
        <v>24</v>
      </c>
      <c r="C1605" s="2">
        <v>3</v>
      </c>
      <c r="D1605" s="12">
        <v>45868</v>
      </c>
      <c r="E1605" s="2">
        <v>42</v>
      </c>
      <c r="F1605" s="13">
        <v>5.4050925925925924E-3</v>
      </c>
      <c r="G1605" s="3">
        <v>0.22001157407407407</v>
      </c>
      <c r="H1605" s="1">
        <v>0.22916666666666666</v>
      </c>
      <c r="I1605" s="5">
        <v>882</v>
      </c>
      <c r="J1605">
        <v>11254</v>
      </c>
      <c r="K1605">
        <v>156</v>
      </c>
      <c r="L1605" s="5">
        <v>148</v>
      </c>
      <c r="M1605" s="5">
        <v>882</v>
      </c>
      <c r="N1605">
        <v>47</v>
      </c>
      <c r="O1605">
        <v>835</v>
      </c>
      <c r="P1605" s="1">
        <v>0.31180555555555556</v>
      </c>
      <c r="Q1605" s="5">
        <v>1782</v>
      </c>
      <c r="R1605" s="14">
        <v>12.5</v>
      </c>
      <c r="S1605">
        <v>67</v>
      </c>
      <c r="T1605" s="5">
        <v>47</v>
      </c>
      <c r="U1605" s="5">
        <v>835</v>
      </c>
      <c r="V1605" s="5">
        <v>0</v>
      </c>
      <c r="W1605" s="5"/>
      <c r="X1605" s="5"/>
      <c r="Y1605" s="5"/>
      <c r="Z1605" s="5"/>
      <c r="AA1605" s="5"/>
      <c r="AB1605" s="5"/>
      <c r="AC1605" s="5"/>
      <c r="AD1605" s="5"/>
      <c r="AE1605" s="5"/>
      <c r="AF1605" s="5"/>
      <c r="AG1605" s="5"/>
      <c r="AH1605" s="5"/>
      <c r="AI1605" s="5"/>
      <c r="AJ1605" s="5"/>
      <c r="AK1605" s="5"/>
    </row>
    <row r="1606" spans="1:37" x14ac:dyDescent="0.25">
      <c r="A1606" s="11" t="e">
        <f>Table1[[#This Row],[Milk Yield]]-J1602</f>
        <v>#VALUE!</v>
      </c>
      <c r="B1606" t="s">
        <v>0</v>
      </c>
      <c r="C1606" s="2" t="s">
        <v>1</v>
      </c>
      <c r="D1606" s="12" t="s">
        <v>2</v>
      </c>
      <c r="E1606" s="2" t="s">
        <v>3</v>
      </c>
      <c r="F1606" s="13" t="s">
        <v>4</v>
      </c>
      <c r="G1606" s="3" t="s">
        <v>5</v>
      </c>
      <c r="H1606" s="1" t="s">
        <v>6</v>
      </c>
      <c r="I1606" s="5" t="s">
        <v>8</v>
      </c>
      <c r="J1606" t="s">
        <v>9</v>
      </c>
      <c r="K1606" t="s">
        <v>10</v>
      </c>
      <c r="L1606" s="5" t="s">
        <v>11</v>
      </c>
      <c r="M1606" s="5" t="s">
        <v>12</v>
      </c>
      <c r="N1606" t="s">
        <v>13</v>
      </c>
      <c r="O1606" t="s">
        <v>20</v>
      </c>
      <c r="P1606" s="1" t="s">
        <v>7</v>
      </c>
      <c r="Q1606" s="5" t="s">
        <v>15</v>
      </c>
      <c r="R1606" s="14" t="s">
        <v>18</v>
      </c>
      <c r="S1606" t="s">
        <v>16</v>
      </c>
      <c r="T1606" s="5" t="s">
        <v>14</v>
      </c>
      <c r="U1606" s="5" t="s">
        <v>17</v>
      </c>
      <c r="V1606" s="5" t="s">
        <v>19</v>
      </c>
      <c r="W1606" s="5"/>
      <c r="X1606" s="5"/>
      <c r="Y1606" s="5"/>
      <c r="Z1606" s="5"/>
      <c r="AA1606" s="5"/>
      <c r="AB1606" s="5"/>
      <c r="AC1606" s="5"/>
      <c r="AD1606" s="5"/>
      <c r="AE1606" s="5"/>
      <c r="AF1606" s="5"/>
      <c r="AG1606" s="5"/>
      <c r="AH1606" s="5"/>
      <c r="AI1606" s="5"/>
      <c r="AJ1606" s="5"/>
      <c r="AK1606" s="5"/>
    </row>
    <row r="1607" spans="1:37" x14ac:dyDescent="0.25">
      <c r="A1607" s="11">
        <f>Table1[[#This Row],[Milk Yield]]-J1603</f>
        <v>315</v>
      </c>
      <c r="B1607" t="s">
        <v>24</v>
      </c>
      <c r="C1607" s="2">
        <v>1</v>
      </c>
      <c r="D1607" s="12">
        <v>45869</v>
      </c>
      <c r="E1607" s="2">
        <v>39</v>
      </c>
      <c r="F1607" s="13">
        <v>0.34040509259259261</v>
      </c>
      <c r="G1607" s="3">
        <v>0.56486111111111115</v>
      </c>
      <c r="H1607" s="1">
        <v>0.22430555555555556</v>
      </c>
      <c r="I1607" s="5">
        <v>842</v>
      </c>
      <c r="J1607">
        <v>11039</v>
      </c>
      <c r="K1607">
        <v>156</v>
      </c>
      <c r="L1607" s="5">
        <v>127</v>
      </c>
      <c r="M1607" s="5">
        <v>837</v>
      </c>
      <c r="N1607">
        <v>12</v>
      </c>
      <c r="O1607">
        <v>825</v>
      </c>
      <c r="P1607" s="1">
        <v>0.22430555555555556</v>
      </c>
      <c r="Q1607" s="5">
        <v>2049</v>
      </c>
      <c r="R1607" s="14">
        <v>13.2</v>
      </c>
      <c r="S1607">
        <v>155</v>
      </c>
      <c r="T1607" s="5">
        <v>12</v>
      </c>
      <c r="U1607" s="5">
        <v>825</v>
      </c>
      <c r="V1607" s="5">
        <v>0</v>
      </c>
      <c r="W1607" s="5"/>
      <c r="X1607" s="5"/>
      <c r="Y1607" s="5"/>
      <c r="Z1607" s="5"/>
      <c r="AA1607" s="5"/>
      <c r="AB1607" s="5"/>
      <c r="AC1607" s="5"/>
      <c r="AD1607" s="5"/>
      <c r="AE1607" s="5"/>
      <c r="AF1607" s="5"/>
      <c r="AG1607" s="5"/>
      <c r="AH1607" s="5"/>
      <c r="AI1607" s="5"/>
      <c r="AJ1607" s="5"/>
      <c r="AK1607" s="5"/>
    </row>
    <row r="1608" spans="1:37" x14ac:dyDescent="0.25">
      <c r="A1608" s="11">
        <f>Table1[[#This Row],[Milk Yield]]-J1604</f>
        <v>-1192</v>
      </c>
      <c r="B1608" t="s">
        <v>24</v>
      </c>
      <c r="C1608" s="2">
        <v>2</v>
      </c>
      <c r="D1608" s="12">
        <v>45869</v>
      </c>
      <c r="E1608" s="2">
        <v>39</v>
      </c>
      <c r="F1608" s="13">
        <v>0.66874999999999996</v>
      </c>
      <c r="G1608" s="3">
        <v>0.88247685185185187</v>
      </c>
      <c r="H1608" s="1">
        <v>0.21319444444444444</v>
      </c>
      <c r="I1608" s="5">
        <v>839</v>
      </c>
      <c r="J1608">
        <v>10864</v>
      </c>
      <c r="K1608">
        <v>164</v>
      </c>
      <c r="L1608" s="5">
        <v>64</v>
      </c>
      <c r="M1608" s="5">
        <v>839</v>
      </c>
      <c r="N1608">
        <v>5</v>
      </c>
      <c r="O1608">
        <v>834</v>
      </c>
      <c r="P1608" s="1">
        <v>0.21666666666666667</v>
      </c>
      <c r="Q1608" s="5">
        <v>2118</v>
      </c>
      <c r="R1608" s="14">
        <v>13</v>
      </c>
      <c r="S1608">
        <v>164</v>
      </c>
      <c r="T1608" s="5">
        <v>5</v>
      </c>
      <c r="U1608" s="5">
        <v>834</v>
      </c>
      <c r="V1608" s="5">
        <v>0</v>
      </c>
      <c r="W1608" s="5"/>
      <c r="X1608" s="5"/>
      <c r="Y1608" s="5"/>
      <c r="Z1608" s="5"/>
      <c r="AA1608" s="5"/>
      <c r="AB1608" s="5"/>
      <c r="AC1608" s="5"/>
      <c r="AD1608" s="5"/>
      <c r="AE1608" s="5"/>
      <c r="AF1608" s="5"/>
      <c r="AG1608" s="5"/>
      <c r="AH1608" s="5"/>
      <c r="AI1608" s="5"/>
      <c r="AJ1608" s="5"/>
      <c r="AK1608" s="5"/>
    </row>
    <row r="1609" spans="1:37" x14ac:dyDescent="0.25">
      <c r="A1609" s="11">
        <f>Table1[[#This Row],[Milk Yield]]-J1605</f>
        <v>-244</v>
      </c>
      <c r="B1609" t="s">
        <v>24</v>
      </c>
      <c r="C1609" s="2">
        <v>3</v>
      </c>
      <c r="D1609" s="12">
        <v>45869</v>
      </c>
      <c r="E1609" s="2">
        <v>37</v>
      </c>
      <c r="F1609" s="13">
        <v>0.99993055555555554</v>
      </c>
      <c r="G1609" s="3">
        <v>0.20531250000000001</v>
      </c>
      <c r="H1609" s="1">
        <v>0.2048611111111111</v>
      </c>
      <c r="I1609" s="5">
        <v>838</v>
      </c>
      <c r="J1609">
        <v>11010</v>
      </c>
      <c r="K1609">
        <v>170</v>
      </c>
      <c r="L1609" s="5">
        <v>49</v>
      </c>
      <c r="M1609" s="5">
        <v>836</v>
      </c>
      <c r="N1609">
        <v>5</v>
      </c>
      <c r="O1609">
        <v>831</v>
      </c>
      <c r="P1609" s="1">
        <v>0.21319444444444444</v>
      </c>
      <c r="Q1609" s="5">
        <v>2234</v>
      </c>
      <c r="R1609" s="14">
        <v>13.2</v>
      </c>
      <c r="S1609">
        <v>170</v>
      </c>
      <c r="T1609" s="5">
        <v>5</v>
      </c>
      <c r="U1609" s="5">
        <v>831</v>
      </c>
      <c r="V1609" s="5">
        <v>0</v>
      </c>
      <c r="W1609" s="5"/>
      <c r="X1609" s="5"/>
      <c r="Y1609" s="5"/>
      <c r="Z1609" s="5"/>
      <c r="AA1609" s="5"/>
      <c r="AB1609" s="5"/>
      <c r="AC1609" s="5"/>
      <c r="AD1609" s="5"/>
      <c r="AE1609" s="5"/>
      <c r="AF1609" s="5"/>
      <c r="AG1609" s="5"/>
      <c r="AH1609" s="5"/>
      <c r="AI1609" s="5"/>
      <c r="AJ1609" s="5"/>
      <c r="AK1609" s="5"/>
    </row>
    <row r="1610" spans="1:37" x14ac:dyDescent="0.25">
      <c r="A1610" s="11" t="e">
        <f>Table1[[#This Row],[Milk Yield]]-J1606</f>
        <v>#VALUE!</v>
      </c>
      <c r="B1610" t="s">
        <v>0</v>
      </c>
      <c r="C1610" s="2" t="s">
        <v>1</v>
      </c>
      <c r="D1610" s="12" t="s">
        <v>2</v>
      </c>
      <c r="E1610" s="2" t="s">
        <v>3</v>
      </c>
      <c r="F1610" s="13" t="s">
        <v>4</v>
      </c>
      <c r="G1610" s="3" t="s">
        <v>5</v>
      </c>
      <c r="H1610" s="1" t="s">
        <v>6</v>
      </c>
      <c r="I1610" s="5" t="s">
        <v>8</v>
      </c>
      <c r="J1610" t="s">
        <v>9</v>
      </c>
      <c r="K1610" t="s">
        <v>10</v>
      </c>
      <c r="L1610" s="5" t="s">
        <v>11</v>
      </c>
      <c r="M1610" s="5" t="s">
        <v>12</v>
      </c>
      <c r="N1610" t="s">
        <v>13</v>
      </c>
      <c r="O1610" t="s">
        <v>20</v>
      </c>
      <c r="P1610" s="1" t="s">
        <v>7</v>
      </c>
      <c r="Q1610" s="5" t="s">
        <v>15</v>
      </c>
      <c r="R1610" s="14" t="s">
        <v>18</v>
      </c>
      <c r="S1610" t="s">
        <v>16</v>
      </c>
      <c r="T1610" s="5" t="s">
        <v>14</v>
      </c>
      <c r="U1610" s="5" t="s">
        <v>17</v>
      </c>
      <c r="V1610" s="5" t="s">
        <v>19</v>
      </c>
      <c r="W1610" s="5"/>
      <c r="X1610" s="5"/>
      <c r="Y1610" s="5"/>
      <c r="Z1610" s="5"/>
      <c r="AA1610" s="5"/>
      <c r="AB1610" s="5"/>
      <c r="AC1610" s="5"/>
      <c r="AD1610" s="5"/>
      <c r="AE1610" s="5"/>
      <c r="AF1610" s="5"/>
      <c r="AG1610" s="5"/>
      <c r="AH1610" s="5"/>
      <c r="AI1610" s="5"/>
      <c r="AJ1610" s="5"/>
      <c r="AK1610" s="5"/>
    </row>
    <row r="1611" spans="1:37" x14ac:dyDescent="0.25">
      <c r="A1611" s="11">
        <f>Table1[[#This Row],[Milk Yield]]-J1607</f>
        <v>434</v>
      </c>
      <c r="B1611" t="s">
        <v>24</v>
      </c>
      <c r="C1611" s="2">
        <v>1</v>
      </c>
      <c r="D1611" s="12">
        <v>45870</v>
      </c>
      <c r="E1611" s="2">
        <v>41</v>
      </c>
      <c r="F1611" s="13">
        <v>0.33949074074074076</v>
      </c>
      <c r="G1611" s="3">
        <v>0.55278935185185185</v>
      </c>
      <c r="H1611" s="1">
        <v>0.21319444444444444</v>
      </c>
      <c r="I1611" s="5">
        <v>835</v>
      </c>
      <c r="J1611">
        <v>11473</v>
      </c>
      <c r="K1611">
        <v>163</v>
      </c>
      <c r="L1611" s="5">
        <v>145</v>
      </c>
      <c r="M1611" s="5">
        <v>834</v>
      </c>
      <c r="N1611">
        <v>12</v>
      </c>
      <c r="O1611">
        <v>822</v>
      </c>
      <c r="P1611" s="1">
        <v>0.22222222222222221</v>
      </c>
      <c r="Q1611" s="5">
        <v>2241</v>
      </c>
      <c r="R1611" s="14">
        <v>13.8</v>
      </c>
      <c r="S1611">
        <v>163</v>
      </c>
      <c r="T1611" s="5">
        <v>12</v>
      </c>
      <c r="U1611" s="5">
        <v>822</v>
      </c>
      <c r="V1611" s="5">
        <v>0</v>
      </c>
      <c r="W1611" s="5"/>
      <c r="X1611" s="5"/>
      <c r="Y1611" s="5"/>
      <c r="Z1611" s="5"/>
      <c r="AA1611" s="5"/>
      <c r="AB1611" s="5"/>
      <c r="AC1611" s="5"/>
      <c r="AD1611" s="5"/>
      <c r="AE1611" s="5"/>
      <c r="AF1611" s="5"/>
      <c r="AG1611" s="5"/>
      <c r="AH1611" s="5"/>
      <c r="AI1611" s="5"/>
      <c r="AJ1611" s="5"/>
      <c r="AK1611" s="5"/>
    </row>
    <row r="1612" spans="1:37" x14ac:dyDescent="0.25">
      <c r="A1612" s="11">
        <f>Table1[[#This Row],[Milk Yield]]-J1608</f>
        <v>379</v>
      </c>
      <c r="B1612" t="s">
        <v>24</v>
      </c>
      <c r="C1612" s="2">
        <v>2</v>
      </c>
      <c r="D1612" s="12">
        <v>45870</v>
      </c>
      <c r="E1612" s="2">
        <v>40</v>
      </c>
      <c r="F1612" s="13">
        <v>0.67013888888888884</v>
      </c>
      <c r="G1612" s="3">
        <v>0.89101851851851854</v>
      </c>
      <c r="H1612" s="1">
        <v>0.22083333333333333</v>
      </c>
      <c r="I1612" s="5">
        <v>830</v>
      </c>
      <c r="J1612">
        <v>11243</v>
      </c>
      <c r="K1612">
        <v>157</v>
      </c>
      <c r="L1612" s="5">
        <v>24</v>
      </c>
      <c r="M1612" s="5">
        <v>830</v>
      </c>
      <c r="N1612">
        <v>3</v>
      </c>
      <c r="O1612">
        <v>827</v>
      </c>
      <c r="P1612" s="1">
        <v>0.22083333333333333</v>
      </c>
      <c r="Q1612" s="5">
        <v>2121</v>
      </c>
      <c r="R1612" s="14">
        <v>13.6</v>
      </c>
      <c r="S1612">
        <v>157</v>
      </c>
      <c r="T1612" s="5">
        <v>3</v>
      </c>
      <c r="U1612" s="5">
        <v>827</v>
      </c>
      <c r="V1612" s="5">
        <v>0</v>
      </c>
      <c r="W1612" s="5"/>
      <c r="X1612" s="5"/>
      <c r="Y1612" s="5"/>
      <c r="Z1612" s="5"/>
      <c r="AA1612" s="5"/>
      <c r="AB1612" s="5"/>
      <c r="AC1612" s="5"/>
      <c r="AD1612" s="5"/>
      <c r="AE1612" s="5"/>
      <c r="AF1612" s="5"/>
      <c r="AG1612" s="5"/>
      <c r="AH1612" s="5"/>
      <c r="AI1612" s="5"/>
      <c r="AJ1612" s="5"/>
      <c r="AK1612" s="5"/>
    </row>
    <row r="1613" spans="1:37" x14ac:dyDescent="0.25">
      <c r="A1613" s="11">
        <f>Table1[[#This Row],[Milk Yield]]-J1609</f>
        <v>170</v>
      </c>
      <c r="B1613" t="s">
        <v>24</v>
      </c>
      <c r="C1613" s="2">
        <v>3</v>
      </c>
      <c r="D1613" s="12">
        <v>45870</v>
      </c>
      <c r="E1613" s="2">
        <v>39</v>
      </c>
      <c r="F1613" s="13">
        <v>1.2731481481481483E-3</v>
      </c>
      <c r="G1613" s="3">
        <v>0.22430555555555556</v>
      </c>
      <c r="H1613" s="1">
        <v>0.22291666666666668</v>
      </c>
      <c r="I1613" s="5">
        <v>823</v>
      </c>
      <c r="J1613">
        <v>11180</v>
      </c>
      <c r="K1613">
        <v>154</v>
      </c>
      <c r="L1613" s="5">
        <v>131</v>
      </c>
      <c r="M1613" s="5">
        <v>822</v>
      </c>
      <c r="N1613">
        <v>11</v>
      </c>
      <c r="O1613">
        <v>811</v>
      </c>
      <c r="P1613" s="1">
        <v>0.21736111111111112</v>
      </c>
      <c r="Q1613" s="5">
        <v>2089</v>
      </c>
      <c r="R1613" s="14">
        <v>13.7</v>
      </c>
      <c r="S1613">
        <v>154</v>
      </c>
      <c r="T1613" s="5">
        <v>11</v>
      </c>
      <c r="U1613" s="5">
        <v>811</v>
      </c>
      <c r="V1613" s="5">
        <v>0</v>
      </c>
      <c r="W1613" s="5"/>
      <c r="X1613" s="5"/>
      <c r="Y1613" s="5"/>
      <c r="Z1613" s="5"/>
      <c r="AA1613" s="5"/>
      <c r="AB1613" s="5"/>
      <c r="AC1613" s="5"/>
      <c r="AD1613" s="5"/>
      <c r="AE1613" s="5"/>
      <c r="AF1613" s="5"/>
      <c r="AG1613" s="5"/>
      <c r="AH1613" s="5"/>
      <c r="AI1613" s="5"/>
      <c r="AJ1613" s="5"/>
      <c r="AK1613" s="5"/>
    </row>
    <row r="1614" spans="1:37" x14ac:dyDescent="0.25">
      <c r="A1614" s="11" t="e">
        <f>Table1[[#This Row],[Milk Yield]]-J1610</f>
        <v>#VALUE!</v>
      </c>
      <c r="B1614" t="s">
        <v>0</v>
      </c>
      <c r="C1614" s="2" t="s">
        <v>1</v>
      </c>
      <c r="D1614" s="12" t="s">
        <v>2</v>
      </c>
      <c r="E1614" s="2" t="s">
        <v>3</v>
      </c>
      <c r="F1614" s="13" t="s">
        <v>4</v>
      </c>
      <c r="G1614" s="3" t="s">
        <v>5</v>
      </c>
      <c r="H1614" s="1" t="s">
        <v>6</v>
      </c>
      <c r="I1614" s="5" t="s">
        <v>8</v>
      </c>
      <c r="J1614" t="s">
        <v>9</v>
      </c>
      <c r="K1614" t="s">
        <v>10</v>
      </c>
      <c r="L1614" s="5" t="s">
        <v>11</v>
      </c>
      <c r="M1614" s="5" t="s">
        <v>12</v>
      </c>
      <c r="N1614" t="s">
        <v>13</v>
      </c>
      <c r="O1614" t="s">
        <v>20</v>
      </c>
      <c r="P1614" s="1" t="s">
        <v>7</v>
      </c>
      <c r="Q1614" s="5" t="s">
        <v>15</v>
      </c>
      <c r="R1614" s="14" t="s">
        <v>18</v>
      </c>
      <c r="S1614" t="s">
        <v>16</v>
      </c>
      <c r="T1614" s="5" t="s">
        <v>14</v>
      </c>
      <c r="U1614" s="5" t="s">
        <v>17</v>
      </c>
      <c r="V1614" s="5" t="s">
        <v>19</v>
      </c>
      <c r="W1614" s="5"/>
      <c r="X1614" s="5"/>
      <c r="Y1614" s="5"/>
      <c r="Z1614" s="5"/>
      <c r="AA1614" s="5"/>
      <c r="AB1614" s="5"/>
      <c r="AC1614" s="5"/>
      <c r="AD1614" s="5"/>
      <c r="AE1614" s="5"/>
      <c r="AF1614" s="5"/>
      <c r="AG1614" s="5"/>
      <c r="AH1614" s="5"/>
      <c r="AI1614" s="5"/>
      <c r="AJ1614" s="5"/>
      <c r="AK1614" s="5"/>
    </row>
    <row r="1615" spans="1:37" x14ac:dyDescent="0.25">
      <c r="A1615" s="11">
        <f>Table1[[#This Row],[Milk Yield]]-J1611</f>
        <v>-760</v>
      </c>
      <c r="B1615" t="s">
        <v>24</v>
      </c>
      <c r="C1615" s="2">
        <v>1</v>
      </c>
      <c r="D1615" s="12">
        <v>45871</v>
      </c>
      <c r="E1615" s="2">
        <v>38</v>
      </c>
      <c r="F1615" s="13">
        <v>0.33785879629629628</v>
      </c>
      <c r="G1615" s="3">
        <v>0.53192129629629625</v>
      </c>
      <c r="H1615" s="1">
        <v>0.19375000000000001</v>
      </c>
      <c r="I1615" s="5">
        <v>828</v>
      </c>
      <c r="J1615">
        <v>10713</v>
      </c>
      <c r="K1615">
        <v>178</v>
      </c>
      <c r="L1615" s="5">
        <v>119</v>
      </c>
      <c r="M1615" s="5">
        <v>826</v>
      </c>
      <c r="N1615">
        <v>11</v>
      </c>
      <c r="O1615">
        <v>815</v>
      </c>
      <c r="P1615" s="1">
        <v>0.20624999999999999</v>
      </c>
      <c r="Q1615" s="5">
        <v>2300</v>
      </c>
      <c r="R1615" s="14">
        <v>13</v>
      </c>
      <c r="S1615">
        <v>177</v>
      </c>
      <c r="T1615" s="5">
        <v>11</v>
      </c>
      <c r="U1615" s="5">
        <v>815</v>
      </c>
      <c r="V1615" s="5">
        <v>0</v>
      </c>
      <c r="W1615" s="5"/>
      <c r="X1615" s="5"/>
      <c r="Y1615" s="5"/>
      <c r="Z1615" s="5"/>
      <c r="AA1615" s="5"/>
      <c r="AB1615" s="5"/>
      <c r="AC1615" s="5"/>
      <c r="AD1615" s="5"/>
      <c r="AE1615" s="5"/>
      <c r="AF1615" s="5"/>
      <c r="AG1615" s="5"/>
      <c r="AH1615" s="5"/>
      <c r="AI1615" s="5"/>
      <c r="AJ1615" s="5"/>
      <c r="AK1615" s="5"/>
    </row>
    <row r="1616" spans="1:37" x14ac:dyDescent="0.25">
      <c r="A1616" s="11">
        <f>Table1[[#This Row],[Milk Yield]]-J1612</f>
        <v>-346</v>
      </c>
      <c r="B1616" t="s">
        <v>24</v>
      </c>
      <c r="C1616" s="2">
        <v>2</v>
      </c>
      <c r="D1616" s="12">
        <v>45871</v>
      </c>
      <c r="E1616" s="2">
        <v>38</v>
      </c>
      <c r="F1616" s="13">
        <v>0.66856481481481478</v>
      </c>
      <c r="G1616" s="3">
        <v>0.87850694444444444</v>
      </c>
      <c r="H1616" s="1">
        <v>0.20972222222222223</v>
      </c>
      <c r="I1616" s="5">
        <v>829</v>
      </c>
      <c r="J1616">
        <v>10897</v>
      </c>
      <c r="K1616">
        <v>165</v>
      </c>
      <c r="L1616" s="5">
        <v>49</v>
      </c>
      <c r="M1616" s="5">
        <v>827</v>
      </c>
      <c r="N1616">
        <v>6</v>
      </c>
      <c r="O1616">
        <v>821</v>
      </c>
      <c r="P1616" s="1">
        <v>0.20694444444444443</v>
      </c>
      <c r="Q1616" s="5">
        <v>2163</v>
      </c>
      <c r="R1616" s="14">
        <v>13.2</v>
      </c>
      <c r="S1616">
        <v>164</v>
      </c>
      <c r="T1616" s="5">
        <v>6</v>
      </c>
      <c r="U1616" s="5">
        <v>821</v>
      </c>
      <c r="V1616" s="5">
        <v>0</v>
      </c>
      <c r="W1616" s="5"/>
      <c r="X1616" s="5"/>
      <c r="Y1616" s="5"/>
      <c r="Z1616" s="5"/>
      <c r="AA1616" s="5"/>
      <c r="AB1616" s="5"/>
      <c r="AC1616" s="5"/>
      <c r="AD1616" s="5"/>
      <c r="AE1616" s="5"/>
      <c r="AF1616" s="5"/>
      <c r="AG1616" s="5"/>
      <c r="AH1616" s="5"/>
      <c r="AI1616" s="5"/>
      <c r="AJ1616" s="5"/>
      <c r="AK1616" s="5"/>
    </row>
    <row r="1617" spans="1:37" x14ac:dyDescent="0.25">
      <c r="A1617" s="11">
        <f>Table1[[#This Row],[Milk Yield]]-J1613</f>
        <v>302</v>
      </c>
      <c r="B1617" t="s">
        <v>24</v>
      </c>
      <c r="C1617" s="2">
        <v>3</v>
      </c>
      <c r="D1617" s="12">
        <v>45871</v>
      </c>
      <c r="E1617" s="2">
        <v>38</v>
      </c>
      <c r="F1617" s="13">
        <v>0.99943287037037032</v>
      </c>
      <c r="G1617" s="3">
        <v>0.21496527777777777</v>
      </c>
      <c r="H1617" s="1">
        <v>0.21527777777777779</v>
      </c>
      <c r="I1617" s="5">
        <v>817</v>
      </c>
      <c r="J1617">
        <v>11482</v>
      </c>
      <c r="K1617">
        <v>158</v>
      </c>
      <c r="L1617" s="5">
        <v>101</v>
      </c>
      <c r="M1617" s="5">
        <v>813</v>
      </c>
      <c r="N1617">
        <v>7</v>
      </c>
      <c r="O1617">
        <v>806</v>
      </c>
      <c r="P1617" s="1">
        <v>0.21388888888888888</v>
      </c>
      <c r="Q1617" s="5">
        <v>2220</v>
      </c>
      <c r="R1617" s="14">
        <v>14.2</v>
      </c>
      <c r="S1617">
        <v>157</v>
      </c>
      <c r="T1617" s="5">
        <v>7</v>
      </c>
      <c r="U1617" s="5">
        <v>806</v>
      </c>
      <c r="V1617" s="5">
        <v>0</v>
      </c>
      <c r="W1617" s="5"/>
      <c r="X1617" s="5"/>
      <c r="Y1617" s="5"/>
      <c r="Z1617" s="5"/>
      <c r="AA1617" s="5"/>
      <c r="AB1617" s="5"/>
      <c r="AC1617" s="5"/>
      <c r="AD1617" s="5"/>
      <c r="AE1617" s="5"/>
      <c r="AF1617" s="5"/>
      <c r="AG1617" s="5"/>
      <c r="AH1617" s="5"/>
      <c r="AI1617" s="5"/>
      <c r="AJ1617" s="5"/>
      <c r="AK1617" s="5"/>
    </row>
    <row r="1618" spans="1:37" x14ac:dyDescent="0.25">
      <c r="A1618" s="11" t="e">
        <f>Table1[[#This Row],[Milk Yield]]-J1614</f>
        <v>#VALUE!</v>
      </c>
      <c r="B1618" t="s">
        <v>0</v>
      </c>
      <c r="C1618" s="2" t="s">
        <v>1</v>
      </c>
      <c r="D1618" s="12" t="s">
        <v>2</v>
      </c>
      <c r="E1618" s="2" t="s">
        <v>3</v>
      </c>
      <c r="F1618" s="13" t="s">
        <v>4</v>
      </c>
      <c r="G1618" s="3" t="s">
        <v>5</v>
      </c>
      <c r="H1618" s="1" t="s">
        <v>6</v>
      </c>
      <c r="I1618" s="5" t="s">
        <v>8</v>
      </c>
      <c r="J1618" t="s">
        <v>9</v>
      </c>
      <c r="K1618" t="s">
        <v>10</v>
      </c>
      <c r="L1618" s="5" t="s">
        <v>11</v>
      </c>
      <c r="M1618" s="5" t="s">
        <v>12</v>
      </c>
      <c r="N1618" t="s">
        <v>13</v>
      </c>
      <c r="O1618" t="s">
        <v>20</v>
      </c>
      <c r="P1618" s="1" t="s">
        <v>7</v>
      </c>
      <c r="Q1618" s="5" t="s">
        <v>15</v>
      </c>
      <c r="R1618" s="14" t="s">
        <v>18</v>
      </c>
      <c r="S1618" t="s">
        <v>16</v>
      </c>
      <c r="T1618" s="5" t="s">
        <v>14</v>
      </c>
      <c r="U1618" s="5" t="s">
        <v>17</v>
      </c>
      <c r="V1618" s="5" t="s">
        <v>19</v>
      </c>
      <c r="W1618" s="5"/>
      <c r="X1618" s="5"/>
      <c r="Y1618" s="5"/>
      <c r="Z1618" s="5"/>
      <c r="AA1618" s="5"/>
      <c r="AB1618" s="5"/>
      <c r="AC1618" s="5"/>
      <c r="AD1618" s="5"/>
      <c r="AE1618" s="5"/>
      <c r="AF1618" s="5"/>
      <c r="AG1618" s="5"/>
      <c r="AH1618" s="5"/>
      <c r="AI1618" s="5"/>
      <c r="AJ1618" s="5"/>
      <c r="AK1618" s="5"/>
    </row>
    <row r="1619" spans="1:37" x14ac:dyDescent="0.25">
      <c r="A1619" s="11">
        <f>Table1[[#This Row],[Milk Yield]]-J1615</f>
        <v>-135</v>
      </c>
      <c r="B1619" t="s">
        <v>24</v>
      </c>
      <c r="C1619" s="2">
        <v>1</v>
      </c>
      <c r="D1619" s="12">
        <v>45872</v>
      </c>
      <c r="E1619" s="2">
        <v>39</v>
      </c>
      <c r="F1619" s="13">
        <v>0.3379050925925926</v>
      </c>
      <c r="G1619" s="3">
        <v>0.52370370370370367</v>
      </c>
      <c r="H1619" s="1">
        <v>0.18541666666666667</v>
      </c>
      <c r="I1619" s="5">
        <v>833</v>
      </c>
      <c r="J1619">
        <v>10578</v>
      </c>
      <c r="K1619">
        <v>187</v>
      </c>
      <c r="L1619" s="5">
        <v>181</v>
      </c>
      <c r="M1619" s="5">
        <v>829</v>
      </c>
      <c r="N1619">
        <v>22</v>
      </c>
      <c r="O1619">
        <v>807</v>
      </c>
      <c r="P1619" s="1">
        <v>0.2</v>
      </c>
      <c r="Q1619" s="5">
        <v>2372</v>
      </c>
      <c r="R1619" s="14">
        <v>12.8</v>
      </c>
      <c r="S1619">
        <v>186</v>
      </c>
      <c r="T1619" s="5">
        <v>22</v>
      </c>
      <c r="U1619" s="5">
        <v>807</v>
      </c>
      <c r="V1619" s="5">
        <v>0</v>
      </c>
      <c r="W1619" s="5"/>
      <c r="X1619" s="5"/>
      <c r="Y1619" s="5"/>
      <c r="Z1619" s="5"/>
      <c r="AA1619" s="5"/>
      <c r="AB1619" s="5"/>
      <c r="AC1619" s="5"/>
      <c r="AD1619" s="5"/>
      <c r="AE1619" s="5"/>
      <c r="AF1619" s="5"/>
      <c r="AG1619" s="5"/>
      <c r="AH1619" s="5"/>
      <c r="AI1619" s="5"/>
      <c r="AJ1619" s="5"/>
      <c r="AK1619" s="5"/>
    </row>
    <row r="1620" spans="1:37" x14ac:dyDescent="0.25">
      <c r="A1620" s="11">
        <f>Table1[[#This Row],[Milk Yield]]-J1616</f>
        <v>658</v>
      </c>
      <c r="B1620" t="s">
        <v>24</v>
      </c>
      <c r="C1620" s="2">
        <v>2</v>
      </c>
      <c r="D1620" s="12">
        <v>45872</v>
      </c>
      <c r="E1620" s="2">
        <v>40</v>
      </c>
      <c r="F1620" s="13">
        <v>0.67101851851851857</v>
      </c>
      <c r="G1620" s="3">
        <v>0.89870370370370367</v>
      </c>
      <c r="H1620" s="1">
        <v>0.22708333333333333</v>
      </c>
      <c r="I1620" s="5">
        <v>830</v>
      </c>
      <c r="J1620">
        <v>11555</v>
      </c>
      <c r="K1620">
        <v>152</v>
      </c>
      <c r="L1620" s="5">
        <v>217</v>
      </c>
      <c r="M1620" s="5">
        <v>826</v>
      </c>
      <c r="N1620">
        <v>17</v>
      </c>
      <c r="O1620">
        <v>809</v>
      </c>
      <c r="P1620" s="1">
        <v>0.21180555555555555</v>
      </c>
      <c r="Q1620" s="5">
        <v>2114</v>
      </c>
      <c r="R1620" s="14">
        <v>14</v>
      </c>
      <c r="S1620">
        <v>151</v>
      </c>
      <c r="T1620" s="5">
        <v>17</v>
      </c>
      <c r="U1620" s="5">
        <v>809</v>
      </c>
      <c r="V1620" s="5">
        <v>0</v>
      </c>
      <c r="W1620" s="5"/>
      <c r="X1620" s="5"/>
      <c r="Y1620" s="5"/>
      <c r="Z1620" s="5"/>
      <c r="AA1620" s="5"/>
      <c r="AB1620" s="5"/>
      <c r="AC1620" s="5"/>
      <c r="AD1620" s="5"/>
      <c r="AE1620" s="5"/>
      <c r="AF1620" s="5"/>
      <c r="AG1620" s="5"/>
      <c r="AH1620" s="5"/>
      <c r="AI1620" s="5"/>
      <c r="AJ1620" s="5"/>
      <c r="AK1620" s="5"/>
    </row>
    <row r="1621" spans="1:37" x14ac:dyDescent="0.25">
      <c r="A1621" s="11">
        <f>Table1[[#This Row],[Milk Yield]]-J1617</f>
        <v>-1117</v>
      </c>
      <c r="B1621" t="s">
        <v>24</v>
      </c>
      <c r="C1621" s="2">
        <v>3</v>
      </c>
      <c r="D1621" s="12">
        <v>45872</v>
      </c>
      <c r="E1621" s="2">
        <v>38</v>
      </c>
      <c r="F1621" s="13">
        <v>0.99973379629629633</v>
      </c>
      <c r="G1621" s="3">
        <v>0.19202546296296297</v>
      </c>
      <c r="H1621" s="1">
        <v>0.19166666666666668</v>
      </c>
      <c r="I1621" s="5">
        <v>824</v>
      </c>
      <c r="J1621">
        <v>10365</v>
      </c>
      <c r="K1621">
        <v>179</v>
      </c>
      <c r="L1621" s="5">
        <v>110</v>
      </c>
      <c r="M1621" s="5">
        <v>822</v>
      </c>
      <c r="N1621">
        <v>8</v>
      </c>
      <c r="O1621">
        <v>814</v>
      </c>
      <c r="P1621" s="1">
        <v>0.20208333333333334</v>
      </c>
      <c r="Q1621" s="5">
        <v>2246</v>
      </c>
      <c r="R1621" s="14">
        <v>12.7</v>
      </c>
      <c r="S1621">
        <v>178</v>
      </c>
      <c r="T1621" s="5">
        <v>8</v>
      </c>
      <c r="U1621" s="5">
        <v>814</v>
      </c>
      <c r="V1621" s="5">
        <v>0</v>
      </c>
      <c r="W1621" s="5"/>
      <c r="X1621" s="5"/>
      <c r="Y1621" s="5"/>
      <c r="Z1621" s="5"/>
      <c r="AA1621" s="5"/>
      <c r="AB1621" s="5"/>
      <c r="AC1621" s="5"/>
      <c r="AD1621" s="5"/>
      <c r="AE1621" s="5"/>
      <c r="AF1621" s="5"/>
      <c r="AG1621" s="5"/>
      <c r="AH1621" s="5"/>
      <c r="AI1621" s="5"/>
      <c r="AJ1621" s="5"/>
      <c r="AK1621" s="5"/>
    </row>
    <row r="1622" spans="1:37" x14ac:dyDescent="0.25">
      <c r="A1622" s="11" t="e">
        <f>Table1[[#This Row],[Milk Yield]]-J1618</f>
        <v>#VALUE!</v>
      </c>
      <c r="B1622" t="s">
        <v>0</v>
      </c>
      <c r="C1622" s="2" t="s">
        <v>1</v>
      </c>
      <c r="D1622" s="12" t="s">
        <v>2</v>
      </c>
      <c r="E1622" s="2" t="s">
        <v>3</v>
      </c>
      <c r="F1622" s="13" t="s">
        <v>4</v>
      </c>
      <c r="G1622" s="3" t="s">
        <v>5</v>
      </c>
      <c r="H1622" s="1" t="s">
        <v>6</v>
      </c>
      <c r="I1622" s="5" t="s">
        <v>8</v>
      </c>
      <c r="J1622" t="s">
        <v>9</v>
      </c>
      <c r="K1622" t="s">
        <v>10</v>
      </c>
      <c r="L1622" s="5" t="s">
        <v>11</v>
      </c>
      <c r="M1622" s="5" t="s">
        <v>12</v>
      </c>
      <c r="N1622" t="s">
        <v>13</v>
      </c>
      <c r="O1622" t="s">
        <v>20</v>
      </c>
      <c r="P1622" s="1" t="s">
        <v>7</v>
      </c>
      <c r="Q1622" s="5" t="s">
        <v>15</v>
      </c>
      <c r="R1622" s="14" t="s">
        <v>18</v>
      </c>
      <c r="S1622" t="s">
        <v>16</v>
      </c>
      <c r="T1622" s="5" t="s">
        <v>14</v>
      </c>
      <c r="U1622" s="5" t="s">
        <v>17</v>
      </c>
      <c r="V1622" s="5" t="s">
        <v>19</v>
      </c>
      <c r="W1622" s="5"/>
      <c r="X1622" s="5"/>
      <c r="Y1622" s="5"/>
      <c r="Z1622" s="5"/>
      <c r="AA1622" s="5"/>
      <c r="AB1622" s="5"/>
      <c r="AC1622" s="5"/>
      <c r="AD1622" s="5"/>
      <c r="AE1622" s="5"/>
      <c r="AF1622" s="5"/>
      <c r="AG1622" s="5"/>
      <c r="AH1622" s="5"/>
      <c r="AI1622" s="5"/>
      <c r="AJ1622" s="5"/>
      <c r="AK1622" s="5"/>
    </row>
    <row r="1623" spans="1:37" x14ac:dyDescent="0.25">
      <c r="A1623" s="11">
        <f>Table1[[#This Row],[Milk Yield]]-J1619</f>
        <v>1424</v>
      </c>
      <c r="B1623" t="s">
        <v>24</v>
      </c>
      <c r="C1623" s="2">
        <v>1</v>
      </c>
      <c r="D1623" s="12">
        <v>45873</v>
      </c>
      <c r="E1623" s="2">
        <v>36</v>
      </c>
      <c r="F1623" s="13">
        <v>0.34115740740740741</v>
      </c>
      <c r="G1623" s="3">
        <v>0.5571180555555556</v>
      </c>
      <c r="H1623" s="1">
        <v>0.21597222222222223</v>
      </c>
      <c r="I1623" s="5">
        <v>823</v>
      </c>
      <c r="J1623">
        <v>12002</v>
      </c>
      <c r="K1623">
        <v>159</v>
      </c>
      <c r="L1623" s="5">
        <v>367</v>
      </c>
      <c r="M1623" s="5">
        <v>822</v>
      </c>
      <c r="N1623">
        <v>25</v>
      </c>
      <c r="O1623">
        <v>797</v>
      </c>
      <c r="P1623" s="1">
        <v>0.21666666666666667</v>
      </c>
      <c r="Q1623" s="5">
        <v>2316</v>
      </c>
      <c r="R1623" s="14">
        <v>14.7</v>
      </c>
      <c r="S1623">
        <v>159</v>
      </c>
      <c r="T1623" s="5">
        <v>25</v>
      </c>
      <c r="U1623" s="5">
        <v>797</v>
      </c>
      <c r="V1623" s="5">
        <v>0</v>
      </c>
      <c r="W1623" s="5"/>
      <c r="X1623" s="5"/>
      <c r="Y1623" s="5"/>
      <c r="Z1623" s="5"/>
      <c r="AA1623" s="5"/>
      <c r="AB1623" s="5"/>
      <c r="AC1623" s="5"/>
      <c r="AD1623" s="5"/>
      <c r="AE1623" s="5"/>
      <c r="AF1623" s="5"/>
      <c r="AG1623" s="5"/>
      <c r="AH1623" s="5"/>
      <c r="AI1623" s="5"/>
      <c r="AJ1623" s="5"/>
      <c r="AK1623" s="5"/>
    </row>
    <row r="1624" spans="1:37" x14ac:dyDescent="0.25">
      <c r="A1624" s="11">
        <f>Table1[[#This Row],[Milk Yield]]-J1620</f>
        <v>-664</v>
      </c>
      <c r="B1624" t="s">
        <v>24</v>
      </c>
      <c r="C1624" s="2">
        <v>2</v>
      </c>
      <c r="D1624" s="12">
        <v>45873</v>
      </c>
      <c r="E1624" s="2">
        <v>40</v>
      </c>
      <c r="F1624" s="13">
        <v>0.66891203703703705</v>
      </c>
      <c r="G1624" s="3">
        <v>0.88960648148148147</v>
      </c>
      <c r="H1624" s="1">
        <v>0.22013888888888888</v>
      </c>
      <c r="I1624" s="5">
        <v>828</v>
      </c>
      <c r="J1624">
        <v>10891</v>
      </c>
      <c r="K1624">
        <v>156</v>
      </c>
      <c r="L1624" s="5">
        <v>126</v>
      </c>
      <c r="M1624" s="5">
        <v>828</v>
      </c>
      <c r="N1624">
        <v>11</v>
      </c>
      <c r="O1624">
        <v>817</v>
      </c>
      <c r="P1624" s="1">
        <v>0.21458333333333332</v>
      </c>
      <c r="Q1624" s="5">
        <v>2056</v>
      </c>
      <c r="R1624" s="14">
        <v>13.2</v>
      </c>
      <c r="S1624">
        <v>156</v>
      </c>
      <c r="T1624" s="5">
        <v>11</v>
      </c>
      <c r="U1624" s="5">
        <v>817</v>
      </c>
      <c r="V1624" s="5">
        <v>0</v>
      </c>
      <c r="W1624" s="5"/>
      <c r="X1624" s="5"/>
      <c r="Y1624" s="5"/>
      <c r="Z1624" s="5"/>
      <c r="AA1624" s="5"/>
      <c r="AB1624" s="5"/>
      <c r="AC1624" s="5"/>
      <c r="AD1624" s="5"/>
      <c r="AE1624" s="5"/>
      <c r="AF1624" s="5"/>
      <c r="AG1624" s="5"/>
      <c r="AH1624" s="5"/>
      <c r="AI1624" s="5"/>
      <c r="AJ1624" s="5"/>
      <c r="AK1624" s="5"/>
    </row>
    <row r="1625" spans="1:37" x14ac:dyDescent="0.25">
      <c r="A1625" s="11">
        <f>Table1[[#This Row],[Milk Yield]]-J1621</f>
        <v>545</v>
      </c>
      <c r="B1625" t="s">
        <v>24</v>
      </c>
      <c r="C1625" s="2">
        <v>3</v>
      </c>
      <c r="D1625" s="12">
        <v>45873</v>
      </c>
      <c r="E1625" s="2">
        <v>38</v>
      </c>
      <c r="F1625" s="13">
        <v>2.9050925925925928E-3</v>
      </c>
      <c r="G1625" s="3">
        <v>0.2088888888888889</v>
      </c>
      <c r="H1625" s="1">
        <v>0.20555555555555555</v>
      </c>
      <c r="I1625" s="5">
        <v>821</v>
      </c>
      <c r="J1625">
        <v>10910</v>
      </c>
      <c r="K1625">
        <v>166</v>
      </c>
      <c r="L1625" s="5">
        <v>79</v>
      </c>
      <c r="M1625" s="5">
        <v>817</v>
      </c>
      <c r="N1625">
        <v>7</v>
      </c>
      <c r="O1625">
        <v>810</v>
      </c>
      <c r="P1625" s="1">
        <v>0.21319444444444444</v>
      </c>
      <c r="Q1625" s="5">
        <v>2207</v>
      </c>
      <c r="R1625" s="14">
        <v>13.4</v>
      </c>
      <c r="S1625">
        <v>165</v>
      </c>
      <c r="T1625" s="5">
        <v>7</v>
      </c>
      <c r="U1625" s="5">
        <v>810</v>
      </c>
      <c r="V1625" s="5">
        <v>0</v>
      </c>
      <c r="W1625" s="5"/>
      <c r="X1625" s="5"/>
      <c r="Y1625" s="5"/>
      <c r="Z1625" s="5"/>
      <c r="AA1625" s="5"/>
      <c r="AB1625" s="5"/>
      <c r="AC1625" s="5"/>
      <c r="AD1625" s="5"/>
      <c r="AE1625" s="5"/>
      <c r="AF1625" s="5"/>
      <c r="AG1625" s="5"/>
      <c r="AH1625" s="5"/>
      <c r="AI1625" s="5"/>
      <c r="AJ1625" s="5"/>
      <c r="AK1625" s="5"/>
    </row>
    <row r="1626" spans="1:37" x14ac:dyDescent="0.25">
      <c r="A1626" s="11" t="e">
        <f>Table1[[#This Row],[Milk Yield]]-J1622</f>
        <v>#VALUE!</v>
      </c>
      <c r="B1626" t="s">
        <v>0</v>
      </c>
      <c r="C1626" s="2" t="s">
        <v>1</v>
      </c>
      <c r="D1626" s="12" t="s">
        <v>2</v>
      </c>
      <c r="E1626" s="2" t="s">
        <v>3</v>
      </c>
      <c r="F1626" s="13" t="s">
        <v>4</v>
      </c>
      <c r="G1626" s="3" t="s">
        <v>5</v>
      </c>
      <c r="H1626" s="1" t="s">
        <v>6</v>
      </c>
      <c r="I1626" s="5" t="s">
        <v>8</v>
      </c>
      <c r="J1626" t="s">
        <v>9</v>
      </c>
      <c r="K1626" t="s">
        <v>10</v>
      </c>
      <c r="L1626" s="5" t="s">
        <v>11</v>
      </c>
      <c r="M1626" s="5" t="s">
        <v>12</v>
      </c>
      <c r="N1626" t="s">
        <v>13</v>
      </c>
      <c r="O1626" t="s">
        <v>20</v>
      </c>
      <c r="P1626" s="1" t="s">
        <v>7</v>
      </c>
      <c r="Q1626" s="5" t="s">
        <v>15</v>
      </c>
      <c r="R1626" s="14" t="s">
        <v>18</v>
      </c>
      <c r="S1626" t="s">
        <v>16</v>
      </c>
      <c r="T1626" s="5" t="s">
        <v>14</v>
      </c>
      <c r="U1626" s="5" t="s">
        <v>17</v>
      </c>
      <c r="V1626" s="5" t="s">
        <v>19</v>
      </c>
      <c r="W1626" s="5"/>
      <c r="X1626" s="5"/>
      <c r="Y1626" s="5"/>
      <c r="Z1626" s="5"/>
      <c r="AA1626" s="5"/>
      <c r="AB1626" s="5"/>
      <c r="AC1626" s="5"/>
      <c r="AD1626" s="5"/>
      <c r="AE1626" s="5"/>
      <c r="AF1626" s="5"/>
      <c r="AG1626" s="5"/>
      <c r="AH1626" s="5"/>
      <c r="AI1626" s="5"/>
      <c r="AJ1626" s="5"/>
      <c r="AK1626" s="5"/>
    </row>
    <row r="1627" spans="1:37" x14ac:dyDescent="0.25">
      <c r="A1627" s="11">
        <f>Table1[[#This Row],[Milk Yield]]-J1623</f>
        <v>-575</v>
      </c>
      <c r="B1627" t="s">
        <v>24</v>
      </c>
      <c r="C1627" s="2">
        <v>1</v>
      </c>
      <c r="D1627" s="12">
        <v>45874</v>
      </c>
      <c r="E1627" s="2">
        <v>37</v>
      </c>
      <c r="F1627" s="13">
        <v>0.33906249999999999</v>
      </c>
      <c r="G1627" s="3">
        <v>0.55634259259259256</v>
      </c>
      <c r="H1627" s="1">
        <v>0.21666666666666667</v>
      </c>
      <c r="I1627" s="5">
        <v>822</v>
      </c>
      <c r="J1627">
        <v>11427</v>
      </c>
      <c r="K1627">
        <v>158</v>
      </c>
      <c r="L1627" s="5">
        <v>94</v>
      </c>
      <c r="M1627" s="5">
        <v>822</v>
      </c>
      <c r="N1627">
        <v>8</v>
      </c>
      <c r="O1627">
        <v>814</v>
      </c>
      <c r="P1627" s="1">
        <v>0.21597222222222223</v>
      </c>
      <c r="Q1627" s="5">
        <v>2191</v>
      </c>
      <c r="R1627" s="14">
        <v>14</v>
      </c>
      <c r="S1627">
        <v>158</v>
      </c>
      <c r="T1627" s="5">
        <v>8</v>
      </c>
      <c r="U1627" s="5">
        <v>814</v>
      </c>
      <c r="V1627" s="5">
        <v>0</v>
      </c>
      <c r="W1627" s="5"/>
      <c r="X1627" s="5"/>
      <c r="Y1627" s="5"/>
      <c r="Z1627" s="5"/>
      <c r="AA1627" s="5"/>
      <c r="AB1627" s="5"/>
      <c r="AC1627" s="5"/>
      <c r="AD1627" s="5"/>
      <c r="AE1627" s="5"/>
      <c r="AF1627" s="5"/>
      <c r="AG1627" s="5"/>
      <c r="AH1627" s="5"/>
      <c r="AI1627" s="5"/>
      <c r="AJ1627" s="5"/>
      <c r="AK1627" s="5"/>
    </row>
    <row r="1628" spans="1:37" x14ac:dyDescent="0.25">
      <c r="A1628" s="11">
        <f>Table1[[#This Row],[Milk Yield]]-J1624</f>
        <v>-38</v>
      </c>
      <c r="B1628" t="s">
        <v>24</v>
      </c>
      <c r="C1628" s="2">
        <v>2</v>
      </c>
      <c r="D1628" s="12">
        <v>45874</v>
      </c>
      <c r="E1628" s="2">
        <v>40</v>
      </c>
      <c r="F1628" s="13">
        <v>0.67128472222222224</v>
      </c>
      <c r="G1628" s="3">
        <v>0.87136574074074069</v>
      </c>
      <c r="H1628" s="1">
        <v>0.2</v>
      </c>
      <c r="I1628" s="5">
        <v>827</v>
      </c>
      <c r="J1628">
        <v>10853</v>
      </c>
      <c r="K1628">
        <v>172</v>
      </c>
      <c r="L1628" s="5">
        <v>70</v>
      </c>
      <c r="M1628" s="5">
        <v>826</v>
      </c>
      <c r="N1628">
        <v>7</v>
      </c>
      <c r="O1628">
        <v>819</v>
      </c>
      <c r="P1628" s="1">
        <v>0.21527777777777779</v>
      </c>
      <c r="Q1628" s="5">
        <v>2260</v>
      </c>
      <c r="R1628" s="14">
        <v>13.2</v>
      </c>
      <c r="S1628">
        <v>172</v>
      </c>
      <c r="T1628" s="5">
        <v>7</v>
      </c>
      <c r="U1628" s="5">
        <v>819</v>
      </c>
      <c r="V1628" s="5">
        <v>0</v>
      </c>
      <c r="W1628" s="5"/>
      <c r="X1628" s="5"/>
      <c r="Y1628" s="5"/>
      <c r="Z1628" s="5"/>
      <c r="AA1628" s="5"/>
      <c r="AB1628" s="5"/>
      <c r="AC1628" s="5"/>
      <c r="AD1628" s="5"/>
      <c r="AE1628" s="5"/>
      <c r="AF1628" s="5"/>
      <c r="AG1628" s="5"/>
      <c r="AH1628" s="5"/>
      <c r="AI1628" s="5"/>
      <c r="AJ1628" s="5"/>
      <c r="AK1628" s="5"/>
    </row>
    <row r="1629" spans="1:37" x14ac:dyDescent="0.25">
      <c r="A1629" s="11">
        <f>Table1[[#This Row],[Milk Yield]]-J1625</f>
        <v>-210</v>
      </c>
      <c r="B1629" t="s">
        <v>24</v>
      </c>
      <c r="C1629" s="2">
        <v>3</v>
      </c>
      <c r="D1629" s="12">
        <v>45874</v>
      </c>
      <c r="E1629" s="2">
        <v>40</v>
      </c>
      <c r="F1629" s="13">
        <v>1.8402777777777777E-3</v>
      </c>
      <c r="G1629" s="3">
        <v>0.19396990740740741</v>
      </c>
      <c r="H1629" s="1">
        <v>0.19166666666666668</v>
      </c>
      <c r="I1629" s="5">
        <v>823</v>
      </c>
      <c r="J1629">
        <v>10700</v>
      </c>
      <c r="K1629">
        <v>178</v>
      </c>
      <c r="L1629" s="5">
        <v>138</v>
      </c>
      <c r="M1629" s="5">
        <v>822</v>
      </c>
      <c r="N1629">
        <v>12</v>
      </c>
      <c r="O1629">
        <v>810</v>
      </c>
      <c r="P1629" s="1">
        <v>0.20972222222222223</v>
      </c>
      <c r="Q1629" s="5">
        <v>2320</v>
      </c>
      <c r="R1629" s="14">
        <v>13.1</v>
      </c>
      <c r="S1629">
        <v>178</v>
      </c>
      <c r="T1629" s="5">
        <v>12</v>
      </c>
      <c r="U1629" s="5">
        <v>810</v>
      </c>
      <c r="V1629" s="5">
        <v>0</v>
      </c>
      <c r="W1629" s="5"/>
      <c r="X1629" s="5"/>
      <c r="Y1629" s="5"/>
      <c r="Z1629" s="5"/>
      <c r="AA1629" s="5"/>
      <c r="AB1629" s="5"/>
      <c r="AC1629" s="5"/>
      <c r="AD1629" s="5"/>
      <c r="AE1629" s="5"/>
      <c r="AF1629" s="5"/>
      <c r="AG1629" s="5"/>
      <c r="AH1629" s="5"/>
      <c r="AI1629" s="5"/>
      <c r="AJ1629" s="5"/>
      <c r="AK1629" s="5"/>
    </row>
    <row r="1630" spans="1:37" x14ac:dyDescent="0.25">
      <c r="A1630" s="11" t="e">
        <f>Table1[[#This Row],[Milk Yield]]-J1626</f>
        <v>#VALUE!</v>
      </c>
      <c r="B1630" t="s">
        <v>0</v>
      </c>
      <c r="C1630" s="2" t="s">
        <v>1</v>
      </c>
      <c r="D1630" s="12" t="s">
        <v>2</v>
      </c>
      <c r="E1630" s="2" t="s">
        <v>3</v>
      </c>
      <c r="F1630" s="13" t="s">
        <v>4</v>
      </c>
      <c r="G1630" s="3" t="s">
        <v>5</v>
      </c>
      <c r="H1630" s="1" t="s">
        <v>6</v>
      </c>
      <c r="I1630" s="5" t="s">
        <v>8</v>
      </c>
      <c r="J1630" t="s">
        <v>9</v>
      </c>
      <c r="K1630" t="s">
        <v>10</v>
      </c>
      <c r="L1630" s="5" t="s">
        <v>11</v>
      </c>
      <c r="M1630" s="5" t="s">
        <v>12</v>
      </c>
      <c r="N1630" t="s">
        <v>13</v>
      </c>
      <c r="O1630" t="s">
        <v>20</v>
      </c>
      <c r="P1630" s="1" t="s">
        <v>7</v>
      </c>
      <c r="Q1630" s="5" t="s">
        <v>15</v>
      </c>
      <c r="R1630" s="14" t="s">
        <v>18</v>
      </c>
      <c r="S1630" t="s">
        <v>16</v>
      </c>
      <c r="T1630" s="5" t="s">
        <v>14</v>
      </c>
      <c r="U1630" s="5" t="s">
        <v>17</v>
      </c>
      <c r="V1630" s="5" t="s">
        <v>19</v>
      </c>
      <c r="W1630" s="5"/>
      <c r="X1630" s="5"/>
      <c r="Y1630" s="5"/>
      <c r="Z1630" s="5"/>
      <c r="AA1630" s="5"/>
      <c r="AB1630" s="5"/>
      <c r="AC1630" s="5"/>
      <c r="AD1630" s="5"/>
      <c r="AE1630" s="5"/>
      <c r="AF1630" s="5"/>
      <c r="AG1630" s="5"/>
      <c r="AH1630" s="5"/>
      <c r="AI1630" s="5"/>
      <c r="AJ1630" s="5"/>
      <c r="AK1630" s="5"/>
    </row>
    <row r="1631" spans="1:37" x14ac:dyDescent="0.25">
      <c r="A1631" s="11">
        <f>Table1[[#This Row],[Milk Yield]]-J1627</f>
        <v>386</v>
      </c>
      <c r="B1631" t="s">
        <v>24</v>
      </c>
      <c r="C1631" s="2">
        <v>1</v>
      </c>
      <c r="D1631" s="12">
        <v>45875</v>
      </c>
      <c r="E1631" s="2">
        <v>40</v>
      </c>
      <c r="F1631" s="13">
        <v>0.33506944444444442</v>
      </c>
      <c r="G1631" s="3">
        <v>0.54393518518518513</v>
      </c>
      <c r="H1631" s="1">
        <v>0.20833333333333334</v>
      </c>
      <c r="I1631" s="5">
        <v>822</v>
      </c>
      <c r="J1631">
        <v>11813</v>
      </c>
      <c r="K1631">
        <v>164</v>
      </c>
      <c r="L1631" s="5">
        <v>152</v>
      </c>
      <c r="M1631" s="5">
        <v>820</v>
      </c>
      <c r="N1631">
        <v>12</v>
      </c>
      <c r="O1631">
        <v>808</v>
      </c>
      <c r="P1631" s="1">
        <v>0.21597222222222223</v>
      </c>
      <c r="Q1631" s="5">
        <v>2357</v>
      </c>
      <c r="R1631" s="14">
        <v>14.5</v>
      </c>
      <c r="S1631">
        <v>164</v>
      </c>
      <c r="T1631" s="5">
        <v>12</v>
      </c>
      <c r="U1631" s="5">
        <v>808</v>
      </c>
      <c r="V1631" s="5">
        <v>0</v>
      </c>
      <c r="W1631" s="5"/>
      <c r="X1631" s="5"/>
      <c r="Y1631" s="5"/>
      <c r="Z1631" s="5"/>
      <c r="AA1631" s="5"/>
      <c r="AB1631" s="5"/>
      <c r="AC1631" s="5"/>
      <c r="AD1631" s="5"/>
      <c r="AE1631" s="5"/>
      <c r="AF1631" s="5"/>
      <c r="AG1631" s="5"/>
      <c r="AH1631" s="5"/>
      <c r="AI1631" s="5"/>
      <c r="AJ1631" s="5"/>
      <c r="AK1631" s="5"/>
    </row>
    <row r="1632" spans="1:37" x14ac:dyDescent="0.25">
      <c r="A1632" s="11">
        <f>Table1[[#This Row],[Milk Yield]]-J1628</f>
        <v>402</v>
      </c>
      <c r="B1632" t="s">
        <v>24</v>
      </c>
      <c r="C1632" s="2">
        <v>2</v>
      </c>
      <c r="D1632" s="12">
        <v>45875</v>
      </c>
      <c r="E1632" s="2">
        <v>40</v>
      </c>
      <c r="F1632" s="13">
        <v>0.67215277777777782</v>
      </c>
      <c r="G1632" s="3">
        <v>0.88675925925925925</v>
      </c>
      <c r="H1632" s="1">
        <v>0.21458333333333332</v>
      </c>
      <c r="I1632" s="5">
        <v>830</v>
      </c>
      <c r="J1632">
        <v>11255</v>
      </c>
      <c r="K1632">
        <v>161</v>
      </c>
      <c r="L1632" s="5">
        <v>160</v>
      </c>
      <c r="M1632" s="5">
        <v>830</v>
      </c>
      <c r="N1632">
        <v>14</v>
      </c>
      <c r="O1632">
        <v>816</v>
      </c>
      <c r="P1632" s="1">
        <v>0.22430555555555556</v>
      </c>
      <c r="Q1632" s="5">
        <v>2185</v>
      </c>
      <c r="R1632" s="14">
        <v>13.6</v>
      </c>
      <c r="S1632">
        <v>161</v>
      </c>
      <c r="T1632" s="5">
        <v>14</v>
      </c>
      <c r="U1632" s="5">
        <v>816</v>
      </c>
      <c r="V1632" s="5">
        <v>0</v>
      </c>
      <c r="W1632" s="5"/>
      <c r="X1632" s="5"/>
      <c r="Y1632" s="5"/>
      <c r="Z1632" s="5"/>
      <c r="AA1632" s="5"/>
      <c r="AB1632" s="5"/>
      <c r="AC1632" s="5"/>
      <c r="AD1632" s="5"/>
      <c r="AE1632" s="5"/>
      <c r="AF1632" s="5"/>
      <c r="AG1632" s="5"/>
      <c r="AH1632" s="5"/>
      <c r="AI1632" s="5"/>
      <c r="AJ1632" s="5"/>
      <c r="AK1632" s="5"/>
    </row>
    <row r="1633" spans="1:37" x14ac:dyDescent="0.25">
      <c r="A1633" s="11">
        <f>Table1[[#This Row],[Milk Yield]]-J1629</f>
        <v>-222</v>
      </c>
      <c r="B1633" t="s">
        <v>24</v>
      </c>
      <c r="C1633" s="2">
        <v>3</v>
      </c>
      <c r="D1633" s="12">
        <v>45875</v>
      </c>
      <c r="E1633" s="2">
        <v>38</v>
      </c>
      <c r="F1633" s="13">
        <v>1.2037037037037038E-3</v>
      </c>
      <c r="G1633" s="3">
        <v>0.19510416666666666</v>
      </c>
      <c r="H1633" s="1">
        <v>0.19375000000000001</v>
      </c>
      <c r="I1633" s="5">
        <v>827</v>
      </c>
      <c r="J1633">
        <v>10478</v>
      </c>
      <c r="K1633">
        <v>178</v>
      </c>
      <c r="L1633" s="5">
        <v>115</v>
      </c>
      <c r="M1633" s="5">
        <v>825</v>
      </c>
      <c r="N1633">
        <v>11</v>
      </c>
      <c r="O1633">
        <v>814</v>
      </c>
      <c r="P1633" s="1">
        <v>0.21666666666666667</v>
      </c>
      <c r="Q1633" s="5">
        <v>2251</v>
      </c>
      <c r="R1633" s="14">
        <v>12.8</v>
      </c>
      <c r="S1633">
        <v>177</v>
      </c>
      <c r="T1633" s="5">
        <v>11</v>
      </c>
      <c r="U1633" s="5">
        <v>814</v>
      </c>
      <c r="V1633" s="5">
        <v>0</v>
      </c>
      <c r="W1633" s="5"/>
      <c r="X1633" s="5"/>
      <c r="Y1633" s="5"/>
      <c r="Z1633" s="5"/>
      <c r="AA1633" s="5"/>
      <c r="AB1633" s="5"/>
      <c r="AC1633" s="5"/>
      <c r="AD1633" s="5"/>
      <c r="AE1633" s="5"/>
      <c r="AF1633" s="5"/>
      <c r="AG1633" s="5"/>
      <c r="AH1633" s="5"/>
      <c r="AI1633" s="5"/>
      <c r="AJ1633" s="5"/>
      <c r="AK1633" s="5"/>
    </row>
    <row r="1634" spans="1:37" x14ac:dyDescent="0.25">
      <c r="A1634" s="11" t="e">
        <f>Table1[[#This Row],[Milk Yield]]-J1630</f>
        <v>#VALUE!</v>
      </c>
      <c r="B1634" t="s">
        <v>0</v>
      </c>
      <c r="C1634" s="2" t="s">
        <v>1</v>
      </c>
      <c r="D1634" s="12" t="s">
        <v>2</v>
      </c>
      <c r="E1634" s="2" t="s">
        <v>3</v>
      </c>
      <c r="F1634" s="13" t="s">
        <v>4</v>
      </c>
      <c r="G1634" s="3" t="s">
        <v>5</v>
      </c>
      <c r="H1634" s="1" t="s">
        <v>6</v>
      </c>
      <c r="I1634" s="5" t="s">
        <v>8</v>
      </c>
      <c r="J1634" t="s">
        <v>9</v>
      </c>
      <c r="K1634" t="s">
        <v>10</v>
      </c>
      <c r="L1634" s="5" t="s">
        <v>11</v>
      </c>
      <c r="M1634" s="5" t="s">
        <v>12</v>
      </c>
      <c r="N1634" t="s">
        <v>13</v>
      </c>
      <c r="O1634" t="s">
        <v>20</v>
      </c>
      <c r="P1634" s="1" t="s">
        <v>7</v>
      </c>
      <c r="Q1634" s="5" t="s">
        <v>15</v>
      </c>
      <c r="R1634" s="14" t="s">
        <v>18</v>
      </c>
      <c r="S1634" t="s">
        <v>16</v>
      </c>
      <c r="T1634" s="5" t="s">
        <v>14</v>
      </c>
      <c r="U1634" s="5" t="s">
        <v>17</v>
      </c>
      <c r="V1634" s="5" t="s">
        <v>19</v>
      </c>
      <c r="W1634" s="5"/>
      <c r="X1634" s="5"/>
      <c r="Y1634" s="5"/>
      <c r="Z1634" s="5"/>
      <c r="AA1634" s="5"/>
      <c r="AB1634" s="5"/>
      <c r="AC1634" s="5"/>
      <c r="AD1634" s="5"/>
      <c r="AE1634" s="5"/>
      <c r="AF1634" s="5"/>
      <c r="AG1634" s="5"/>
      <c r="AH1634" s="5"/>
      <c r="AI1634" s="5"/>
      <c r="AJ1634" s="5"/>
      <c r="AK1634" s="5"/>
    </row>
    <row r="1635" spans="1:37" x14ac:dyDescent="0.25">
      <c r="A1635" s="11">
        <f>Table1[[#This Row],[Milk Yield]]-J1631</f>
        <v>-87</v>
      </c>
      <c r="B1635" t="s">
        <v>24</v>
      </c>
      <c r="C1635" s="2">
        <v>1</v>
      </c>
      <c r="D1635" s="12">
        <v>45876</v>
      </c>
      <c r="E1635" s="2">
        <v>40</v>
      </c>
      <c r="F1635" s="13">
        <v>0.33927083333333335</v>
      </c>
      <c r="G1635" s="3">
        <v>0.55327546296296293</v>
      </c>
      <c r="H1635" s="1">
        <v>0.21388888888888888</v>
      </c>
      <c r="I1635" s="5">
        <v>828</v>
      </c>
      <c r="J1635">
        <v>11726</v>
      </c>
      <c r="K1635">
        <v>161</v>
      </c>
      <c r="L1635" s="5">
        <v>116</v>
      </c>
      <c r="M1635" s="5">
        <v>826</v>
      </c>
      <c r="N1635">
        <v>9</v>
      </c>
      <c r="O1635">
        <v>817</v>
      </c>
      <c r="P1635" s="1">
        <v>0.21944444444444444</v>
      </c>
      <c r="Q1635" s="5">
        <v>2283</v>
      </c>
      <c r="R1635" s="14">
        <v>14.2</v>
      </c>
      <c r="S1635">
        <v>161</v>
      </c>
      <c r="T1635" s="5">
        <v>9</v>
      </c>
      <c r="U1635" s="5">
        <v>817</v>
      </c>
      <c r="V1635" s="5">
        <v>0</v>
      </c>
      <c r="W1635" s="5"/>
      <c r="X1635" s="5"/>
      <c r="Y1635" s="5"/>
      <c r="Z1635" s="5"/>
      <c r="AA1635" s="5"/>
      <c r="AB1635" s="5"/>
      <c r="AC1635" s="5"/>
      <c r="AD1635" s="5"/>
      <c r="AE1635" s="5"/>
      <c r="AF1635" s="5"/>
      <c r="AG1635" s="5"/>
      <c r="AH1635" s="5"/>
      <c r="AI1635" s="5"/>
      <c r="AJ1635" s="5"/>
      <c r="AK1635" s="5"/>
    </row>
    <row r="1636" spans="1:37" x14ac:dyDescent="0.25">
      <c r="A1636" s="11">
        <f>Table1[[#This Row],[Milk Yield]]-J1632</f>
        <v>-125</v>
      </c>
      <c r="B1636" t="s">
        <v>24</v>
      </c>
      <c r="C1636" s="2">
        <v>2</v>
      </c>
      <c r="D1636" s="12">
        <v>45876</v>
      </c>
      <c r="E1636" s="2">
        <v>37</v>
      </c>
      <c r="F1636" s="13">
        <v>0.66600694444444442</v>
      </c>
      <c r="G1636" s="3">
        <v>0.88594907407407408</v>
      </c>
      <c r="H1636" s="1">
        <v>0.21944444444444444</v>
      </c>
      <c r="I1636" s="5">
        <v>827</v>
      </c>
      <c r="J1636">
        <v>11130</v>
      </c>
      <c r="K1636">
        <v>157</v>
      </c>
      <c r="L1636" s="5">
        <v>86</v>
      </c>
      <c r="M1636" s="5">
        <v>826</v>
      </c>
      <c r="N1636">
        <v>8</v>
      </c>
      <c r="O1636">
        <v>818</v>
      </c>
      <c r="P1636" s="1">
        <v>0.21249999999999999</v>
      </c>
      <c r="Q1636" s="5">
        <v>2108</v>
      </c>
      <c r="R1636" s="14">
        <v>13.5</v>
      </c>
      <c r="S1636">
        <v>156</v>
      </c>
      <c r="T1636" s="5">
        <v>8</v>
      </c>
      <c r="U1636" s="5">
        <v>818</v>
      </c>
      <c r="V1636" s="5">
        <v>0</v>
      </c>
      <c r="W1636" s="5"/>
      <c r="X1636" s="5"/>
      <c r="Y1636" s="5"/>
      <c r="Z1636" s="5"/>
      <c r="AA1636" s="5"/>
      <c r="AB1636" s="5"/>
      <c r="AC1636" s="5"/>
      <c r="AD1636" s="5"/>
      <c r="AE1636" s="5"/>
      <c r="AF1636" s="5"/>
      <c r="AG1636" s="5"/>
      <c r="AH1636" s="5"/>
      <c r="AI1636" s="5"/>
      <c r="AJ1636" s="5"/>
      <c r="AK1636" s="5"/>
    </row>
    <row r="1637" spans="1:37" x14ac:dyDescent="0.25">
      <c r="A1637" s="11">
        <f>Table1[[#This Row],[Milk Yield]]-J1633</f>
        <v>405</v>
      </c>
      <c r="B1637" t="s">
        <v>24</v>
      </c>
      <c r="C1637" s="2">
        <v>3</v>
      </c>
      <c r="D1637" s="12">
        <v>45876</v>
      </c>
      <c r="E1637" s="2">
        <v>39</v>
      </c>
      <c r="F1637" s="13">
        <v>6.9444444444444447E-4</v>
      </c>
      <c r="G1637" s="3">
        <v>0.21060185185185185</v>
      </c>
      <c r="H1637" s="1">
        <v>0.20972222222222223</v>
      </c>
      <c r="I1637" s="5">
        <v>826</v>
      </c>
      <c r="J1637">
        <v>10883</v>
      </c>
      <c r="K1637">
        <v>164</v>
      </c>
      <c r="L1637" s="5">
        <v>179</v>
      </c>
      <c r="M1637" s="5">
        <v>825</v>
      </c>
      <c r="N1637">
        <v>16</v>
      </c>
      <c r="O1637">
        <v>809</v>
      </c>
      <c r="P1637" s="1">
        <v>0.22777777777777777</v>
      </c>
      <c r="Q1637" s="5">
        <v>2160</v>
      </c>
      <c r="R1637" s="14">
        <v>13.2</v>
      </c>
      <c r="S1637">
        <v>164</v>
      </c>
      <c r="T1637" s="5">
        <v>16</v>
      </c>
      <c r="U1637" s="5">
        <v>809</v>
      </c>
      <c r="V1637" s="5">
        <v>0</v>
      </c>
      <c r="W1637" s="5"/>
      <c r="X1637" s="5"/>
      <c r="Y1637" s="5"/>
      <c r="Z1637" s="5"/>
      <c r="AA1637" s="5"/>
      <c r="AB1637" s="5"/>
      <c r="AC1637" s="5"/>
      <c r="AD1637" s="5"/>
      <c r="AE1637" s="5"/>
      <c r="AF1637" s="5"/>
      <c r="AG1637" s="5"/>
      <c r="AH1637" s="5"/>
      <c r="AI1637" s="5"/>
      <c r="AJ1637" s="5"/>
      <c r="AK1637" s="5"/>
    </row>
    <row r="1638" spans="1:37" x14ac:dyDescent="0.25">
      <c r="A1638" s="11" t="e">
        <f>Table1[[#This Row],[Milk Yield]]-J1634</f>
        <v>#VALUE!</v>
      </c>
      <c r="B1638" t="s">
        <v>0</v>
      </c>
      <c r="C1638" s="2" t="s">
        <v>1</v>
      </c>
      <c r="D1638" s="12" t="s">
        <v>2</v>
      </c>
      <c r="E1638" s="2" t="s">
        <v>3</v>
      </c>
      <c r="F1638" s="13" t="s">
        <v>4</v>
      </c>
      <c r="G1638" s="3" t="s">
        <v>5</v>
      </c>
      <c r="H1638" s="1" t="s">
        <v>6</v>
      </c>
      <c r="I1638" s="5" t="s">
        <v>8</v>
      </c>
      <c r="J1638" t="s">
        <v>9</v>
      </c>
      <c r="K1638" t="s">
        <v>10</v>
      </c>
      <c r="L1638" s="5" t="s">
        <v>11</v>
      </c>
      <c r="M1638" s="5" t="s">
        <v>12</v>
      </c>
      <c r="N1638" t="s">
        <v>13</v>
      </c>
      <c r="O1638" t="s">
        <v>20</v>
      </c>
      <c r="P1638" s="1" t="s">
        <v>7</v>
      </c>
      <c r="Q1638" s="5" t="s">
        <v>15</v>
      </c>
      <c r="R1638" s="14" t="s">
        <v>18</v>
      </c>
      <c r="S1638" t="s">
        <v>16</v>
      </c>
      <c r="T1638" s="5" t="s">
        <v>14</v>
      </c>
      <c r="U1638" s="5" t="s">
        <v>17</v>
      </c>
      <c r="V1638" s="5" t="s">
        <v>19</v>
      </c>
      <c r="W1638" s="5"/>
      <c r="X1638" s="5"/>
      <c r="Y1638" s="5"/>
      <c r="Z1638" s="5"/>
      <c r="AA1638" s="5"/>
      <c r="AB1638" s="5"/>
      <c r="AC1638" s="5"/>
      <c r="AD1638" s="5"/>
      <c r="AE1638" s="5"/>
      <c r="AF1638" s="5"/>
      <c r="AG1638" s="5"/>
      <c r="AH1638" s="5"/>
      <c r="AI1638" s="5"/>
      <c r="AJ1638" s="5"/>
      <c r="AK1638" s="5"/>
    </row>
    <row r="1639" spans="1:37" x14ac:dyDescent="0.25">
      <c r="A1639" s="11">
        <f>Table1[[#This Row],[Milk Yield]]-J1635</f>
        <v>-539</v>
      </c>
      <c r="B1639" t="s">
        <v>24</v>
      </c>
      <c r="C1639" s="2">
        <v>1</v>
      </c>
      <c r="D1639" s="12">
        <v>45877</v>
      </c>
      <c r="E1639" s="2">
        <v>40</v>
      </c>
      <c r="F1639" s="13">
        <v>0.33667824074074076</v>
      </c>
      <c r="G1639" s="3">
        <v>0.5700925925925926</v>
      </c>
      <c r="H1639" s="1">
        <v>0.23333333333333334</v>
      </c>
      <c r="I1639" s="5">
        <v>833</v>
      </c>
      <c r="J1639">
        <v>11187</v>
      </c>
      <c r="K1639">
        <v>149</v>
      </c>
      <c r="L1639" s="5">
        <v>238</v>
      </c>
      <c r="M1639" s="5">
        <v>824</v>
      </c>
      <c r="N1639">
        <v>18</v>
      </c>
      <c r="O1639">
        <v>806</v>
      </c>
      <c r="P1639" s="1">
        <v>0.22500000000000001</v>
      </c>
      <c r="Q1639" s="5">
        <v>1997</v>
      </c>
      <c r="R1639" s="14">
        <v>13.6</v>
      </c>
      <c r="S1639">
        <v>147</v>
      </c>
      <c r="T1639" s="5">
        <v>18</v>
      </c>
      <c r="U1639" s="5">
        <v>806</v>
      </c>
      <c r="V1639" s="5">
        <v>0</v>
      </c>
      <c r="W1639" s="5"/>
      <c r="X1639" s="5"/>
      <c r="Y1639" s="5"/>
      <c r="Z1639" s="5"/>
      <c r="AA1639" s="5"/>
      <c r="AB1639" s="5"/>
      <c r="AC1639" s="5"/>
      <c r="AD1639" s="5"/>
      <c r="AE1639" s="5"/>
      <c r="AF1639" s="5"/>
      <c r="AG1639" s="5"/>
      <c r="AH1639" s="5"/>
      <c r="AI1639" s="5"/>
      <c r="AJ1639" s="5"/>
      <c r="AK1639" s="5"/>
    </row>
    <row r="1640" spans="1:37" x14ac:dyDescent="0.25">
      <c r="A1640" s="11">
        <f>Table1[[#This Row],[Milk Yield]]-J1636</f>
        <v>444</v>
      </c>
      <c r="B1640" t="s">
        <v>24</v>
      </c>
      <c r="C1640" s="2">
        <v>2</v>
      </c>
      <c r="D1640" s="12">
        <v>45877</v>
      </c>
      <c r="E1640" s="2">
        <v>41</v>
      </c>
      <c r="F1640" s="13">
        <v>0.67673611111111109</v>
      </c>
      <c r="G1640" s="3">
        <v>0.90292824074074074</v>
      </c>
      <c r="H1640" s="1">
        <v>0.22569444444444445</v>
      </c>
      <c r="I1640" s="5">
        <v>816</v>
      </c>
      <c r="J1640">
        <v>11574</v>
      </c>
      <c r="K1640">
        <v>150</v>
      </c>
      <c r="L1640" s="5">
        <v>249</v>
      </c>
      <c r="M1640" s="5">
        <v>816</v>
      </c>
      <c r="N1640">
        <v>18</v>
      </c>
      <c r="O1640">
        <v>798</v>
      </c>
      <c r="P1640" s="1">
        <v>0.24652777777777779</v>
      </c>
      <c r="Q1640" s="5">
        <v>2132</v>
      </c>
      <c r="R1640" s="14">
        <v>14.2</v>
      </c>
      <c r="S1640">
        <v>150</v>
      </c>
      <c r="T1640" s="5">
        <v>18</v>
      </c>
      <c r="U1640" s="5">
        <v>798</v>
      </c>
      <c r="V1640" s="5">
        <v>0</v>
      </c>
      <c r="W1640" s="5"/>
      <c r="X1640" s="5"/>
      <c r="Y1640" s="5"/>
      <c r="Z1640" s="5"/>
      <c r="AA1640" s="5"/>
      <c r="AB1640" s="5"/>
      <c r="AC1640" s="5"/>
      <c r="AD1640" s="5"/>
      <c r="AE1640" s="5"/>
      <c r="AF1640" s="5"/>
      <c r="AG1640" s="5"/>
      <c r="AH1640" s="5"/>
      <c r="AI1640" s="5"/>
      <c r="AJ1640" s="5"/>
      <c r="AK1640" s="5"/>
    </row>
    <row r="1641" spans="1:37" x14ac:dyDescent="0.25">
      <c r="A1641" s="11">
        <f>Table1[[#This Row],[Milk Yield]]-J1637</f>
        <v>-992</v>
      </c>
      <c r="B1641" t="s">
        <v>24</v>
      </c>
      <c r="C1641" s="2">
        <v>3</v>
      </c>
      <c r="D1641" s="12">
        <v>45877</v>
      </c>
      <c r="E1641" s="2">
        <v>38</v>
      </c>
      <c r="F1641" s="13">
        <v>0.99747685185185186</v>
      </c>
      <c r="G1641" s="3">
        <v>0.19347222222222221</v>
      </c>
      <c r="H1641" s="1">
        <v>0.19583333333333333</v>
      </c>
      <c r="I1641" s="5">
        <v>810</v>
      </c>
      <c r="J1641">
        <v>9891</v>
      </c>
      <c r="K1641">
        <v>172</v>
      </c>
      <c r="L1641" s="5">
        <v>361</v>
      </c>
      <c r="M1641" s="5">
        <v>809</v>
      </c>
      <c r="N1641">
        <v>32</v>
      </c>
      <c r="O1641">
        <v>777</v>
      </c>
      <c r="P1641" s="1">
        <v>0.21111111111111111</v>
      </c>
      <c r="Q1641" s="5">
        <v>2103</v>
      </c>
      <c r="R1641" s="14">
        <v>12.3</v>
      </c>
      <c r="S1641">
        <v>172</v>
      </c>
      <c r="T1641" s="5">
        <v>32</v>
      </c>
      <c r="U1641" s="5">
        <v>777</v>
      </c>
      <c r="V1641" s="5">
        <v>0</v>
      </c>
      <c r="W1641" s="5"/>
      <c r="X1641" s="5"/>
      <c r="Y1641" s="5"/>
      <c r="Z1641" s="5"/>
      <c r="AA1641" s="5"/>
      <c r="AB1641" s="5"/>
      <c r="AC1641" s="5"/>
      <c r="AD1641" s="5"/>
      <c r="AE1641" s="5"/>
      <c r="AF1641" s="5"/>
      <c r="AG1641" s="5"/>
      <c r="AH1641" s="5"/>
      <c r="AI1641" s="5"/>
      <c r="AJ1641" s="5"/>
      <c r="AK1641" s="5"/>
    </row>
    <row r="1642" spans="1:37" x14ac:dyDescent="0.25">
      <c r="A1642" s="11" t="e">
        <f>Table1[[#This Row],[Milk Yield]]-J1638</f>
        <v>#VALUE!</v>
      </c>
      <c r="B1642" t="s">
        <v>0</v>
      </c>
      <c r="C1642" s="2" t="s">
        <v>1</v>
      </c>
      <c r="D1642" s="12" t="s">
        <v>2</v>
      </c>
      <c r="E1642" s="2" t="s">
        <v>3</v>
      </c>
      <c r="F1642" s="13" t="s">
        <v>4</v>
      </c>
      <c r="G1642" s="3" t="s">
        <v>5</v>
      </c>
      <c r="H1642" s="1" t="s">
        <v>6</v>
      </c>
      <c r="I1642" s="5" t="s">
        <v>8</v>
      </c>
      <c r="J1642" t="s">
        <v>9</v>
      </c>
      <c r="K1642" t="s">
        <v>10</v>
      </c>
      <c r="L1642" s="5" t="s">
        <v>11</v>
      </c>
      <c r="M1642" s="5" t="s">
        <v>12</v>
      </c>
      <c r="N1642" t="s">
        <v>13</v>
      </c>
      <c r="O1642" t="s">
        <v>20</v>
      </c>
      <c r="P1642" s="1" t="s">
        <v>7</v>
      </c>
      <c r="Q1642" s="5" t="s">
        <v>15</v>
      </c>
      <c r="R1642" s="14" t="s">
        <v>18</v>
      </c>
      <c r="S1642" t="s">
        <v>16</v>
      </c>
      <c r="T1642" s="5" t="s">
        <v>14</v>
      </c>
      <c r="U1642" s="5" t="s">
        <v>17</v>
      </c>
      <c r="V1642" s="5" t="s">
        <v>19</v>
      </c>
      <c r="W1642" s="5"/>
      <c r="X1642" s="5"/>
      <c r="Y1642" s="5"/>
      <c r="Z1642" s="5"/>
      <c r="AA1642" s="5"/>
      <c r="AB1642" s="5"/>
      <c r="AC1642" s="5"/>
      <c r="AD1642" s="5"/>
      <c r="AE1642" s="5"/>
      <c r="AF1642" s="5"/>
      <c r="AG1642" s="5"/>
      <c r="AH1642" s="5"/>
      <c r="AI1642" s="5"/>
      <c r="AJ1642" s="5"/>
      <c r="AK1642" s="5"/>
    </row>
    <row r="1643" spans="1:37" x14ac:dyDescent="0.25">
      <c r="A1643" s="11">
        <f>Table1[[#This Row],[Milk Yield]]-J1639</f>
        <v>342</v>
      </c>
      <c r="B1643" t="s">
        <v>24</v>
      </c>
      <c r="C1643" s="2">
        <v>1</v>
      </c>
      <c r="D1643" s="12">
        <v>45878</v>
      </c>
      <c r="E1643" s="2">
        <v>38</v>
      </c>
      <c r="F1643" s="13">
        <v>0.33614583333333331</v>
      </c>
      <c r="G1643" s="3">
        <v>0.55518518518518523</v>
      </c>
      <c r="H1643" s="1">
        <v>0.21875</v>
      </c>
      <c r="I1643" s="5">
        <v>815</v>
      </c>
      <c r="J1643">
        <v>11529</v>
      </c>
      <c r="K1643">
        <v>155</v>
      </c>
      <c r="L1643" s="5">
        <v>140</v>
      </c>
      <c r="M1643" s="5">
        <v>815</v>
      </c>
      <c r="N1643">
        <v>11</v>
      </c>
      <c r="O1643">
        <v>804</v>
      </c>
      <c r="P1643" s="1">
        <v>0.22222222222222221</v>
      </c>
      <c r="Q1643" s="5">
        <v>2193</v>
      </c>
      <c r="R1643" s="14">
        <v>14.2</v>
      </c>
      <c r="S1643">
        <v>155</v>
      </c>
      <c r="T1643" s="5">
        <v>11</v>
      </c>
      <c r="U1643" s="5">
        <v>804</v>
      </c>
      <c r="V1643" s="5">
        <v>0</v>
      </c>
      <c r="W1643" s="5"/>
      <c r="X1643" s="5"/>
      <c r="Y1643" s="5"/>
      <c r="Z1643" s="5"/>
      <c r="AA1643" s="5"/>
      <c r="AB1643" s="5"/>
      <c r="AC1643" s="5"/>
      <c r="AD1643" s="5"/>
      <c r="AE1643" s="5"/>
      <c r="AF1643" s="5"/>
      <c r="AG1643" s="5"/>
      <c r="AH1643" s="5"/>
      <c r="AI1643" s="5"/>
      <c r="AJ1643" s="5"/>
      <c r="AK1643" s="5"/>
    </row>
    <row r="1644" spans="1:37" x14ac:dyDescent="0.25">
      <c r="A1644" s="11">
        <f>Table1[[#This Row],[Milk Yield]]-J1640</f>
        <v>-851</v>
      </c>
      <c r="B1644" t="s">
        <v>24</v>
      </c>
      <c r="C1644" s="2">
        <v>2</v>
      </c>
      <c r="D1644" s="12">
        <v>45878</v>
      </c>
      <c r="E1644" s="2">
        <v>38</v>
      </c>
      <c r="F1644" s="13">
        <v>0.66818287037037039</v>
      </c>
      <c r="G1644" s="3">
        <v>0.88319444444444439</v>
      </c>
      <c r="H1644" s="1">
        <v>0.21458333333333332</v>
      </c>
      <c r="I1644" s="5">
        <v>816</v>
      </c>
      <c r="J1644">
        <v>10723</v>
      </c>
      <c r="K1644">
        <v>158</v>
      </c>
      <c r="L1644" s="5">
        <v>124</v>
      </c>
      <c r="M1644" s="5">
        <v>816</v>
      </c>
      <c r="N1644">
        <v>11</v>
      </c>
      <c r="O1644">
        <v>805</v>
      </c>
      <c r="P1644" s="1">
        <v>0.21597222222222223</v>
      </c>
      <c r="Q1644" s="5">
        <v>2078</v>
      </c>
      <c r="R1644" s="14">
        <v>13.2</v>
      </c>
      <c r="S1644">
        <v>158</v>
      </c>
      <c r="T1644" s="5">
        <v>11</v>
      </c>
      <c r="U1644" s="5">
        <v>805</v>
      </c>
      <c r="V1644" s="5">
        <v>0</v>
      </c>
      <c r="W1644" s="5"/>
      <c r="X1644" s="5"/>
      <c r="Y1644" s="5"/>
      <c r="Z1644" s="5"/>
      <c r="AA1644" s="5"/>
      <c r="AB1644" s="5"/>
      <c r="AC1644" s="5"/>
      <c r="AD1644" s="5"/>
      <c r="AE1644" s="5"/>
      <c r="AF1644" s="5"/>
      <c r="AG1644" s="5"/>
      <c r="AH1644" s="5"/>
      <c r="AI1644" s="5"/>
      <c r="AJ1644" s="5"/>
      <c r="AK1644" s="5"/>
    </row>
    <row r="1645" spans="1:37" x14ac:dyDescent="0.25">
      <c r="A1645" s="11">
        <f>Table1[[#This Row],[Milk Yield]]-J1641</f>
        <v>695</v>
      </c>
      <c r="B1645" t="s">
        <v>24</v>
      </c>
      <c r="C1645" s="2">
        <v>3</v>
      </c>
      <c r="D1645" s="12">
        <v>45878</v>
      </c>
      <c r="E1645" s="2">
        <v>38</v>
      </c>
      <c r="F1645" s="13">
        <v>0.99796296296296294</v>
      </c>
      <c r="G1645" s="3">
        <v>0.21945601851851851</v>
      </c>
      <c r="H1645" s="1">
        <v>0.22083333333333333</v>
      </c>
      <c r="I1645" s="5">
        <v>815</v>
      </c>
      <c r="J1645">
        <v>10586</v>
      </c>
      <c r="K1645">
        <v>153</v>
      </c>
      <c r="L1645" s="5">
        <v>186</v>
      </c>
      <c r="M1645" s="5">
        <v>815</v>
      </c>
      <c r="N1645">
        <v>13</v>
      </c>
      <c r="O1645">
        <v>802</v>
      </c>
      <c r="P1645" s="1">
        <v>0.24722222222222223</v>
      </c>
      <c r="Q1645" s="5">
        <v>1991</v>
      </c>
      <c r="R1645" s="14">
        <v>13</v>
      </c>
      <c r="S1645">
        <v>153</v>
      </c>
      <c r="T1645" s="5">
        <v>13</v>
      </c>
      <c r="U1645" s="5">
        <v>802</v>
      </c>
      <c r="V1645" s="5">
        <v>0</v>
      </c>
      <c r="W1645" s="5"/>
      <c r="X1645" s="5"/>
      <c r="Y1645" s="5"/>
      <c r="Z1645" s="5"/>
      <c r="AA1645" s="5"/>
      <c r="AB1645" s="5"/>
      <c r="AC1645" s="5"/>
      <c r="AD1645" s="5"/>
      <c r="AE1645" s="5"/>
      <c r="AF1645" s="5"/>
      <c r="AG1645" s="5"/>
      <c r="AH1645" s="5"/>
      <c r="AI1645" s="5"/>
      <c r="AJ1645" s="5"/>
      <c r="AK1645" s="5"/>
    </row>
    <row r="1646" spans="1:37" x14ac:dyDescent="0.25">
      <c r="A1646" s="11" t="e">
        <f>Table1[[#This Row],[Milk Yield]]-J1642</f>
        <v>#VALUE!</v>
      </c>
      <c r="B1646" t="s">
        <v>0</v>
      </c>
      <c r="C1646" s="2" t="s">
        <v>1</v>
      </c>
      <c r="D1646" s="12" t="s">
        <v>2</v>
      </c>
      <c r="E1646" s="2" t="s">
        <v>3</v>
      </c>
      <c r="F1646" s="13" t="s">
        <v>4</v>
      </c>
      <c r="G1646" s="3" t="s">
        <v>5</v>
      </c>
      <c r="H1646" s="1" t="s">
        <v>6</v>
      </c>
      <c r="I1646" s="5" t="s">
        <v>8</v>
      </c>
      <c r="J1646" t="s">
        <v>9</v>
      </c>
      <c r="K1646" t="s">
        <v>10</v>
      </c>
      <c r="L1646" s="5" t="s">
        <v>11</v>
      </c>
      <c r="M1646" s="5" t="s">
        <v>12</v>
      </c>
      <c r="N1646" t="s">
        <v>13</v>
      </c>
      <c r="O1646" t="s">
        <v>20</v>
      </c>
      <c r="P1646" s="1" t="s">
        <v>7</v>
      </c>
      <c r="Q1646" s="5" t="s">
        <v>15</v>
      </c>
      <c r="R1646" s="14" t="s">
        <v>18</v>
      </c>
      <c r="S1646" t="s">
        <v>16</v>
      </c>
      <c r="T1646" s="5" t="s">
        <v>14</v>
      </c>
      <c r="U1646" s="5" t="s">
        <v>17</v>
      </c>
      <c r="V1646" s="5" t="s">
        <v>19</v>
      </c>
      <c r="W1646" s="5"/>
      <c r="X1646" s="5"/>
      <c r="Y1646" s="5"/>
      <c r="Z1646" s="5"/>
      <c r="AA1646" s="5"/>
      <c r="AB1646" s="5"/>
      <c r="AC1646" s="5"/>
      <c r="AD1646" s="5"/>
      <c r="AE1646" s="5"/>
      <c r="AF1646" s="5"/>
      <c r="AG1646" s="5"/>
      <c r="AH1646" s="5"/>
      <c r="AI1646" s="5"/>
      <c r="AJ1646" s="5"/>
      <c r="AK1646" s="5"/>
    </row>
    <row r="1647" spans="1:37" x14ac:dyDescent="0.25">
      <c r="A1647" s="11">
        <f>Table1[[#This Row],[Milk Yield]]-J1643</f>
        <v>-376</v>
      </c>
      <c r="B1647" t="s">
        <v>24</v>
      </c>
      <c r="C1647" s="2">
        <v>1</v>
      </c>
      <c r="D1647" s="12">
        <v>45879</v>
      </c>
      <c r="E1647" s="2">
        <v>38</v>
      </c>
      <c r="F1647" s="13">
        <v>0.33810185185185188</v>
      </c>
      <c r="G1647" s="3">
        <v>0.55807870370370372</v>
      </c>
      <c r="H1647" s="1">
        <v>0.21944444444444444</v>
      </c>
      <c r="I1647" s="5">
        <v>816</v>
      </c>
      <c r="J1647">
        <v>11153</v>
      </c>
      <c r="K1647">
        <v>155</v>
      </c>
      <c r="L1647" s="5">
        <v>154</v>
      </c>
      <c r="M1647" s="5">
        <v>816</v>
      </c>
      <c r="N1647">
        <v>14</v>
      </c>
      <c r="O1647">
        <v>802</v>
      </c>
      <c r="P1647" s="1">
        <v>0.22777777777777777</v>
      </c>
      <c r="Q1647" s="5">
        <v>2112</v>
      </c>
      <c r="R1647" s="14">
        <v>13.7</v>
      </c>
      <c r="S1647">
        <v>155</v>
      </c>
      <c r="T1647" s="5">
        <v>14</v>
      </c>
      <c r="U1647" s="5">
        <v>802</v>
      </c>
      <c r="V1647" s="5">
        <v>0</v>
      </c>
      <c r="W1647" s="5"/>
      <c r="X1647" s="5"/>
      <c r="Y1647" s="5"/>
      <c r="Z1647" s="5"/>
      <c r="AA1647" s="5"/>
      <c r="AB1647" s="5"/>
      <c r="AC1647" s="5"/>
      <c r="AD1647" s="5"/>
      <c r="AE1647" s="5"/>
      <c r="AF1647" s="5"/>
      <c r="AG1647" s="5"/>
      <c r="AH1647" s="5"/>
      <c r="AI1647" s="5"/>
      <c r="AJ1647" s="5"/>
      <c r="AK1647" s="5"/>
    </row>
    <row r="1648" spans="1:37" x14ac:dyDescent="0.25">
      <c r="A1648" s="11">
        <f>Table1[[#This Row],[Milk Yield]]-J1644</f>
        <v>146</v>
      </c>
      <c r="B1648" t="s">
        <v>24</v>
      </c>
      <c r="C1648" s="2">
        <v>2</v>
      </c>
      <c r="D1648" s="12">
        <v>45879</v>
      </c>
      <c r="E1648" s="2">
        <v>40</v>
      </c>
      <c r="F1648" s="13">
        <v>0.67037037037037039</v>
      </c>
      <c r="G1648" s="3">
        <v>0.89410879629629625</v>
      </c>
      <c r="H1648" s="1">
        <v>0.22361111111111112</v>
      </c>
      <c r="I1648" s="5">
        <v>822</v>
      </c>
      <c r="J1648">
        <v>10869</v>
      </c>
      <c r="K1648">
        <v>153</v>
      </c>
      <c r="L1648" s="5">
        <v>160</v>
      </c>
      <c r="M1648" s="5">
        <v>820</v>
      </c>
      <c r="N1648">
        <v>15</v>
      </c>
      <c r="O1648">
        <v>805</v>
      </c>
      <c r="P1648" s="1">
        <v>0.21527777777777779</v>
      </c>
      <c r="Q1648" s="5">
        <v>2024</v>
      </c>
      <c r="R1648" s="14">
        <v>13.3</v>
      </c>
      <c r="S1648">
        <v>153</v>
      </c>
      <c r="T1648" s="5">
        <v>15</v>
      </c>
      <c r="U1648" s="5">
        <v>805</v>
      </c>
      <c r="V1648" s="5">
        <v>0</v>
      </c>
      <c r="W1648" s="5"/>
      <c r="X1648" s="5"/>
      <c r="Y1648" s="5"/>
      <c r="Z1648" s="5"/>
      <c r="AA1648" s="5"/>
      <c r="AB1648" s="5"/>
      <c r="AC1648" s="5"/>
      <c r="AD1648" s="5"/>
      <c r="AE1648" s="5"/>
      <c r="AF1648" s="5"/>
      <c r="AG1648" s="5"/>
      <c r="AH1648" s="5"/>
      <c r="AI1648" s="5"/>
      <c r="AJ1648" s="5"/>
      <c r="AK1648" s="5"/>
    </row>
    <row r="1649" spans="1:37" x14ac:dyDescent="0.25">
      <c r="A1649" s="11">
        <f>Table1[[#This Row],[Milk Yield]]-J1645</f>
        <v>269</v>
      </c>
      <c r="B1649" t="s">
        <v>24</v>
      </c>
      <c r="C1649" s="2">
        <v>3</v>
      </c>
      <c r="D1649" s="12">
        <v>45879</v>
      </c>
      <c r="E1649" s="2">
        <v>38</v>
      </c>
      <c r="F1649" s="13">
        <v>1.1226851851851851E-3</v>
      </c>
      <c r="G1649" s="3">
        <v>0.22318287037037038</v>
      </c>
      <c r="H1649" s="1">
        <v>0.22152777777777777</v>
      </c>
      <c r="I1649" s="5">
        <v>817</v>
      </c>
      <c r="J1649">
        <v>10855</v>
      </c>
      <c r="K1649">
        <v>153</v>
      </c>
      <c r="L1649" s="5">
        <v>160</v>
      </c>
      <c r="M1649" s="5">
        <v>814</v>
      </c>
      <c r="N1649">
        <v>13</v>
      </c>
      <c r="O1649">
        <v>801</v>
      </c>
      <c r="P1649" s="1">
        <v>0.22777777777777777</v>
      </c>
      <c r="Q1649" s="5">
        <v>2037</v>
      </c>
      <c r="R1649" s="14">
        <v>13.4</v>
      </c>
      <c r="S1649">
        <v>153</v>
      </c>
      <c r="T1649" s="5">
        <v>13</v>
      </c>
      <c r="U1649" s="5">
        <v>801</v>
      </c>
      <c r="V1649" s="5">
        <v>0</v>
      </c>
      <c r="W1649" s="5"/>
      <c r="X1649" s="5"/>
      <c r="Y1649" s="5"/>
      <c r="Z1649" s="5"/>
      <c r="AA1649" s="5"/>
      <c r="AB1649" s="5"/>
      <c r="AC1649" s="5"/>
      <c r="AD1649" s="5"/>
      <c r="AE1649" s="5"/>
      <c r="AF1649" s="5"/>
      <c r="AG1649" s="5"/>
      <c r="AH1649" s="5"/>
      <c r="AI1649" s="5"/>
      <c r="AJ1649" s="5"/>
      <c r="AK1649" s="5"/>
    </row>
    <row r="1650" spans="1:37" x14ac:dyDescent="0.25">
      <c r="A1650" s="11" t="e">
        <f>Table1[[#This Row],[Milk Yield]]-J1646</f>
        <v>#VALUE!</v>
      </c>
      <c r="B1650" t="s">
        <v>0</v>
      </c>
      <c r="C1650" s="2" t="s">
        <v>1</v>
      </c>
      <c r="D1650" s="12" t="s">
        <v>2</v>
      </c>
      <c r="E1650" s="2" t="s">
        <v>3</v>
      </c>
      <c r="F1650" s="13" t="s">
        <v>4</v>
      </c>
      <c r="G1650" s="3" t="s">
        <v>5</v>
      </c>
      <c r="H1650" s="1" t="s">
        <v>6</v>
      </c>
      <c r="I1650" s="5" t="s">
        <v>8</v>
      </c>
      <c r="J1650" t="s">
        <v>9</v>
      </c>
      <c r="K1650" t="s">
        <v>10</v>
      </c>
      <c r="L1650" s="5" t="s">
        <v>11</v>
      </c>
      <c r="M1650" s="5" t="s">
        <v>12</v>
      </c>
      <c r="N1650" t="s">
        <v>13</v>
      </c>
      <c r="O1650" t="s">
        <v>20</v>
      </c>
      <c r="P1650" s="1" t="s">
        <v>7</v>
      </c>
      <c r="Q1650" s="5" t="s">
        <v>15</v>
      </c>
      <c r="R1650" s="14" t="s">
        <v>18</v>
      </c>
      <c r="S1650" t="s">
        <v>16</v>
      </c>
      <c r="T1650" s="5" t="s">
        <v>14</v>
      </c>
      <c r="U1650" s="5" t="s">
        <v>17</v>
      </c>
      <c r="V1650" s="5" t="s">
        <v>19</v>
      </c>
      <c r="W1650" s="5"/>
      <c r="X1650" s="5"/>
      <c r="Y1650" s="5"/>
      <c r="Z1650" s="5"/>
      <c r="AA1650" s="5"/>
      <c r="AB1650" s="5"/>
      <c r="AC1650" s="5"/>
      <c r="AD1650" s="5"/>
      <c r="AE1650" s="5"/>
      <c r="AF1650" s="5"/>
      <c r="AG1650" s="5"/>
      <c r="AH1650" s="5"/>
      <c r="AI1650" s="5"/>
      <c r="AJ1650" s="5"/>
      <c r="AK1650" s="5"/>
    </row>
    <row r="1651" spans="1:37" x14ac:dyDescent="0.25">
      <c r="A1651" s="11">
        <f>Table1[[#This Row],[Milk Yield]]-J1647</f>
        <v>47</v>
      </c>
      <c r="B1651" t="s">
        <v>24</v>
      </c>
      <c r="C1651" s="2">
        <v>1</v>
      </c>
      <c r="D1651" s="12">
        <v>45880</v>
      </c>
      <c r="E1651" s="2">
        <v>38</v>
      </c>
      <c r="F1651" s="13">
        <v>0.33954861111111112</v>
      </c>
      <c r="G1651" s="3">
        <v>0.55909722222222225</v>
      </c>
      <c r="H1651" s="1">
        <v>0.21944444444444444</v>
      </c>
      <c r="I1651" s="5">
        <v>815</v>
      </c>
      <c r="J1651">
        <v>11200</v>
      </c>
      <c r="K1651">
        <v>155</v>
      </c>
      <c r="L1651" s="5">
        <v>114</v>
      </c>
      <c r="M1651" s="5">
        <v>815</v>
      </c>
      <c r="N1651">
        <v>10</v>
      </c>
      <c r="O1651">
        <v>805</v>
      </c>
      <c r="P1651" s="1">
        <v>0.21736111111111112</v>
      </c>
      <c r="Q1651" s="5">
        <v>2126</v>
      </c>
      <c r="R1651" s="14">
        <v>13.8</v>
      </c>
      <c r="S1651">
        <v>155</v>
      </c>
      <c r="T1651" s="5">
        <v>10</v>
      </c>
      <c r="U1651" s="5">
        <v>805</v>
      </c>
      <c r="V1651" s="5">
        <v>0</v>
      </c>
      <c r="W1651" s="5"/>
      <c r="X1651" s="5"/>
      <c r="Y1651" s="5"/>
      <c r="Z1651" s="5"/>
      <c r="AA1651" s="5"/>
      <c r="AB1651" s="5"/>
      <c r="AC1651" s="5"/>
      <c r="AD1651" s="5"/>
      <c r="AE1651" s="5"/>
      <c r="AF1651" s="5"/>
      <c r="AG1651" s="5"/>
      <c r="AH1651" s="5"/>
      <c r="AI1651" s="5"/>
      <c r="AJ1651" s="5"/>
      <c r="AK1651" s="5"/>
    </row>
    <row r="1652" spans="1:37" x14ac:dyDescent="0.25">
      <c r="A1652" s="11">
        <f>Table1[[#This Row],[Milk Yield]]-J1648</f>
        <v>-564</v>
      </c>
      <c r="B1652" t="s">
        <v>24</v>
      </c>
      <c r="C1652" s="2">
        <v>2</v>
      </c>
      <c r="D1652" s="12">
        <v>45880</v>
      </c>
      <c r="E1652" s="2">
        <v>39</v>
      </c>
      <c r="F1652" s="13">
        <v>0.66943287037037036</v>
      </c>
      <c r="G1652" s="3">
        <v>0.89244212962962965</v>
      </c>
      <c r="H1652" s="1">
        <v>0.22291666666666668</v>
      </c>
      <c r="I1652" s="5">
        <v>826</v>
      </c>
      <c r="J1652">
        <v>10305</v>
      </c>
      <c r="K1652">
        <v>154</v>
      </c>
      <c r="L1652" s="5">
        <v>118</v>
      </c>
      <c r="M1652" s="5">
        <v>825</v>
      </c>
      <c r="N1652">
        <v>14</v>
      </c>
      <c r="O1652">
        <v>811</v>
      </c>
      <c r="P1652" s="1">
        <v>0.21875</v>
      </c>
      <c r="Q1652" s="5">
        <v>1925</v>
      </c>
      <c r="R1652" s="14">
        <v>12.5</v>
      </c>
      <c r="S1652">
        <v>154</v>
      </c>
      <c r="T1652" s="5">
        <v>14</v>
      </c>
      <c r="U1652" s="5">
        <v>811</v>
      </c>
      <c r="V1652" s="5">
        <v>0</v>
      </c>
      <c r="W1652" s="5"/>
      <c r="X1652" s="5"/>
      <c r="Y1652" s="5"/>
      <c r="Z1652" s="5"/>
      <c r="AA1652" s="5"/>
      <c r="AB1652" s="5"/>
      <c r="AC1652" s="5"/>
      <c r="AD1652" s="5"/>
      <c r="AE1652" s="5"/>
      <c r="AF1652" s="5"/>
      <c r="AG1652" s="5"/>
      <c r="AH1652" s="5"/>
      <c r="AI1652" s="5"/>
      <c r="AJ1652" s="5"/>
      <c r="AK1652" s="5"/>
    </row>
    <row r="1653" spans="1:37" x14ac:dyDescent="0.25">
      <c r="A1653" s="11">
        <f>Table1[[#This Row],[Milk Yield]]-J1649</f>
        <v>-70</v>
      </c>
      <c r="B1653" t="s">
        <v>24</v>
      </c>
      <c r="C1653" s="2">
        <v>3</v>
      </c>
      <c r="D1653" s="12">
        <v>45880</v>
      </c>
      <c r="E1653" s="2">
        <v>36</v>
      </c>
      <c r="F1653" s="13">
        <v>4.5138888888888885E-3</v>
      </c>
      <c r="G1653" s="3">
        <v>0.21340277777777777</v>
      </c>
      <c r="H1653" s="1">
        <v>0.20833333333333334</v>
      </c>
      <c r="I1653" s="5">
        <v>816</v>
      </c>
      <c r="J1653">
        <v>10785</v>
      </c>
      <c r="K1653">
        <v>163</v>
      </c>
      <c r="L1653" s="5">
        <v>21</v>
      </c>
      <c r="M1653" s="5">
        <v>815</v>
      </c>
      <c r="N1653">
        <v>3</v>
      </c>
      <c r="O1653">
        <v>812</v>
      </c>
      <c r="P1653" s="1">
        <v>0.21249999999999999</v>
      </c>
      <c r="Q1653" s="5">
        <v>2151</v>
      </c>
      <c r="R1653" s="14">
        <v>13.3</v>
      </c>
      <c r="S1653">
        <v>163</v>
      </c>
      <c r="T1653" s="5">
        <v>3</v>
      </c>
      <c r="U1653" s="5">
        <v>812</v>
      </c>
      <c r="V1653" s="5">
        <v>0</v>
      </c>
      <c r="W1653" s="5"/>
      <c r="X1653" s="5"/>
      <c r="Y1653" s="5"/>
      <c r="Z1653" s="5"/>
      <c r="AA1653" s="5"/>
      <c r="AB1653" s="5"/>
      <c r="AC1653" s="5"/>
      <c r="AD1653" s="5"/>
      <c r="AE1653" s="5"/>
      <c r="AF1653" s="5"/>
      <c r="AG1653" s="5"/>
      <c r="AH1653" s="5"/>
      <c r="AI1653" s="5"/>
      <c r="AJ1653" s="5"/>
      <c r="AK1653" s="5"/>
    </row>
    <row r="1654" spans="1:37" x14ac:dyDescent="0.25">
      <c r="A1654" s="11" t="e">
        <f>Table1[[#This Row],[Milk Yield]]-J1650</f>
        <v>#VALUE!</v>
      </c>
      <c r="B1654" t="s">
        <v>0</v>
      </c>
      <c r="C1654" s="2" t="s">
        <v>1</v>
      </c>
      <c r="D1654" s="12" t="s">
        <v>2</v>
      </c>
      <c r="E1654" s="2" t="s">
        <v>3</v>
      </c>
      <c r="F1654" s="13" t="s">
        <v>4</v>
      </c>
      <c r="G1654" s="3" t="s">
        <v>5</v>
      </c>
      <c r="H1654" s="1" t="s">
        <v>6</v>
      </c>
      <c r="I1654" s="5" t="s">
        <v>8</v>
      </c>
      <c r="J1654" t="s">
        <v>9</v>
      </c>
      <c r="K1654" t="s">
        <v>10</v>
      </c>
      <c r="L1654" s="5" t="s">
        <v>11</v>
      </c>
      <c r="M1654" s="5" t="s">
        <v>12</v>
      </c>
      <c r="N1654" t="s">
        <v>13</v>
      </c>
      <c r="O1654" t="s">
        <v>20</v>
      </c>
      <c r="P1654" s="1" t="s">
        <v>7</v>
      </c>
      <c r="Q1654" s="5" t="s">
        <v>15</v>
      </c>
      <c r="R1654" s="14" t="s">
        <v>18</v>
      </c>
      <c r="S1654" t="s">
        <v>16</v>
      </c>
      <c r="T1654" s="5" t="s">
        <v>14</v>
      </c>
      <c r="U1654" s="5" t="s">
        <v>17</v>
      </c>
      <c r="V1654" s="5" t="s">
        <v>19</v>
      </c>
      <c r="W1654" s="5"/>
      <c r="X1654" s="5"/>
      <c r="Y1654" s="5"/>
      <c r="Z1654" s="5"/>
      <c r="AA1654" s="5"/>
      <c r="AB1654" s="5"/>
      <c r="AC1654" s="5"/>
      <c r="AD1654" s="5"/>
      <c r="AE1654" s="5"/>
      <c r="AF1654" s="5"/>
      <c r="AG1654" s="5"/>
      <c r="AH1654" s="5"/>
      <c r="AI1654" s="5"/>
      <c r="AJ1654" s="5"/>
      <c r="AK1654" s="5"/>
    </row>
    <row r="1655" spans="1:37" x14ac:dyDescent="0.25">
      <c r="A1655" s="11">
        <f>Table1[[#This Row],[Milk Yield]]-J1651</f>
        <v>51</v>
      </c>
      <c r="B1655" t="s">
        <v>24</v>
      </c>
      <c r="C1655" s="2">
        <v>1</v>
      </c>
      <c r="D1655" s="12">
        <v>45881</v>
      </c>
      <c r="E1655" s="2">
        <v>35</v>
      </c>
      <c r="F1655" s="13">
        <v>0.34011574074074075</v>
      </c>
      <c r="G1655" s="3">
        <v>0.55662037037037038</v>
      </c>
      <c r="H1655" s="1">
        <v>0.21597222222222223</v>
      </c>
      <c r="I1655" s="5">
        <v>814</v>
      </c>
      <c r="J1655">
        <v>11251</v>
      </c>
      <c r="K1655">
        <v>157</v>
      </c>
      <c r="L1655" s="5">
        <v>31</v>
      </c>
      <c r="M1655" s="5">
        <v>813</v>
      </c>
      <c r="N1655">
        <v>3</v>
      </c>
      <c r="O1655">
        <v>810</v>
      </c>
      <c r="P1655" s="1">
        <v>0.21944444444444444</v>
      </c>
      <c r="Q1655" s="5">
        <v>2165</v>
      </c>
      <c r="R1655" s="14">
        <v>13.9</v>
      </c>
      <c r="S1655">
        <v>156</v>
      </c>
      <c r="T1655" s="5">
        <v>3</v>
      </c>
      <c r="U1655" s="5">
        <v>810</v>
      </c>
      <c r="V1655" s="5">
        <v>0</v>
      </c>
      <c r="W1655" s="5"/>
      <c r="X1655" s="5"/>
      <c r="Y1655" s="5"/>
      <c r="Z1655" s="5"/>
      <c r="AA1655" s="5"/>
      <c r="AB1655" s="5"/>
      <c r="AC1655" s="5"/>
      <c r="AD1655" s="5"/>
      <c r="AE1655" s="5"/>
      <c r="AF1655" s="5"/>
      <c r="AG1655" s="5"/>
      <c r="AH1655" s="5"/>
      <c r="AI1655" s="5"/>
      <c r="AJ1655" s="5"/>
      <c r="AK1655" s="5"/>
    </row>
    <row r="1656" spans="1:37" x14ac:dyDescent="0.25">
      <c r="A1656" s="11">
        <f>Table1[[#This Row],[Milk Yield]]-J1652</f>
        <v>171</v>
      </c>
      <c r="B1656" t="s">
        <v>24</v>
      </c>
      <c r="C1656" s="2">
        <v>2</v>
      </c>
      <c r="D1656" s="12">
        <v>45881</v>
      </c>
      <c r="E1656" s="2">
        <v>38</v>
      </c>
      <c r="F1656" s="13">
        <v>0.67439814814814814</v>
      </c>
      <c r="G1656" s="3">
        <v>0.88561342592592596</v>
      </c>
      <c r="H1656" s="1">
        <v>0.21111111111111111</v>
      </c>
      <c r="I1656" s="5">
        <v>819</v>
      </c>
      <c r="J1656">
        <v>10476</v>
      </c>
      <c r="K1656">
        <v>162</v>
      </c>
      <c r="L1656" s="5">
        <v>102</v>
      </c>
      <c r="M1656" s="5">
        <v>815</v>
      </c>
      <c r="N1656">
        <v>10</v>
      </c>
      <c r="O1656">
        <v>805</v>
      </c>
      <c r="P1656" s="1">
        <v>0.22152777777777777</v>
      </c>
      <c r="Q1656" s="5">
        <v>2067</v>
      </c>
      <c r="R1656" s="14">
        <v>12.9</v>
      </c>
      <c r="S1656">
        <v>161</v>
      </c>
      <c r="T1656" s="5">
        <v>10</v>
      </c>
      <c r="U1656" s="5">
        <v>805</v>
      </c>
      <c r="V1656" s="5">
        <v>0</v>
      </c>
      <c r="W1656" s="5"/>
      <c r="X1656" s="5"/>
      <c r="Y1656" s="5"/>
      <c r="Z1656" s="5"/>
      <c r="AA1656" s="5"/>
      <c r="AB1656" s="5"/>
      <c r="AC1656" s="5"/>
      <c r="AD1656" s="5"/>
      <c r="AE1656" s="5"/>
      <c r="AF1656" s="5"/>
      <c r="AG1656" s="5"/>
      <c r="AH1656" s="5"/>
      <c r="AI1656" s="5"/>
      <c r="AJ1656" s="5"/>
      <c r="AK1656" s="5"/>
    </row>
    <row r="1657" spans="1:37" x14ac:dyDescent="0.25">
      <c r="A1657" s="11">
        <f>Table1[[#This Row],[Milk Yield]]-J1653</f>
        <v>105</v>
      </c>
      <c r="B1657" t="s">
        <v>24</v>
      </c>
      <c r="C1657" s="2">
        <v>3</v>
      </c>
      <c r="D1657" s="12">
        <v>45881</v>
      </c>
      <c r="E1657" s="2">
        <v>35</v>
      </c>
      <c r="F1657" s="13">
        <v>2.1759259259259258E-3</v>
      </c>
      <c r="G1657" s="3">
        <v>0.22525462962962964</v>
      </c>
      <c r="H1657" s="1">
        <v>0.22291666666666668</v>
      </c>
      <c r="I1657" s="5">
        <v>819</v>
      </c>
      <c r="J1657">
        <v>10890</v>
      </c>
      <c r="K1657">
        <v>153</v>
      </c>
      <c r="L1657" s="5">
        <v>98</v>
      </c>
      <c r="M1657" s="5">
        <v>818</v>
      </c>
      <c r="N1657">
        <v>7</v>
      </c>
      <c r="O1657">
        <v>811</v>
      </c>
      <c r="P1657" s="1">
        <v>0.21736111111111112</v>
      </c>
      <c r="Q1657" s="5">
        <v>2034</v>
      </c>
      <c r="R1657" s="14">
        <v>13.4</v>
      </c>
      <c r="S1657">
        <v>153</v>
      </c>
      <c r="T1657" s="5">
        <v>7</v>
      </c>
      <c r="U1657" s="5">
        <v>811</v>
      </c>
      <c r="V1657" s="5">
        <v>0</v>
      </c>
      <c r="W1657" s="5"/>
      <c r="X1657" s="5"/>
      <c r="Y1657" s="5"/>
      <c r="Z1657" s="5"/>
      <c r="AA1657" s="5"/>
      <c r="AB1657" s="5"/>
      <c r="AC1657" s="5"/>
      <c r="AD1657" s="5"/>
      <c r="AE1657" s="5"/>
      <c r="AF1657" s="5"/>
      <c r="AG1657" s="5"/>
      <c r="AH1657" s="5"/>
      <c r="AI1657" s="5"/>
      <c r="AJ1657" s="5"/>
      <c r="AK1657" s="5"/>
    </row>
    <row r="1658" spans="1:37" x14ac:dyDescent="0.25">
      <c r="A1658" s="11" t="e">
        <f>Table1[[#This Row],[Milk Yield]]-J1654</f>
        <v>#VALUE!</v>
      </c>
      <c r="B1658" t="s">
        <v>0</v>
      </c>
      <c r="C1658" s="2" t="s">
        <v>1</v>
      </c>
      <c r="D1658" s="12" t="s">
        <v>2</v>
      </c>
      <c r="E1658" s="2" t="s">
        <v>3</v>
      </c>
      <c r="F1658" s="13" t="s">
        <v>4</v>
      </c>
      <c r="G1658" s="3" t="s">
        <v>5</v>
      </c>
      <c r="H1658" s="1" t="s">
        <v>6</v>
      </c>
      <c r="I1658" s="5" t="s">
        <v>8</v>
      </c>
      <c r="J1658" t="s">
        <v>9</v>
      </c>
      <c r="K1658" t="s">
        <v>10</v>
      </c>
      <c r="L1658" s="5" t="s">
        <v>11</v>
      </c>
      <c r="M1658" s="5" t="s">
        <v>12</v>
      </c>
      <c r="N1658" t="s">
        <v>13</v>
      </c>
      <c r="O1658" t="s">
        <v>20</v>
      </c>
      <c r="P1658" s="1" t="s">
        <v>7</v>
      </c>
      <c r="Q1658" s="5" t="s">
        <v>15</v>
      </c>
      <c r="R1658" s="14" t="s">
        <v>18</v>
      </c>
      <c r="S1658" t="s">
        <v>16</v>
      </c>
      <c r="T1658" s="5" t="s">
        <v>14</v>
      </c>
      <c r="U1658" s="5" t="s">
        <v>17</v>
      </c>
      <c r="V1658" s="5" t="s">
        <v>19</v>
      </c>
      <c r="W1658" s="5"/>
      <c r="X1658" s="5"/>
      <c r="Y1658" s="5"/>
      <c r="Z1658" s="5"/>
      <c r="AA1658" s="5"/>
      <c r="AB1658" s="5"/>
      <c r="AC1658" s="5"/>
      <c r="AD1658" s="5"/>
      <c r="AE1658" s="5"/>
      <c r="AF1658" s="5"/>
      <c r="AG1658" s="5"/>
      <c r="AH1658" s="5"/>
      <c r="AI1658" s="5"/>
      <c r="AJ1658" s="5"/>
      <c r="AK1658" s="5"/>
    </row>
    <row r="1659" spans="1:37" x14ac:dyDescent="0.25">
      <c r="A1659" s="11">
        <f>Table1[[#This Row],[Milk Yield]]-J1655</f>
        <v>-226</v>
      </c>
      <c r="B1659" t="s">
        <v>24</v>
      </c>
      <c r="C1659" s="2">
        <v>1</v>
      </c>
      <c r="D1659" s="12">
        <v>45882</v>
      </c>
      <c r="E1659" s="2">
        <v>35</v>
      </c>
      <c r="F1659" s="13">
        <v>0.34023148148148147</v>
      </c>
      <c r="G1659" s="3">
        <v>0.55160879629629633</v>
      </c>
      <c r="H1659" s="1">
        <v>0.21111111111111111</v>
      </c>
      <c r="I1659" s="5">
        <v>817</v>
      </c>
      <c r="J1659">
        <v>11025</v>
      </c>
      <c r="K1659">
        <v>161</v>
      </c>
      <c r="L1659" s="5">
        <v>88</v>
      </c>
      <c r="M1659" s="5">
        <v>815</v>
      </c>
      <c r="N1659">
        <v>7</v>
      </c>
      <c r="O1659">
        <v>808</v>
      </c>
      <c r="P1659" s="1">
        <v>0.21527777777777779</v>
      </c>
      <c r="Q1659" s="5">
        <v>2173</v>
      </c>
      <c r="R1659" s="14">
        <v>13.6</v>
      </c>
      <c r="S1659">
        <v>161</v>
      </c>
      <c r="T1659" s="5">
        <v>7</v>
      </c>
      <c r="U1659" s="5">
        <v>808</v>
      </c>
      <c r="V1659" s="5">
        <v>0</v>
      </c>
      <c r="W1659" s="5"/>
      <c r="X1659" s="5"/>
      <c r="Y1659" s="5"/>
      <c r="Z1659" s="5"/>
      <c r="AA1659" s="5"/>
      <c r="AB1659" s="5"/>
      <c r="AC1659" s="5"/>
      <c r="AD1659" s="5"/>
      <c r="AE1659" s="5"/>
      <c r="AF1659" s="5"/>
      <c r="AG1659" s="5"/>
      <c r="AH1659" s="5"/>
      <c r="AI1659" s="5"/>
      <c r="AJ1659" s="5"/>
      <c r="AK1659" s="5"/>
    </row>
    <row r="1660" spans="1:37" x14ac:dyDescent="0.25">
      <c r="A1660" s="11">
        <f>Table1[[#This Row],[Milk Yield]]-J1656</f>
        <v>156</v>
      </c>
      <c r="B1660" t="s">
        <v>24</v>
      </c>
      <c r="C1660" s="2">
        <v>2</v>
      </c>
      <c r="D1660" s="12">
        <v>45882</v>
      </c>
      <c r="E1660" s="2">
        <v>37</v>
      </c>
      <c r="F1660" s="13">
        <v>0.67009259259259257</v>
      </c>
      <c r="G1660" s="3">
        <v>0.88035879629629632</v>
      </c>
      <c r="H1660" s="1">
        <v>0.20972222222222223</v>
      </c>
      <c r="I1660" s="5">
        <v>817</v>
      </c>
      <c r="J1660">
        <v>10632</v>
      </c>
      <c r="K1660">
        <v>162</v>
      </c>
      <c r="L1660" s="5">
        <v>129</v>
      </c>
      <c r="M1660" s="5">
        <v>817</v>
      </c>
      <c r="N1660">
        <v>12</v>
      </c>
      <c r="O1660">
        <v>805</v>
      </c>
      <c r="P1660" s="1">
        <v>0.21180555555555555</v>
      </c>
      <c r="Q1660" s="5">
        <v>2107</v>
      </c>
      <c r="R1660" s="14">
        <v>13.1</v>
      </c>
      <c r="S1660">
        <v>162</v>
      </c>
      <c r="T1660" s="5">
        <v>12</v>
      </c>
      <c r="U1660" s="5">
        <v>805</v>
      </c>
      <c r="V1660" s="5">
        <v>0</v>
      </c>
      <c r="W1660" s="5"/>
      <c r="X1660" s="5"/>
      <c r="Y1660" s="5"/>
      <c r="Z1660" s="5"/>
      <c r="AA1660" s="5"/>
      <c r="AB1660" s="5"/>
      <c r="AC1660" s="5"/>
      <c r="AD1660" s="5"/>
      <c r="AE1660" s="5"/>
      <c r="AF1660" s="5"/>
      <c r="AG1660" s="5"/>
      <c r="AH1660" s="5"/>
      <c r="AI1660" s="5"/>
      <c r="AJ1660" s="5"/>
      <c r="AK1660" s="5"/>
    </row>
    <row r="1661" spans="1:37" x14ac:dyDescent="0.25">
      <c r="A1661" s="11">
        <f>Table1[[#This Row],[Milk Yield]]-J1657</f>
        <v>-919</v>
      </c>
      <c r="B1661" t="s">
        <v>24</v>
      </c>
      <c r="C1661" s="2">
        <v>3</v>
      </c>
      <c r="D1661" s="12">
        <v>45882</v>
      </c>
      <c r="E1661" s="2">
        <v>35</v>
      </c>
      <c r="F1661" s="13">
        <v>2.9861111111111113E-3</v>
      </c>
      <c r="G1661" s="3">
        <v>0.20961805555555554</v>
      </c>
      <c r="H1661" s="1">
        <v>0.20624999999999999</v>
      </c>
      <c r="I1661" s="5">
        <v>815</v>
      </c>
      <c r="J1661">
        <v>9971</v>
      </c>
      <c r="K1661">
        <v>164</v>
      </c>
      <c r="L1661" s="5">
        <v>102</v>
      </c>
      <c r="M1661" s="5">
        <v>812</v>
      </c>
      <c r="N1661">
        <v>8</v>
      </c>
      <c r="O1661">
        <v>804</v>
      </c>
      <c r="P1661" s="1">
        <v>0.20347222222222222</v>
      </c>
      <c r="Q1661" s="5">
        <v>2011</v>
      </c>
      <c r="R1661" s="14">
        <v>12.3</v>
      </c>
      <c r="S1661">
        <v>164</v>
      </c>
      <c r="T1661" s="5">
        <v>8</v>
      </c>
      <c r="U1661" s="5">
        <v>804</v>
      </c>
      <c r="V1661" s="5">
        <v>0</v>
      </c>
      <c r="W1661" s="5"/>
      <c r="X1661" s="5"/>
      <c r="Y1661" s="5"/>
      <c r="Z1661" s="5"/>
      <c r="AA1661" s="5"/>
      <c r="AB1661" s="5"/>
      <c r="AC1661" s="5"/>
      <c r="AD1661" s="5"/>
      <c r="AE1661" s="5"/>
      <c r="AF1661" s="5"/>
      <c r="AG1661" s="5"/>
      <c r="AH1661" s="5"/>
      <c r="AI1661" s="5"/>
      <c r="AJ1661" s="5"/>
      <c r="AK1661" s="5"/>
    </row>
    <row r="1662" spans="1:37" x14ac:dyDescent="0.25">
      <c r="A1662" s="11" t="e">
        <f>Table1[[#This Row],[Milk Yield]]-J1658</f>
        <v>#VALUE!</v>
      </c>
      <c r="B1662" t="s">
        <v>0</v>
      </c>
      <c r="C1662" s="2" t="s">
        <v>1</v>
      </c>
      <c r="D1662" s="12" t="s">
        <v>2</v>
      </c>
      <c r="E1662" s="2" t="s">
        <v>3</v>
      </c>
      <c r="F1662" s="13" t="s">
        <v>4</v>
      </c>
      <c r="G1662" s="3" t="s">
        <v>5</v>
      </c>
      <c r="H1662" s="1" t="s">
        <v>6</v>
      </c>
      <c r="I1662" s="5" t="s">
        <v>8</v>
      </c>
      <c r="J1662" t="s">
        <v>9</v>
      </c>
      <c r="K1662" t="s">
        <v>10</v>
      </c>
      <c r="L1662" s="5" t="s">
        <v>11</v>
      </c>
      <c r="M1662" s="5" t="s">
        <v>12</v>
      </c>
      <c r="N1662" t="s">
        <v>13</v>
      </c>
      <c r="O1662" t="s">
        <v>20</v>
      </c>
      <c r="P1662" s="1" t="s">
        <v>7</v>
      </c>
      <c r="Q1662" s="5" t="s">
        <v>15</v>
      </c>
      <c r="R1662" s="14" t="s">
        <v>18</v>
      </c>
      <c r="S1662" t="s">
        <v>16</v>
      </c>
      <c r="T1662" s="5" t="s">
        <v>14</v>
      </c>
      <c r="U1662" s="5" t="s">
        <v>17</v>
      </c>
      <c r="V1662" s="5" t="s">
        <v>19</v>
      </c>
      <c r="W1662" s="5"/>
      <c r="X1662" s="5"/>
      <c r="Y1662" s="5"/>
      <c r="Z1662" s="5"/>
      <c r="AA1662" s="5"/>
      <c r="AB1662" s="5"/>
      <c r="AC1662" s="5"/>
      <c r="AD1662" s="5"/>
      <c r="AE1662" s="5"/>
      <c r="AF1662" s="5"/>
      <c r="AG1662" s="5"/>
      <c r="AH1662" s="5"/>
      <c r="AI1662" s="5"/>
      <c r="AJ1662" s="5"/>
      <c r="AK1662" s="5"/>
    </row>
    <row r="1663" spans="1:37" x14ac:dyDescent="0.25">
      <c r="A1663" s="11">
        <f>Table1[[#This Row],[Milk Yield]]-J1659</f>
        <v>787</v>
      </c>
      <c r="B1663" t="s">
        <v>24</v>
      </c>
      <c r="C1663" s="2">
        <v>1</v>
      </c>
      <c r="D1663" s="12">
        <v>45883</v>
      </c>
      <c r="E1663" s="2">
        <v>36</v>
      </c>
      <c r="F1663" s="13">
        <v>0.3376851851851852</v>
      </c>
      <c r="G1663" s="3">
        <v>0.55383101851851857</v>
      </c>
      <c r="H1663" s="1">
        <v>0.21597222222222223</v>
      </c>
      <c r="I1663" s="5">
        <v>816</v>
      </c>
      <c r="J1663">
        <v>11812</v>
      </c>
      <c r="K1663">
        <v>157</v>
      </c>
      <c r="L1663" s="5">
        <v>104</v>
      </c>
      <c r="M1663" s="5">
        <v>815</v>
      </c>
      <c r="N1663">
        <v>9</v>
      </c>
      <c r="O1663">
        <v>806</v>
      </c>
      <c r="P1663" s="1">
        <v>0.22777777777777777</v>
      </c>
      <c r="Q1663" s="5">
        <v>2277</v>
      </c>
      <c r="R1663" s="14">
        <v>14.5</v>
      </c>
      <c r="S1663">
        <v>157</v>
      </c>
      <c r="T1663" s="5">
        <v>9</v>
      </c>
      <c r="U1663" s="5">
        <v>806</v>
      </c>
      <c r="V1663" s="5">
        <v>0</v>
      </c>
      <c r="W1663" s="5"/>
      <c r="X1663" s="5"/>
      <c r="Y1663" s="5"/>
      <c r="Z1663" s="5"/>
      <c r="AA1663" s="5"/>
      <c r="AB1663" s="5"/>
      <c r="AC1663" s="5"/>
      <c r="AD1663" s="5"/>
      <c r="AE1663" s="5"/>
      <c r="AF1663" s="5"/>
      <c r="AG1663" s="5"/>
      <c r="AH1663" s="5"/>
      <c r="AI1663" s="5"/>
      <c r="AJ1663" s="5"/>
      <c r="AK1663" s="5"/>
    </row>
    <row r="1664" spans="1:37" x14ac:dyDescent="0.25">
      <c r="A1664" s="11">
        <f>Table1[[#This Row],[Milk Yield]]-J1660</f>
        <v>191</v>
      </c>
      <c r="B1664" t="s">
        <v>24</v>
      </c>
      <c r="C1664" s="2">
        <v>2</v>
      </c>
      <c r="D1664" s="12">
        <v>45883</v>
      </c>
      <c r="E1664" s="2">
        <v>38</v>
      </c>
      <c r="F1664" s="13">
        <v>0.67023148148148148</v>
      </c>
      <c r="G1664" s="3">
        <v>0.88833333333333331</v>
      </c>
      <c r="H1664" s="1">
        <v>0.21805555555555556</v>
      </c>
      <c r="I1664" s="5">
        <v>816</v>
      </c>
      <c r="J1664">
        <v>10823</v>
      </c>
      <c r="K1664">
        <v>156</v>
      </c>
      <c r="L1664" s="5">
        <v>108</v>
      </c>
      <c r="M1664" s="5">
        <v>815</v>
      </c>
      <c r="N1664">
        <v>9</v>
      </c>
      <c r="O1664">
        <v>806</v>
      </c>
      <c r="P1664" s="1">
        <v>0.22361111111111112</v>
      </c>
      <c r="Q1664" s="5">
        <v>2068</v>
      </c>
      <c r="R1664" s="14">
        <v>13.3</v>
      </c>
      <c r="S1664">
        <v>156</v>
      </c>
      <c r="T1664" s="5">
        <v>9</v>
      </c>
      <c r="U1664" s="5">
        <v>806</v>
      </c>
      <c r="V1664" s="5">
        <v>0</v>
      </c>
      <c r="W1664" s="5"/>
      <c r="X1664" s="5"/>
      <c r="Y1664" s="5"/>
      <c r="Z1664" s="5"/>
      <c r="AA1664" s="5"/>
      <c r="AB1664" s="5"/>
      <c r="AC1664" s="5"/>
      <c r="AD1664" s="5"/>
      <c r="AE1664" s="5"/>
      <c r="AF1664" s="5"/>
      <c r="AG1664" s="5"/>
      <c r="AH1664" s="5"/>
      <c r="AI1664" s="5"/>
      <c r="AJ1664" s="5"/>
      <c r="AK1664" s="5"/>
    </row>
    <row r="1665" spans="1:37" x14ac:dyDescent="0.25">
      <c r="A1665" s="11">
        <f>Table1[[#This Row],[Milk Yield]]-J1661</f>
        <v>11</v>
      </c>
      <c r="B1665" t="s">
        <v>24</v>
      </c>
      <c r="C1665" s="2">
        <v>3</v>
      </c>
      <c r="D1665" s="12">
        <v>45883</v>
      </c>
      <c r="E1665" s="2">
        <v>36</v>
      </c>
      <c r="F1665" s="13">
        <v>0.99857638888888889</v>
      </c>
      <c r="G1665" s="3">
        <v>0.21434027777777778</v>
      </c>
      <c r="H1665" s="1">
        <v>0.21527777777777779</v>
      </c>
      <c r="I1665" s="5">
        <v>815</v>
      </c>
      <c r="J1665">
        <v>9982</v>
      </c>
      <c r="K1665">
        <v>157</v>
      </c>
      <c r="L1665" s="5">
        <v>43</v>
      </c>
      <c r="M1665" s="5">
        <v>814</v>
      </c>
      <c r="N1665">
        <v>4</v>
      </c>
      <c r="O1665">
        <v>810</v>
      </c>
      <c r="P1665" s="1">
        <v>0.20624999999999999</v>
      </c>
      <c r="Q1665" s="5">
        <v>1928</v>
      </c>
      <c r="R1665" s="14">
        <v>12.3</v>
      </c>
      <c r="S1665">
        <v>157</v>
      </c>
      <c r="T1665" s="5">
        <v>4</v>
      </c>
      <c r="U1665" s="5">
        <v>810</v>
      </c>
      <c r="V1665" s="5">
        <v>0</v>
      </c>
      <c r="W1665" s="5"/>
      <c r="X1665" s="5"/>
      <c r="Y1665" s="5"/>
      <c r="Z1665" s="5"/>
      <c r="AA1665" s="5"/>
      <c r="AB1665" s="5"/>
      <c r="AC1665" s="5"/>
      <c r="AD1665" s="5"/>
      <c r="AE1665" s="5"/>
      <c r="AF1665" s="5"/>
      <c r="AG1665" s="5"/>
      <c r="AH1665" s="5"/>
      <c r="AI1665" s="5"/>
      <c r="AJ1665" s="5"/>
      <c r="AK1665" s="5"/>
    </row>
    <row r="1666" spans="1:37" x14ac:dyDescent="0.25">
      <c r="A1666" s="11" t="e">
        <f>Table1[[#This Row],[Milk Yield]]-J1662</f>
        <v>#VALUE!</v>
      </c>
      <c r="B1666" t="s">
        <v>0</v>
      </c>
      <c r="C1666" s="2" t="s">
        <v>1</v>
      </c>
      <c r="D1666" s="12" t="s">
        <v>2</v>
      </c>
      <c r="E1666" s="2" t="s">
        <v>3</v>
      </c>
      <c r="F1666" s="13" t="s">
        <v>4</v>
      </c>
      <c r="G1666" s="3" t="s">
        <v>5</v>
      </c>
      <c r="H1666" s="1" t="s">
        <v>6</v>
      </c>
      <c r="I1666" s="5" t="s">
        <v>8</v>
      </c>
      <c r="J1666" t="s">
        <v>9</v>
      </c>
      <c r="K1666" t="s">
        <v>10</v>
      </c>
      <c r="L1666" s="5" t="s">
        <v>11</v>
      </c>
      <c r="M1666" s="5" t="s">
        <v>12</v>
      </c>
      <c r="N1666" t="s">
        <v>13</v>
      </c>
      <c r="O1666" t="s">
        <v>20</v>
      </c>
      <c r="P1666" s="1" t="s">
        <v>7</v>
      </c>
      <c r="Q1666" s="5" t="s">
        <v>15</v>
      </c>
      <c r="R1666" s="14" t="s">
        <v>18</v>
      </c>
      <c r="S1666" t="s">
        <v>16</v>
      </c>
      <c r="T1666" s="5" t="s">
        <v>14</v>
      </c>
      <c r="U1666" s="5" t="s">
        <v>17</v>
      </c>
      <c r="V1666" s="5" t="s">
        <v>19</v>
      </c>
      <c r="W1666" s="5"/>
      <c r="X1666" s="5"/>
      <c r="Y1666" s="5"/>
      <c r="Z1666" s="5"/>
      <c r="AA1666" s="5"/>
      <c r="AB1666" s="5"/>
      <c r="AC1666" s="5"/>
      <c r="AD1666" s="5"/>
      <c r="AE1666" s="5"/>
      <c r="AF1666" s="5"/>
      <c r="AG1666" s="5"/>
      <c r="AH1666" s="5"/>
      <c r="AI1666" s="5"/>
      <c r="AJ1666" s="5"/>
      <c r="AK1666" s="5"/>
    </row>
    <row r="1667" spans="1:37" x14ac:dyDescent="0.25">
      <c r="A1667" s="11">
        <f>Table1[[#This Row],[Milk Yield]]-J1663</f>
        <v>-8</v>
      </c>
      <c r="B1667" t="s">
        <v>24</v>
      </c>
      <c r="C1667" s="2">
        <v>1</v>
      </c>
      <c r="D1667" s="12">
        <v>45884</v>
      </c>
      <c r="E1667" s="2">
        <v>36</v>
      </c>
      <c r="F1667" s="13">
        <v>0.33976851851851853</v>
      </c>
      <c r="G1667" s="3">
        <v>0.55568287037037034</v>
      </c>
      <c r="H1667" s="1">
        <v>0.21527777777777779</v>
      </c>
      <c r="I1667" s="5">
        <v>818</v>
      </c>
      <c r="J1667">
        <v>11804</v>
      </c>
      <c r="K1667">
        <v>158</v>
      </c>
      <c r="L1667" s="5">
        <v>92</v>
      </c>
      <c r="M1667" s="5">
        <v>817</v>
      </c>
      <c r="N1667">
        <v>10</v>
      </c>
      <c r="O1667">
        <v>807</v>
      </c>
      <c r="P1667" s="1">
        <v>0.23402777777777778</v>
      </c>
      <c r="Q1667" s="5">
        <v>2278</v>
      </c>
      <c r="R1667" s="14">
        <v>14.5</v>
      </c>
      <c r="S1667">
        <v>158</v>
      </c>
      <c r="T1667" s="5">
        <v>10</v>
      </c>
      <c r="U1667" s="5">
        <v>807</v>
      </c>
      <c r="V1667" s="5">
        <v>0</v>
      </c>
      <c r="W1667" s="5"/>
      <c r="X1667" s="5"/>
      <c r="Y1667" s="5"/>
      <c r="Z1667" s="5"/>
      <c r="AA1667" s="5"/>
      <c r="AB1667" s="5"/>
      <c r="AC1667" s="5"/>
      <c r="AD1667" s="5"/>
      <c r="AE1667" s="5"/>
      <c r="AF1667" s="5"/>
      <c r="AG1667" s="5"/>
      <c r="AH1667" s="5"/>
      <c r="AI1667" s="5"/>
      <c r="AJ1667" s="5"/>
      <c r="AK1667" s="5"/>
    </row>
    <row r="1668" spans="1:37" x14ac:dyDescent="0.25">
      <c r="A1668" s="11">
        <f>Table1[[#This Row],[Milk Yield]]-J1664</f>
        <v>-333</v>
      </c>
      <c r="B1668" t="s">
        <v>24</v>
      </c>
      <c r="C1668" s="2">
        <v>2</v>
      </c>
      <c r="D1668" s="12">
        <v>45884</v>
      </c>
      <c r="E1668" s="2">
        <v>40</v>
      </c>
      <c r="F1668" s="13">
        <v>0.6661111111111111</v>
      </c>
      <c r="G1668" s="3">
        <v>0.8845601851851852</v>
      </c>
      <c r="H1668" s="1">
        <v>0.21805555555555556</v>
      </c>
      <c r="I1668" s="5">
        <v>851</v>
      </c>
      <c r="J1668">
        <v>10490</v>
      </c>
      <c r="K1668">
        <v>162</v>
      </c>
      <c r="L1668" s="5">
        <v>656</v>
      </c>
      <c r="M1668" s="5">
        <v>851</v>
      </c>
      <c r="N1668">
        <v>59</v>
      </c>
      <c r="O1668">
        <v>792</v>
      </c>
      <c r="P1668" s="1">
        <v>0.22083333333333333</v>
      </c>
      <c r="Q1668" s="5">
        <v>2001</v>
      </c>
      <c r="R1668" s="14">
        <v>12.4</v>
      </c>
      <c r="S1668">
        <v>162</v>
      </c>
      <c r="T1668" s="5">
        <v>59</v>
      </c>
      <c r="U1668" s="5">
        <v>792</v>
      </c>
      <c r="V1668" s="5">
        <v>0</v>
      </c>
      <c r="W1668" s="5"/>
      <c r="X1668" s="5"/>
      <c r="Y1668" s="5"/>
      <c r="Z1668" s="5"/>
      <c r="AA1668" s="5"/>
      <c r="AB1668" s="5"/>
      <c r="AC1668" s="5"/>
      <c r="AD1668" s="5"/>
      <c r="AE1668" s="5"/>
      <c r="AF1668" s="5"/>
      <c r="AG1668" s="5"/>
      <c r="AH1668" s="5"/>
      <c r="AI1668" s="5"/>
      <c r="AJ1668" s="5"/>
      <c r="AK1668" s="5"/>
    </row>
    <row r="1669" spans="1:37" x14ac:dyDescent="0.25">
      <c r="A1669" s="11">
        <f>Table1[[#This Row],[Milk Yield]]-J1665</f>
        <v>270</v>
      </c>
      <c r="B1669" t="s">
        <v>24</v>
      </c>
      <c r="C1669" s="2">
        <v>3</v>
      </c>
      <c r="D1669" s="12">
        <v>45884</v>
      </c>
      <c r="E1669" s="2">
        <v>35</v>
      </c>
      <c r="F1669" s="13">
        <v>2.7777777777777779E-3</v>
      </c>
      <c r="G1669" s="3">
        <v>0.2416550925925926</v>
      </c>
      <c r="H1669" s="1">
        <v>0.23819444444444443</v>
      </c>
      <c r="I1669" s="5">
        <v>813</v>
      </c>
      <c r="J1669">
        <v>10252</v>
      </c>
      <c r="K1669">
        <v>142</v>
      </c>
      <c r="L1669" s="5">
        <v>51</v>
      </c>
      <c r="M1669" s="5">
        <v>813</v>
      </c>
      <c r="N1669">
        <v>4</v>
      </c>
      <c r="O1669">
        <v>809</v>
      </c>
      <c r="P1669" s="1">
        <v>0.22083333333333333</v>
      </c>
      <c r="Q1669" s="5">
        <v>1788</v>
      </c>
      <c r="R1669" s="14">
        <v>12.7</v>
      </c>
      <c r="S1669">
        <v>142</v>
      </c>
      <c r="T1669" s="5">
        <v>4</v>
      </c>
      <c r="U1669" s="5">
        <v>809</v>
      </c>
      <c r="V1669" s="5">
        <v>0</v>
      </c>
      <c r="W1669" s="5"/>
      <c r="X1669" s="5"/>
      <c r="Y1669" s="5"/>
      <c r="Z1669" s="5"/>
      <c r="AA1669" s="5"/>
      <c r="AB1669" s="5"/>
      <c r="AC1669" s="5"/>
      <c r="AD1669" s="5"/>
      <c r="AE1669" s="5"/>
      <c r="AF1669" s="5"/>
      <c r="AG1669" s="5"/>
      <c r="AH1669" s="5"/>
      <c r="AI1669" s="5"/>
      <c r="AJ1669" s="5"/>
      <c r="AK1669" s="5"/>
    </row>
    <row r="1670" spans="1:37" x14ac:dyDescent="0.25">
      <c r="A1670" s="11" t="e">
        <f>Table1[[#This Row],[Milk Yield]]-J1666</f>
        <v>#VALUE!</v>
      </c>
      <c r="B1670" t="s">
        <v>0</v>
      </c>
      <c r="C1670" s="2" t="s">
        <v>1</v>
      </c>
      <c r="D1670" s="12" t="s">
        <v>2</v>
      </c>
      <c r="E1670" s="2" t="s">
        <v>3</v>
      </c>
      <c r="F1670" s="13" t="s">
        <v>4</v>
      </c>
      <c r="G1670" s="3" t="s">
        <v>5</v>
      </c>
      <c r="H1670" s="1" t="s">
        <v>6</v>
      </c>
      <c r="I1670" s="5" t="s">
        <v>8</v>
      </c>
      <c r="J1670" t="s">
        <v>9</v>
      </c>
      <c r="K1670" t="s">
        <v>10</v>
      </c>
      <c r="L1670" s="5" t="s">
        <v>11</v>
      </c>
      <c r="M1670" s="5" t="s">
        <v>12</v>
      </c>
      <c r="N1670" t="s">
        <v>13</v>
      </c>
      <c r="O1670" t="s">
        <v>20</v>
      </c>
      <c r="P1670" s="1" t="s">
        <v>7</v>
      </c>
      <c r="Q1670" s="5" t="s">
        <v>15</v>
      </c>
      <c r="R1670" s="14" t="s">
        <v>18</v>
      </c>
      <c r="S1670" t="s">
        <v>16</v>
      </c>
      <c r="T1670" s="5" t="s">
        <v>14</v>
      </c>
      <c r="U1670" s="5" t="s">
        <v>17</v>
      </c>
      <c r="V1670" s="5" t="s">
        <v>19</v>
      </c>
      <c r="W1670" s="5"/>
      <c r="X1670" s="5"/>
      <c r="Y1670" s="5"/>
      <c r="Z1670" s="5"/>
      <c r="AA1670" s="5"/>
      <c r="AB1670" s="5"/>
      <c r="AC1670" s="5"/>
      <c r="AD1670" s="5"/>
      <c r="AE1670" s="5"/>
      <c r="AF1670" s="5"/>
      <c r="AG1670" s="5"/>
      <c r="AH1670" s="5"/>
      <c r="AI1670" s="5"/>
      <c r="AJ1670" s="5"/>
      <c r="AK1670" s="5"/>
    </row>
    <row r="1671" spans="1:37" x14ac:dyDescent="0.25">
      <c r="A1671" s="11">
        <f>Table1[[#This Row],[Milk Yield]]-J1667</f>
        <v>-858</v>
      </c>
      <c r="B1671" t="s">
        <v>24</v>
      </c>
      <c r="C1671" s="2">
        <v>1</v>
      </c>
      <c r="D1671" s="12">
        <v>45885</v>
      </c>
      <c r="E1671" s="2">
        <v>38</v>
      </c>
      <c r="F1671" s="13">
        <v>0.33784722222222224</v>
      </c>
      <c r="G1671" s="3">
        <v>0.54099537037037038</v>
      </c>
      <c r="H1671" s="1">
        <v>0.20277777777777778</v>
      </c>
      <c r="I1671" s="5">
        <v>818</v>
      </c>
      <c r="J1671">
        <v>10946</v>
      </c>
      <c r="K1671">
        <v>168</v>
      </c>
      <c r="L1671" s="5">
        <v>118</v>
      </c>
      <c r="M1671" s="5">
        <v>818</v>
      </c>
      <c r="N1671">
        <v>12</v>
      </c>
      <c r="O1671">
        <v>806</v>
      </c>
      <c r="P1671" s="1">
        <v>0.22083333333333333</v>
      </c>
      <c r="Q1671" s="5">
        <v>2245</v>
      </c>
      <c r="R1671" s="14">
        <v>13.4</v>
      </c>
      <c r="S1671">
        <v>168</v>
      </c>
      <c r="T1671" s="5">
        <v>12</v>
      </c>
      <c r="U1671" s="5">
        <v>806</v>
      </c>
      <c r="V1671" s="5">
        <v>0</v>
      </c>
      <c r="W1671" s="5"/>
      <c r="X1671" s="5"/>
      <c r="Y1671" s="5"/>
      <c r="Z1671" s="5"/>
      <c r="AA1671" s="5"/>
      <c r="AB1671" s="5"/>
      <c r="AC1671" s="5"/>
      <c r="AD1671" s="5"/>
      <c r="AE1671" s="5"/>
      <c r="AF1671" s="5"/>
      <c r="AG1671" s="5"/>
      <c r="AH1671" s="5"/>
      <c r="AI1671" s="5"/>
      <c r="AJ1671" s="5"/>
      <c r="AK1671" s="5"/>
    </row>
    <row r="1672" spans="1:37" x14ac:dyDescent="0.25">
      <c r="A1672" s="11">
        <f>Table1[[#This Row],[Milk Yield]]-J1668</f>
        <v>2363</v>
      </c>
      <c r="B1672" t="s">
        <v>24</v>
      </c>
      <c r="C1672" s="2">
        <v>2</v>
      </c>
      <c r="D1672" s="12">
        <v>45885</v>
      </c>
      <c r="E1672" s="2">
        <v>37</v>
      </c>
      <c r="F1672" s="13">
        <v>0.66968749999999999</v>
      </c>
      <c r="G1672" s="3">
        <v>0.95259259259259255</v>
      </c>
      <c r="H1672" s="1">
        <v>0.28263888888888888</v>
      </c>
      <c r="I1672" s="5">
        <v>817</v>
      </c>
      <c r="J1672">
        <v>12853</v>
      </c>
      <c r="K1672">
        <v>120</v>
      </c>
      <c r="L1672" s="5">
        <v>126</v>
      </c>
      <c r="M1672" s="5">
        <v>815</v>
      </c>
      <c r="N1672">
        <v>10</v>
      </c>
      <c r="O1672">
        <v>805</v>
      </c>
      <c r="P1672" s="1">
        <v>0.24166666666666667</v>
      </c>
      <c r="Q1672" s="5">
        <v>1893</v>
      </c>
      <c r="R1672" s="14">
        <v>15.8</v>
      </c>
      <c r="S1672">
        <v>120</v>
      </c>
      <c r="T1672" s="5">
        <v>10</v>
      </c>
      <c r="U1672" s="5">
        <v>805</v>
      </c>
      <c r="V1672" s="5">
        <v>0</v>
      </c>
      <c r="W1672" s="5"/>
      <c r="X1672" s="5"/>
      <c r="Y1672" s="5"/>
      <c r="Z1672" s="5"/>
      <c r="AA1672" s="5"/>
      <c r="AB1672" s="5"/>
      <c r="AC1672" s="5"/>
      <c r="AD1672" s="5"/>
      <c r="AE1672" s="5"/>
      <c r="AF1672" s="5"/>
      <c r="AG1672" s="5"/>
      <c r="AH1672" s="5"/>
      <c r="AI1672" s="5"/>
      <c r="AJ1672" s="5"/>
      <c r="AK1672" s="5"/>
    </row>
    <row r="1673" spans="1:37" x14ac:dyDescent="0.25">
      <c r="A1673" s="11">
        <f>Table1[[#This Row],[Milk Yield]]-J1669</f>
        <v>-2005</v>
      </c>
      <c r="B1673" t="s">
        <v>24</v>
      </c>
      <c r="C1673" s="2">
        <v>3</v>
      </c>
      <c r="D1673" s="12">
        <v>45885</v>
      </c>
      <c r="E1673" s="2">
        <v>35</v>
      </c>
      <c r="F1673" s="13">
        <v>4.8379629629629632E-3</v>
      </c>
      <c r="G1673" s="3">
        <v>0.23158564814814814</v>
      </c>
      <c r="H1673" s="1">
        <v>0.22638888888888889</v>
      </c>
      <c r="I1673" s="5">
        <v>803</v>
      </c>
      <c r="J1673">
        <v>8247</v>
      </c>
      <c r="K1673">
        <v>148</v>
      </c>
      <c r="L1673" s="5">
        <v>42</v>
      </c>
      <c r="M1673" s="5">
        <v>800</v>
      </c>
      <c r="N1673">
        <v>4</v>
      </c>
      <c r="O1673">
        <v>796</v>
      </c>
      <c r="P1673" s="1">
        <v>0.20972222222222223</v>
      </c>
      <c r="Q1673" s="5">
        <v>1515</v>
      </c>
      <c r="R1673" s="14">
        <v>10.4</v>
      </c>
      <c r="S1673">
        <v>147</v>
      </c>
      <c r="T1673" s="5">
        <v>4</v>
      </c>
      <c r="U1673" s="5">
        <v>796</v>
      </c>
      <c r="V1673" s="5">
        <v>0</v>
      </c>
      <c r="W1673" s="5"/>
      <c r="X1673" s="5"/>
      <c r="Y1673" s="5"/>
      <c r="Z1673" s="5"/>
      <c r="AA1673" s="5"/>
      <c r="AB1673" s="5"/>
      <c r="AC1673" s="5"/>
      <c r="AD1673" s="5"/>
      <c r="AE1673" s="5"/>
      <c r="AF1673" s="5"/>
      <c r="AG1673" s="5"/>
      <c r="AH1673" s="5"/>
      <c r="AI1673" s="5"/>
      <c r="AJ1673" s="5"/>
      <c r="AK1673" s="5"/>
    </row>
    <row r="1674" spans="1:37" x14ac:dyDescent="0.25">
      <c r="A1674" s="11" t="e">
        <f>Table1[[#This Row],[Milk Yield]]-J1670</f>
        <v>#VALUE!</v>
      </c>
      <c r="B1674" t="s">
        <v>0</v>
      </c>
      <c r="C1674" s="2" t="s">
        <v>1</v>
      </c>
      <c r="D1674" s="12" t="s">
        <v>2</v>
      </c>
      <c r="E1674" s="2" t="s">
        <v>3</v>
      </c>
      <c r="F1674" s="13" t="s">
        <v>4</v>
      </c>
      <c r="G1674" s="3" t="s">
        <v>5</v>
      </c>
      <c r="H1674" s="1" t="s">
        <v>6</v>
      </c>
      <c r="I1674" s="5" t="s">
        <v>8</v>
      </c>
      <c r="J1674" t="s">
        <v>9</v>
      </c>
      <c r="K1674" t="s">
        <v>10</v>
      </c>
      <c r="L1674" s="5" t="s">
        <v>11</v>
      </c>
      <c r="M1674" s="5" t="s">
        <v>12</v>
      </c>
      <c r="N1674" t="s">
        <v>13</v>
      </c>
      <c r="O1674" t="s">
        <v>20</v>
      </c>
      <c r="P1674" s="1" t="s">
        <v>7</v>
      </c>
      <c r="Q1674" s="5" t="s">
        <v>15</v>
      </c>
      <c r="R1674" s="14" t="s">
        <v>18</v>
      </c>
      <c r="S1674" t="s">
        <v>16</v>
      </c>
      <c r="T1674" s="5" t="s">
        <v>14</v>
      </c>
      <c r="U1674" s="5" t="s">
        <v>17</v>
      </c>
      <c r="V1674" s="5" t="s">
        <v>19</v>
      </c>
      <c r="W1674" s="5"/>
      <c r="X1674" s="5"/>
      <c r="Y1674" s="5"/>
      <c r="Z1674" s="5"/>
      <c r="AA1674" s="5"/>
      <c r="AB1674" s="5"/>
      <c r="AC1674" s="5"/>
      <c r="AD1674" s="5"/>
      <c r="AE1674" s="5"/>
      <c r="AF1674" s="5"/>
      <c r="AG1674" s="5"/>
      <c r="AH1674" s="5"/>
      <c r="AI1674" s="5"/>
      <c r="AJ1674" s="5"/>
      <c r="AK1674" s="5"/>
    </row>
    <row r="1675" spans="1:37" x14ac:dyDescent="0.25">
      <c r="A1675" s="11">
        <f>Table1[[#This Row],[Milk Yield]]-J1671</f>
        <v>513</v>
      </c>
      <c r="B1675" t="s">
        <v>24</v>
      </c>
      <c r="C1675" s="2">
        <v>1</v>
      </c>
      <c r="D1675" s="12">
        <v>45886</v>
      </c>
      <c r="E1675" s="2">
        <v>36</v>
      </c>
      <c r="F1675" s="13">
        <v>0.33781250000000002</v>
      </c>
      <c r="G1675" s="3">
        <v>0.55299768518518522</v>
      </c>
      <c r="H1675" s="1">
        <v>0.21458333333333332</v>
      </c>
      <c r="I1675" s="5">
        <v>816</v>
      </c>
      <c r="J1675">
        <v>11459</v>
      </c>
      <c r="K1675">
        <v>158</v>
      </c>
      <c r="L1675" s="5">
        <v>84</v>
      </c>
      <c r="M1675" s="5">
        <v>815</v>
      </c>
      <c r="N1675">
        <v>7</v>
      </c>
      <c r="O1675">
        <v>808</v>
      </c>
      <c r="P1675" s="1">
        <v>0.22500000000000001</v>
      </c>
      <c r="Q1675" s="5">
        <v>2219</v>
      </c>
      <c r="R1675" s="14">
        <v>14.1</v>
      </c>
      <c r="S1675">
        <v>158</v>
      </c>
      <c r="T1675" s="5">
        <v>7</v>
      </c>
      <c r="U1675" s="5">
        <v>808</v>
      </c>
      <c r="V1675" s="5">
        <v>0</v>
      </c>
      <c r="W1675" s="5"/>
      <c r="X1675" s="5"/>
      <c r="Y1675" s="5"/>
      <c r="Z1675" s="5"/>
      <c r="AA1675" s="5"/>
      <c r="AB1675" s="5"/>
      <c r="AC1675" s="5"/>
      <c r="AD1675" s="5"/>
      <c r="AE1675" s="5"/>
      <c r="AF1675" s="5"/>
      <c r="AG1675" s="5"/>
      <c r="AH1675" s="5"/>
      <c r="AI1675" s="5"/>
      <c r="AJ1675" s="5"/>
      <c r="AK1675" s="5"/>
    </row>
    <row r="1676" spans="1:37" x14ac:dyDescent="0.25">
      <c r="A1676" s="11">
        <f>Table1[[#This Row],[Milk Yield]]-J1672</f>
        <v>-2435</v>
      </c>
      <c r="B1676" t="s">
        <v>24</v>
      </c>
      <c r="C1676" s="2">
        <v>2</v>
      </c>
      <c r="D1676" s="12">
        <v>45886</v>
      </c>
      <c r="E1676" s="2">
        <v>36</v>
      </c>
      <c r="F1676" s="13">
        <v>0.67170138888888886</v>
      </c>
      <c r="G1676" s="3">
        <v>0.87821759259259258</v>
      </c>
      <c r="H1676" s="1">
        <v>0.20624999999999999</v>
      </c>
      <c r="I1676" s="5">
        <v>825</v>
      </c>
      <c r="J1676">
        <v>10418</v>
      </c>
      <c r="K1676">
        <v>166</v>
      </c>
      <c r="L1676" s="5">
        <v>132</v>
      </c>
      <c r="M1676" s="5">
        <v>814</v>
      </c>
      <c r="N1676">
        <v>14</v>
      </c>
      <c r="O1676">
        <v>800</v>
      </c>
      <c r="P1676" s="1">
        <v>0.22291666666666668</v>
      </c>
      <c r="Q1676" s="5">
        <v>2102</v>
      </c>
      <c r="R1676" s="14">
        <v>12.8</v>
      </c>
      <c r="S1676">
        <v>164</v>
      </c>
      <c r="T1676" s="5">
        <v>14</v>
      </c>
      <c r="U1676" s="5">
        <v>800</v>
      </c>
      <c r="V1676" s="5">
        <v>0</v>
      </c>
      <c r="W1676" s="5"/>
      <c r="X1676" s="5"/>
      <c r="Y1676" s="5"/>
      <c r="Z1676" s="5"/>
      <c r="AA1676" s="5"/>
      <c r="AB1676" s="5"/>
      <c r="AC1676" s="5"/>
      <c r="AD1676" s="5"/>
      <c r="AE1676" s="5"/>
      <c r="AF1676" s="5"/>
      <c r="AG1676" s="5"/>
      <c r="AH1676" s="5"/>
      <c r="AI1676" s="5"/>
      <c r="AJ1676" s="5"/>
      <c r="AK1676" s="5"/>
    </row>
    <row r="1677" spans="1:37" x14ac:dyDescent="0.25">
      <c r="A1677" s="11">
        <f>Table1[[#This Row],[Milk Yield]]-J1673</f>
        <v>2309</v>
      </c>
      <c r="B1677" t="s">
        <v>24</v>
      </c>
      <c r="C1677" s="2">
        <v>3</v>
      </c>
      <c r="D1677" s="12">
        <v>45886</v>
      </c>
      <c r="E1677" s="2">
        <v>36</v>
      </c>
      <c r="F1677" s="13">
        <v>6.4930555555555557E-3</v>
      </c>
      <c r="G1677" s="3">
        <v>0.22640046296296296</v>
      </c>
      <c r="H1677" s="1">
        <v>0.21944444444444444</v>
      </c>
      <c r="I1677" s="5">
        <v>816</v>
      </c>
      <c r="J1677">
        <v>10556</v>
      </c>
      <c r="K1677">
        <v>155</v>
      </c>
      <c r="L1677" s="5">
        <v>93</v>
      </c>
      <c r="M1677" s="5">
        <v>814</v>
      </c>
      <c r="N1677">
        <v>8</v>
      </c>
      <c r="O1677">
        <v>806</v>
      </c>
      <c r="P1677" s="1">
        <v>0.22152777777777777</v>
      </c>
      <c r="Q1677" s="5">
        <v>2000</v>
      </c>
      <c r="R1677" s="14">
        <v>13</v>
      </c>
      <c r="S1677">
        <v>154</v>
      </c>
      <c r="T1677" s="5">
        <v>8</v>
      </c>
      <c r="U1677" s="5">
        <v>806</v>
      </c>
      <c r="V1677" s="5">
        <v>0</v>
      </c>
      <c r="W1677" s="5"/>
      <c r="X1677" s="5"/>
      <c r="Y1677" s="5"/>
      <c r="Z1677" s="5"/>
      <c r="AA1677" s="5"/>
      <c r="AB1677" s="5"/>
      <c r="AC1677" s="5"/>
      <c r="AD1677" s="5"/>
      <c r="AE1677" s="5"/>
      <c r="AF1677" s="5"/>
      <c r="AG1677" s="5"/>
      <c r="AH1677" s="5"/>
      <c r="AI1677" s="5"/>
      <c r="AJ1677" s="5"/>
      <c r="AK1677" s="5"/>
    </row>
    <row r="1678" spans="1:37" x14ac:dyDescent="0.25">
      <c r="A1678" s="11" t="e">
        <f>Table1[[#This Row],[Milk Yield]]-J1674</f>
        <v>#VALUE!</v>
      </c>
      <c r="B1678" t="s">
        <v>0</v>
      </c>
      <c r="C1678" s="2" t="s">
        <v>1</v>
      </c>
      <c r="D1678" s="12" t="s">
        <v>2</v>
      </c>
      <c r="E1678" s="2" t="s">
        <v>3</v>
      </c>
      <c r="F1678" s="13" t="s">
        <v>4</v>
      </c>
      <c r="G1678" s="3" t="s">
        <v>5</v>
      </c>
      <c r="H1678" s="1" t="s">
        <v>6</v>
      </c>
      <c r="I1678" s="5" t="s">
        <v>8</v>
      </c>
      <c r="J1678" t="s">
        <v>9</v>
      </c>
      <c r="K1678" t="s">
        <v>10</v>
      </c>
      <c r="L1678" s="5" t="s">
        <v>11</v>
      </c>
      <c r="M1678" s="5" t="s">
        <v>12</v>
      </c>
      <c r="N1678" t="s">
        <v>13</v>
      </c>
      <c r="O1678" t="s">
        <v>20</v>
      </c>
      <c r="P1678" s="1" t="s">
        <v>7</v>
      </c>
      <c r="Q1678" s="5" t="s">
        <v>15</v>
      </c>
      <c r="R1678" s="14" t="s">
        <v>18</v>
      </c>
      <c r="S1678" t="s">
        <v>16</v>
      </c>
      <c r="T1678" s="5" t="s">
        <v>14</v>
      </c>
      <c r="U1678" s="5" t="s">
        <v>17</v>
      </c>
      <c r="V1678" s="5" t="s">
        <v>19</v>
      </c>
      <c r="W1678" s="5"/>
      <c r="X1678" s="5"/>
      <c r="Y1678" s="5"/>
      <c r="Z1678" s="5"/>
      <c r="AA1678" s="5"/>
      <c r="AB1678" s="5"/>
      <c r="AC1678" s="5"/>
      <c r="AD1678" s="5"/>
      <c r="AE1678" s="5"/>
      <c r="AF1678" s="5"/>
      <c r="AG1678" s="5"/>
      <c r="AH1678" s="5"/>
      <c r="AI1678" s="5"/>
      <c r="AJ1678" s="5"/>
      <c r="AK1678" s="5"/>
    </row>
    <row r="1679" spans="1:37" x14ac:dyDescent="0.25">
      <c r="A1679" s="11">
        <f>Table1[[#This Row],[Milk Yield]]-J1675</f>
        <v>-276</v>
      </c>
      <c r="B1679" t="s">
        <v>24</v>
      </c>
      <c r="C1679" s="2">
        <v>1</v>
      </c>
      <c r="D1679" s="12">
        <v>45887</v>
      </c>
      <c r="E1679" s="2">
        <v>38</v>
      </c>
      <c r="F1679" s="13">
        <v>0.3334259259259259</v>
      </c>
      <c r="G1679" s="3">
        <v>0.54349537037037032</v>
      </c>
      <c r="H1679" s="1">
        <v>0.20972222222222223</v>
      </c>
      <c r="I1679" s="5">
        <v>806</v>
      </c>
      <c r="J1679">
        <v>11183</v>
      </c>
      <c r="K1679">
        <v>160</v>
      </c>
      <c r="L1679" s="5">
        <v>150</v>
      </c>
      <c r="M1679" s="5">
        <v>806</v>
      </c>
      <c r="N1679">
        <v>12</v>
      </c>
      <c r="O1679">
        <v>794</v>
      </c>
      <c r="P1679" s="1">
        <v>0.22083333333333333</v>
      </c>
      <c r="Q1679" s="5">
        <v>2218</v>
      </c>
      <c r="R1679" s="14">
        <v>13.9</v>
      </c>
      <c r="S1679">
        <v>160</v>
      </c>
      <c r="T1679" s="5">
        <v>12</v>
      </c>
      <c r="U1679" s="5">
        <v>794</v>
      </c>
      <c r="V1679" s="5">
        <v>0</v>
      </c>
      <c r="W1679" s="5"/>
      <c r="X1679" s="5"/>
      <c r="Y1679" s="5"/>
      <c r="Z1679" s="5"/>
      <c r="AA1679" s="5"/>
      <c r="AB1679" s="5"/>
      <c r="AC1679" s="5"/>
      <c r="AD1679" s="5"/>
      <c r="AE1679" s="5"/>
      <c r="AF1679" s="5"/>
      <c r="AG1679" s="5"/>
      <c r="AH1679" s="5"/>
      <c r="AI1679" s="5"/>
      <c r="AJ1679" s="5"/>
      <c r="AK1679" s="5"/>
    </row>
    <row r="1680" spans="1:37" x14ac:dyDescent="0.25">
      <c r="A1680" s="11">
        <f>Table1[[#This Row],[Milk Yield]]-J1676</f>
        <v>480</v>
      </c>
      <c r="B1680" t="s">
        <v>24</v>
      </c>
      <c r="C1680" s="2">
        <v>2</v>
      </c>
      <c r="D1680" s="12">
        <v>45887</v>
      </c>
      <c r="E1680" s="2">
        <v>39</v>
      </c>
      <c r="F1680" s="13">
        <v>0.66577546296296297</v>
      </c>
      <c r="G1680" s="3">
        <v>0.90285879629629628</v>
      </c>
      <c r="H1680" s="1">
        <v>0.23680555555555555</v>
      </c>
      <c r="I1680" s="5">
        <v>812</v>
      </c>
      <c r="J1680">
        <v>10898</v>
      </c>
      <c r="K1680">
        <v>143</v>
      </c>
      <c r="L1680" s="5">
        <v>105</v>
      </c>
      <c r="M1680" s="5">
        <v>811</v>
      </c>
      <c r="N1680">
        <v>12</v>
      </c>
      <c r="O1680">
        <v>799</v>
      </c>
      <c r="P1680" s="1">
        <v>0.22013888888888888</v>
      </c>
      <c r="Q1680" s="5">
        <v>1915</v>
      </c>
      <c r="R1680" s="14">
        <v>13.5</v>
      </c>
      <c r="S1680">
        <v>143</v>
      </c>
      <c r="T1680" s="5">
        <v>12</v>
      </c>
      <c r="U1680" s="5">
        <v>799</v>
      </c>
      <c r="V1680" s="5">
        <v>0</v>
      </c>
      <c r="W1680" s="5"/>
      <c r="X1680" s="5"/>
      <c r="Y1680" s="5"/>
      <c r="Z1680" s="5"/>
      <c r="AA1680" s="5"/>
      <c r="AB1680" s="5"/>
      <c r="AC1680" s="5"/>
      <c r="AD1680" s="5"/>
      <c r="AE1680" s="5"/>
      <c r="AF1680" s="5"/>
      <c r="AG1680" s="5"/>
      <c r="AH1680" s="5"/>
      <c r="AI1680" s="5"/>
      <c r="AJ1680" s="5"/>
      <c r="AK1680" s="5"/>
    </row>
    <row r="1681" spans="1:37" x14ac:dyDescent="0.25">
      <c r="A1681" s="11">
        <f>Table1[[#This Row],[Milk Yield]]-J1677</f>
        <v>-1039</v>
      </c>
      <c r="B1681" t="s">
        <v>24</v>
      </c>
      <c r="C1681" s="2">
        <v>3</v>
      </c>
      <c r="D1681" s="12">
        <v>45887</v>
      </c>
      <c r="E1681" s="2">
        <v>36</v>
      </c>
      <c r="F1681" s="13">
        <v>1.3888888888888889E-4</v>
      </c>
      <c r="G1681" s="3">
        <v>0.17704861111111111</v>
      </c>
      <c r="H1681" s="1">
        <v>0.1763888888888889</v>
      </c>
      <c r="I1681" s="5">
        <v>801</v>
      </c>
      <c r="J1681">
        <v>9517</v>
      </c>
      <c r="K1681">
        <v>189</v>
      </c>
      <c r="L1681" s="5">
        <v>335</v>
      </c>
      <c r="M1681" s="5">
        <v>801</v>
      </c>
      <c r="N1681">
        <v>25</v>
      </c>
      <c r="O1681">
        <v>776</v>
      </c>
      <c r="P1681" s="1">
        <v>0.20833333333333334</v>
      </c>
      <c r="Q1681" s="5">
        <v>2242</v>
      </c>
      <c r="R1681" s="14">
        <v>11.9</v>
      </c>
      <c r="S1681">
        <v>189</v>
      </c>
      <c r="T1681" s="5">
        <v>25</v>
      </c>
      <c r="U1681" s="5">
        <v>776</v>
      </c>
      <c r="V1681" s="5">
        <v>0</v>
      </c>
      <c r="W1681" s="5"/>
      <c r="X1681" s="5"/>
      <c r="Y1681" s="5"/>
      <c r="Z1681" s="5"/>
      <c r="AA1681" s="5"/>
      <c r="AB1681" s="5"/>
      <c r="AC1681" s="5"/>
      <c r="AD1681" s="5"/>
      <c r="AE1681" s="5"/>
      <c r="AF1681" s="5"/>
      <c r="AG1681" s="5"/>
      <c r="AH1681" s="5"/>
      <c r="AI1681" s="5"/>
      <c r="AJ1681" s="5"/>
      <c r="AK1681" s="5"/>
    </row>
    <row r="1682" spans="1:37" x14ac:dyDescent="0.25">
      <c r="A1682" s="11" t="e">
        <f>Table1[[#This Row],[Milk Yield]]-J1678</f>
        <v>#VALUE!</v>
      </c>
      <c r="B1682" t="s">
        <v>0</v>
      </c>
      <c r="C1682" s="2" t="s">
        <v>1</v>
      </c>
      <c r="D1682" s="12" t="s">
        <v>2</v>
      </c>
      <c r="E1682" s="2" t="s">
        <v>3</v>
      </c>
      <c r="F1682" s="13" t="s">
        <v>4</v>
      </c>
      <c r="G1682" s="3" t="s">
        <v>5</v>
      </c>
      <c r="H1682" s="1" t="s">
        <v>6</v>
      </c>
      <c r="I1682" s="5" t="s">
        <v>8</v>
      </c>
      <c r="J1682" t="s">
        <v>9</v>
      </c>
      <c r="K1682" t="s">
        <v>10</v>
      </c>
      <c r="L1682" s="5" t="s">
        <v>11</v>
      </c>
      <c r="M1682" s="5" t="s">
        <v>12</v>
      </c>
      <c r="N1682" t="s">
        <v>13</v>
      </c>
      <c r="O1682" t="s">
        <v>20</v>
      </c>
      <c r="P1682" s="1" t="s">
        <v>7</v>
      </c>
      <c r="Q1682" s="5" t="s">
        <v>15</v>
      </c>
      <c r="R1682" s="14" t="s">
        <v>18</v>
      </c>
      <c r="S1682" t="s">
        <v>16</v>
      </c>
      <c r="T1682" s="5" t="s">
        <v>14</v>
      </c>
      <c r="U1682" s="5" t="s">
        <v>17</v>
      </c>
      <c r="V1682" s="5" t="s">
        <v>19</v>
      </c>
      <c r="W1682" s="5"/>
      <c r="X1682" s="5"/>
      <c r="Y1682" s="5"/>
      <c r="Z1682" s="5"/>
      <c r="AA1682" s="5"/>
      <c r="AB1682" s="5"/>
      <c r="AC1682" s="5"/>
      <c r="AD1682" s="5"/>
      <c r="AE1682" s="5"/>
      <c r="AF1682" s="5"/>
      <c r="AG1682" s="5"/>
      <c r="AH1682" s="5"/>
      <c r="AI1682" s="5"/>
      <c r="AJ1682" s="5"/>
      <c r="AK1682" s="5"/>
    </row>
    <row r="1683" spans="1:37" x14ac:dyDescent="0.25">
      <c r="A1683" s="11">
        <f>Table1[[#This Row],[Milk Yield]]-J1679</f>
        <v>518</v>
      </c>
      <c r="B1683" t="s">
        <v>24</v>
      </c>
      <c r="C1683" s="2">
        <v>1</v>
      </c>
      <c r="D1683" s="12">
        <v>45888</v>
      </c>
      <c r="E1683" s="2">
        <v>36</v>
      </c>
      <c r="F1683" s="13">
        <v>0.33556712962962965</v>
      </c>
      <c r="G1683" s="3">
        <v>0.53753472222222221</v>
      </c>
      <c r="H1683" s="1">
        <v>0.2013888888888889</v>
      </c>
      <c r="I1683" s="5">
        <v>799</v>
      </c>
      <c r="J1683">
        <v>11701</v>
      </c>
      <c r="K1683">
        <v>165</v>
      </c>
      <c r="L1683" s="5">
        <v>116</v>
      </c>
      <c r="M1683" s="5">
        <v>798</v>
      </c>
      <c r="N1683">
        <v>9</v>
      </c>
      <c r="O1683">
        <v>789</v>
      </c>
      <c r="P1683" s="1">
        <v>0.23125000000000001</v>
      </c>
      <c r="Q1683" s="5">
        <v>2414</v>
      </c>
      <c r="R1683" s="14">
        <v>14.7</v>
      </c>
      <c r="S1683">
        <v>165</v>
      </c>
      <c r="T1683" s="5">
        <v>9</v>
      </c>
      <c r="U1683" s="5">
        <v>789</v>
      </c>
      <c r="V1683" s="5">
        <v>0</v>
      </c>
      <c r="W1683" s="5"/>
      <c r="X1683" s="5"/>
      <c r="Y1683" s="5"/>
      <c r="Z1683" s="5"/>
      <c r="AA1683" s="5"/>
      <c r="AB1683" s="5"/>
      <c r="AC1683" s="5"/>
      <c r="AD1683" s="5"/>
      <c r="AE1683" s="5"/>
      <c r="AF1683" s="5"/>
      <c r="AG1683" s="5"/>
      <c r="AH1683" s="5"/>
      <c r="AI1683" s="5"/>
      <c r="AJ1683" s="5"/>
      <c r="AK1683" s="5"/>
    </row>
    <row r="1684" spans="1:37" x14ac:dyDescent="0.25">
      <c r="A1684" s="11">
        <f>Table1[[#This Row],[Milk Yield]]-J1680</f>
        <v>558</v>
      </c>
      <c r="B1684" t="s">
        <v>24</v>
      </c>
      <c r="C1684" s="2">
        <v>2</v>
      </c>
      <c r="D1684" s="12">
        <v>45888</v>
      </c>
      <c r="E1684" s="2">
        <v>39</v>
      </c>
      <c r="F1684" s="13">
        <v>0.67023148148148148</v>
      </c>
      <c r="G1684" s="3">
        <v>0.89674768518518522</v>
      </c>
      <c r="H1684" s="1">
        <v>0.22638888888888889</v>
      </c>
      <c r="I1684" s="5">
        <v>800</v>
      </c>
      <c r="J1684">
        <v>11456</v>
      </c>
      <c r="K1684">
        <v>147</v>
      </c>
      <c r="L1684" s="5">
        <v>114</v>
      </c>
      <c r="M1684" s="5">
        <v>799</v>
      </c>
      <c r="N1684">
        <v>11</v>
      </c>
      <c r="O1684">
        <v>788</v>
      </c>
      <c r="P1684" s="1">
        <v>0.22430555555555556</v>
      </c>
      <c r="Q1684" s="5">
        <v>2107</v>
      </c>
      <c r="R1684" s="14">
        <v>14.4</v>
      </c>
      <c r="S1684">
        <v>147</v>
      </c>
      <c r="T1684" s="5">
        <v>11</v>
      </c>
      <c r="U1684" s="5">
        <v>788</v>
      </c>
      <c r="V1684" s="5">
        <v>0</v>
      </c>
      <c r="W1684" s="5"/>
      <c r="X1684" s="5"/>
      <c r="Y1684" s="5"/>
      <c r="Z1684" s="5"/>
      <c r="AA1684" s="5"/>
      <c r="AB1684" s="5"/>
      <c r="AC1684" s="5"/>
      <c r="AD1684" s="5"/>
      <c r="AE1684" s="5"/>
      <c r="AF1684" s="5"/>
      <c r="AG1684" s="5"/>
      <c r="AH1684" s="5"/>
      <c r="AI1684" s="5"/>
      <c r="AJ1684" s="5"/>
      <c r="AK1684" s="5"/>
    </row>
    <row r="1685" spans="1:37" x14ac:dyDescent="0.25">
      <c r="A1685" s="11">
        <f>Table1[[#This Row],[Milk Yield]]-J1681</f>
        <v>123</v>
      </c>
      <c r="B1685" t="s">
        <v>24</v>
      </c>
      <c r="C1685" s="2">
        <v>3</v>
      </c>
      <c r="D1685" s="12">
        <v>45888</v>
      </c>
      <c r="E1685" s="2">
        <v>35</v>
      </c>
      <c r="F1685" s="13">
        <v>0.9993981481481482</v>
      </c>
      <c r="G1685" s="3">
        <v>0.20293981481481482</v>
      </c>
      <c r="H1685" s="1">
        <v>0.20347222222222222</v>
      </c>
      <c r="I1685" s="5">
        <v>798</v>
      </c>
      <c r="J1685">
        <v>9640</v>
      </c>
      <c r="K1685">
        <v>163</v>
      </c>
      <c r="L1685" s="5">
        <v>193</v>
      </c>
      <c r="M1685" s="5">
        <v>797</v>
      </c>
      <c r="N1685">
        <v>16</v>
      </c>
      <c r="O1685">
        <v>781</v>
      </c>
      <c r="P1685" s="1">
        <v>0.21041666666666667</v>
      </c>
      <c r="Q1685" s="5">
        <v>1973</v>
      </c>
      <c r="R1685" s="14">
        <v>12.1</v>
      </c>
      <c r="S1685">
        <v>163</v>
      </c>
      <c r="T1685" s="5">
        <v>16</v>
      </c>
      <c r="U1685" s="5">
        <v>781</v>
      </c>
      <c r="V1685" s="5">
        <v>0</v>
      </c>
      <c r="W1685" s="5"/>
      <c r="X1685" s="5"/>
      <c r="Y1685" s="5"/>
      <c r="Z1685" s="5"/>
      <c r="AA1685" s="5"/>
      <c r="AB1685" s="5"/>
      <c r="AC1685" s="5"/>
      <c r="AD1685" s="5"/>
      <c r="AE1685" s="5"/>
      <c r="AF1685" s="5"/>
      <c r="AG1685" s="5"/>
      <c r="AH1685" s="5"/>
      <c r="AI1685" s="5"/>
      <c r="AJ1685" s="5"/>
      <c r="AK1685" s="5"/>
    </row>
    <row r="1686" spans="1:37" x14ac:dyDescent="0.25">
      <c r="A1686" s="11" t="e">
        <f>Table1[[#This Row],[Milk Yield]]-J1682</f>
        <v>#VALUE!</v>
      </c>
      <c r="B1686" t="s">
        <v>0</v>
      </c>
      <c r="C1686" s="2" t="s">
        <v>1</v>
      </c>
      <c r="D1686" s="12" t="s">
        <v>2</v>
      </c>
      <c r="E1686" s="2" t="s">
        <v>3</v>
      </c>
      <c r="F1686" s="13" t="s">
        <v>4</v>
      </c>
      <c r="G1686" s="3" t="s">
        <v>5</v>
      </c>
      <c r="H1686" s="1" t="s">
        <v>6</v>
      </c>
      <c r="I1686" s="5" t="s">
        <v>8</v>
      </c>
      <c r="J1686" t="s">
        <v>9</v>
      </c>
      <c r="K1686" t="s">
        <v>10</v>
      </c>
      <c r="L1686" s="5" t="s">
        <v>11</v>
      </c>
      <c r="M1686" s="5" t="s">
        <v>12</v>
      </c>
      <c r="N1686" t="s">
        <v>13</v>
      </c>
      <c r="O1686" t="s">
        <v>20</v>
      </c>
      <c r="P1686" s="1" t="s">
        <v>7</v>
      </c>
      <c r="Q1686" s="5" t="s">
        <v>15</v>
      </c>
      <c r="R1686" s="14" t="s">
        <v>18</v>
      </c>
      <c r="S1686" t="s">
        <v>16</v>
      </c>
      <c r="T1686" s="5" t="s">
        <v>14</v>
      </c>
      <c r="U1686" s="5" t="s">
        <v>17</v>
      </c>
      <c r="V1686" s="5" t="s">
        <v>19</v>
      </c>
      <c r="W1686" s="5"/>
      <c r="X1686" s="5"/>
      <c r="Y1686" s="5"/>
      <c r="Z1686" s="5"/>
      <c r="AA1686" s="5"/>
      <c r="AB1686" s="5"/>
      <c r="AC1686" s="5"/>
      <c r="AD1686" s="5"/>
      <c r="AE1686" s="5"/>
      <c r="AF1686" s="5"/>
      <c r="AG1686" s="5"/>
      <c r="AH1686" s="5"/>
      <c r="AI1686" s="5"/>
      <c r="AJ1686" s="5"/>
      <c r="AK1686" s="5"/>
    </row>
    <row r="1687" spans="1:37" x14ac:dyDescent="0.25">
      <c r="A1687" s="11">
        <f>Table1[[#This Row],[Milk Yield]]-J1683</f>
        <v>-164</v>
      </c>
      <c r="B1687" t="s">
        <v>24</v>
      </c>
      <c r="C1687" s="2">
        <v>1</v>
      </c>
      <c r="D1687" s="12">
        <v>45889</v>
      </c>
      <c r="E1687" s="2">
        <v>37</v>
      </c>
      <c r="F1687" s="13">
        <v>0.33679398148148149</v>
      </c>
      <c r="G1687" s="3">
        <v>0.54334490740740737</v>
      </c>
      <c r="H1687" s="1">
        <v>0.20624999999999999</v>
      </c>
      <c r="I1687" s="5">
        <v>797</v>
      </c>
      <c r="J1687">
        <v>11537</v>
      </c>
      <c r="K1687">
        <v>161</v>
      </c>
      <c r="L1687" s="5">
        <v>75</v>
      </c>
      <c r="M1687" s="5">
        <v>797</v>
      </c>
      <c r="N1687">
        <v>6</v>
      </c>
      <c r="O1687">
        <v>791</v>
      </c>
      <c r="P1687" s="1">
        <v>0.2326388888888889</v>
      </c>
      <c r="Q1687" s="5">
        <v>2327</v>
      </c>
      <c r="R1687" s="14">
        <v>14.5</v>
      </c>
      <c r="S1687">
        <v>161</v>
      </c>
      <c r="T1687" s="5">
        <v>6</v>
      </c>
      <c r="U1687" s="5">
        <v>791</v>
      </c>
      <c r="V1687" s="5">
        <v>0</v>
      </c>
      <c r="W1687" s="5"/>
      <c r="X1687" s="5"/>
      <c r="Y1687" s="5"/>
      <c r="Z1687" s="5"/>
      <c r="AA1687" s="5"/>
      <c r="AB1687" s="5"/>
      <c r="AC1687" s="5"/>
      <c r="AD1687" s="5"/>
      <c r="AE1687" s="5"/>
      <c r="AF1687" s="5"/>
      <c r="AG1687" s="5"/>
      <c r="AH1687" s="5"/>
      <c r="AI1687" s="5"/>
      <c r="AJ1687" s="5"/>
      <c r="AK1687" s="5"/>
    </row>
    <row r="1688" spans="1:37" x14ac:dyDescent="0.25">
      <c r="A1688" s="11">
        <f>Table1[[#This Row],[Milk Yield]]-J1684</f>
        <v>2638</v>
      </c>
      <c r="B1688" t="s">
        <v>24</v>
      </c>
      <c r="C1688" s="2">
        <v>2</v>
      </c>
      <c r="D1688" s="12">
        <v>45889</v>
      </c>
      <c r="E1688" s="2">
        <v>37</v>
      </c>
      <c r="F1688" s="13">
        <v>0.79603009259259261</v>
      </c>
      <c r="G1688" s="3">
        <v>0.99618055555555551</v>
      </c>
      <c r="H1688" s="1">
        <v>0.2</v>
      </c>
      <c r="I1688" s="5">
        <v>808</v>
      </c>
      <c r="J1688">
        <v>14094</v>
      </c>
      <c r="K1688">
        <v>168</v>
      </c>
      <c r="L1688" s="5">
        <v>345</v>
      </c>
      <c r="M1688" s="5">
        <v>807</v>
      </c>
      <c r="N1688">
        <v>30</v>
      </c>
      <c r="O1688">
        <v>777</v>
      </c>
      <c r="P1688" s="1">
        <v>0.25277777777777777</v>
      </c>
      <c r="Q1688" s="5">
        <v>2934</v>
      </c>
      <c r="R1688" s="14">
        <v>17.5</v>
      </c>
      <c r="S1688">
        <v>168</v>
      </c>
      <c r="T1688" s="5">
        <v>30</v>
      </c>
      <c r="U1688" s="5">
        <v>778</v>
      </c>
      <c r="V1688" s="5">
        <v>1</v>
      </c>
      <c r="W1688" s="5"/>
      <c r="X1688" s="5"/>
      <c r="Y1688" s="5"/>
      <c r="Z1688" s="5"/>
      <c r="AA1688" s="5"/>
      <c r="AB1688" s="5"/>
      <c r="AC1688" s="5"/>
      <c r="AD1688" s="5"/>
      <c r="AE1688" s="5"/>
      <c r="AF1688" s="5"/>
      <c r="AG1688" s="5"/>
      <c r="AH1688" s="5"/>
      <c r="AI1688" s="5"/>
      <c r="AJ1688" s="5"/>
      <c r="AK1688" s="5"/>
    </row>
    <row r="1689" spans="1:37" x14ac:dyDescent="0.25">
      <c r="A1689" s="11">
        <f>Table1[[#This Row],[Milk Yield]]-J1685</f>
        <v>-2560</v>
      </c>
      <c r="B1689" t="s">
        <v>24</v>
      </c>
      <c r="C1689" s="2">
        <v>3</v>
      </c>
      <c r="D1689" s="12">
        <v>45889</v>
      </c>
      <c r="E1689" s="2">
        <v>35</v>
      </c>
      <c r="F1689" s="13">
        <v>3.5891203703703703E-2</v>
      </c>
      <c r="G1689" s="3">
        <v>0.23854166666666668</v>
      </c>
      <c r="H1689" s="1">
        <v>0.20208333333333334</v>
      </c>
      <c r="I1689" s="5">
        <v>786</v>
      </c>
      <c r="J1689">
        <v>7080</v>
      </c>
      <c r="K1689">
        <v>162</v>
      </c>
      <c r="L1689" s="5">
        <v>68</v>
      </c>
      <c r="M1689" s="5">
        <v>786</v>
      </c>
      <c r="N1689">
        <v>8</v>
      </c>
      <c r="O1689">
        <v>778</v>
      </c>
      <c r="P1689" s="1">
        <v>0.18541666666666667</v>
      </c>
      <c r="Q1689" s="5">
        <v>1456</v>
      </c>
      <c r="R1689" s="14">
        <v>9.1</v>
      </c>
      <c r="S1689">
        <v>162</v>
      </c>
      <c r="T1689" s="5">
        <v>8</v>
      </c>
      <c r="U1689" s="5">
        <v>779</v>
      </c>
      <c r="V1689" s="5">
        <v>1</v>
      </c>
      <c r="W1689" s="5"/>
      <c r="X1689" s="5"/>
      <c r="Y1689" s="5"/>
      <c r="Z1689" s="5"/>
      <c r="AA1689" s="5"/>
      <c r="AB1689" s="5"/>
      <c r="AC1689" s="5"/>
      <c r="AD1689" s="5"/>
      <c r="AE1689" s="5"/>
      <c r="AF1689" s="5"/>
      <c r="AG1689" s="5"/>
      <c r="AH1689" s="5"/>
      <c r="AI1689" s="5"/>
      <c r="AJ1689" s="5"/>
      <c r="AK1689" s="5"/>
    </row>
    <row r="1690" spans="1:37" x14ac:dyDescent="0.25">
      <c r="A1690" s="11" t="e">
        <f>Table1[[#This Row],[Milk Yield]]-J1686</f>
        <v>#VALUE!</v>
      </c>
      <c r="B1690" t="s">
        <v>0</v>
      </c>
      <c r="C1690" s="2" t="s">
        <v>1</v>
      </c>
      <c r="D1690" s="12" t="s">
        <v>2</v>
      </c>
      <c r="E1690" s="2" t="s">
        <v>3</v>
      </c>
      <c r="F1690" s="13" t="s">
        <v>4</v>
      </c>
      <c r="G1690" s="3" t="s">
        <v>5</v>
      </c>
      <c r="H1690" s="1" t="s">
        <v>6</v>
      </c>
      <c r="I1690" s="5" t="s">
        <v>8</v>
      </c>
      <c r="J1690" t="s">
        <v>9</v>
      </c>
      <c r="K1690" t="s">
        <v>10</v>
      </c>
      <c r="L1690" s="5" t="s">
        <v>11</v>
      </c>
      <c r="M1690" s="5" t="s">
        <v>12</v>
      </c>
      <c r="N1690" t="s">
        <v>13</v>
      </c>
      <c r="O1690" t="s">
        <v>20</v>
      </c>
      <c r="P1690" s="1" t="s">
        <v>7</v>
      </c>
      <c r="Q1690" s="5" t="s">
        <v>15</v>
      </c>
      <c r="R1690" s="14" t="s">
        <v>18</v>
      </c>
      <c r="S1690" t="s">
        <v>16</v>
      </c>
      <c r="T1690" s="5" t="s">
        <v>14</v>
      </c>
      <c r="U1690" s="5" t="s">
        <v>17</v>
      </c>
      <c r="V1690" s="5" t="s">
        <v>19</v>
      </c>
      <c r="W1690" s="5"/>
      <c r="X1690" s="5"/>
      <c r="Y1690" s="5"/>
      <c r="Z1690" s="5"/>
      <c r="AA1690" s="5"/>
      <c r="AB1690" s="5"/>
      <c r="AC1690" s="5"/>
      <c r="AD1690" s="5"/>
      <c r="AE1690" s="5"/>
      <c r="AF1690" s="5"/>
      <c r="AG1690" s="5"/>
      <c r="AH1690" s="5"/>
      <c r="AI1690" s="5"/>
      <c r="AJ1690" s="5"/>
      <c r="AK1690" s="5"/>
    </row>
    <row r="1691" spans="1:37" x14ac:dyDescent="0.25">
      <c r="A1691" s="11">
        <f>Table1[[#This Row],[Milk Yield]]-J1687</f>
        <v>-1492</v>
      </c>
      <c r="B1691" t="s">
        <v>24</v>
      </c>
      <c r="C1691" s="2">
        <v>1</v>
      </c>
      <c r="D1691" s="12">
        <v>45890</v>
      </c>
      <c r="E1691" s="2">
        <v>37</v>
      </c>
      <c r="F1691" s="13">
        <v>0.33620370370370373</v>
      </c>
      <c r="G1691" s="3">
        <v>0.52824074074074079</v>
      </c>
      <c r="H1691" s="1">
        <v>0.19166666666666668</v>
      </c>
      <c r="I1691" s="5">
        <v>797</v>
      </c>
      <c r="J1691">
        <v>10045</v>
      </c>
      <c r="K1691">
        <v>173</v>
      </c>
      <c r="L1691" s="5">
        <v>79</v>
      </c>
      <c r="M1691" s="5">
        <v>796</v>
      </c>
      <c r="N1691">
        <v>8</v>
      </c>
      <c r="O1691">
        <v>788</v>
      </c>
      <c r="P1691" s="1">
        <v>0.21041666666666667</v>
      </c>
      <c r="Q1691" s="5">
        <v>2179</v>
      </c>
      <c r="R1691" s="14">
        <v>12.7</v>
      </c>
      <c r="S1691">
        <v>173</v>
      </c>
      <c r="T1691" s="5">
        <v>8</v>
      </c>
      <c r="U1691" s="5">
        <v>789</v>
      </c>
      <c r="V1691" s="5">
        <v>1</v>
      </c>
      <c r="W1691" s="5"/>
      <c r="X1691" s="5"/>
      <c r="Y1691" s="5"/>
      <c r="Z1691" s="5"/>
      <c r="AA1691" s="5"/>
      <c r="AB1691" s="5"/>
      <c r="AC1691" s="5"/>
      <c r="AD1691" s="5"/>
      <c r="AE1691" s="5"/>
      <c r="AF1691" s="5"/>
      <c r="AG1691" s="5"/>
      <c r="AH1691" s="5"/>
      <c r="AI1691" s="5"/>
      <c r="AJ1691" s="5"/>
      <c r="AK1691" s="5"/>
    </row>
    <row r="1692" spans="1:37" x14ac:dyDescent="0.25">
      <c r="A1692" s="11">
        <f>Table1[[#This Row],[Milk Yield]]-J1688</f>
        <v>-3296</v>
      </c>
      <c r="B1692" t="s">
        <v>24</v>
      </c>
      <c r="C1692" s="2">
        <v>2</v>
      </c>
      <c r="D1692" s="12">
        <v>45890</v>
      </c>
      <c r="E1692" s="2">
        <v>37</v>
      </c>
      <c r="F1692" s="13">
        <v>0.67598379629629635</v>
      </c>
      <c r="G1692" s="3">
        <v>0.88111111111111107</v>
      </c>
      <c r="H1692" s="1">
        <v>0.2048611111111111</v>
      </c>
      <c r="I1692" s="5">
        <v>798</v>
      </c>
      <c r="J1692">
        <v>10798</v>
      </c>
      <c r="K1692">
        <v>162</v>
      </c>
      <c r="L1692" s="5">
        <v>217</v>
      </c>
      <c r="M1692" s="5">
        <v>796</v>
      </c>
      <c r="N1692">
        <v>17</v>
      </c>
      <c r="O1692">
        <v>779</v>
      </c>
      <c r="P1692" s="1">
        <v>0.21944444444444444</v>
      </c>
      <c r="Q1692" s="5">
        <v>2193</v>
      </c>
      <c r="R1692" s="14">
        <v>13.6</v>
      </c>
      <c r="S1692">
        <v>162</v>
      </c>
      <c r="T1692" s="5">
        <v>17</v>
      </c>
      <c r="U1692" s="5">
        <v>779</v>
      </c>
      <c r="V1692" s="5">
        <v>0</v>
      </c>
      <c r="W1692" s="5"/>
      <c r="X1692" s="5"/>
      <c r="Y1692" s="5"/>
      <c r="Z1692" s="5"/>
      <c r="AA1692" s="5"/>
      <c r="AB1692" s="5"/>
      <c r="AC1692" s="5"/>
      <c r="AD1692" s="5"/>
      <c r="AE1692" s="5"/>
      <c r="AF1692" s="5"/>
      <c r="AG1692" s="5"/>
      <c r="AH1692" s="5"/>
      <c r="AI1692" s="5"/>
      <c r="AJ1692" s="5"/>
      <c r="AK1692" s="5"/>
    </row>
    <row r="1693" spans="1:37" x14ac:dyDescent="0.25">
      <c r="A1693" s="11">
        <f>Table1[[#This Row],[Milk Yield]]-J1689</f>
        <v>2764</v>
      </c>
      <c r="B1693" t="s">
        <v>24</v>
      </c>
      <c r="C1693" s="2">
        <v>3</v>
      </c>
      <c r="D1693" s="12">
        <v>45890</v>
      </c>
      <c r="E1693" s="2">
        <v>35</v>
      </c>
      <c r="F1693" s="13">
        <v>6.8287037037037036E-4</v>
      </c>
      <c r="G1693" s="3">
        <v>0.20133101851851851</v>
      </c>
      <c r="H1693" s="1">
        <v>0.2</v>
      </c>
      <c r="I1693" s="5">
        <v>793</v>
      </c>
      <c r="J1693">
        <v>9844</v>
      </c>
      <c r="K1693">
        <v>165</v>
      </c>
      <c r="L1693" s="5">
        <v>50</v>
      </c>
      <c r="M1693" s="5">
        <v>793</v>
      </c>
      <c r="N1693">
        <v>4</v>
      </c>
      <c r="O1693">
        <v>789</v>
      </c>
      <c r="P1693" s="1">
        <v>0.20624999999999999</v>
      </c>
      <c r="Q1693" s="5">
        <v>2044</v>
      </c>
      <c r="R1693" s="14">
        <v>12.5</v>
      </c>
      <c r="S1693">
        <v>165</v>
      </c>
      <c r="T1693" s="5">
        <v>4</v>
      </c>
      <c r="U1693" s="5">
        <v>790</v>
      </c>
      <c r="V1693" s="5">
        <v>1</v>
      </c>
      <c r="W1693" s="5"/>
      <c r="X1693" s="5"/>
      <c r="Y1693" s="5"/>
      <c r="Z1693" s="5"/>
      <c r="AA1693" s="5"/>
      <c r="AB1693" s="5"/>
      <c r="AC1693" s="5"/>
      <c r="AD1693" s="5"/>
      <c r="AE1693" s="5"/>
      <c r="AF1693" s="5"/>
      <c r="AG1693" s="5"/>
      <c r="AH1693" s="5"/>
      <c r="AI1693" s="5"/>
      <c r="AJ1693" s="5"/>
      <c r="AK1693" s="5"/>
    </row>
    <row r="1694" spans="1:37" x14ac:dyDescent="0.25">
      <c r="A1694" s="11" t="e">
        <f>Table1[[#This Row],[Milk Yield]]-J1690</f>
        <v>#VALUE!</v>
      </c>
      <c r="B1694" t="s">
        <v>0</v>
      </c>
      <c r="C1694" s="2" t="s">
        <v>1</v>
      </c>
      <c r="D1694" s="12" t="s">
        <v>2</v>
      </c>
      <c r="E1694" s="2" t="s">
        <v>3</v>
      </c>
      <c r="F1694" s="13" t="s">
        <v>4</v>
      </c>
      <c r="G1694" s="3" t="s">
        <v>5</v>
      </c>
      <c r="H1694" s="1" t="s">
        <v>6</v>
      </c>
      <c r="I1694" s="5" t="s">
        <v>8</v>
      </c>
      <c r="J1694" t="s">
        <v>9</v>
      </c>
      <c r="K1694" t="s">
        <v>10</v>
      </c>
      <c r="L1694" s="5" t="s">
        <v>11</v>
      </c>
      <c r="M1694" s="5" t="s">
        <v>12</v>
      </c>
      <c r="N1694" t="s">
        <v>13</v>
      </c>
      <c r="O1694" t="s">
        <v>20</v>
      </c>
      <c r="P1694" s="1" t="s">
        <v>7</v>
      </c>
      <c r="Q1694" s="5" t="s">
        <v>15</v>
      </c>
      <c r="R1694" s="14" t="s">
        <v>18</v>
      </c>
      <c r="S1694" t="s">
        <v>16</v>
      </c>
      <c r="T1694" s="5" t="s">
        <v>14</v>
      </c>
      <c r="U1694" s="5" t="s">
        <v>17</v>
      </c>
      <c r="V1694" s="5" t="s">
        <v>19</v>
      </c>
      <c r="W1694" s="5"/>
      <c r="X1694" s="5"/>
      <c r="Y1694" s="5"/>
      <c r="Z1694" s="5"/>
      <c r="AA1694" s="5"/>
      <c r="AB1694" s="5"/>
      <c r="AC1694" s="5"/>
      <c r="AD1694" s="5"/>
      <c r="AE1694" s="5"/>
      <c r="AF1694" s="5"/>
      <c r="AG1694" s="5"/>
      <c r="AH1694" s="5"/>
      <c r="AI1694" s="5"/>
      <c r="AJ1694" s="5"/>
      <c r="AK1694" s="5"/>
    </row>
    <row r="1695" spans="1:37" x14ac:dyDescent="0.25">
      <c r="A1695" s="11">
        <f>Table1[[#This Row],[Milk Yield]]-J1691</f>
        <v>1489</v>
      </c>
      <c r="B1695" t="s">
        <v>24</v>
      </c>
      <c r="C1695" s="2">
        <v>1</v>
      </c>
      <c r="D1695" s="12">
        <v>45891</v>
      </c>
      <c r="E1695" s="2">
        <v>36</v>
      </c>
      <c r="F1695" s="13">
        <v>0.33270833333333333</v>
      </c>
      <c r="G1695" s="3">
        <v>0.56449074074074079</v>
      </c>
      <c r="H1695" s="1">
        <v>0.23125000000000001</v>
      </c>
      <c r="I1695" s="5">
        <v>791</v>
      </c>
      <c r="J1695">
        <v>11534</v>
      </c>
      <c r="K1695">
        <v>142</v>
      </c>
      <c r="L1695" s="5">
        <v>46</v>
      </c>
      <c r="M1695" s="5">
        <v>791</v>
      </c>
      <c r="N1695">
        <v>3</v>
      </c>
      <c r="O1695">
        <v>788</v>
      </c>
      <c r="P1695" s="1">
        <v>0.22500000000000001</v>
      </c>
      <c r="Q1695" s="5">
        <v>2073</v>
      </c>
      <c r="R1695" s="14">
        <v>14.6</v>
      </c>
      <c r="S1695">
        <v>142</v>
      </c>
      <c r="T1695" s="5">
        <v>3</v>
      </c>
      <c r="U1695" s="5">
        <v>789</v>
      </c>
      <c r="V1695" s="5">
        <v>1</v>
      </c>
      <c r="W1695" s="5"/>
      <c r="X1695" s="5"/>
      <c r="Y1695" s="5"/>
      <c r="Z1695" s="5"/>
      <c r="AA1695" s="5"/>
      <c r="AB1695" s="5"/>
      <c r="AC1695" s="5"/>
      <c r="AD1695" s="5"/>
      <c r="AE1695" s="5"/>
      <c r="AF1695" s="5"/>
      <c r="AG1695" s="5"/>
      <c r="AH1695" s="5"/>
      <c r="AI1695" s="5"/>
      <c r="AJ1695" s="5"/>
      <c r="AK1695" s="5"/>
    </row>
    <row r="1696" spans="1:37" x14ac:dyDescent="0.25">
      <c r="A1696" s="11">
        <f>Table1[[#This Row],[Milk Yield]]-J1692</f>
        <v>584</v>
      </c>
      <c r="B1696" t="s">
        <v>24</v>
      </c>
      <c r="C1696" s="2">
        <v>2</v>
      </c>
      <c r="D1696" s="12">
        <v>45891</v>
      </c>
      <c r="E1696" s="2">
        <v>38</v>
      </c>
      <c r="F1696" s="13">
        <v>0.69775462962962964</v>
      </c>
      <c r="G1696" s="3">
        <v>0.89288194444444446</v>
      </c>
      <c r="H1696" s="1">
        <v>0.19513888888888889</v>
      </c>
      <c r="I1696" s="5">
        <v>797</v>
      </c>
      <c r="J1696">
        <v>11382</v>
      </c>
      <c r="K1696">
        <v>170</v>
      </c>
      <c r="L1696" s="5">
        <v>134</v>
      </c>
      <c r="M1696" s="5">
        <v>796</v>
      </c>
      <c r="N1696">
        <v>12</v>
      </c>
      <c r="O1696">
        <v>784</v>
      </c>
      <c r="P1696" s="1">
        <v>0.21180555555555555</v>
      </c>
      <c r="Q1696" s="5">
        <v>2430</v>
      </c>
      <c r="R1696" s="14">
        <v>14.3</v>
      </c>
      <c r="S1696">
        <v>170</v>
      </c>
      <c r="T1696" s="5">
        <v>12</v>
      </c>
      <c r="U1696" s="5">
        <v>785</v>
      </c>
      <c r="V1696" s="5">
        <v>1</v>
      </c>
      <c r="W1696" s="5"/>
      <c r="X1696" s="5"/>
      <c r="Y1696" s="5"/>
      <c r="Z1696" s="5"/>
      <c r="AA1696" s="5"/>
      <c r="AB1696" s="5"/>
      <c r="AC1696" s="5"/>
      <c r="AD1696" s="5"/>
      <c r="AE1696" s="5"/>
      <c r="AF1696" s="5"/>
      <c r="AG1696" s="5"/>
      <c r="AH1696" s="5"/>
      <c r="AI1696" s="5"/>
      <c r="AJ1696" s="5"/>
      <c r="AK1696" s="5"/>
    </row>
    <row r="1697" spans="1:37" x14ac:dyDescent="0.25">
      <c r="A1697" s="11">
        <f>Table1[[#This Row],[Milk Yield]]-J1693</f>
        <v>-391</v>
      </c>
      <c r="B1697" t="s">
        <v>24</v>
      </c>
      <c r="C1697" s="2">
        <v>3</v>
      </c>
      <c r="D1697" s="12">
        <v>45891</v>
      </c>
      <c r="E1697" s="2">
        <v>35</v>
      </c>
      <c r="F1697" s="13">
        <v>0.997650462962963</v>
      </c>
      <c r="G1697" s="3">
        <v>0.18908564814814816</v>
      </c>
      <c r="H1697" s="1">
        <v>0.19097222222222221</v>
      </c>
      <c r="I1697" s="5">
        <v>796</v>
      </c>
      <c r="J1697">
        <v>9453</v>
      </c>
      <c r="K1697">
        <v>173</v>
      </c>
      <c r="L1697" s="5">
        <v>101</v>
      </c>
      <c r="M1697" s="5">
        <v>796</v>
      </c>
      <c r="N1697">
        <v>10</v>
      </c>
      <c r="O1697">
        <v>786</v>
      </c>
      <c r="P1697" s="1">
        <v>0.20347222222222222</v>
      </c>
      <c r="Q1697" s="5">
        <v>2058</v>
      </c>
      <c r="R1697" s="14">
        <v>11.9</v>
      </c>
      <c r="S1697">
        <v>173</v>
      </c>
      <c r="T1697" s="5">
        <v>10</v>
      </c>
      <c r="U1697" s="5">
        <v>787</v>
      </c>
      <c r="V1697" s="5">
        <v>1</v>
      </c>
      <c r="W1697" s="5"/>
      <c r="X1697" s="5"/>
      <c r="Y1697" s="5"/>
      <c r="Z1697" s="5"/>
      <c r="AA1697" s="5"/>
      <c r="AB1697" s="5"/>
      <c r="AC1697" s="5"/>
      <c r="AD1697" s="5"/>
      <c r="AE1697" s="5"/>
      <c r="AF1697" s="5"/>
      <c r="AG1697" s="5"/>
      <c r="AH1697" s="5"/>
      <c r="AI1697" s="5"/>
      <c r="AJ1697" s="5"/>
      <c r="AK1697" s="5"/>
    </row>
    <row r="1698" spans="1:37" x14ac:dyDescent="0.25">
      <c r="A1698" s="11" t="e">
        <f>Table1[[#This Row],[Milk Yield]]-J1694</f>
        <v>#VALUE!</v>
      </c>
      <c r="B1698" t="s">
        <v>0</v>
      </c>
      <c r="C1698" s="2" t="s">
        <v>1</v>
      </c>
      <c r="D1698" s="12" t="s">
        <v>2</v>
      </c>
      <c r="E1698" s="2" t="s">
        <v>3</v>
      </c>
      <c r="F1698" s="13" t="s">
        <v>4</v>
      </c>
      <c r="G1698" s="3" t="s">
        <v>5</v>
      </c>
      <c r="H1698" s="1" t="s">
        <v>6</v>
      </c>
      <c r="I1698" s="5" t="s">
        <v>8</v>
      </c>
      <c r="J1698" t="s">
        <v>9</v>
      </c>
      <c r="K1698" t="s">
        <v>10</v>
      </c>
      <c r="L1698" s="5" t="s">
        <v>11</v>
      </c>
      <c r="M1698" s="5" t="s">
        <v>12</v>
      </c>
      <c r="N1698" t="s">
        <v>13</v>
      </c>
      <c r="O1698" t="s">
        <v>20</v>
      </c>
      <c r="P1698" s="1" t="s">
        <v>7</v>
      </c>
      <c r="Q1698" s="5" t="s">
        <v>15</v>
      </c>
      <c r="R1698" s="14" t="s">
        <v>18</v>
      </c>
      <c r="S1698" t="s">
        <v>16</v>
      </c>
      <c r="T1698" s="5" t="s">
        <v>14</v>
      </c>
      <c r="U1698" s="5" t="s">
        <v>17</v>
      </c>
      <c r="V1698" s="5" t="s">
        <v>19</v>
      </c>
      <c r="W1698" s="5"/>
      <c r="X1698" s="5"/>
      <c r="Y1698" s="5"/>
      <c r="Z1698" s="5"/>
      <c r="AA1698" s="5"/>
      <c r="AB1698" s="5"/>
      <c r="AC1698" s="5"/>
      <c r="AD1698" s="5"/>
      <c r="AE1698" s="5"/>
      <c r="AF1698" s="5"/>
      <c r="AG1698" s="5"/>
      <c r="AH1698" s="5"/>
      <c r="AI1698" s="5"/>
      <c r="AJ1698" s="5"/>
      <c r="AK1698" s="5"/>
    </row>
    <row r="1699" spans="1:37" x14ac:dyDescent="0.25">
      <c r="A1699" s="11">
        <f>Table1[[#This Row],[Milk Yield]]-J1695</f>
        <v>23</v>
      </c>
      <c r="B1699" t="s">
        <v>24</v>
      </c>
      <c r="C1699" s="2">
        <v>1</v>
      </c>
      <c r="D1699" s="12">
        <v>45892</v>
      </c>
      <c r="E1699" s="2">
        <v>35</v>
      </c>
      <c r="F1699" s="13">
        <v>0.33328703703703705</v>
      </c>
      <c r="G1699" s="3">
        <v>0.54210648148148144</v>
      </c>
      <c r="H1699" s="1">
        <v>0.20833333333333334</v>
      </c>
      <c r="I1699" s="5">
        <v>792</v>
      </c>
      <c r="J1699">
        <v>11557</v>
      </c>
      <c r="K1699">
        <v>158</v>
      </c>
      <c r="L1699" s="5">
        <v>61</v>
      </c>
      <c r="M1699" s="5">
        <v>792</v>
      </c>
      <c r="N1699">
        <v>5</v>
      </c>
      <c r="O1699">
        <v>787</v>
      </c>
      <c r="P1699" s="1">
        <v>0.22361111111111112</v>
      </c>
      <c r="Q1699" s="5">
        <v>2306</v>
      </c>
      <c r="R1699" s="14">
        <v>14.6</v>
      </c>
      <c r="S1699">
        <v>158</v>
      </c>
      <c r="T1699" s="5">
        <v>5</v>
      </c>
      <c r="U1699" s="5">
        <v>788</v>
      </c>
      <c r="V1699" s="5">
        <v>1</v>
      </c>
      <c r="W1699" s="5"/>
      <c r="X1699" s="5"/>
      <c r="Y1699" s="5"/>
      <c r="Z1699" s="5"/>
      <c r="AA1699" s="5"/>
      <c r="AB1699" s="5"/>
      <c r="AC1699" s="5"/>
      <c r="AD1699" s="5"/>
      <c r="AE1699" s="5"/>
      <c r="AF1699" s="5"/>
      <c r="AG1699" s="5"/>
      <c r="AH1699" s="5"/>
      <c r="AI1699" s="5"/>
      <c r="AJ1699" s="5"/>
      <c r="AK1699" s="5"/>
    </row>
    <row r="1700" spans="1:37" x14ac:dyDescent="0.25">
      <c r="A1700" s="11">
        <f>Table1[[#This Row],[Milk Yield]]-J1696</f>
        <v>-528</v>
      </c>
      <c r="B1700" t="s">
        <v>24</v>
      </c>
      <c r="C1700" s="2">
        <v>2</v>
      </c>
      <c r="D1700" s="12">
        <v>45892</v>
      </c>
      <c r="E1700" s="2">
        <v>39</v>
      </c>
      <c r="F1700" s="13">
        <v>0.66873842592592592</v>
      </c>
      <c r="G1700" s="3">
        <v>0.8760648148148148</v>
      </c>
      <c r="H1700" s="1">
        <v>0.20694444444444443</v>
      </c>
      <c r="I1700" s="5">
        <v>796</v>
      </c>
      <c r="J1700">
        <v>10854</v>
      </c>
      <c r="K1700">
        <v>160</v>
      </c>
      <c r="L1700" s="5">
        <v>115</v>
      </c>
      <c r="M1700" s="5">
        <v>796</v>
      </c>
      <c r="N1700">
        <v>10</v>
      </c>
      <c r="O1700">
        <v>786</v>
      </c>
      <c r="P1700" s="1">
        <v>0.21666666666666667</v>
      </c>
      <c r="Q1700" s="5">
        <v>2181</v>
      </c>
      <c r="R1700" s="14">
        <v>13.7</v>
      </c>
      <c r="S1700">
        <v>160</v>
      </c>
      <c r="T1700" s="5">
        <v>10</v>
      </c>
      <c r="U1700" s="5">
        <v>787</v>
      </c>
      <c r="V1700" s="5">
        <v>1</v>
      </c>
      <c r="W1700" s="5"/>
      <c r="X1700" s="5"/>
      <c r="Y1700" s="5"/>
      <c r="Z1700" s="5"/>
      <c r="AA1700" s="5"/>
      <c r="AB1700" s="5"/>
      <c r="AC1700" s="5"/>
      <c r="AD1700" s="5"/>
      <c r="AE1700" s="5"/>
      <c r="AF1700" s="5"/>
      <c r="AG1700" s="5"/>
      <c r="AH1700" s="5"/>
      <c r="AI1700" s="5"/>
      <c r="AJ1700" s="5"/>
      <c r="AK1700" s="5"/>
    </row>
    <row r="1701" spans="1:37" x14ac:dyDescent="0.25">
      <c r="A1701" s="11">
        <f>Table1[[#This Row],[Milk Yield]]-J1697</f>
        <v>511</v>
      </c>
      <c r="B1701" t="s">
        <v>24</v>
      </c>
      <c r="C1701" s="2">
        <v>3</v>
      </c>
      <c r="D1701" s="12">
        <v>45892</v>
      </c>
      <c r="E1701" s="2">
        <v>35</v>
      </c>
      <c r="F1701" s="13">
        <v>0.99990740740740736</v>
      </c>
      <c r="G1701" s="3">
        <v>0.1940162037037037</v>
      </c>
      <c r="H1701" s="1">
        <v>0.19375000000000001</v>
      </c>
      <c r="I1701" s="5">
        <v>794</v>
      </c>
      <c r="J1701">
        <v>9964</v>
      </c>
      <c r="K1701">
        <v>170</v>
      </c>
      <c r="L1701" s="5">
        <v>105</v>
      </c>
      <c r="M1701" s="5">
        <v>793</v>
      </c>
      <c r="N1701">
        <v>9</v>
      </c>
      <c r="O1701">
        <v>784</v>
      </c>
      <c r="P1701" s="1">
        <v>0.21249999999999999</v>
      </c>
      <c r="Q1701" s="5">
        <v>2139</v>
      </c>
      <c r="R1701" s="14">
        <v>12.6</v>
      </c>
      <c r="S1701">
        <v>170</v>
      </c>
      <c r="T1701" s="5">
        <v>9</v>
      </c>
      <c r="U1701" s="5">
        <v>785</v>
      </c>
      <c r="V1701" s="5">
        <v>1</v>
      </c>
      <c r="W1701" s="5"/>
      <c r="X1701" s="5"/>
      <c r="Y1701" s="5"/>
      <c r="Z1701" s="5"/>
      <c r="AA1701" s="5"/>
      <c r="AB1701" s="5"/>
      <c r="AC1701" s="5"/>
      <c r="AD1701" s="5"/>
      <c r="AE1701" s="5"/>
      <c r="AF1701" s="5"/>
      <c r="AG1701" s="5"/>
      <c r="AH1701" s="5"/>
      <c r="AI1701" s="5"/>
      <c r="AJ1701" s="5"/>
      <c r="AK1701" s="5"/>
    </row>
    <row r="1702" spans="1:37" x14ac:dyDescent="0.25">
      <c r="A1702" s="11" t="e">
        <f>Table1[[#This Row],[Milk Yield]]-J1698</f>
        <v>#VALUE!</v>
      </c>
      <c r="B1702" t="s">
        <v>0</v>
      </c>
      <c r="C1702" s="2" t="s">
        <v>1</v>
      </c>
      <c r="D1702" s="12" t="s">
        <v>2</v>
      </c>
      <c r="E1702" s="2" t="s">
        <v>3</v>
      </c>
      <c r="F1702" s="13" t="s">
        <v>4</v>
      </c>
      <c r="G1702" s="3" t="s">
        <v>5</v>
      </c>
      <c r="H1702" s="1" t="s">
        <v>6</v>
      </c>
      <c r="I1702" s="5" t="s">
        <v>8</v>
      </c>
      <c r="J1702" t="s">
        <v>9</v>
      </c>
      <c r="K1702" t="s">
        <v>10</v>
      </c>
      <c r="L1702" s="5" t="s">
        <v>11</v>
      </c>
      <c r="M1702" s="5" t="s">
        <v>12</v>
      </c>
      <c r="N1702" t="s">
        <v>13</v>
      </c>
      <c r="O1702" t="s">
        <v>20</v>
      </c>
      <c r="P1702" s="1" t="s">
        <v>7</v>
      </c>
      <c r="Q1702" s="5" t="s">
        <v>15</v>
      </c>
      <c r="R1702" s="14" t="s">
        <v>18</v>
      </c>
      <c r="S1702" t="s">
        <v>16</v>
      </c>
      <c r="T1702" s="5" t="s">
        <v>14</v>
      </c>
      <c r="U1702" s="5" t="s">
        <v>17</v>
      </c>
      <c r="V1702" s="5" t="s">
        <v>19</v>
      </c>
      <c r="W1702" s="5"/>
      <c r="X1702" s="5"/>
      <c r="Y1702" s="5"/>
      <c r="Z1702" s="5"/>
      <c r="AA1702" s="5"/>
      <c r="AB1702" s="5"/>
      <c r="AC1702" s="5"/>
      <c r="AD1702" s="5"/>
      <c r="AE1702" s="5"/>
      <c r="AF1702" s="5"/>
      <c r="AG1702" s="5"/>
      <c r="AH1702" s="5"/>
      <c r="AI1702" s="5"/>
      <c r="AJ1702" s="5"/>
      <c r="AK1702" s="5"/>
    </row>
    <row r="1703" spans="1:37" x14ac:dyDescent="0.25">
      <c r="A1703" s="11">
        <f>Table1[[#This Row],[Milk Yield]]-J1699</f>
        <v>-118</v>
      </c>
      <c r="B1703" t="s">
        <v>24</v>
      </c>
      <c r="C1703" s="2">
        <v>1</v>
      </c>
      <c r="D1703" s="12">
        <v>45893</v>
      </c>
      <c r="E1703" s="2">
        <v>35</v>
      </c>
      <c r="F1703" s="13">
        <v>0.33578703703703705</v>
      </c>
      <c r="G1703" s="3">
        <v>0.53484953703703708</v>
      </c>
      <c r="H1703" s="1">
        <v>0.1986111111111111</v>
      </c>
      <c r="I1703" s="5">
        <v>793</v>
      </c>
      <c r="J1703">
        <v>11439</v>
      </c>
      <c r="K1703">
        <v>166</v>
      </c>
      <c r="L1703" s="5">
        <v>85</v>
      </c>
      <c r="M1703" s="5">
        <v>792</v>
      </c>
      <c r="N1703">
        <v>7</v>
      </c>
      <c r="O1703">
        <v>785</v>
      </c>
      <c r="P1703" s="1">
        <v>0.22569444444444445</v>
      </c>
      <c r="Q1703" s="5">
        <v>2394</v>
      </c>
      <c r="R1703" s="14">
        <v>14.5</v>
      </c>
      <c r="S1703">
        <v>166</v>
      </c>
      <c r="T1703" s="5">
        <v>7</v>
      </c>
      <c r="U1703" s="5">
        <v>786</v>
      </c>
      <c r="V1703" s="5">
        <v>1</v>
      </c>
      <c r="W1703" s="5"/>
      <c r="X1703" s="5"/>
      <c r="Y1703" s="5"/>
      <c r="Z1703" s="5"/>
      <c r="AA1703" s="5"/>
      <c r="AB1703" s="5"/>
      <c r="AC1703" s="5"/>
      <c r="AD1703" s="5"/>
      <c r="AE1703" s="5"/>
      <c r="AF1703" s="5"/>
      <c r="AG1703" s="5"/>
      <c r="AH1703" s="5"/>
      <c r="AI1703" s="5"/>
      <c r="AJ1703" s="5"/>
      <c r="AK1703" s="5"/>
    </row>
    <row r="1704" spans="1:37" x14ac:dyDescent="0.25">
      <c r="A1704" s="11">
        <f>Table1[[#This Row],[Milk Yield]]-J1700</f>
        <v>-111</v>
      </c>
      <c r="B1704" t="s">
        <v>24</v>
      </c>
      <c r="C1704" s="2">
        <v>2</v>
      </c>
      <c r="D1704" s="12">
        <v>45893</v>
      </c>
      <c r="E1704" s="2">
        <v>38</v>
      </c>
      <c r="F1704" s="13">
        <v>0.66650462962962964</v>
      </c>
      <c r="G1704" s="3">
        <v>0.87032407407407408</v>
      </c>
      <c r="H1704" s="1">
        <v>0.20347222222222222</v>
      </c>
      <c r="I1704" s="5">
        <v>798</v>
      </c>
      <c r="J1704">
        <v>10743</v>
      </c>
      <c r="K1704">
        <v>163</v>
      </c>
      <c r="L1704" s="5">
        <v>88</v>
      </c>
      <c r="M1704" s="5">
        <v>796</v>
      </c>
      <c r="N1704">
        <v>9</v>
      </c>
      <c r="O1704">
        <v>787</v>
      </c>
      <c r="P1704" s="1">
        <v>0.21666666666666667</v>
      </c>
      <c r="Q1704" s="5">
        <v>2196</v>
      </c>
      <c r="R1704" s="14">
        <v>13.5</v>
      </c>
      <c r="S1704">
        <v>163</v>
      </c>
      <c r="T1704" s="5">
        <v>9</v>
      </c>
      <c r="U1704" s="5">
        <v>788</v>
      </c>
      <c r="V1704" s="5">
        <v>1</v>
      </c>
      <c r="W1704" s="5"/>
      <c r="X1704" s="5"/>
      <c r="Y1704" s="5"/>
      <c r="Z1704" s="5"/>
      <c r="AA1704" s="5"/>
      <c r="AB1704" s="5"/>
      <c r="AC1704" s="5"/>
      <c r="AD1704" s="5"/>
      <c r="AE1704" s="5"/>
      <c r="AF1704" s="5"/>
      <c r="AG1704" s="5"/>
      <c r="AH1704" s="5"/>
      <c r="AI1704" s="5"/>
      <c r="AJ1704" s="5"/>
      <c r="AK1704" s="5"/>
    </row>
    <row r="1705" spans="1:37" x14ac:dyDescent="0.25">
      <c r="A1705" s="11">
        <f>Table1[[#This Row],[Milk Yield]]-J1701</f>
        <v>307</v>
      </c>
      <c r="B1705" t="s">
        <v>24</v>
      </c>
      <c r="C1705" s="2">
        <v>3</v>
      </c>
      <c r="D1705" s="12">
        <v>45893</v>
      </c>
      <c r="E1705" s="2">
        <v>35</v>
      </c>
      <c r="F1705" s="13">
        <v>3.7847222222222223E-3</v>
      </c>
      <c r="G1705" s="3">
        <v>0.18578703703703703</v>
      </c>
      <c r="H1705" s="1">
        <v>0.18194444444444444</v>
      </c>
      <c r="I1705" s="5">
        <v>796</v>
      </c>
      <c r="J1705">
        <v>10271</v>
      </c>
      <c r="K1705">
        <v>182</v>
      </c>
      <c r="L1705" s="5">
        <v>125</v>
      </c>
      <c r="M1705" s="5">
        <v>795</v>
      </c>
      <c r="N1705">
        <v>11</v>
      </c>
      <c r="O1705">
        <v>784</v>
      </c>
      <c r="P1705" s="1">
        <v>0.21388888888888888</v>
      </c>
      <c r="Q1705" s="5">
        <v>2351</v>
      </c>
      <c r="R1705" s="14">
        <v>13</v>
      </c>
      <c r="S1705">
        <v>182</v>
      </c>
      <c r="T1705" s="5">
        <v>11</v>
      </c>
      <c r="U1705" s="5">
        <v>785</v>
      </c>
      <c r="V1705" s="5">
        <v>1</v>
      </c>
      <c r="W1705" s="5"/>
      <c r="X1705" s="5"/>
      <c r="Y1705" s="5"/>
      <c r="Z1705" s="5"/>
      <c r="AA1705" s="5"/>
      <c r="AB1705" s="5"/>
      <c r="AC1705" s="5"/>
      <c r="AD1705" s="5"/>
      <c r="AE1705" s="5"/>
      <c r="AF1705" s="5"/>
      <c r="AG1705" s="5"/>
      <c r="AH1705" s="5"/>
      <c r="AI1705" s="5"/>
      <c r="AJ1705" s="5"/>
      <c r="AK1705" s="5"/>
    </row>
    <row r="1706" spans="1:37" x14ac:dyDescent="0.25">
      <c r="A1706" s="11" t="e">
        <f>Table1[[#This Row],[Milk Yield]]-J1702</f>
        <v>#VALUE!</v>
      </c>
      <c r="B1706" t="s">
        <v>0</v>
      </c>
      <c r="C1706" s="2" t="s">
        <v>1</v>
      </c>
      <c r="D1706" s="12" t="s">
        <v>2</v>
      </c>
      <c r="E1706" s="2" t="s">
        <v>3</v>
      </c>
      <c r="F1706" s="13" t="s">
        <v>4</v>
      </c>
      <c r="G1706" s="3" t="s">
        <v>5</v>
      </c>
      <c r="H1706" s="1" t="s">
        <v>6</v>
      </c>
      <c r="I1706" s="5" t="s">
        <v>8</v>
      </c>
      <c r="J1706" t="s">
        <v>9</v>
      </c>
      <c r="K1706" t="s">
        <v>10</v>
      </c>
      <c r="L1706" s="5" t="s">
        <v>11</v>
      </c>
      <c r="M1706" s="5" t="s">
        <v>12</v>
      </c>
      <c r="N1706" t="s">
        <v>13</v>
      </c>
      <c r="O1706" t="s">
        <v>20</v>
      </c>
      <c r="P1706" s="1" t="s">
        <v>7</v>
      </c>
      <c r="Q1706" s="5" t="s">
        <v>15</v>
      </c>
      <c r="R1706" s="14" t="s">
        <v>18</v>
      </c>
      <c r="S1706" t="s">
        <v>16</v>
      </c>
      <c r="T1706" s="5" t="s">
        <v>14</v>
      </c>
      <c r="U1706" s="5" t="s">
        <v>17</v>
      </c>
      <c r="V1706" s="5" t="s">
        <v>19</v>
      </c>
      <c r="W1706" s="5"/>
      <c r="X1706" s="5"/>
      <c r="Y1706" s="5"/>
      <c r="Z1706" s="5"/>
      <c r="AA1706" s="5"/>
      <c r="AB1706" s="5"/>
      <c r="AC1706" s="5"/>
      <c r="AD1706" s="5"/>
      <c r="AE1706" s="5"/>
      <c r="AF1706" s="5"/>
      <c r="AG1706" s="5"/>
      <c r="AH1706" s="5"/>
      <c r="AI1706" s="5"/>
      <c r="AJ1706" s="5"/>
      <c r="AK1706" s="5"/>
    </row>
    <row r="1707" spans="1:37" x14ac:dyDescent="0.25">
      <c r="A1707" s="11">
        <f>Table1[[#This Row],[Milk Yield]]-J1703</f>
        <v>-116</v>
      </c>
      <c r="B1707" t="s">
        <v>24</v>
      </c>
      <c r="C1707" s="2">
        <v>1</v>
      </c>
      <c r="D1707" s="12">
        <v>45894</v>
      </c>
      <c r="E1707" s="2">
        <v>37</v>
      </c>
      <c r="F1707" s="13">
        <v>0.33542824074074074</v>
      </c>
      <c r="G1707" s="3">
        <v>0.53150462962962963</v>
      </c>
      <c r="H1707" s="1">
        <v>0.19583333333333333</v>
      </c>
      <c r="I1707" s="5">
        <v>806</v>
      </c>
      <c r="J1707">
        <v>11323</v>
      </c>
      <c r="K1707">
        <v>171</v>
      </c>
      <c r="L1707" s="5">
        <v>181</v>
      </c>
      <c r="M1707" s="5">
        <v>803</v>
      </c>
      <c r="N1707">
        <v>17</v>
      </c>
      <c r="O1707">
        <v>786</v>
      </c>
      <c r="P1707" s="1">
        <v>0.22291666666666668</v>
      </c>
      <c r="Q1707" s="5">
        <v>2406</v>
      </c>
      <c r="R1707" s="14">
        <v>14.2</v>
      </c>
      <c r="S1707">
        <v>171</v>
      </c>
      <c r="T1707" s="5">
        <v>17</v>
      </c>
      <c r="U1707" s="5">
        <v>787</v>
      </c>
      <c r="V1707" s="5">
        <v>1</v>
      </c>
      <c r="W1707" s="5"/>
      <c r="X1707" s="5"/>
      <c r="Y1707" s="5"/>
      <c r="Z1707" s="5"/>
      <c r="AA1707" s="5"/>
      <c r="AB1707" s="5"/>
      <c r="AC1707" s="5"/>
      <c r="AD1707" s="5"/>
      <c r="AE1707" s="5"/>
      <c r="AF1707" s="5"/>
      <c r="AG1707" s="5"/>
      <c r="AH1707" s="5"/>
      <c r="AI1707" s="5"/>
      <c r="AJ1707" s="5"/>
      <c r="AK1707" s="5"/>
    </row>
    <row r="1708" spans="1:37" x14ac:dyDescent="0.25">
      <c r="A1708" s="11">
        <f>Table1[[#This Row],[Milk Yield]]-J1704</f>
        <v>-59</v>
      </c>
      <c r="B1708" t="s">
        <v>24</v>
      </c>
      <c r="C1708" s="2">
        <v>2</v>
      </c>
      <c r="D1708" s="12">
        <v>45894</v>
      </c>
      <c r="E1708" s="2">
        <v>38</v>
      </c>
      <c r="F1708" s="13">
        <v>0.6661111111111111</v>
      </c>
      <c r="G1708" s="3">
        <v>0.8647569444444444</v>
      </c>
      <c r="H1708" s="1">
        <v>0.1986111111111111</v>
      </c>
      <c r="I1708" s="5">
        <v>801</v>
      </c>
      <c r="J1708">
        <v>10684</v>
      </c>
      <c r="K1708">
        <v>168</v>
      </c>
      <c r="L1708" s="5">
        <v>87</v>
      </c>
      <c r="M1708" s="5">
        <v>799</v>
      </c>
      <c r="N1708">
        <v>11</v>
      </c>
      <c r="O1708">
        <v>788</v>
      </c>
      <c r="P1708" s="1">
        <v>0.22152777777777777</v>
      </c>
      <c r="Q1708" s="5">
        <v>2241</v>
      </c>
      <c r="R1708" s="14">
        <v>13.4</v>
      </c>
      <c r="S1708">
        <v>168</v>
      </c>
      <c r="T1708" s="5">
        <v>11</v>
      </c>
      <c r="U1708" s="5">
        <v>789</v>
      </c>
      <c r="V1708" s="5">
        <v>1</v>
      </c>
      <c r="W1708" s="5"/>
      <c r="X1708" s="5"/>
      <c r="Y1708" s="5"/>
      <c r="Z1708" s="5"/>
      <c r="AA1708" s="5"/>
      <c r="AB1708" s="5"/>
      <c r="AC1708" s="5"/>
      <c r="AD1708" s="5"/>
      <c r="AE1708" s="5"/>
      <c r="AF1708" s="5"/>
      <c r="AG1708" s="5"/>
      <c r="AH1708" s="5"/>
      <c r="AI1708" s="5"/>
      <c r="AJ1708" s="5"/>
      <c r="AK1708" s="5"/>
    </row>
    <row r="1709" spans="1:37" x14ac:dyDescent="0.25">
      <c r="A1709" s="11">
        <f>Table1[[#This Row],[Milk Yield]]-J1705</f>
        <v>-431</v>
      </c>
      <c r="B1709" t="s">
        <v>24</v>
      </c>
      <c r="C1709" s="2">
        <v>3</v>
      </c>
      <c r="D1709" s="12">
        <v>45894</v>
      </c>
      <c r="E1709" s="2">
        <v>35</v>
      </c>
      <c r="F1709" s="13">
        <v>0.99906249999999996</v>
      </c>
      <c r="G1709" s="3">
        <v>0.17553240740740741</v>
      </c>
      <c r="H1709" s="1">
        <v>0.1763888888888889</v>
      </c>
      <c r="I1709" s="5">
        <v>794</v>
      </c>
      <c r="J1709">
        <v>9840</v>
      </c>
      <c r="K1709">
        <v>187</v>
      </c>
      <c r="L1709" s="5">
        <v>131</v>
      </c>
      <c r="M1709" s="5">
        <v>793</v>
      </c>
      <c r="N1709">
        <v>11</v>
      </c>
      <c r="O1709">
        <v>782</v>
      </c>
      <c r="P1709" s="1">
        <v>0.21458333333333332</v>
      </c>
      <c r="Q1709" s="5">
        <v>2323</v>
      </c>
      <c r="R1709" s="14">
        <v>12.5</v>
      </c>
      <c r="S1709">
        <v>187</v>
      </c>
      <c r="T1709" s="5">
        <v>11</v>
      </c>
      <c r="U1709" s="5">
        <v>783</v>
      </c>
      <c r="V1709" s="5">
        <v>1</v>
      </c>
      <c r="W1709" s="5"/>
      <c r="X1709" s="5"/>
      <c r="Y1709" s="5"/>
      <c r="Z1709" s="5"/>
      <c r="AA1709" s="5"/>
      <c r="AB1709" s="5"/>
      <c r="AC1709" s="5"/>
      <c r="AD1709" s="5"/>
      <c r="AE1709" s="5"/>
      <c r="AF1709" s="5"/>
      <c r="AG1709" s="5"/>
      <c r="AH1709" s="5"/>
      <c r="AI1709" s="5"/>
      <c r="AJ1709" s="5"/>
      <c r="AK1709" s="5"/>
    </row>
    <row r="1710" spans="1:37" x14ac:dyDescent="0.25">
      <c r="A1710" s="11" t="e">
        <f>Table1[[#This Row],[Milk Yield]]-J1706</f>
        <v>#VALUE!</v>
      </c>
      <c r="B1710" t="s">
        <v>0</v>
      </c>
      <c r="C1710" s="2" t="s">
        <v>1</v>
      </c>
      <c r="D1710" s="12" t="s">
        <v>2</v>
      </c>
      <c r="E1710" s="2" t="s">
        <v>3</v>
      </c>
      <c r="F1710" s="13" t="s">
        <v>4</v>
      </c>
      <c r="G1710" s="3" t="s">
        <v>5</v>
      </c>
      <c r="H1710" s="1" t="s">
        <v>6</v>
      </c>
      <c r="I1710" s="5" t="s">
        <v>8</v>
      </c>
      <c r="J1710" t="s">
        <v>9</v>
      </c>
      <c r="K1710" t="s">
        <v>10</v>
      </c>
      <c r="L1710" s="5" t="s">
        <v>11</v>
      </c>
      <c r="M1710" s="5" t="s">
        <v>12</v>
      </c>
      <c r="N1710" t="s">
        <v>13</v>
      </c>
      <c r="O1710" t="s">
        <v>20</v>
      </c>
      <c r="P1710" s="1" t="s">
        <v>7</v>
      </c>
      <c r="Q1710" s="5" t="s">
        <v>15</v>
      </c>
      <c r="R1710" s="14" t="s">
        <v>18</v>
      </c>
      <c r="S1710" t="s">
        <v>16</v>
      </c>
      <c r="T1710" s="5" t="s">
        <v>14</v>
      </c>
      <c r="U1710" s="5" t="s">
        <v>17</v>
      </c>
      <c r="V1710" s="5" t="s">
        <v>19</v>
      </c>
      <c r="W1710" s="5"/>
      <c r="X1710" s="5"/>
      <c r="Y1710" s="5"/>
      <c r="Z1710" s="5"/>
      <c r="AA1710" s="5"/>
      <c r="AB1710" s="5"/>
      <c r="AC1710" s="5"/>
      <c r="AD1710" s="5"/>
      <c r="AE1710" s="5"/>
      <c r="AF1710" s="5"/>
      <c r="AG1710" s="5"/>
      <c r="AH1710" s="5"/>
      <c r="AI1710" s="5"/>
      <c r="AJ1710" s="5"/>
      <c r="AK1710" s="5"/>
    </row>
    <row r="1711" spans="1:37" x14ac:dyDescent="0.25">
      <c r="A1711" s="11">
        <f>Table1[[#This Row],[Milk Yield]]-J1707</f>
        <v>-6</v>
      </c>
      <c r="B1711" t="s">
        <v>24</v>
      </c>
      <c r="C1711" s="2">
        <v>1</v>
      </c>
      <c r="D1711" s="12">
        <v>45895</v>
      </c>
      <c r="E1711" s="2">
        <v>35</v>
      </c>
      <c r="F1711" s="13">
        <v>0.33381944444444445</v>
      </c>
      <c r="G1711" s="3">
        <v>0.52774305555555556</v>
      </c>
      <c r="H1711" s="1">
        <v>0.19375000000000001</v>
      </c>
      <c r="I1711" s="5">
        <v>796</v>
      </c>
      <c r="J1711">
        <v>11317</v>
      </c>
      <c r="K1711">
        <v>171</v>
      </c>
      <c r="L1711" s="5">
        <v>63</v>
      </c>
      <c r="M1711" s="5">
        <v>792</v>
      </c>
      <c r="N1711">
        <v>5</v>
      </c>
      <c r="O1711">
        <v>787</v>
      </c>
      <c r="P1711" s="1">
        <v>0.22500000000000001</v>
      </c>
      <c r="Q1711" s="5">
        <v>2432</v>
      </c>
      <c r="R1711" s="14">
        <v>14.3</v>
      </c>
      <c r="S1711">
        <v>170</v>
      </c>
      <c r="T1711" s="5">
        <v>5</v>
      </c>
      <c r="U1711" s="5">
        <v>788</v>
      </c>
      <c r="V1711" s="5">
        <v>1</v>
      </c>
      <c r="W1711" s="5"/>
      <c r="X1711" s="5"/>
      <c r="Y1711" s="5"/>
      <c r="Z1711" s="5"/>
      <c r="AA1711" s="5"/>
      <c r="AB1711" s="5"/>
      <c r="AC1711" s="5"/>
      <c r="AD1711" s="5"/>
      <c r="AE1711" s="5"/>
      <c r="AF1711" s="5"/>
      <c r="AG1711" s="5"/>
      <c r="AH1711" s="5"/>
      <c r="AI1711" s="5"/>
      <c r="AJ1711" s="5"/>
      <c r="AK1711" s="5"/>
    </row>
    <row r="1712" spans="1:37" x14ac:dyDescent="0.25">
      <c r="A1712" s="11">
        <f>Table1[[#This Row],[Milk Yield]]-J1708</f>
        <v>39</v>
      </c>
      <c r="B1712" t="s">
        <v>24</v>
      </c>
      <c r="C1712" s="2">
        <v>2</v>
      </c>
      <c r="D1712" s="12">
        <v>45895</v>
      </c>
      <c r="E1712" s="2">
        <v>38</v>
      </c>
      <c r="F1712" s="13">
        <v>0.66898148148148151</v>
      </c>
      <c r="G1712" s="3">
        <v>0.86525462962962962</v>
      </c>
      <c r="H1712" s="1">
        <v>0.19583333333333333</v>
      </c>
      <c r="I1712" s="5">
        <v>806</v>
      </c>
      <c r="J1712">
        <v>10723</v>
      </c>
      <c r="K1712">
        <v>171</v>
      </c>
      <c r="L1712" s="5">
        <v>138</v>
      </c>
      <c r="M1712" s="5">
        <v>806</v>
      </c>
      <c r="N1712">
        <v>43</v>
      </c>
      <c r="O1712">
        <v>763</v>
      </c>
      <c r="P1712" s="1">
        <v>0.23333333333333334</v>
      </c>
      <c r="Q1712" s="5">
        <v>2276</v>
      </c>
      <c r="R1712" s="14">
        <v>13.4</v>
      </c>
      <c r="S1712">
        <v>171</v>
      </c>
      <c r="T1712" s="5">
        <v>43</v>
      </c>
      <c r="U1712" s="5">
        <v>763</v>
      </c>
      <c r="V1712" s="5">
        <v>0</v>
      </c>
      <c r="W1712" s="5"/>
      <c r="X1712" s="5"/>
      <c r="Y1712" s="5"/>
      <c r="Z1712" s="5"/>
      <c r="AA1712" s="5"/>
      <c r="AB1712" s="5"/>
      <c r="AC1712" s="5"/>
      <c r="AD1712" s="5"/>
      <c r="AE1712" s="5"/>
      <c r="AF1712" s="5"/>
      <c r="AG1712" s="5"/>
      <c r="AH1712" s="5"/>
      <c r="AI1712" s="5"/>
      <c r="AJ1712" s="5"/>
      <c r="AK1712" s="5"/>
    </row>
    <row r="1713" spans="1:37" x14ac:dyDescent="0.25">
      <c r="A1713" s="11">
        <f>Table1[[#This Row],[Milk Yield]]-J1709</f>
        <v>173</v>
      </c>
      <c r="B1713" t="s">
        <v>24</v>
      </c>
      <c r="C1713" s="2">
        <v>3</v>
      </c>
      <c r="D1713" s="12">
        <v>45895</v>
      </c>
      <c r="E1713" s="2">
        <v>35</v>
      </c>
      <c r="F1713" s="13">
        <v>0.99369212962962961</v>
      </c>
      <c r="G1713" s="3">
        <v>0.18565972222222221</v>
      </c>
      <c r="H1713" s="1">
        <v>0.19166666666666668</v>
      </c>
      <c r="I1713" s="5">
        <v>798</v>
      </c>
      <c r="J1713">
        <v>10013</v>
      </c>
      <c r="K1713">
        <v>173</v>
      </c>
      <c r="L1713" s="5">
        <v>308</v>
      </c>
      <c r="M1713" s="5">
        <v>797</v>
      </c>
      <c r="N1713">
        <v>21</v>
      </c>
      <c r="O1713">
        <v>776</v>
      </c>
      <c r="P1713" s="1">
        <v>0.23680555555555555</v>
      </c>
      <c r="Q1713" s="5">
        <v>2173</v>
      </c>
      <c r="R1713" s="14">
        <v>12.6</v>
      </c>
      <c r="S1713">
        <v>173</v>
      </c>
      <c r="T1713" s="5">
        <v>21</v>
      </c>
      <c r="U1713" s="5">
        <v>776</v>
      </c>
      <c r="V1713" s="5">
        <v>0</v>
      </c>
      <c r="W1713" s="5"/>
      <c r="X1713" s="5"/>
      <c r="Y1713" s="5"/>
      <c r="Z1713" s="5"/>
      <c r="AA1713" s="5"/>
      <c r="AB1713" s="5"/>
      <c r="AC1713" s="5"/>
      <c r="AD1713" s="5"/>
      <c r="AE1713" s="5"/>
      <c r="AF1713" s="5"/>
      <c r="AG1713" s="5"/>
      <c r="AH1713" s="5"/>
      <c r="AI1713" s="5"/>
      <c r="AJ1713" s="5"/>
      <c r="AK1713" s="5"/>
    </row>
    <row r="1714" spans="1:37" x14ac:dyDescent="0.25">
      <c r="A1714" s="11" t="e">
        <f>Table1[[#This Row],[Milk Yield]]-J1710</f>
        <v>#VALUE!</v>
      </c>
      <c r="B1714" t="s">
        <v>0</v>
      </c>
      <c r="C1714" s="2" t="s">
        <v>1</v>
      </c>
      <c r="D1714" s="12" t="s">
        <v>2</v>
      </c>
      <c r="E1714" s="2" t="s">
        <v>3</v>
      </c>
      <c r="F1714" s="13" t="s">
        <v>4</v>
      </c>
      <c r="G1714" s="3" t="s">
        <v>5</v>
      </c>
      <c r="H1714" s="1" t="s">
        <v>6</v>
      </c>
      <c r="I1714" s="5" t="s">
        <v>8</v>
      </c>
      <c r="J1714" t="s">
        <v>9</v>
      </c>
      <c r="K1714" t="s">
        <v>10</v>
      </c>
      <c r="L1714" s="5" t="s">
        <v>11</v>
      </c>
      <c r="M1714" s="5" t="s">
        <v>12</v>
      </c>
      <c r="N1714" t="s">
        <v>13</v>
      </c>
      <c r="O1714" t="s">
        <v>20</v>
      </c>
      <c r="P1714" s="1" t="s">
        <v>7</v>
      </c>
      <c r="Q1714" s="5" t="s">
        <v>15</v>
      </c>
      <c r="R1714" s="14" t="s">
        <v>18</v>
      </c>
      <c r="S1714" t="s">
        <v>16</v>
      </c>
      <c r="T1714" s="5" t="s">
        <v>14</v>
      </c>
      <c r="U1714" s="5" t="s">
        <v>17</v>
      </c>
      <c r="V1714" s="5" t="s">
        <v>19</v>
      </c>
      <c r="W1714" s="5"/>
      <c r="X1714" s="5"/>
      <c r="Y1714" s="5"/>
      <c r="Z1714" s="5"/>
      <c r="AA1714" s="5"/>
      <c r="AB1714" s="5"/>
      <c r="AC1714" s="5"/>
      <c r="AD1714" s="5"/>
      <c r="AE1714" s="5"/>
      <c r="AF1714" s="5"/>
      <c r="AG1714" s="5"/>
      <c r="AH1714" s="5"/>
      <c r="AI1714" s="5"/>
      <c r="AJ1714" s="5"/>
      <c r="AK1714" s="5"/>
    </row>
    <row r="1715" spans="1:37" x14ac:dyDescent="0.25">
      <c r="A1715" s="11">
        <f>Table1[[#This Row],[Milk Yield]]-J1711</f>
        <v>157</v>
      </c>
      <c r="B1715" t="s">
        <v>24</v>
      </c>
      <c r="C1715" s="2">
        <v>1</v>
      </c>
      <c r="D1715" s="12">
        <v>45896</v>
      </c>
      <c r="E1715" s="2">
        <v>35</v>
      </c>
      <c r="F1715" s="13">
        <v>0.33598379629629632</v>
      </c>
      <c r="G1715" s="3">
        <v>0.54675925925925928</v>
      </c>
      <c r="H1715" s="1">
        <v>0.21041666666666667</v>
      </c>
      <c r="I1715" s="5">
        <v>798</v>
      </c>
      <c r="J1715">
        <v>11474</v>
      </c>
      <c r="K1715">
        <v>158</v>
      </c>
      <c r="L1715" s="5">
        <v>81</v>
      </c>
      <c r="M1715" s="5">
        <v>798</v>
      </c>
      <c r="N1715">
        <v>6</v>
      </c>
      <c r="O1715">
        <v>792</v>
      </c>
      <c r="P1715" s="1">
        <v>0.22291666666666668</v>
      </c>
      <c r="Q1715" s="5">
        <v>2268</v>
      </c>
      <c r="R1715" s="14">
        <v>14.4</v>
      </c>
      <c r="S1715">
        <v>158</v>
      </c>
      <c r="T1715" s="5">
        <v>6</v>
      </c>
      <c r="U1715" s="5">
        <v>792</v>
      </c>
      <c r="V1715" s="5">
        <v>0</v>
      </c>
      <c r="W1715" s="5"/>
      <c r="X1715" s="5"/>
      <c r="Y1715" s="5"/>
      <c r="Z1715" s="5"/>
      <c r="AA1715" s="5"/>
      <c r="AB1715" s="5"/>
      <c r="AC1715" s="5"/>
      <c r="AD1715" s="5"/>
      <c r="AE1715" s="5"/>
      <c r="AF1715" s="5"/>
      <c r="AG1715" s="5"/>
      <c r="AH1715" s="5"/>
      <c r="AI1715" s="5"/>
      <c r="AJ1715" s="5"/>
      <c r="AK1715" s="5"/>
    </row>
    <row r="1716" spans="1:37" x14ac:dyDescent="0.25">
      <c r="A1716" s="11">
        <f>Table1[[#This Row],[Milk Yield]]-J1712</f>
        <v>3</v>
      </c>
      <c r="B1716" t="s">
        <v>24</v>
      </c>
      <c r="C1716" s="2">
        <v>2</v>
      </c>
      <c r="D1716" s="12">
        <v>45896</v>
      </c>
      <c r="E1716" s="2">
        <v>39</v>
      </c>
      <c r="F1716" s="13">
        <v>0.66931712962962964</v>
      </c>
      <c r="G1716" s="3">
        <v>0.88031250000000005</v>
      </c>
      <c r="H1716" s="1">
        <v>0.21041666666666667</v>
      </c>
      <c r="I1716" s="5">
        <v>799</v>
      </c>
      <c r="J1716">
        <v>10726</v>
      </c>
      <c r="K1716">
        <v>158</v>
      </c>
      <c r="L1716" s="5">
        <v>115</v>
      </c>
      <c r="M1716" s="5">
        <v>799</v>
      </c>
      <c r="N1716">
        <v>12</v>
      </c>
      <c r="O1716">
        <v>787</v>
      </c>
      <c r="P1716" s="1">
        <v>0.22638888888888889</v>
      </c>
      <c r="Q1716" s="5">
        <v>2118</v>
      </c>
      <c r="R1716" s="14">
        <v>13.5</v>
      </c>
      <c r="S1716">
        <v>158</v>
      </c>
      <c r="T1716" s="5">
        <v>12</v>
      </c>
      <c r="U1716" s="5">
        <v>787</v>
      </c>
      <c r="V1716" s="5">
        <v>0</v>
      </c>
      <c r="W1716" s="5"/>
      <c r="X1716" s="5"/>
      <c r="Y1716" s="5"/>
      <c r="Z1716" s="5"/>
      <c r="AA1716" s="5"/>
      <c r="AB1716" s="5"/>
      <c r="AC1716" s="5"/>
      <c r="AD1716" s="5"/>
      <c r="AE1716" s="5"/>
      <c r="AF1716" s="5"/>
      <c r="AG1716" s="5"/>
      <c r="AH1716" s="5"/>
      <c r="AI1716" s="5"/>
      <c r="AJ1716" s="5"/>
      <c r="AK1716" s="5"/>
    </row>
    <row r="1717" spans="1:37" x14ac:dyDescent="0.25">
      <c r="A1717" s="11">
        <f>Table1[[#This Row],[Milk Yield]]-J1713</f>
        <v>-135</v>
      </c>
      <c r="B1717" t="s">
        <v>24</v>
      </c>
      <c r="C1717" s="2">
        <v>3</v>
      </c>
      <c r="D1717" s="12">
        <v>45896</v>
      </c>
      <c r="E1717" s="2">
        <v>36</v>
      </c>
      <c r="F1717" s="13">
        <v>0.99792824074074071</v>
      </c>
      <c r="G1717" s="3">
        <v>0.18402777777777779</v>
      </c>
      <c r="H1717" s="1">
        <v>0.18541666666666667</v>
      </c>
      <c r="I1717" s="5">
        <v>802</v>
      </c>
      <c r="J1717">
        <v>9878</v>
      </c>
      <c r="K1717">
        <v>180</v>
      </c>
      <c r="L1717" s="5">
        <v>63</v>
      </c>
      <c r="M1717" s="5">
        <v>799</v>
      </c>
      <c r="N1717">
        <v>5</v>
      </c>
      <c r="O1717">
        <v>794</v>
      </c>
      <c r="P1717" s="1">
        <v>0.20624999999999999</v>
      </c>
      <c r="Q1717" s="5">
        <v>2212</v>
      </c>
      <c r="R1717" s="14">
        <v>12.4</v>
      </c>
      <c r="S1717">
        <v>179</v>
      </c>
      <c r="T1717" s="5">
        <v>5</v>
      </c>
      <c r="U1717" s="5">
        <v>794</v>
      </c>
      <c r="V1717" s="5">
        <v>0</v>
      </c>
      <c r="W1717" s="5"/>
      <c r="X1717" s="5"/>
      <c r="Y1717" s="5"/>
      <c r="Z1717" s="5"/>
      <c r="AA1717" s="5"/>
      <c r="AB1717" s="5"/>
      <c r="AC1717" s="5"/>
      <c r="AD1717" s="5"/>
      <c r="AE1717" s="5"/>
      <c r="AF1717" s="5"/>
      <c r="AG1717" s="5"/>
      <c r="AH1717" s="5"/>
      <c r="AI1717" s="5"/>
      <c r="AJ1717" s="5"/>
      <c r="AK1717" s="5"/>
    </row>
    <row r="1718" spans="1:37" x14ac:dyDescent="0.25">
      <c r="A1718" s="11" t="e">
        <f>Table1[[#This Row],[Milk Yield]]-J1714</f>
        <v>#VALUE!</v>
      </c>
      <c r="B1718" t="s">
        <v>0</v>
      </c>
      <c r="C1718" s="2" t="s">
        <v>1</v>
      </c>
      <c r="D1718" s="12" t="s">
        <v>2</v>
      </c>
      <c r="E1718" s="2" t="s">
        <v>3</v>
      </c>
      <c r="F1718" s="13" t="s">
        <v>4</v>
      </c>
      <c r="G1718" s="3" t="s">
        <v>5</v>
      </c>
      <c r="H1718" s="1" t="s">
        <v>6</v>
      </c>
      <c r="I1718" s="5" t="s">
        <v>8</v>
      </c>
      <c r="J1718" t="s">
        <v>9</v>
      </c>
      <c r="K1718" t="s">
        <v>10</v>
      </c>
      <c r="L1718" s="5" t="s">
        <v>11</v>
      </c>
      <c r="M1718" s="5" t="s">
        <v>12</v>
      </c>
      <c r="N1718" t="s">
        <v>13</v>
      </c>
      <c r="O1718" t="s">
        <v>20</v>
      </c>
      <c r="P1718" s="1" t="s">
        <v>7</v>
      </c>
      <c r="Q1718" s="5" t="s">
        <v>15</v>
      </c>
      <c r="R1718" s="14" t="s">
        <v>18</v>
      </c>
      <c r="S1718" t="s">
        <v>16</v>
      </c>
      <c r="T1718" s="5" t="s">
        <v>14</v>
      </c>
      <c r="U1718" s="5" t="s">
        <v>17</v>
      </c>
      <c r="V1718" s="5" t="s">
        <v>19</v>
      </c>
      <c r="W1718" s="5"/>
      <c r="X1718" s="5"/>
      <c r="Y1718" s="5"/>
      <c r="Z1718" s="5"/>
      <c r="AA1718" s="5"/>
      <c r="AB1718" s="5"/>
      <c r="AC1718" s="5"/>
      <c r="AD1718" s="5"/>
      <c r="AE1718" s="5"/>
      <c r="AF1718" s="5"/>
      <c r="AG1718" s="5"/>
      <c r="AH1718" s="5"/>
      <c r="AI1718" s="5"/>
      <c r="AJ1718" s="5"/>
      <c r="AK1718" s="5"/>
    </row>
    <row r="1719" spans="1:37" x14ac:dyDescent="0.25">
      <c r="A1719" s="11">
        <f>Table1[[#This Row],[Milk Yield]]-J1715</f>
        <v>-104</v>
      </c>
      <c r="B1719" t="s">
        <v>24</v>
      </c>
      <c r="C1719" s="2">
        <v>1</v>
      </c>
      <c r="D1719" s="12">
        <v>45897</v>
      </c>
      <c r="E1719" s="2">
        <v>39</v>
      </c>
      <c r="F1719" s="13">
        <v>0.3409375</v>
      </c>
      <c r="G1719" s="3">
        <v>0.53959490740740745</v>
      </c>
      <c r="H1719" s="1">
        <v>0.1986111111111111</v>
      </c>
      <c r="I1719" s="5">
        <v>804</v>
      </c>
      <c r="J1719">
        <v>11370</v>
      </c>
      <c r="K1719">
        <v>169</v>
      </c>
      <c r="L1719" s="5">
        <v>127</v>
      </c>
      <c r="M1719" s="5">
        <v>802</v>
      </c>
      <c r="N1719">
        <v>11</v>
      </c>
      <c r="O1719">
        <v>791</v>
      </c>
      <c r="P1719" s="1">
        <v>0.22916666666666666</v>
      </c>
      <c r="Q1719" s="5">
        <v>2385</v>
      </c>
      <c r="R1719" s="14">
        <v>14.2</v>
      </c>
      <c r="S1719">
        <v>168</v>
      </c>
      <c r="T1719" s="5">
        <v>11</v>
      </c>
      <c r="U1719" s="5">
        <v>791</v>
      </c>
      <c r="V1719" s="5">
        <v>0</v>
      </c>
      <c r="W1719" s="5"/>
      <c r="X1719" s="5"/>
      <c r="Y1719" s="5"/>
      <c r="Z1719" s="5"/>
      <c r="AA1719" s="5"/>
      <c r="AB1719" s="5"/>
      <c r="AC1719" s="5"/>
      <c r="AD1719" s="5"/>
      <c r="AE1719" s="5"/>
      <c r="AF1719" s="5"/>
      <c r="AG1719" s="5"/>
      <c r="AH1719" s="5"/>
      <c r="AI1719" s="5"/>
      <c r="AJ1719" s="5"/>
      <c r="AK1719" s="5"/>
    </row>
    <row r="1720" spans="1:37" x14ac:dyDescent="0.25">
      <c r="A1720" s="11">
        <f>Table1[[#This Row],[Milk Yield]]-J1716</f>
        <v>-269</v>
      </c>
      <c r="B1720" t="s">
        <v>24</v>
      </c>
      <c r="C1720" s="2">
        <v>2</v>
      </c>
      <c r="D1720" s="12">
        <v>45897</v>
      </c>
      <c r="E1720" s="2">
        <v>37</v>
      </c>
      <c r="F1720" s="13">
        <v>0.66825231481481484</v>
      </c>
      <c r="G1720" s="3">
        <v>0.85832175925925924</v>
      </c>
      <c r="H1720" s="1">
        <v>0.18958333333333333</v>
      </c>
      <c r="I1720" s="5">
        <v>798</v>
      </c>
      <c r="J1720">
        <v>10457</v>
      </c>
      <c r="K1720">
        <v>175</v>
      </c>
      <c r="L1720" s="5">
        <v>60</v>
      </c>
      <c r="M1720" s="5">
        <v>796</v>
      </c>
      <c r="N1720">
        <v>5</v>
      </c>
      <c r="O1720">
        <v>791</v>
      </c>
      <c r="P1720" s="1">
        <v>0.22291666666666668</v>
      </c>
      <c r="Q1720" s="5">
        <v>2292</v>
      </c>
      <c r="R1720" s="14">
        <v>13.2</v>
      </c>
      <c r="S1720">
        <v>174</v>
      </c>
      <c r="T1720" s="5">
        <v>5</v>
      </c>
      <c r="U1720" s="5">
        <v>791</v>
      </c>
      <c r="V1720" s="5">
        <v>0</v>
      </c>
      <c r="W1720" s="5"/>
      <c r="X1720" s="5"/>
      <c r="Y1720" s="5"/>
      <c r="Z1720" s="5"/>
      <c r="AA1720" s="5"/>
      <c r="AB1720" s="5"/>
      <c r="AC1720" s="5"/>
      <c r="AD1720" s="5"/>
      <c r="AE1720" s="5"/>
      <c r="AF1720" s="5"/>
      <c r="AG1720" s="5"/>
      <c r="AH1720" s="5"/>
      <c r="AI1720" s="5"/>
      <c r="AJ1720" s="5"/>
      <c r="AK1720" s="5"/>
    </row>
    <row r="1721" spans="1:37" x14ac:dyDescent="0.25">
      <c r="A1721" s="11">
        <f>Table1[[#This Row],[Milk Yield]]-J1717</f>
        <v>-200</v>
      </c>
      <c r="B1721" t="s">
        <v>24</v>
      </c>
      <c r="C1721" s="2">
        <v>3</v>
      </c>
      <c r="D1721" s="12">
        <v>45897</v>
      </c>
      <c r="E1721" s="2">
        <v>35</v>
      </c>
      <c r="F1721" s="13">
        <v>0.9993171296296296</v>
      </c>
      <c r="G1721" s="3">
        <v>0.17328703703703704</v>
      </c>
      <c r="H1721" s="1">
        <v>0.1736111111111111</v>
      </c>
      <c r="I1721" s="5">
        <v>797</v>
      </c>
      <c r="J1721">
        <v>9678</v>
      </c>
      <c r="K1721">
        <v>191</v>
      </c>
      <c r="L1721" s="5">
        <v>35</v>
      </c>
      <c r="M1721" s="5">
        <v>797</v>
      </c>
      <c r="N1721">
        <v>3</v>
      </c>
      <c r="O1721">
        <v>794</v>
      </c>
      <c r="P1721" s="1">
        <v>0.2048611111111111</v>
      </c>
      <c r="Q1721" s="5">
        <v>2318</v>
      </c>
      <c r="R1721" s="14">
        <v>12.2</v>
      </c>
      <c r="S1721">
        <v>191</v>
      </c>
      <c r="T1721" s="5">
        <v>3</v>
      </c>
      <c r="U1721" s="5">
        <v>794</v>
      </c>
      <c r="V1721" s="5">
        <v>0</v>
      </c>
      <c r="W1721" s="5"/>
      <c r="X1721" s="5"/>
      <c r="Y1721" s="5"/>
      <c r="Z1721" s="5"/>
      <c r="AA1721" s="5"/>
      <c r="AB1721" s="5"/>
      <c r="AC1721" s="5"/>
      <c r="AD1721" s="5"/>
      <c r="AE1721" s="5"/>
      <c r="AF1721" s="5"/>
      <c r="AG1721" s="5"/>
      <c r="AH1721" s="5"/>
      <c r="AI1721" s="5"/>
      <c r="AJ1721" s="5"/>
      <c r="AK1721" s="5"/>
    </row>
    <row r="1722" spans="1:37" x14ac:dyDescent="0.25">
      <c r="A1722" s="11" t="e">
        <f>Table1[[#This Row],[Milk Yield]]-J1718</f>
        <v>#VALUE!</v>
      </c>
      <c r="B1722" t="s">
        <v>0</v>
      </c>
      <c r="C1722" s="2" t="s">
        <v>1</v>
      </c>
      <c r="D1722" s="12" t="s">
        <v>2</v>
      </c>
      <c r="E1722" s="2" t="s">
        <v>3</v>
      </c>
      <c r="F1722" s="13" t="s">
        <v>4</v>
      </c>
      <c r="G1722" s="3" t="s">
        <v>5</v>
      </c>
      <c r="H1722" s="1" t="s">
        <v>6</v>
      </c>
      <c r="I1722" s="5" t="s">
        <v>8</v>
      </c>
      <c r="J1722" t="s">
        <v>9</v>
      </c>
      <c r="K1722" t="s">
        <v>10</v>
      </c>
      <c r="L1722" s="5" t="s">
        <v>11</v>
      </c>
      <c r="M1722" s="5" t="s">
        <v>12</v>
      </c>
      <c r="N1722" t="s">
        <v>13</v>
      </c>
      <c r="O1722" t="s">
        <v>20</v>
      </c>
      <c r="P1722" s="1" t="s">
        <v>7</v>
      </c>
      <c r="Q1722" s="5" t="s">
        <v>15</v>
      </c>
      <c r="R1722" s="14" t="s">
        <v>18</v>
      </c>
      <c r="S1722" t="s">
        <v>16</v>
      </c>
      <c r="T1722" s="5" t="s">
        <v>14</v>
      </c>
      <c r="U1722" s="5" t="s">
        <v>17</v>
      </c>
      <c r="V1722" s="5" t="s">
        <v>19</v>
      </c>
      <c r="W1722" s="5"/>
      <c r="X1722" s="5"/>
      <c r="Y1722" s="5"/>
      <c r="Z1722" s="5"/>
      <c r="AA1722" s="5"/>
      <c r="AB1722" s="5"/>
      <c r="AC1722" s="5"/>
      <c r="AD1722" s="5"/>
      <c r="AE1722" s="5"/>
      <c r="AF1722" s="5"/>
      <c r="AG1722" s="5"/>
      <c r="AH1722" s="5"/>
      <c r="AI1722" s="5"/>
      <c r="AJ1722" s="5"/>
      <c r="AK1722" s="5"/>
    </row>
    <row r="1723" spans="1:37" x14ac:dyDescent="0.25">
      <c r="A1723" s="11">
        <f>Table1[[#This Row],[Milk Yield]]-J1719</f>
        <v>722</v>
      </c>
      <c r="B1723" t="s">
        <v>24</v>
      </c>
      <c r="C1723" s="2">
        <v>1</v>
      </c>
      <c r="D1723" s="12">
        <v>45898</v>
      </c>
      <c r="E1723" s="2">
        <v>41</v>
      </c>
      <c r="F1723" s="13">
        <v>0.33501157407407406</v>
      </c>
      <c r="G1723" s="3">
        <v>0.55678240740740736</v>
      </c>
      <c r="H1723" s="1">
        <v>0.22152777777777777</v>
      </c>
      <c r="I1723" s="5">
        <v>820</v>
      </c>
      <c r="J1723">
        <v>12092</v>
      </c>
      <c r="K1723">
        <v>154</v>
      </c>
      <c r="L1723" s="5">
        <v>248</v>
      </c>
      <c r="M1723" s="5">
        <v>820</v>
      </c>
      <c r="N1723">
        <v>27</v>
      </c>
      <c r="O1723">
        <v>793</v>
      </c>
      <c r="P1723" s="1">
        <v>0.23194444444444445</v>
      </c>
      <c r="Q1723" s="5">
        <v>2272</v>
      </c>
      <c r="R1723" s="14">
        <v>14.8</v>
      </c>
      <c r="S1723">
        <v>154</v>
      </c>
      <c r="T1723" s="5">
        <v>27</v>
      </c>
      <c r="U1723" s="5">
        <v>793</v>
      </c>
      <c r="V1723" s="5">
        <v>0</v>
      </c>
      <c r="W1723" s="5"/>
      <c r="X1723" s="5"/>
      <c r="Y1723" s="5"/>
      <c r="Z1723" s="5"/>
      <c r="AA1723" s="5"/>
      <c r="AB1723" s="5"/>
      <c r="AC1723" s="5"/>
      <c r="AD1723" s="5"/>
      <c r="AE1723" s="5"/>
      <c r="AF1723" s="5"/>
      <c r="AG1723" s="5"/>
      <c r="AH1723" s="5"/>
      <c r="AI1723" s="5"/>
      <c r="AJ1723" s="5"/>
      <c r="AK1723" s="5"/>
    </row>
    <row r="1724" spans="1:37" x14ac:dyDescent="0.25">
      <c r="A1724" s="11">
        <f>Table1[[#This Row],[Milk Yield]]-J1720</f>
        <v>97</v>
      </c>
      <c r="B1724" t="s">
        <v>24</v>
      </c>
      <c r="C1724" s="2">
        <v>2</v>
      </c>
      <c r="D1724" s="12">
        <v>45898</v>
      </c>
      <c r="E1724" s="2">
        <v>39</v>
      </c>
      <c r="F1724" s="13">
        <v>0.66599537037037038</v>
      </c>
      <c r="G1724" s="3">
        <v>0.87711805555555555</v>
      </c>
      <c r="H1724" s="1">
        <v>0.21111111111111111</v>
      </c>
      <c r="I1724" s="5">
        <v>801</v>
      </c>
      <c r="J1724">
        <v>10554</v>
      </c>
      <c r="K1724">
        <v>158</v>
      </c>
      <c r="L1724" s="5">
        <v>82</v>
      </c>
      <c r="M1724" s="5">
        <v>800</v>
      </c>
      <c r="N1724">
        <v>9</v>
      </c>
      <c r="O1724">
        <v>791</v>
      </c>
      <c r="P1724" s="1">
        <v>0.22500000000000001</v>
      </c>
      <c r="Q1724" s="5">
        <v>2083</v>
      </c>
      <c r="R1724" s="14">
        <v>13.2</v>
      </c>
      <c r="S1724">
        <v>158</v>
      </c>
      <c r="T1724" s="5">
        <v>9</v>
      </c>
      <c r="U1724" s="5">
        <v>791</v>
      </c>
      <c r="V1724" s="5">
        <v>0</v>
      </c>
      <c r="W1724" s="5"/>
      <c r="X1724" s="5"/>
      <c r="Y1724" s="5"/>
      <c r="Z1724" s="5"/>
      <c r="AA1724" s="5"/>
      <c r="AB1724" s="5"/>
      <c r="AC1724" s="5"/>
      <c r="AD1724" s="5"/>
      <c r="AE1724" s="5"/>
      <c r="AF1724" s="5"/>
      <c r="AG1724" s="5"/>
      <c r="AH1724" s="5"/>
      <c r="AI1724" s="5"/>
      <c r="AJ1724" s="5"/>
      <c r="AK1724" s="5"/>
    </row>
    <row r="1725" spans="1:37" x14ac:dyDescent="0.25">
      <c r="A1725" s="11">
        <f>Table1[[#This Row],[Milk Yield]]-J1721</f>
        <v>-218</v>
      </c>
      <c r="B1725" t="s">
        <v>24</v>
      </c>
      <c r="C1725" s="2">
        <v>3</v>
      </c>
      <c r="D1725" s="12">
        <v>45898</v>
      </c>
      <c r="E1725" s="2">
        <v>35</v>
      </c>
      <c r="F1725" s="13">
        <v>0.99784722222222222</v>
      </c>
      <c r="G1725" s="3">
        <v>0.16010416666666666</v>
      </c>
      <c r="H1725" s="1">
        <v>0.16180555555555556</v>
      </c>
      <c r="I1725" s="5">
        <v>796</v>
      </c>
      <c r="J1725">
        <v>9460</v>
      </c>
      <c r="K1725">
        <v>204</v>
      </c>
      <c r="L1725" s="5">
        <v>108</v>
      </c>
      <c r="M1725" s="5">
        <v>796</v>
      </c>
      <c r="N1725">
        <v>10</v>
      </c>
      <c r="O1725">
        <v>786</v>
      </c>
      <c r="P1725" s="1">
        <v>0.20069444444444445</v>
      </c>
      <c r="Q1725" s="5">
        <v>2429</v>
      </c>
      <c r="R1725" s="14">
        <v>11.9</v>
      </c>
      <c r="S1725">
        <v>204</v>
      </c>
      <c r="T1725" s="5">
        <v>10</v>
      </c>
      <c r="U1725" s="5">
        <v>787</v>
      </c>
      <c r="V1725" s="5">
        <v>1</v>
      </c>
      <c r="W1725" s="5"/>
      <c r="X1725" s="5"/>
      <c r="Y1725" s="5"/>
      <c r="Z1725" s="5"/>
      <c r="AA1725" s="5"/>
      <c r="AB1725" s="5"/>
      <c r="AC1725" s="5"/>
      <c r="AD1725" s="5"/>
      <c r="AE1725" s="5"/>
      <c r="AF1725" s="5"/>
      <c r="AG1725" s="5"/>
      <c r="AH1725" s="5"/>
      <c r="AI1725" s="5"/>
      <c r="AJ1725" s="5"/>
      <c r="AK1725" s="5"/>
    </row>
    <row r="1726" spans="1:37" x14ac:dyDescent="0.25">
      <c r="A1726" s="11" t="e">
        <f>Table1[[#This Row],[Milk Yield]]-J1722</f>
        <v>#VALUE!</v>
      </c>
      <c r="B1726" t="s">
        <v>0</v>
      </c>
      <c r="C1726" s="2" t="s">
        <v>1</v>
      </c>
      <c r="D1726" s="12" t="s">
        <v>2</v>
      </c>
      <c r="E1726" s="2" t="s">
        <v>3</v>
      </c>
      <c r="F1726" s="13" t="s">
        <v>4</v>
      </c>
      <c r="G1726" s="3" t="s">
        <v>5</v>
      </c>
      <c r="H1726" s="1" t="s">
        <v>6</v>
      </c>
      <c r="I1726" s="5" t="s">
        <v>8</v>
      </c>
      <c r="J1726" t="s">
        <v>9</v>
      </c>
      <c r="K1726" t="s">
        <v>10</v>
      </c>
      <c r="L1726" s="5" t="s">
        <v>11</v>
      </c>
      <c r="M1726" s="5" t="s">
        <v>12</v>
      </c>
      <c r="N1726" t="s">
        <v>13</v>
      </c>
      <c r="O1726" t="s">
        <v>20</v>
      </c>
      <c r="P1726" s="1" t="s">
        <v>7</v>
      </c>
      <c r="Q1726" s="5" t="s">
        <v>15</v>
      </c>
      <c r="R1726" s="14" t="s">
        <v>18</v>
      </c>
      <c r="S1726" t="s">
        <v>16</v>
      </c>
      <c r="T1726" s="5" t="s">
        <v>14</v>
      </c>
      <c r="U1726" s="5" t="s">
        <v>17</v>
      </c>
      <c r="V1726" s="5" t="s">
        <v>19</v>
      </c>
      <c r="W1726" s="5"/>
      <c r="X1726" s="5"/>
      <c r="Y1726" s="5"/>
      <c r="Z1726" s="5"/>
      <c r="AA1726" s="5"/>
      <c r="AB1726" s="5"/>
      <c r="AC1726" s="5"/>
      <c r="AD1726" s="5"/>
      <c r="AE1726" s="5"/>
      <c r="AF1726" s="5"/>
      <c r="AG1726" s="5"/>
      <c r="AH1726" s="5"/>
      <c r="AI1726" s="5"/>
      <c r="AJ1726" s="5"/>
      <c r="AK1726" s="5"/>
    </row>
    <row r="1727" spans="1:37" x14ac:dyDescent="0.25">
      <c r="A1727" s="11">
        <f>Table1[[#This Row],[Milk Yield]]-J1723</f>
        <v>-223</v>
      </c>
      <c r="B1727" t="s">
        <v>24</v>
      </c>
      <c r="C1727" s="2">
        <v>1</v>
      </c>
      <c r="D1727" s="12">
        <v>45899</v>
      </c>
      <c r="E1727" s="2">
        <v>37</v>
      </c>
      <c r="F1727" s="13">
        <v>0.33478009259259262</v>
      </c>
      <c r="G1727" s="3">
        <v>0.53461805555555553</v>
      </c>
      <c r="H1727" s="1">
        <v>0.19930555555555557</v>
      </c>
      <c r="I1727" s="5">
        <v>797</v>
      </c>
      <c r="J1727">
        <v>11869</v>
      </c>
      <c r="K1727">
        <v>166</v>
      </c>
      <c r="L1727" s="5">
        <v>35</v>
      </c>
      <c r="M1727" s="5">
        <v>797</v>
      </c>
      <c r="N1727">
        <v>4</v>
      </c>
      <c r="O1727">
        <v>793</v>
      </c>
      <c r="P1727" s="1">
        <v>0.23194444444444445</v>
      </c>
      <c r="Q1727" s="5">
        <v>2475</v>
      </c>
      <c r="R1727" s="14">
        <v>14.9</v>
      </c>
      <c r="S1727">
        <v>166</v>
      </c>
      <c r="T1727" s="5">
        <v>4</v>
      </c>
      <c r="U1727" s="5">
        <v>794</v>
      </c>
      <c r="V1727" s="5">
        <v>1</v>
      </c>
      <c r="W1727" s="5"/>
      <c r="X1727" s="5"/>
      <c r="Y1727" s="5"/>
      <c r="Z1727" s="5"/>
      <c r="AA1727" s="5"/>
      <c r="AB1727" s="5"/>
      <c r="AC1727" s="5"/>
      <c r="AD1727" s="5"/>
      <c r="AE1727" s="5"/>
      <c r="AF1727" s="5"/>
      <c r="AG1727" s="5"/>
      <c r="AH1727" s="5"/>
      <c r="AI1727" s="5"/>
      <c r="AJ1727" s="5"/>
      <c r="AK1727" s="5"/>
    </row>
    <row r="1728" spans="1:37" x14ac:dyDescent="0.25">
      <c r="A1728" s="11">
        <f>Table1[[#This Row],[Milk Yield]]-J1724</f>
        <v>437</v>
      </c>
      <c r="B1728" t="s">
        <v>24</v>
      </c>
      <c r="C1728" s="2">
        <v>2</v>
      </c>
      <c r="D1728" s="12">
        <v>45899</v>
      </c>
      <c r="E1728" s="2">
        <v>38</v>
      </c>
      <c r="F1728" s="13">
        <v>0.66634259259259254</v>
      </c>
      <c r="G1728" s="3">
        <v>0.87592592592592589</v>
      </c>
      <c r="H1728" s="1">
        <v>0.20902777777777778</v>
      </c>
      <c r="I1728" s="5">
        <v>800</v>
      </c>
      <c r="J1728">
        <v>10991</v>
      </c>
      <c r="K1728">
        <v>159</v>
      </c>
      <c r="L1728" s="5">
        <v>148</v>
      </c>
      <c r="M1728" s="5">
        <v>799</v>
      </c>
      <c r="N1728">
        <v>16</v>
      </c>
      <c r="O1728">
        <v>783</v>
      </c>
      <c r="P1728" s="1">
        <v>0.2326388888888889</v>
      </c>
      <c r="Q1728" s="5">
        <v>2185</v>
      </c>
      <c r="R1728" s="14">
        <v>13.8</v>
      </c>
      <c r="S1728">
        <v>159</v>
      </c>
      <c r="T1728" s="5">
        <v>16</v>
      </c>
      <c r="U1728" s="5">
        <v>784</v>
      </c>
      <c r="V1728" s="5">
        <v>1</v>
      </c>
      <c r="W1728" s="5"/>
      <c r="X1728" s="5"/>
      <c r="Y1728" s="5"/>
      <c r="Z1728" s="5"/>
      <c r="AA1728" s="5"/>
      <c r="AB1728" s="5"/>
      <c r="AC1728" s="5"/>
      <c r="AD1728" s="5"/>
      <c r="AE1728" s="5"/>
      <c r="AF1728" s="5"/>
      <c r="AG1728" s="5"/>
      <c r="AH1728" s="5"/>
      <c r="AI1728" s="5"/>
      <c r="AJ1728" s="5"/>
      <c r="AK1728" s="5"/>
    </row>
    <row r="1729" spans="1:37" x14ac:dyDescent="0.25">
      <c r="A1729" s="11">
        <f>Table1[[#This Row],[Milk Yield]]-J1725</f>
        <v>301</v>
      </c>
      <c r="B1729" t="s">
        <v>24</v>
      </c>
      <c r="C1729" s="2">
        <v>3</v>
      </c>
      <c r="D1729" s="12">
        <v>45899</v>
      </c>
      <c r="E1729" s="2">
        <v>36</v>
      </c>
      <c r="F1729" s="13">
        <v>0.99964120370370368</v>
      </c>
      <c r="G1729" s="3">
        <v>0.18481481481481482</v>
      </c>
      <c r="H1729" s="1">
        <v>0.18472222222222223</v>
      </c>
      <c r="I1729" s="5">
        <v>793</v>
      </c>
      <c r="J1729">
        <v>9761</v>
      </c>
      <c r="K1729">
        <v>178</v>
      </c>
      <c r="L1729" s="5">
        <v>52</v>
      </c>
      <c r="M1729" s="5">
        <v>792</v>
      </c>
      <c r="N1729">
        <v>5</v>
      </c>
      <c r="O1729">
        <v>787</v>
      </c>
      <c r="P1729" s="1">
        <v>0.20694444444444443</v>
      </c>
      <c r="Q1729" s="5">
        <v>2196</v>
      </c>
      <c r="R1729" s="14">
        <v>12.4</v>
      </c>
      <c r="S1729">
        <v>178</v>
      </c>
      <c r="T1729" s="5">
        <v>5</v>
      </c>
      <c r="U1729" s="5">
        <v>788</v>
      </c>
      <c r="V1729" s="5">
        <v>1</v>
      </c>
      <c r="W1729" s="5"/>
      <c r="X1729" s="5"/>
      <c r="Y1729" s="5"/>
      <c r="Z1729" s="5"/>
      <c r="AA1729" s="5"/>
      <c r="AB1729" s="5"/>
      <c r="AC1729" s="5"/>
      <c r="AD1729" s="5"/>
      <c r="AE1729" s="5"/>
      <c r="AF1729" s="5"/>
      <c r="AG1729" s="5"/>
      <c r="AH1729" s="5"/>
      <c r="AI1729" s="5"/>
      <c r="AJ1729" s="5"/>
      <c r="AK1729" s="5"/>
    </row>
    <row r="1730" spans="1:37" x14ac:dyDescent="0.25">
      <c r="A1730" s="11" t="e">
        <f>Table1[[#This Row],[Milk Yield]]-J1726</f>
        <v>#VALUE!</v>
      </c>
      <c r="B1730" t="s">
        <v>0</v>
      </c>
      <c r="C1730" s="2" t="s">
        <v>1</v>
      </c>
      <c r="D1730" s="12" t="s">
        <v>2</v>
      </c>
      <c r="E1730" s="2" t="s">
        <v>3</v>
      </c>
      <c r="F1730" s="13" t="s">
        <v>4</v>
      </c>
      <c r="G1730" s="3" t="s">
        <v>5</v>
      </c>
      <c r="H1730" s="1" t="s">
        <v>6</v>
      </c>
      <c r="I1730" s="5" t="s">
        <v>8</v>
      </c>
      <c r="J1730" t="s">
        <v>9</v>
      </c>
      <c r="K1730" t="s">
        <v>10</v>
      </c>
      <c r="L1730" s="5" t="s">
        <v>11</v>
      </c>
      <c r="M1730" s="5" t="s">
        <v>12</v>
      </c>
      <c r="N1730" t="s">
        <v>13</v>
      </c>
      <c r="O1730" t="s">
        <v>20</v>
      </c>
      <c r="P1730" s="1" t="s">
        <v>7</v>
      </c>
      <c r="Q1730" s="5" t="s">
        <v>15</v>
      </c>
      <c r="R1730" s="14" t="s">
        <v>18</v>
      </c>
      <c r="S1730" t="s">
        <v>16</v>
      </c>
      <c r="T1730" s="5" t="s">
        <v>14</v>
      </c>
      <c r="U1730" s="5" t="s">
        <v>17</v>
      </c>
      <c r="V1730" s="5" t="s">
        <v>19</v>
      </c>
      <c r="W1730" s="5"/>
      <c r="X1730" s="5"/>
      <c r="Y1730" s="5"/>
      <c r="Z1730" s="5"/>
      <c r="AA1730" s="5"/>
      <c r="AB1730" s="5"/>
      <c r="AC1730" s="5"/>
      <c r="AD1730" s="5"/>
      <c r="AE1730" s="5"/>
      <c r="AF1730" s="5"/>
      <c r="AG1730" s="5"/>
      <c r="AH1730" s="5"/>
      <c r="AI1730" s="5"/>
      <c r="AJ1730" s="5"/>
      <c r="AK1730" s="5"/>
    </row>
    <row r="1731" spans="1:37" x14ac:dyDescent="0.25">
      <c r="A1731" s="11">
        <f>Table1[[#This Row],[Milk Yield]]-J1727</f>
        <v>286</v>
      </c>
      <c r="B1731" t="s">
        <v>24</v>
      </c>
      <c r="C1731" s="2">
        <v>1</v>
      </c>
      <c r="D1731" s="12">
        <v>45900</v>
      </c>
      <c r="E1731" s="2">
        <v>35</v>
      </c>
      <c r="F1731" s="13">
        <v>0.33489583333333334</v>
      </c>
      <c r="G1731" s="3">
        <v>0.54395833333333332</v>
      </c>
      <c r="H1731" s="1">
        <v>0.20902777777777778</v>
      </c>
      <c r="I1731" s="5">
        <v>792</v>
      </c>
      <c r="J1731">
        <v>12155</v>
      </c>
      <c r="K1731">
        <v>158</v>
      </c>
      <c r="L1731" s="5">
        <v>306</v>
      </c>
      <c r="M1731" s="5">
        <v>791</v>
      </c>
      <c r="N1731">
        <v>16</v>
      </c>
      <c r="O1731">
        <v>775</v>
      </c>
      <c r="P1731" s="1">
        <v>0.2388888888888889</v>
      </c>
      <c r="Q1731" s="5">
        <v>2422</v>
      </c>
      <c r="R1731" s="14">
        <v>15.4</v>
      </c>
      <c r="S1731">
        <v>158</v>
      </c>
      <c r="T1731" s="5">
        <v>16</v>
      </c>
      <c r="U1731" s="5">
        <v>776</v>
      </c>
      <c r="V1731" s="5">
        <v>1</v>
      </c>
      <c r="W1731" s="5"/>
      <c r="X1731" s="5"/>
      <c r="Y1731" s="5"/>
      <c r="Z1731" s="5"/>
      <c r="AA1731" s="5"/>
      <c r="AB1731" s="5"/>
      <c r="AC1731" s="5"/>
      <c r="AD1731" s="5"/>
      <c r="AE1731" s="5"/>
      <c r="AF1731" s="5"/>
      <c r="AG1731" s="5"/>
      <c r="AH1731" s="5"/>
      <c r="AI1731" s="5"/>
      <c r="AJ1731" s="5"/>
      <c r="AK1731" s="5"/>
    </row>
    <row r="1732" spans="1:37" x14ac:dyDescent="0.25">
      <c r="A1732" s="11">
        <f>Table1[[#This Row],[Milk Yield]]-J1728</f>
        <v>-11</v>
      </c>
      <c r="B1732" t="s">
        <v>24</v>
      </c>
      <c r="C1732" s="2">
        <v>2</v>
      </c>
      <c r="D1732" s="12">
        <v>45900</v>
      </c>
      <c r="E1732" s="2">
        <v>38</v>
      </c>
      <c r="F1732" s="13">
        <v>0.66962962962962957</v>
      </c>
      <c r="G1732" s="3">
        <v>0.88935185185185184</v>
      </c>
      <c r="H1732" s="1">
        <v>0.21944444444444444</v>
      </c>
      <c r="I1732" s="5">
        <v>801</v>
      </c>
      <c r="J1732">
        <v>10980</v>
      </c>
      <c r="K1732">
        <v>152</v>
      </c>
      <c r="L1732" s="5">
        <v>164</v>
      </c>
      <c r="M1732" s="5">
        <v>801</v>
      </c>
      <c r="N1732">
        <v>15</v>
      </c>
      <c r="O1732">
        <v>786</v>
      </c>
      <c r="P1732" s="1">
        <v>0.25</v>
      </c>
      <c r="Q1732" s="5">
        <v>2082</v>
      </c>
      <c r="R1732" s="14">
        <v>13.8</v>
      </c>
      <c r="S1732">
        <v>152</v>
      </c>
      <c r="T1732" s="5">
        <v>15</v>
      </c>
      <c r="U1732" s="5">
        <v>787</v>
      </c>
      <c r="V1732" s="5">
        <v>1</v>
      </c>
      <c r="W1732" s="5"/>
      <c r="X1732" s="5"/>
      <c r="Y1732" s="5"/>
      <c r="Z1732" s="5"/>
      <c r="AA1732" s="5"/>
      <c r="AB1732" s="5"/>
      <c r="AC1732" s="5"/>
      <c r="AD1732" s="5"/>
      <c r="AE1732" s="5"/>
      <c r="AF1732" s="5"/>
      <c r="AG1732" s="5"/>
      <c r="AH1732" s="5"/>
      <c r="AI1732" s="5"/>
      <c r="AJ1732" s="5"/>
      <c r="AK1732" s="5"/>
    </row>
    <row r="1733" spans="1:37" x14ac:dyDescent="0.25">
      <c r="A1733" s="11">
        <f>Table1[[#This Row],[Milk Yield]]-J1729</f>
        <v>-817</v>
      </c>
      <c r="B1733" t="s">
        <v>24</v>
      </c>
      <c r="C1733" s="2">
        <v>3</v>
      </c>
      <c r="D1733" s="12">
        <v>45900</v>
      </c>
      <c r="E1733" s="2">
        <v>35</v>
      </c>
      <c r="F1733" s="13">
        <v>0.99709490740740736</v>
      </c>
      <c r="G1733" s="3">
        <v>0.16997685185185185</v>
      </c>
      <c r="H1733" s="1">
        <v>0.17222222222222222</v>
      </c>
      <c r="I1733" s="5">
        <v>792</v>
      </c>
      <c r="J1733">
        <v>8944</v>
      </c>
      <c r="K1733">
        <v>191</v>
      </c>
      <c r="L1733" s="5">
        <v>46</v>
      </c>
      <c r="M1733" s="5">
        <v>791</v>
      </c>
      <c r="N1733">
        <v>5</v>
      </c>
      <c r="O1733">
        <v>786</v>
      </c>
      <c r="P1733" s="1">
        <v>0.20416666666666666</v>
      </c>
      <c r="Q1733" s="5">
        <v>2155</v>
      </c>
      <c r="R1733" s="14">
        <v>11.4</v>
      </c>
      <c r="S1733">
        <v>191</v>
      </c>
      <c r="T1733" s="5">
        <v>5</v>
      </c>
      <c r="U1733" s="5">
        <v>787</v>
      </c>
      <c r="V1733" s="5">
        <v>1</v>
      </c>
      <c r="W1733" s="5"/>
      <c r="X1733" s="5"/>
      <c r="Y1733" s="5"/>
      <c r="Z1733" s="5"/>
      <c r="AA1733" s="5"/>
      <c r="AB1733" s="5"/>
      <c r="AC1733" s="5"/>
      <c r="AD1733" s="5"/>
      <c r="AE1733" s="5"/>
      <c r="AF1733" s="5"/>
      <c r="AG1733" s="5"/>
      <c r="AH1733" s="5"/>
      <c r="AI1733" s="5"/>
      <c r="AJ1733" s="5"/>
      <c r="AK1733" s="5"/>
    </row>
    <row r="1734" spans="1:37" x14ac:dyDescent="0.25">
      <c r="A1734" s="11" t="e">
        <f>Table1[[#This Row],[Milk Yield]]-J1730</f>
        <v>#VALUE!</v>
      </c>
      <c r="B1734" t="s">
        <v>0</v>
      </c>
      <c r="C1734" s="2" t="s">
        <v>1</v>
      </c>
      <c r="D1734" s="12" t="s">
        <v>2</v>
      </c>
      <c r="E1734" s="2" t="s">
        <v>3</v>
      </c>
      <c r="F1734" s="13" t="s">
        <v>4</v>
      </c>
      <c r="G1734" s="3" t="s">
        <v>5</v>
      </c>
      <c r="H1734" s="1" t="s">
        <v>6</v>
      </c>
      <c r="I1734" s="5" t="s">
        <v>8</v>
      </c>
      <c r="J1734" t="s">
        <v>9</v>
      </c>
      <c r="K1734" t="s">
        <v>10</v>
      </c>
      <c r="L1734" s="5" t="s">
        <v>11</v>
      </c>
      <c r="M1734" s="5" t="s">
        <v>12</v>
      </c>
      <c r="N1734" t="s">
        <v>13</v>
      </c>
      <c r="O1734" t="s">
        <v>20</v>
      </c>
      <c r="P1734" s="1" t="s">
        <v>7</v>
      </c>
      <c r="Q1734" s="5" t="s">
        <v>15</v>
      </c>
      <c r="R1734" s="14" t="s">
        <v>18</v>
      </c>
      <c r="S1734" t="s">
        <v>16</v>
      </c>
      <c r="T1734" s="5" t="s">
        <v>14</v>
      </c>
      <c r="U1734" s="5" t="s">
        <v>17</v>
      </c>
      <c r="V1734" s="5" t="s">
        <v>19</v>
      </c>
      <c r="W1734" s="5"/>
      <c r="X1734" s="5"/>
      <c r="Y1734" s="5"/>
      <c r="Z1734" s="5"/>
      <c r="AA1734" s="5"/>
      <c r="AB1734" s="5"/>
      <c r="AC1734" s="5"/>
      <c r="AD1734" s="5"/>
      <c r="AE1734" s="5"/>
      <c r="AF1734" s="5"/>
      <c r="AG1734" s="5"/>
      <c r="AH1734" s="5"/>
      <c r="AI1734" s="5"/>
      <c r="AJ1734" s="5"/>
      <c r="AK1734" s="5"/>
    </row>
    <row r="1735" spans="1:37" x14ac:dyDescent="0.25">
      <c r="A1735" s="11">
        <f>Table1[[#This Row],[Milk Yield]]-J1731</f>
        <v>-761</v>
      </c>
      <c r="B1735" t="s">
        <v>24</v>
      </c>
      <c r="C1735" s="2">
        <v>1</v>
      </c>
      <c r="D1735" s="12">
        <v>45901</v>
      </c>
      <c r="E1735" s="2">
        <v>34</v>
      </c>
      <c r="F1735" s="13">
        <v>0.33303240740740742</v>
      </c>
      <c r="G1735" s="3">
        <v>0.51890046296296299</v>
      </c>
      <c r="H1735" s="1">
        <v>0.18541666666666667</v>
      </c>
      <c r="I1735" s="5">
        <v>793</v>
      </c>
      <c r="J1735">
        <v>11394</v>
      </c>
      <c r="K1735">
        <v>178</v>
      </c>
      <c r="L1735" s="5">
        <v>21</v>
      </c>
      <c r="M1735" s="5">
        <v>792</v>
      </c>
      <c r="N1735">
        <v>2</v>
      </c>
      <c r="O1735">
        <v>790</v>
      </c>
      <c r="P1735" s="1">
        <v>0.23125000000000001</v>
      </c>
      <c r="Q1735" s="5">
        <v>2554</v>
      </c>
      <c r="R1735" s="14">
        <v>14.4</v>
      </c>
      <c r="S1735">
        <v>178</v>
      </c>
      <c r="T1735" s="5">
        <v>2</v>
      </c>
      <c r="U1735" s="5">
        <v>791</v>
      </c>
      <c r="V1735" s="5">
        <v>1</v>
      </c>
      <c r="W1735" s="5"/>
      <c r="X1735" s="5"/>
      <c r="Y1735" s="5"/>
      <c r="Z1735" s="5"/>
      <c r="AA1735" s="5"/>
      <c r="AB1735" s="5"/>
      <c r="AC1735" s="5"/>
      <c r="AD1735" s="5"/>
      <c r="AE1735" s="5"/>
      <c r="AF1735" s="5"/>
      <c r="AG1735" s="5"/>
      <c r="AH1735" s="5"/>
      <c r="AI1735" s="5"/>
      <c r="AJ1735" s="5"/>
      <c r="AK1735" s="5"/>
    </row>
    <row r="1736" spans="1:37" x14ac:dyDescent="0.25">
      <c r="A1736" s="11">
        <f>Table1[[#This Row],[Milk Yield]]-J1732</f>
        <v>114</v>
      </c>
      <c r="B1736" t="s">
        <v>24</v>
      </c>
      <c r="C1736" s="2">
        <v>2</v>
      </c>
      <c r="D1736" s="12">
        <v>45901</v>
      </c>
      <c r="E1736" s="2">
        <v>38</v>
      </c>
      <c r="F1736" s="13">
        <v>0.66596064814814815</v>
      </c>
      <c r="G1736" s="3">
        <v>0.88376157407407407</v>
      </c>
      <c r="H1736" s="1">
        <v>0.21736111111111112</v>
      </c>
      <c r="I1736" s="5">
        <v>802</v>
      </c>
      <c r="J1736">
        <v>11094</v>
      </c>
      <c r="K1736">
        <v>153</v>
      </c>
      <c r="L1736" s="5">
        <v>226</v>
      </c>
      <c r="M1736" s="5">
        <v>802</v>
      </c>
      <c r="N1736">
        <v>16</v>
      </c>
      <c r="O1736">
        <v>786</v>
      </c>
      <c r="P1736" s="1">
        <v>0.23194444444444445</v>
      </c>
      <c r="Q1736" s="5">
        <v>2122</v>
      </c>
      <c r="R1736" s="14">
        <v>13.9</v>
      </c>
      <c r="S1736">
        <v>153</v>
      </c>
      <c r="T1736" s="5">
        <v>16</v>
      </c>
      <c r="U1736" s="5">
        <v>787</v>
      </c>
      <c r="V1736" s="5">
        <v>1</v>
      </c>
      <c r="W1736" s="5"/>
      <c r="X1736" s="5"/>
      <c r="Y1736" s="5"/>
      <c r="Z1736" s="5"/>
      <c r="AA1736" s="5"/>
      <c r="AB1736" s="5"/>
      <c r="AC1736" s="5"/>
      <c r="AD1736" s="5"/>
      <c r="AE1736" s="5"/>
      <c r="AF1736" s="5"/>
      <c r="AG1736" s="5"/>
      <c r="AH1736" s="5"/>
      <c r="AI1736" s="5"/>
      <c r="AJ1736" s="5"/>
      <c r="AK1736" s="5"/>
    </row>
    <row r="1737" spans="1:37" x14ac:dyDescent="0.25">
      <c r="A1737" s="11">
        <f>Table1[[#This Row],[Milk Yield]]-J1733</f>
        <v>1054</v>
      </c>
      <c r="B1737" t="s">
        <v>24</v>
      </c>
      <c r="C1737" s="2">
        <v>3</v>
      </c>
      <c r="D1737" s="12">
        <v>45901</v>
      </c>
      <c r="E1737" s="2">
        <v>35</v>
      </c>
      <c r="F1737" s="13">
        <v>0.99930555555555556</v>
      </c>
      <c r="G1737" s="3">
        <v>0.21009259259259258</v>
      </c>
      <c r="H1737" s="1">
        <v>0.21041666666666667</v>
      </c>
      <c r="I1737" s="5">
        <v>798</v>
      </c>
      <c r="J1737">
        <v>9998</v>
      </c>
      <c r="K1737">
        <v>158</v>
      </c>
      <c r="L1737" s="5">
        <v>51</v>
      </c>
      <c r="M1737" s="5">
        <v>796</v>
      </c>
      <c r="N1737">
        <v>6</v>
      </c>
      <c r="O1737">
        <v>790</v>
      </c>
      <c r="P1737" s="1">
        <v>0.21180555555555555</v>
      </c>
      <c r="Q1737" s="5">
        <v>1976</v>
      </c>
      <c r="R1737" s="14">
        <v>12.6</v>
      </c>
      <c r="S1737">
        <v>157</v>
      </c>
      <c r="T1737" s="5">
        <v>6</v>
      </c>
      <c r="U1737" s="5">
        <v>791</v>
      </c>
      <c r="V1737" s="5">
        <v>1</v>
      </c>
      <c r="W1737" s="5"/>
      <c r="X1737" s="5"/>
      <c r="Y1737" s="5"/>
      <c r="Z1737" s="5"/>
      <c r="AA1737" s="5"/>
      <c r="AB1737" s="5"/>
      <c r="AC1737" s="5"/>
      <c r="AD1737" s="5"/>
      <c r="AE1737" s="5"/>
      <c r="AF1737" s="5"/>
      <c r="AG1737" s="5"/>
      <c r="AH1737" s="5"/>
      <c r="AI1737" s="5"/>
      <c r="AJ1737" s="5"/>
      <c r="AK1737" s="5"/>
    </row>
    <row r="1738" spans="1:37" x14ac:dyDescent="0.25">
      <c r="A1738" s="11" t="e">
        <f>Table1[[#This Row],[Milk Yield]]-J1734</f>
        <v>#VALUE!</v>
      </c>
      <c r="B1738" t="s">
        <v>0</v>
      </c>
      <c r="C1738" s="2" t="s">
        <v>1</v>
      </c>
      <c r="D1738" s="12" t="s">
        <v>2</v>
      </c>
      <c r="E1738" s="2" t="s">
        <v>3</v>
      </c>
      <c r="F1738" s="13" t="s">
        <v>4</v>
      </c>
      <c r="G1738" s="3" t="s">
        <v>5</v>
      </c>
      <c r="H1738" s="1" t="s">
        <v>6</v>
      </c>
      <c r="I1738" s="5" t="s">
        <v>8</v>
      </c>
      <c r="J1738" t="s">
        <v>9</v>
      </c>
      <c r="K1738" t="s">
        <v>10</v>
      </c>
      <c r="L1738" s="5" t="s">
        <v>11</v>
      </c>
      <c r="M1738" s="5" t="s">
        <v>12</v>
      </c>
      <c r="N1738" t="s">
        <v>13</v>
      </c>
      <c r="O1738" t="s">
        <v>20</v>
      </c>
      <c r="P1738" s="1" t="s">
        <v>7</v>
      </c>
      <c r="Q1738" s="5" t="s">
        <v>15</v>
      </c>
      <c r="R1738" s="14" t="s">
        <v>18</v>
      </c>
      <c r="S1738" t="s">
        <v>16</v>
      </c>
      <c r="T1738" s="5" t="s">
        <v>14</v>
      </c>
      <c r="U1738" s="5" t="s">
        <v>17</v>
      </c>
      <c r="V1738" s="5" t="s">
        <v>19</v>
      </c>
      <c r="W1738" s="5"/>
      <c r="X1738" s="5"/>
      <c r="Y1738" s="5"/>
      <c r="Z1738" s="5"/>
      <c r="AA1738" s="5"/>
      <c r="AB1738" s="5"/>
      <c r="AC1738" s="5"/>
      <c r="AD1738" s="5"/>
      <c r="AE1738" s="5"/>
      <c r="AF1738" s="5"/>
      <c r="AG1738" s="5"/>
      <c r="AH1738" s="5"/>
      <c r="AI1738" s="5"/>
      <c r="AJ1738" s="5"/>
      <c r="AK1738" s="5"/>
    </row>
    <row r="1739" spans="1:37" x14ac:dyDescent="0.25">
      <c r="A1739" s="11">
        <f>Table1[[#This Row],[Milk Yield]]-J1735</f>
        <v>-292</v>
      </c>
      <c r="B1739" t="s">
        <v>24</v>
      </c>
      <c r="C1739" s="2">
        <v>1</v>
      </c>
      <c r="D1739" s="12">
        <v>45902</v>
      </c>
      <c r="E1739" s="2">
        <v>35</v>
      </c>
      <c r="F1739" s="13">
        <v>0.33666666666666667</v>
      </c>
      <c r="G1739" s="3">
        <v>0.52829861111111109</v>
      </c>
      <c r="H1739" s="1">
        <v>0.19097222222222221</v>
      </c>
      <c r="I1739" s="5">
        <v>797</v>
      </c>
      <c r="J1739">
        <v>11102</v>
      </c>
      <c r="K1739">
        <v>173</v>
      </c>
      <c r="L1739" s="5">
        <v>72</v>
      </c>
      <c r="M1739" s="5">
        <v>797</v>
      </c>
      <c r="N1739">
        <v>6</v>
      </c>
      <c r="O1739">
        <v>791</v>
      </c>
      <c r="P1739" s="1">
        <v>0.2361111111111111</v>
      </c>
      <c r="Q1739" s="5">
        <v>2414</v>
      </c>
      <c r="R1739" s="14">
        <v>14</v>
      </c>
      <c r="S1739">
        <v>173</v>
      </c>
      <c r="T1739" s="5">
        <v>6</v>
      </c>
      <c r="U1739" s="5">
        <v>792</v>
      </c>
      <c r="V1739" s="5">
        <v>1</v>
      </c>
      <c r="W1739" s="5"/>
      <c r="X1739" s="5"/>
      <c r="Y1739" s="5"/>
      <c r="Z1739" s="5"/>
      <c r="AA1739" s="5"/>
      <c r="AB1739" s="5"/>
      <c r="AC1739" s="5"/>
      <c r="AD1739" s="5"/>
      <c r="AE1739" s="5"/>
      <c r="AF1739" s="5"/>
      <c r="AG1739" s="5"/>
      <c r="AH1739" s="5"/>
      <c r="AI1739" s="5"/>
      <c r="AJ1739" s="5"/>
      <c r="AK1739" s="5"/>
    </row>
    <row r="1740" spans="1:37" x14ac:dyDescent="0.25">
      <c r="A1740" s="11">
        <f>Table1[[#This Row],[Milk Yield]]-J1736</f>
        <v>309</v>
      </c>
      <c r="B1740" t="s">
        <v>24</v>
      </c>
      <c r="C1740" s="2">
        <v>2</v>
      </c>
      <c r="D1740" s="12">
        <v>45902</v>
      </c>
      <c r="E1740" s="2">
        <v>37</v>
      </c>
      <c r="F1740" s="13">
        <v>0.67182870370370373</v>
      </c>
      <c r="G1740" s="3">
        <v>0.88410879629629635</v>
      </c>
      <c r="H1740" s="1">
        <v>0.21180555555555555</v>
      </c>
      <c r="I1740" s="5">
        <v>806</v>
      </c>
      <c r="J1740">
        <v>11403</v>
      </c>
      <c r="K1740">
        <v>158</v>
      </c>
      <c r="L1740" s="5">
        <v>110</v>
      </c>
      <c r="M1740" s="5">
        <v>805</v>
      </c>
      <c r="N1740">
        <v>12</v>
      </c>
      <c r="O1740">
        <v>793</v>
      </c>
      <c r="P1740" s="1">
        <v>0.23541666666666666</v>
      </c>
      <c r="Q1740" s="5">
        <v>2238</v>
      </c>
      <c r="R1740" s="14">
        <v>14.2</v>
      </c>
      <c r="S1740">
        <v>158</v>
      </c>
      <c r="T1740" s="5">
        <v>12</v>
      </c>
      <c r="U1740" s="5">
        <v>794</v>
      </c>
      <c r="V1740" s="5">
        <v>1</v>
      </c>
      <c r="W1740" s="5"/>
      <c r="X1740" s="5"/>
      <c r="Y1740" s="5"/>
      <c r="Z1740" s="5"/>
      <c r="AA1740" s="5"/>
      <c r="AB1740" s="5"/>
      <c r="AC1740" s="5"/>
      <c r="AD1740" s="5"/>
      <c r="AE1740" s="5"/>
      <c r="AF1740" s="5"/>
      <c r="AG1740" s="5"/>
      <c r="AH1740" s="5"/>
      <c r="AI1740" s="5"/>
      <c r="AJ1740" s="5"/>
      <c r="AK1740" s="5"/>
    </row>
    <row r="1741" spans="1:37" x14ac:dyDescent="0.25">
      <c r="A1741" s="11">
        <f>Table1[[#This Row],[Milk Yield]]-J1737</f>
        <v>76</v>
      </c>
      <c r="B1741" t="s">
        <v>24</v>
      </c>
      <c r="C1741" s="2">
        <v>3</v>
      </c>
      <c r="D1741" s="12">
        <v>45902</v>
      </c>
      <c r="E1741" s="2">
        <v>35</v>
      </c>
      <c r="F1741" s="13">
        <v>3.079861111111111E-2</v>
      </c>
      <c r="G1741" s="3">
        <v>0.20496527777777779</v>
      </c>
      <c r="H1741" s="1">
        <v>0.1736111111111111</v>
      </c>
      <c r="I1741" s="5">
        <v>796</v>
      </c>
      <c r="J1741">
        <v>10074</v>
      </c>
      <c r="K1741">
        <v>190</v>
      </c>
      <c r="L1741" s="5">
        <v>126</v>
      </c>
      <c r="M1741" s="5">
        <v>795</v>
      </c>
      <c r="N1741">
        <v>10</v>
      </c>
      <c r="O1741">
        <v>785</v>
      </c>
      <c r="P1741" s="1">
        <v>0.21180555555555555</v>
      </c>
      <c r="Q1741" s="5">
        <v>2410</v>
      </c>
      <c r="R1741" s="14">
        <v>12.7</v>
      </c>
      <c r="S1741">
        <v>190</v>
      </c>
      <c r="T1741" s="5">
        <v>10</v>
      </c>
      <c r="U1741" s="5">
        <v>786</v>
      </c>
      <c r="V1741" s="5">
        <v>1</v>
      </c>
      <c r="W1741" s="5"/>
      <c r="X1741" s="5"/>
      <c r="Y1741" s="5"/>
      <c r="Z1741" s="5"/>
      <c r="AA1741" s="5"/>
      <c r="AB1741" s="5"/>
      <c r="AC1741" s="5"/>
      <c r="AD1741" s="5"/>
      <c r="AE1741" s="5"/>
      <c r="AF1741" s="5"/>
      <c r="AG1741" s="5"/>
      <c r="AH1741" s="5"/>
      <c r="AI1741" s="5"/>
      <c r="AJ1741" s="5"/>
      <c r="AK1741" s="5"/>
    </row>
    <row r="1742" spans="1:37" x14ac:dyDescent="0.25">
      <c r="A1742" s="11" t="e">
        <f>Table1[[#This Row],[Milk Yield]]-J1738</f>
        <v>#VALUE!</v>
      </c>
      <c r="B1742" t="s">
        <v>0</v>
      </c>
      <c r="C1742" s="2" t="s">
        <v>1</v>
      </c>
      <c r="D1742" s="12" t="s">
        <v>2</v>
      </c>
      <c r="E1742" s="2" t="s">
        <v>3</v>
      </c>
      <c r="F1742" s="13" t="s">
        <v>4</v>
      </c>
      <c r="G1742" s="3" t="s">
        <v>5</v>
      </c>
      <c r="H1742" s="1" t="s">
        <v>6</v>
      </c>
      <c r="I1742" s="5" t="s">
        <v>8</v>
      </c>
      <c r="J1742" t="s">
        <v>9</v>
      </c>
      <c r="K1742" t="s">
        <v>10</v>
      </c>
      <c r="L1742" s="5" t="s">
        <v>11</v>
      </c>
      <c r="M1742" s="5" t="s">
        <v>12</v>
      </c>
      <c r="N1742" t="s">
        <v>13</v>
      </c>
      <c r="O1742" t="s">
        <v>20</v>
      </c>
      <c r="P1742" s="1" t="s">
        <v>7</v>
      </c>
      <c r="Q1742" s="5" t="s">
        <v>15</v>
      </c>
      <c r="R1742" s="14" t="s">
        <v>18</v>
      </c>
      <c r="S1742" t="s">
        <v>16</v>
      </c>
      <c r="T1742" s="5" t="s">
        <v>14</v>
      </c>
      <c r="U1742" s="5" t="s">
        <v>17</v>
      </c>
      <c r="V1742" s="5" t="s">
        <v>19</v>
      </c>
      <c r="W1742" s="5"/>
      <c r="X1742" s="5"/>
      <c r="Y1742" s="5"/>
      <c r="Z1742" s="5"/>
      <c r="AA1742" s="5"/>
      <c r="AB1742" s="5"/>
      <c r="AC1742" s="5"/>
      <c r="AD1742" s="5"/>
      <c r="AE1742" s="5"/>
      <c r="AF1742" s="5"/>
      <c r="AG1742" s="5"/>
      <c r="AH1742" s="5"/>
      <c r="AI1742" s="5"/>
      <c r="AJ1742" s="5"/>
      <c r="AK1742" s="5"/>
    </row>
    <row r="1743" spans="1:37" x14ac:dyDescent="0.25">
      <c r="A1743" s="11">
        <f>Table1[[#This Row],[Milk Yield]]-J1739</f>
        <v>-809</v>
      </c>
      <c r="B1743" t="s">
        <v>24</v>
      </c>
      <c r="C1743" s="2">
        <v>1</v>
      </c>
      <c r="D1743" s="12">
        <v>45903</v>
      </c>
      <c r="E1743" s="2">
        <v>35</v>
      </c>
      <c r="F1743" s="13">
        <v>0.33549768518518519</v>
      </c>
      <c r="G1743" s="3">
        <v>0.51501157407407405</v>
      </c>
      <c r="H1743" s="1">
        <v>0.17916666666666667</v>
      </c>
      <c r="I1743" s="5">
        <v>795</v>
      </c>
      <c r="J1743">
        <v>10293</v>
      </c>
      <c r="K1743">
        <v>185</v>
      </c>
      <c r="L1743" s="5">
        <v>84</v>
      </c>
      <c r="M1743" s="5">
        <v>795</v>
      </c>
      <c r="N1743">
        <v>8</v>
      </c>
      <c r="O1743">
        <v>787</v>
      </c>
      <c r="P1743" s="1">
        <v>0.21736111111111112</v>
      </c>
      <c r="Q1743" s="5">
        <v>2389</v>
      </c>
      <c r="R1743" s="14">
        <v>13</v>
      </c>
      <c r="S1743">
        <v>185</v>
      </c>
      <c r="T1743" s="5">
        <v>8</v>
      </c>
      <c r="U1743" s="5">
        <v>788</v>
      </c>
      <c r="V1743" s="5">
        <v>1</v>
      </c>
      <c r="W1743" s="5"/>
      <c r="X1743" s="5"/>
      <c r="Y1743" s="5"/>
      <c r="Z1743" s="5"/>
      <c r="AA1743" s="5"/>
      <c r="AB1743" s="5"/>
      <c r="AC1743" s="5"/>
      <c r="AD1743" s="5"/>
      <c r="AE1743" s="5"/>
      <c r="AF1743" s="5"/>
      <c r="AG1743" s="5"/>
      <c r="AH1743" s="5"/>
      <c r="AI1743" s="5"/>
      <c r="AJ1743" s="5"/>
      <c r="AK1743" s="5"/>
    </row>
    <row r="1744" spans="1:37" x14ac:dyDescent="0.25">
      <c r="A1744" s="11">
        <f>Table1[[#This Row],[Milk Yield]]-J1740</f>
        <v>-33</v>
      </c>
      <c r="B1744" t="s">
        <v>24</v>
      </c>
      <c r="C1744" s="2">
        <v>2</v>
      </c>
      <c r="D1744" s="12">
        <v>45903</v>
      </c>
      <c r="E1744" s="2">
        <v>37</v>
      </c>
      <c r="F1744" s="13">
        <v>0.67027777777777775</v>
      </c>
      <c r="G1744" s="3">
        <v>0.87582175925925931</v>
      </c>
      <c r="H1744" s="1">
        <v>0.2048611111111111</v>
      </c>
      <c r="I1744" s="5">
        <v>806</v>
      </c>
      <c r="J1744">
        <v>11370</v>
      </c>
      <c r="K1744">
        <v>163</v>
      </c>
      <c r="L1744" s="5">
        <v>119</v>
      </c>
      <c r="M1744" s="5">
        <v>801</v>
      </c>
      <c r="N1744">
        <v>13</v>
      </c>
      <c r="O1744">
        <v>788</v>
      </c>
      <c r="P1744" s="1">
        <v>0.23333333333333334</v>
      </c>
      <c r="Q1744" s="5">
        <v>2305</v>
      </c>
      <c r="R1744" s="14">
        <v>14.2</v>
      </c>
      <c r="S1744">
        <v>162</v>
      </c>
      <c r="T1744" s="5">
        <v>13</v>
      </c>
      <c r="U1744" s="5">
        <v>789</v>
      </c>
      <c r="V1744" s="5">
        <v>1</v>
      </c>
      <c r="W1744" s="5"/>
      <c r="X1744" s="5"/>
      <c r="Y1744" s="5"/>
      <c r="Z1744" s="5"/>
      <c r="AA1744" s="5"/>
      <c r="AB1744" s="5"/>
      <c r="AC1744" s="5"/>
      <c r="AD1744" s="5"/>
      <c r="AE1744" s="5"/>
      <c r="AF1744" s="5"/>
      <c r="AG1744" s="5"/>
      <c r="AH1744" s="5"/>
      <c r="AI1744" s="5"/>
      <c r="AJ1744" s="5"/>
      <c r="AK1744" s="5"/>
    </row>
    <row r="1745" spans="1:37" x14ac:dyDescent="0.25">
      <c r="A1745" s="11">
        <f>Table1[[#This Row],[Milk Yield]]-J1741</f>
        <v>-411</v>
      </c>
      <c r="B1745" t="s">
        <v>24</v>
      </c>
      <c r="C1745" s="2">
        <v>3</v>
      </c>
      <c r="D1745" s="12">
        <v>45903</v>
      </c>
      <c r="E1745" s="2">
        <v>35</v>
      </c>
      <c r="F1745" s="13">
        <v>1.3425925925925925E-3</v>
      </c>
      <c r="G1745" s="3">
        <v>0.18791666666666668</v>
      </c>
      <c r="H1745" s="1">
        <v>0.18611111111111112</v>
      </c>
      <c r="I1745" s="5">
        <v>797</v>
      </c>
      <c r="J1745">
        <v>9663</v>
      </c>
      <c r="K1745">
        <v>178</v>
      </c>
      <c r="L1745" s="5">
        <v>69</v>
      </c>
      <c r="M1745" s="5">
        <v>797</v>
      </c>
      <c r="N1745">
        <v>6</v>
      </c>
      <c r="O1745">
        <v>791</v>
      </c>
      <c r="P1745" s="1">
        <v>0.20694444444444443</v>
      </c>
      <c r="Q1745" s="5">
        <v>2158</v>
      </c>
      <c r="R1745" s="14">
        <v>12.2</v>
      </c>
      <c r="S1745">
        <v>178</v>
      </c>
      <c r="T1745" s="5">
        <v>6</v>
      </c>
      <c r="U1745" s="5">
        <v>792</v>
      </c>
      <c r="V1745" s="5">
        <v>1</v>
      </c>
      <c r="W1745" s="5"/>
      <c r="X1745" s="5"/>
      <c r="Y1745" s="5"/>
      <c r="Z1745" s="5"/>
      <c r="AA1745" s="5"/>
      <c r="AB1745" s="5"/>
      <c r="AC1745" s="5"/>
      <c r="AD1745" s="5"/>
      <c r="AE1745" s="5"/>
      <c r="AF1745" s="5"/>
      <c r="AG1745" s="5"/>
      <c r="AH1745" s="5"/>
      <c r="AI1745" s="5"/>
      <c r="AJ1745" s="5"/>
      <c r="AK1745" s="5"/>
    </row>
    <row r="1746" spans="1:37" x14ac:dyDescent="0.25">
      <c r="A1746" s="11" t="e">
        <f>Table1[[#This Row],[Milk Yield]]-J1742</f>
        <v>#VALUE!</v>
      </c>
      <c r="B1746" t="s">
        <v>0</v>
      </c>
      <c r="C1746" s="2" t="s">
        <v>1</v>
      </c>
      <c r="D1746" s="12" t="s">
        <v>2</v>
      </c>
      <c r="E1746" s="2" t="s">
        <v>3</v>
      </c>
      <c r="F1746" s="13" t="s">
        <v>4</v>
      </c>
      <c r="G1746" s="3" t="s">
        <v>5</v>
      </c>
      <c r="H1746" s="1" t="s">
        <v>6</v>
      </c>
      <c r="I1746" s="5" t="s">
        <v>8</v>
      </c>
      <c r="J1746" t="s">
        <v>9</v>
      </c>
      <c r="K1746" t="s">
        <v>10</v>
      </c>
      <c r="L1746" s="5" t="s">
        <v>11</v>
      </c>
      <c r="M1746" s="5" t="s">
        <v>12</v>
      </c>
      <c r="N1746" t="s">
        <v>13</v>
      </c>
      <c r="O1746" t="s">
        <v>20</v>
      </c>
      <c r="P1746" s="1" t="s">
        <v>7</v>
      </c>
      <c r="Q1746" s="5" t="s">
        <v>15</v>
      </c>
      <c r="R1746" s="14" t="s">
        <v>18</v>
      </c>
      <c r="S1746" t="s">
        <v>16</v>
      </c>
      <c r="T1746" s="5" t="s">
        <v>14</v>
      </c>
      <c r="U1746" s="5" t="s">
        <v>17</v>
      </c>
      <c r="V1746" s="5" t="s">
        <v>19</v>
      </c>
      <c r="W1746" s="5"/>
      <c r="X1746" s="5"/>
      <c r="Y1746" s="5"/>
      <c r="Z1746" s="5"/>
      <c r="AA1746" s="5"/>
      <c r="AB1746" s="5"/>
      <c r="AC1746" s="5"/>
      <c r="AD1746" s="5"/>
      <c r="AE1746" s="5"/>
      <c r="AF1746" s="5"/>
      <c r="AG1746" s="5"/>
      <c r="AH1746" s="5"/>
      <c r="AI1746" s="5"/>
      <c r="AJ1746" s="5"/>
      <c r="AK1746" s="5"/>
    </row>
    <row r="1747" spans="1:37" x14ac:dyDescent="0.25">
      <c r="A1747" s="11">
        <f>Table1[[#This Row],[Milk Yield]]-J1743</f>
        <v>961</v>
      </c>
      <c r="B1747" t="s">
        <v>24</v>
      </c>
      <c r="C1747" s="2">
        <v>1</v>
      </c>
      <c r="D1747" s="12">
        <v>45904</v>
      </c>
      <c r="E1747" s="2">
        <v>35</v>
      </c>
      <c r="F1747" s="13">
        <v>0.33539351851851851</v>
      </c>
      <c r="G1747" s="3">
        <v>0.53395833333333331</v>
      </c>
      <c r="H1747" s="1">
        <v>0.19791666666666666</v>
      </c>
      <c r="I1747" s="5">
        <v>797</v>
      </c>
      <c r="J1747">
        <v>11254</v>
      </c>
      <c r="K1747">
        <v>167</v>
      </c>
      <c r="L1747" s="5">
        <v>40</v>
      </c>
      <c r="M1747" s="5">
        <v>797</v>
      </c>
      <c r="N1747">
        <v>4</v>
      </c>
      <c r="O1747">
        <v>793</v>
      </c>
      <c r="P1747" s="1">
        <v>0.22777777777777777</v>
      </c>
      <c r="Q1747" s="5">
        <v>2362</v>
      </c>
      <c r="R1747" s="14">
        <v>14.2</v>
      </c>
      <c r="S1747">
        <v>167</v>
      </c>
      <c r="T1747" s="5">
        <v>4</v>
      </c>
      <c r="U1747" s="5">
        <v>794</v>
      </c>
      <c r="V1747" s="5">
        <v>1</v>
      </c>
      <c r="W1747" s="5"/>
      <c r="X1747" s="5"/>
      <c r="Y1747" s="5"/>
      <c r="Z1747" s="5"/>
      <c r="AA1747" s="5"/>
      <c r="AB1747" s="5"/>
      <c r="AC1747" s="5"/>
      <c r="AD1747" s="5"/>
      <c r="AE1747" s="5"/>
      <c r="AF1747" s="5"/>
      <c r="AG1747" s="5"/>
      <c r="AH1747" s="5"/>
      <c r="AI1747" s="5"/>
      <c r="AJ1747" s="5"/>
      <c r="AK1747" s="5"/>
    </row>
    <row r="1748" spans="1:37" x14ac:dyDescent="0.25">
      <c r="A1748" s="11">
        <f>Table1[[#This Row],[Milk Yield]]-J1744</f>
        <v>1166</v>
      </c>
      <c r="B1748" t="s">
        <v>24</v>
      </c>
      <c r="C1748" s="2">
        <v>2</v>
      </c>
      <c r="D1748" s="12">
        <v>45904</v>
      </c>
      <c r="E1748" s="2">
        <v>40</v>
      </c>
      <c r="F1748" s="13">
        <v>0.70049768518518518</v>
      </c>
      <c r="G1748" s="3">
        <v>0.92754629629629626</v>
      </c>
      <c r="H1748" s="1">
        <v>0.22638888888888889</v>
      </c>
      <c r="I1748" s="5">
        <v>801</v>
      </c>
      <c r="J1748">
        <v>12536</v>
      </c>
      <c r="K1748">
        <v>147</v>
      </c>
      <c r="L1748" s="5">
        <v>88</v>
      </c>
      <c r="M1748" s="5">
        <v>801</v>
      </c>
      <c r="N1748">
        <v>11</v>
      </c>
      <c r="O1748">
        <v>790</v>
      </c>
      <c r="P1748" s="1">
        <v>0.24444444444444444</v>
      </c>
      <c r="Q1748" s="5">
        <v>2300</v>
      </c>
      <c r="R1748" s="14">
        <v>15.7</v>
      </c>
      <c r="S1748">
        <v>147</v>
      </c>
      <c r="T1748" s="5">
        <v>11</v>
      </c>
      <c r="U1748" s="5">
        <v>791</v>
      </c>
      <c r="V1748" s="5">
        <v>1</v>
      </c>
      <c r="W1748" s="5"/>
      <c r="X1748" s="5"/>
      <c r="Y1748" s="5"/>
      <c r="Z1748" s="5"/>
      <c r="AA1748" s="5"/>
      <c r="AB1748" s="5"/>
      <c r="AC1748" s="5"/>
      <c r="AD1748" s="5"/>
      <c r="AE1748" s="5"/>
      <c r="AF1748" s="5"/>
      <c r="AG1748" s="5"/>
      <c r="AH1748" s="5"/>
      <c r="AI1748" s="5"/>
      <c r="AJ1748" s="5"/>
      <c r="AK1748" s="5"/>
    </row>
    <row r="1749" spans="1:37" x14ac:dyDescent="0.25">
      <c r="A1749" s="11">
        <f>Table1[[#This Row],[Milk Yield]]-J1745</f>
        <v>-1250</v>
      </c>
      <c r="B1749" t="s">
        <v>24</v>
      </c>
      <c r="C1749" s="2">
        <v>3</v>
      </c>
      <c r="D1749" s="12">
        <v>45904</v>
      </c>
      <c r="E1749" s="2">
        <v>35</v>
      </c>
      <c r="F1749" s="13">
        <v>2.3263888888888887E-3</v>
      </c>
      <c r="G1749" s="3">
        <v>0.20043981481481482</v>
      </c>
      <c r="H1749" s="1">
        <v>0.19791666666666666</v>
      </c>
      <c r="I1749" s="5">
        <v>796</v>
      </c>
      <c r="J1749">
        <v>8413</v>
      </c>
      <c r="K1749">
        <v>167</v>
      </c>
      <c r="L1749" s="5">
        <v>272</v>
      </c>
      <c r="M1749" s="5">
        <v>788</v>
      </c>
      <c r="N1749">
        <v>23</v>
      </c>
      <c r="O1749">
        <v>765</v>
      </c>
      <c r="P1749" s="1">
        <v>0.21180555555555555</v>
      </c>
      <c r="Q1749" s="5">
        <v>1769</v>
      </c>
      <c r="R1749" s="14">
        <v>10.7</v>
      </c>
      <c r="S1749">
        <v>166</v>
      </c>
      <c r="T1749" s="5">
        <v>23</v>
      </c>
      <c r="U1749" s="5">
        <v>766</v>
      </c>
      <c r="V1749" s="5">
        <v>1</v>
      </c>
      <c r="W1749" s="5"/>
      <c r="X1749" s="5"/>
      <c r="Y1749" s="5"/>
      <c r="Z1749" s="5"/>
      <c r="AA1749" s="5"/>
      <c r="AB1749" s="5"/>
      <c r="AC1749" s="5"/>
      <c r="AD1749" s="5"/>
      <c r="AE1749" s="5"/>
      <c r="AF1749" s="5"/>
      <c r="AG1749" s="5"/>
      <c r="AH1749" s="5"/>
      <c r="AI1749" s="5"/>
      <c r="AJ1749" s="5"/>
      <c r="AK1749" s="5"/>
    </row>
    <row r="1750" spans="1:37" x14ac:dyDescent="0.25">
      <c r="A1750" s="11" t="e">
        <f>Table1[[#This Row],[Milk Yield]]-J1746</f>
        <v>#VALUE!</v>
      </c>
      <c r="B1750" t="s">
        <v>0</v>
      </c>
      <c r="C1750" s="2" t="s">
        <v>1</v>
      </c>
      <c r="D1750" s="12" t="s">
        <v>2</v>
      </c>
      <c r="E1750" s="2" t="s">
        <v>3</v>
      </c>
      <c r="F1750" s="13" t="s">
        <v>4</v>
      </c>
      <c r="G1750" s="3" t="s">
        <v>5</v>
      </c>
      <c r="H1750" s="1" t="s">
        <v>6</v>
      </c>
      <c r="I1750" s="5" t="s">
        <v>8</v>
      </c>
      <c r="J1750" t="s">
        <v>9</v>
      </c>
      <c r="K1750" t="s">
        <v>10</v>
      </c>
      <c r="L1750" s="5" t="s">
        <v>11</v>
      </c>
      <c r="M1750" s="5" t="s">
        <v>12</v>
      </c>
      <c r="N1750" t="s">
        <v>13</v>
      </c>
      <c r="O1750" t="s">
        <v>20</v>
      </c>
      <c r="P1750" s="1" t="s">
        <v>7</v>
      </c>
      <c r="Q1750" s="5" t="s">
        <v>15</v>
      </c>
      <c r="R1750" s="14" t="s">
        <v>18</v>
      </c>
      <c r="S1750" t="s">
        <v>16</v>
      </c>
      <c r="T1750" s="5" t="s">
        <v>14</v>
      </c>
      <c r="U1750" s="5" t="s">
        <v>17</v>
      </c>
      <c r="V1750" s="5" t="s">
        <v>19</v>
      </c>
      <c r="W1750" s="5"/>
      <c r="X1750" s="5"/>
      <c r="Y1750" s="5"/>
      <c r="Z1750" s="5"/>
      <c r="AA1750" s="5"/>
      <c r="AB1750" s="5"/>
      <c r="AC1750" s="5"/>
      <c r="AD1750" s="5"/>
      <c r="AE1750" s="5"/>
      <c r="AF1750" s="5"/>
      <c r="AG1750" s="5"/>
      <c r="AH1750" s="5"/>
      <c r="AI1750" s="5"/>
      <c r="AJ1750" s="5"/>
      <c r="AK1750" s="5"/>
    </row>
    <row r="1751" spans="1:37" x14ac:dyDescent="0.25">
      <c r="A1751" s="11">
        <f>Table1[[#This Row],[Milk Yield]]-J1747</f>
        <v>-594</v>
      </c>
      <c r="B1751" t="s">
        <v>24</v>
      </c>
      <c r="C1751" s="2">
        <v>1</v>
      </c>
      <c r="D1751" s="12">
        <v>45905</v>
      </c>
      <c r="E1751" s="2">
        <v>36</v>
      </c>
      <c r="F1751" s="13">
        <v>0.3333564814814815</v>
      </c>
      <c r="G1751" s="3">
        <v>0.52855324074074073</v>
      </c>
      <c r="H1751" s="1">
        <v>0.19513888888888889</v>
      </c>
      <c r="I1751" s="5">
        <v>797</v>
      </c>
      <c r="J1751">
        <v>10660</v>
      </c>
      <c r="K1751">
        <v>170</v>
      </c>
      <c r="L1751" s="5">
        <v>64</v>
      </c>
      <c r="M1751" s="5">
        <v>797</v>
      </c>
      <c r="N1751">
        <v>7</v>
      </c>
      <c r="O1751">
        <v>790</v>
      </c>
      <c r="P1751" s="1">
        <v>0.22152777777777777</v>
      </c>
      <c r="Q1751" s="5">
        <v>2275</v>
      </c>
      <c r="R1751" s="14">
        <v>13.4</v>
      </c>
      <c r="S1751">
        <v>170</v>
      </c>
      <c r="T1751" s="5">
        <v>7</v>
      </c>
      <c r="U1751" s="5">
        <v>791</v>
      </c>
      <c r="V1751" s="5">
        <v>1</v>
      </c>
      <c r="W1751" s="5"/>
      <c r="X1751" s="5"/>
      <c r="Y1751" s="5"/>
      <c r="Z1751" s="5"/>
      <c r="AA1751" s="5"/>
      <c r="AB1751" s="5"/>
      <c r="AC1751" s="5"/>
      <c r="AD1751" s="5"/>
      <c r="AE1751" s="5"/>
      <c r="AF1751" s="5"/>
      <c r="AG1751" s="5"/>
      <c r="AH1751" s="5"/>
      <c r="AI1751" s="5"/>
      <c r="AJ1751" s="5"/>
      <c r="AK1751" s="5"/>
    </row>
    <row r="1752" spans="1:37" x14ac:dyDescent="0.25">
      <c r="A1752" s="11">
        <f>Table1[[#This Row],[Milk Yield]]-J1748</f>
        <v>-1237</v>
      </c>
      <c r="B1752" t="s">
        <v>24</v>
      </c>
      <c r="C1752" s="2">
        <v>2</v>
      </c>
      <c r="D1752" s="12">
        <v>45905</v>
      </c>
      <c r="E1752" s="2">
        <v>38</v>
      </c>
      <c r="F1752" s="13">
        <v>0.66630787037037043</v>
      </c>
      <c r="G1752" s="3">
        <v>0.87214120370370374</v>
      </c>
      <c r="H1752" s="1">
        <v>0.20555555555555555</v>
      </c>
      <c r="I1752" s="5">
        <v>798</v>
      </c>
      <c r="J1752">
        <v>11299</v>
      </c>
      <c r="K1752">
        <v>162</v>
      </c>
      <c r="L1752" s="5">
        <v>106</v>
      </c>
      <c r="M1752" s="5">
        <v>798</v>
      </c>
      <c r="N1752">
        <v>11</v>
      </c>
      <c r="O1752">
        <v>787</v>
      </c>
      <c r="P1752" s="1">
        <v>0.22916666666666666</v>
      </c>
      <c r="Q1752" s="5">
        <v>2287</v>
      </c>
      <c r="R1752" s="14">
        <v>14.2</v>
      </c>
      <c r="S1752">
        <v>162</v>
      </c>
      <c r="T1752" s="5">
        <v>11</v>
      </c>
      <c r="U1752" s="5">
        <v>788</v>
      </c>
      <c r="V1752" s="5">
        <v>1</v>
      </c>
      <c r="W1752" s="5"/>
      <c r="X1752" s="5"/>
      <c r="Y1752" s="5"/>
      <c r="Z1752" s="5"/>
      <c r="AA1752" s="5"/>
      <c r="AB1752" s="5"/>
      <c r="AC1752" s="5"/>
      <c r="AD1752" s="5"/>
      <c r="AE1752" s="5"/>
      <c r="AF1752" s="5"/>
      <c r="AG1752" s="5"/>
      <c r="AH1752" s="5"/>
      <c r="AI1752" s="5"/>
      <c r="AJ1752" s="5"/>
      <c r="AK1752" s="5"/>
    </row>
    <row r="1753" spans="1:37" x14ac:dyDescent="0.25">
      <c r="A1753" s="11">
        <f>Table1[[#This Row],[Milk Yield]]-J1749</f>
        <v>1285</v>
      </c>
      <c r="B1753" t="s">
        <v>24</v>
      </c>
      <c r="C1753" s="2">
        <v>3</v>
      </c>
      <c r="D1753" s="12">
        <v>45905</v>
      </c>
      <c r="E1753" s="2">
        <v>35</v>
      </c>
      <c r="F1753" s="13">
        <v>1.261574074074074E-3</v>
      </c>
      <c r="G1753" s="3">
        <v>0.16355324074074074</v>
      </c>
      <c r="H1753" s="1">
        <v>0.16180555555555556</v>
      </c>
      <c r="I1753" s="5">
        <v>794</v>
      </c>
      <c r="J1753">
        <v>9698</v>
      </c>
      <c r="K1753">
        <v>204</v>
      </c>
      <c r="L1753" s="5">
        <v>91</v>
      </c>
      <c r="M1753" s="5">
        <v>793</v>
      </c>
      <c r="N1753">
        <v>7</v>
      </c>
      <c r="O1753">
        <v>786</v>
      </c>
      <c r="P1753" s="1">
        <v>0.20416666666666666</v>
      </c>
      <c r="Q1753" s="5">
        <v>2490</v>
      </c>
      <c r="R1753" s="14">
        <v>12.3</v>
      </c>
      <c r="S1753">
        <v>204</v>
      </c>
      <c r="T1753" s="5">
        <v>7</v>
      </c>
      <c r="U1753" s="5">
        <v>787</v>
      </c>
      <c r="V1753" s="5">
        <v>1</v>
      </c>
      <c r="W1753" s="5"/>
      <c r="X1753" s="5"/>
      <c r="Y1753" s="5"/>
      <c r="Z1753" s="5"/>
      <c r="AA1753" s="5"/>
      <c r="AB1753" s="5"/>
      <c r="AC1753" s="5"/>
      <c r="AD1753" s="5"/>
      <c r="AE1753" s="5"/>
      <c r="AF1753" s="5"/>
      <c r="AG1753" s="5"/>
      <c r="AH1753" s="5"/>
      <c r="AI1753" s="5"/>
      <c r="AJ1753" s="5"/>
      <c r="AK1753" s="5"/>
    </row>
    <row r="1754" spans="1:37" x14ac:dyDescent="0.25">
      <c r="A1754" s="11" t="e">
        <f>Table1[[#This Row],[Milk Yield]]-J1750</f>
        <v>#VALUE!</v>
      </c>
      <c r="B1754" t="s">
        <v>0</v>
      </c>
      <c r="C1754" s="2" t="s">
        <v>1</v>
      </c>
      <c r="D1754" s="12" t="s">
        <v>2</v>
      </c>
      <c r="E1754" s="2" t="s">
        <v>3</v>
      </c>
      <c r="F1754" s="13" t="s">
        <v>4</v>
      </c>
      <c r="G1754" s="3" t="s">
        <v>5</v>
      </c>
      <c r="H1754" s="1" t="s">
        <v>6</v>
      </c>
      <c r="I1754" s="5" t="s">
        <v>8</v>
      </c>
      <c r="J1754" t="s">
        <v>9</v>
      </c>
      <c r="K1754" t="s">
        <v>10</v>
      </c>
      <c r="L1754" s="5" t="s">
        <v>11</v>
      </c>
      <c r="M1754" s="5" t="s">
        <v>12</v>
      </c>
      <c r="N1754" t="s">
        <v>13</v>
      </c>
      <c r="O1754" t="s">
        <v>20</v>
      </c>
      <c r="P1754" s="1" t="s">
        <v>7</v>
      </c>
      <c r="Q1754" s="5" t="s">
        <v>15</v>
      </c>
      <c r="R1754" s="14" t="s">
        <v>18</v>
      </c>
      <c r="S1754" t="s">
        <v>16</v>
      </c>
      <c r="T1754" s="5" t="s">
        <v>14</v>
      </c>
      <c r="U1754" s="5" t="s">
        <v>17</v>
      </c>
      <c r="V1754" s="5" t="s">
        <v>19</v>
      </c>
      <c r="W1754" s="5"/>
      <c r="X1754" s="5"/>
      <c r="Y1754" s="5"/>
      <c r="Z1754" s="5"/>
      <c r="AA1754" s="5"/>
      <c r="AB1754" s="5"/>
      <c r="AC1754" s="5"/>
      <c r="AD1754" s="5"/>
      <c r="AE1754" s="5"/>
      <c r="AF1754" s="5"/>
      <c r="AG1754" s="5"/>
      <c r="AH1754" s="5"/>
      <c r="AI1754" s="5"/>
      <c r="AJ1754" s="5"/>
      <c r="AK1754" s="5"/>
    </row>
    <row r="1755" spans="1:37" x14ac:dyDescent="0.25">
      <c r="A1755" s="11">
        <f>Table1[[#This Row],[Milk Yield]]-J1751</f>
        <v>770</v>
      </c>
      <c r="B1755" t="s">
        <v>24</v>
      </c>
      <c r="C1755" s="2">
        <v>1</v>
      </c>
      <c r="D1755" s="12">
        <v>45906</v>
      </c>
      <c r="E1755" s="2">
        <v>36</v>
      </c>
      <c r="F1755" s="13">
        <v>0.33803240740740742</v>
      </c>
      <c r="G1755" s="3">
        <v>0.53997685185185185</v>
      </c>
      <c r="H1755" s="1">
        <v>0.2013888888888889</v>
      </c>
      <c r="I1755" s="5">
        <v>793</v>
      </c>
      <c r="J1755">
        <v>11430</v>
      </c>
      <c r="K1755">
        <v>164</v>
      </c>
      <c r="L1755" s="5">
        <v>114</v>
      </c>
      <c r="M1755" s="5">
        <v>793</v>
      </c>
      <c r="N1755">
        <v>9</v>
      </c>
      <c r="O1755">
        <v>784</v>
      </c>
      <c r="P1755" s="1">
        <v>0.22916666666666666</v>
      </c>
      <c r="Q1755" s="5">
        <v>2358</v>
      </c>
      <c r="R1755" s="14">
        <v>14.5</v>
      </c>
      <c r="S1755">
        <v>164</v>
      </c>
      <c r="T1755" s="5">
        <v>9</v>
      </c>
      <c r="U1755" s="5">
        <v>785</v>
      </c>
      <c r="V1755" s="5">
        <v>1</v>
      </c>
      <c r="W1755" s="5"/>
      <c r="X1755" s="5"/>
      <c r="Y1755" s="5"/>
      <c r="Z1755" s="5"/>
      <c r="AA1755" s="5"/>
      <c r="AB1755" s="5"/>
      <c r="AC1755" s="5"/>
      <c r="AD1755" s="5"/>
      <c r="AE1755" s="5"/>
      <c r="AF1755" s="5"/>
      <c r="AG1755" s="5"/>
      <c r="AH1755" s="5"/>
      <c r="AI1755" s="5"/>
      <c r="AJ1755" s="5"/>
      <c r="AK1755" s="5"/>
    </row>
    <row r="1756" spans="1:37" x14ac:dyDescent="0.25">
      <c r="A1756" s="11">
        <f>Table1[[#This Row],[Milk Yield]]-J1752</f>
        <v>-674</v>
      </c>
      <c r="B1756" t="s">
        <v>24</v>
      </c>
      <c r="C1756" s="2">
        <v>2</v>
      </c>
      <c r="D1756" s="12">
        <v>45906</v>
      </c>
      <c r="E1756" s="2">
        <v>35</v>
      </c>
      <c r="F1756" s="13">
        <v>0.66640046296296296</v>
      </c>
      <c r="G1756" s="3">
        <v>0.86465277777777783</v>
      </c>
      <c r="H1756" s="1">
        <v>0.19791666666666666</v>
      </c>
      <c r="I1756" s="5">
        <v>794</v>
      </c>
      <c r="J1756">
        <v>10625</v>
      </c>
      <c r="K1756">
        <v>167</v>
      </c>
      <c r="L1756" s="5">
        <v>27</v>
      </c>
      <c r="M1756" s="5">
        <v>794</v>
      </c>
      <c r="N1756">
        <v>4</v>
      </c>
      <c r="O1756">
        <v>790</v>
      </c>
      <c r="P1756" s="1">
        <v>0.22430555555555556</v>
      </c>
      <c r="Q1756" s="5">
        <v>2233</v>
      </c>
      <c r="R1756" s="14">
        <v>13.4</v>
      </c>
      <c r="S1756">
        <v>167</v>
      </c>
      <c r="T1756" s="5">
        <v>4</v>
      </c>
      <c r="U1756" s="5">
        <v>791</v>
      </c>
      <c r="V1756" s="5">
        <v>1</v>
      </c>
      <c r="W1756" s="5"/>
      <c r="X1756" s="5"/>
      <c r="Y1756" s="5"/>
      <c r="Z1756" s="5"/>
      <c r="AA1756" s="5"/>
      <c r="AB1756" s="5"/>
      <c r="AC1756" s="5"/>
      <c r="AD1756" s="5"/>
      <c r="AE1756" s="5"/>
      <c r="AF1756" s="5"/>
      <c r="AG1756" s="5"/>
      <c r="AH1756" s="5"/>
      <c r="AI1756" s="5"/>
      <c r="AJ1756" s="5"/>
      <c r="AK1756" s="5"/>
    </row>
    <row r="1757" spans="1:37" x14ac:dyDescent="0.25">
      <c r="A1757" s="11">
        <f>Table1[[#This Row],[Milk Yield]]-J1753</f>
        <v>102</v>
      </c>
      <c r="B1757" t="s">
        <v>24</v>
      </c>
      <c r="C1757" s="2">
        <v>3</v>
      </c>
      <c r="D1757" s="12">
        <v>45906</v>
      </c>
      <c r="E1757" s="2">
        <v>35</v>
      </c>
      <c r="F1757" s="13">
        <v>4.2824074074074075E-4</v>
      </c>
      <c r="G1757" s="3">
        <v>0.17618055555555556</v>
      </c>
      <c r="H1757" s="1">
        <v>0.17569444444444443</v>
      </c>
      <c r="I1757" s="5">
        <v>791</v>
      </c>
      <c r="J1757">
        <v>9800</v>
      </c>
      <c r="K1757">
        <v>188</v>
      </c>
      <c r="L1757" s="5">
        <v>74</v>
      </c>
      <c r="M1757" s="5">
        <v>790</v>
      </c>
      <c r="N1757">
        <v>7</v>
      </c>
      <c r="O1757">
        <v>783</v>
      </c>
      <c r="P1757" s="1">
        <v>0.20624999999999999</v>
      </c>
      <c r="Q1757" s="5">
        <v>2323</v>
      </c>
      <c r="R1757" s="14">
        <v>12.5</v>
      </c>
      <c r="S1757">
        <v>187</v>
      </c>
      <c r="T1757" s="5">
        <v>7</v>
      </c>
      <c r="U1757" s="5">
        <v>784</v>
      </c>
      <c r="V1757" s="5">
        <v>1</v>
      </c>
      <c r="W1757" s="5"/>
      <c r="X1757" s="5"/>
      <c r="Y1757" s="5"/>
      <c r="Z1757" s="5"/>
      <c r="AA1757" s="5"/>
      <c r="AB1757" s="5"/>
      <c r="AC1757" s="5"/>
      <c r="AD1757" s="5"/>
      <c r="AE1757" s="5"/>
      <c r="AF1757" s="5"/>
      <c r="AG1757" s="5"/>
      <c r="AH1757" s="5"/>
      <c r="AI1757" s="5"/>
      <c r="AJ1757" s="5"/>
      <c r="AK1757" s="5"/>
    </row>
    <row r="1758" spans="1:37" x14ac:dyDescent="0.25">
      <c r="A1758" s="11" t="e">
        <f>Table1[[#This Row],[Milk Yield]]-J1754</f>
        <v>#VALUE!</v>
      </c>
      <c r="B1758" t="s">
        <v>0</v>
      </c>
      <c r="C1758" s="2" t="s">
        <v>1</v>
      </c>
      <c r="D1758" s="12" t="s">
        <v>2</v>
      </c>
      <c r="E1758" s="2" t="s">
        <v>3</v>
      </c>
      <c r="F1758" s="13" t="s">
        <v>4</v>
      </c>
      <c r="G1758" s="3" t="s">
        <v>5</v>
      </c>
      <c r="H1758" s="1" t="s">
        <v>6</v>
      </c>
      <c r="I1758" s="5" t="s">
        <v>8</v>
      </c>
      <c r="J1758" t="s">
        <v>9</v>
      </c>
      <c r="K1758" t="s">
        <v>10</v>
      </c>
      <c r="L1758" s="5" t="s">
        <v>11</v>
      </c>
      <c r="M1758" s="5" t="s">
        <v>12</v>
      </c>
      <c r="N1758" t="s">
        <v>13</v>
      </c>
      <c r="O1758" t="s">
        <v>20</v>
      </c>
      <c r="P1758" s="1" t="s">
        <v>7</v>
      </c>
      <c r="Q1758" s="5" t="s">
        <v>15</v>
      </c>
      <c r="R1758" s="14" t="s">
        <v>18</v>
      </c>
      <c r="S1758" t="s">
        <v>16</v>
      </c>
      <c r="T1758" s="5" t="s">
        <v>14</v>
      </c>
      <c r="U1758" s="5" t="s">
        <v>17</v>
      </c>
      <c r="V1758" s="5" t="s">
        <v>19</v>
      </c>
      <c r="W1758" s="5"/>
      <c r="X1758" s="5"/>
      <c r="Y1758" s="5"/>
      <c r="Z1758" s="5"/>
      <c r="AA1758" s="5"/>
      <c r="AB1758" s="5"/>
      <c r="AC1758" s="5"/>
      <c r="AD1758" s="5"/>
      <c r="AE1758" s="5"/>
      <c r="AF1758" s="5"/>
      <c r="AG1758" s="5"/>
      <c r="AH1758" s="5"/>
      <c r="AI1758" s="5"/>
      <c r="AJ1758" s="5"/>
      <c r="AK1758" s="5"/>
    </row>
    <row r="1759" spans="1:37" x14ac:dyDescent="0.25">
      <c r="A1759" s="11">
        <f>Table1[[#This Row],[Milk Yield]]-J1755</f>
        <v>-404</v>
      </c>
      <c r="B1759" t="s">
        <v>24</v>
      </c>
      <c r="C1759" s="2">
        <v>1</v>
      </c>
      <c r="D1759" s="12">
        <v>45907</v>
      </c>
      <c r="E1759" s="2">
        <v>35</v>
      </c>
      <c r="F1759" s="13">
        <v>0.33667824074074076</v>
      </c>
      <c r="G1759" s="3">
        <v>0.52261574074074069</v>
      </c>
      <c r="H1759" s="1">
        <v>0.18541666666666667</v>
      </c>
      <c r="I1759" s="5">
        <v>773</v>
      </c>
      <c r="J1759">
        <v>11026</v>
      </c>
      <c r="K1759">
        <v>173</v>
      </c>
      <c r="L1759" s="5">
        <v>257</v>
      </c>
      <c r="M1759" s="5">
        <v>772</v>
      </c>
      <c r="N1759">
        <v>17</v>
      </c>
      <c r="O1759">
        <v>755</v>
      </c>
      <c r="P1759" s="1">
        <v>0.23749999999999999</v>
      </c>
      <c r="Q1759" s="5">
        <v>2471</v>
      </c>
      <c r="R1759" s="14">
        <v>14.3</v>
      </c>
      <c r="S1759">
        <v>173</v>
      </c>
      <c r="T1759" s="5">
        <v>17</v>
      </c>
      <c r="U1759" s="5">
        <v>756</v>
      </c>
      <c r="V1759" s="5">
        <v>1</v>
      </c>
      <c r="W1759" s="5"/>
      <c r="X1759" s="5"/>
      <c r="Y1759" s="5"/>
      <c r="Z1759" s="5"/>
      <c r="AA1759" s="5"/>
      <c r="AB1759" s="5"/>
      <c r="AC1759" s="5"/>
      <c r="AD1759" s="5"/>
      <c r="AE1759" s="5"/>
      <c r="AF1759" s="5"/>
      <c r="AG1759" s="5"/>
      <c r="AH1759" s="5"/>
      <c r="AI1759" s="5"/>
      <c r="AJ1759" s="5"/>
      <c r="AK1759" s="5"/>
    </row>
    <row r="1760" spans="1:37" x14ac:dyDescent="0.25">
      <c r="A1760" s="11">
        <f>Table1[[#This Row],[Milk Yield]]-J1756</f>
        <v>491</v>
      </c>
      <c r="B1760" t="s">
        <v>24</v>
      </c>
      <c r="C1760" s="2">
        <v>2</v>
      </c>
      <c r="D1760" s="12">
        <v>45907</v>
      </c>
      <c r="E1760" s="2">
        <v>37</v>
      </c>
      <c r="F1760" s="13">
        <v>0.66503472222222226</v>
      </c>
      <c r="G1760" s="3">
        <v>0.88153935185185184</v>
      </c>
      <c r="H1760" s="1">
        <v>0.21597222222222223</v>
      </c>
      <c r="I1760" s="5">
        <v>793</v>
      </c>
      <c r="J1760">
        <v>11116</v>
      </c>
      <c r="K1760">
        <v>153</v>
      </c>
      <c r="L1760" s="5">
        <v>53</v>
      </c>
      <c r="M1760" s="5">
        <v>793</v>
      </c>
      <c r="N1760">
        <v>5</v>
      </c>
      <c r="O1760">
        <v>788</v>
      </c>
      <c r="P1760" s="1">
        <v>0.2326388888888889</v>
      </c>
      <c r="Q1760" s="5">
        <v>2139</v>
      </c>
      <c r="R1760" s="14">
        <v>14.1</v>
      </c>
      <c r="S1760">
        <v>153</v>
      </c>
      <c r="T1760" s="5">
        <v>5</v>
      </c>
      <c r="U1760" s="5">
        <v>789</v>
      </c>
      <c r="V1760" s="5">
        <v>1</v>
      </c>
      <c r="W1760" s="5"/>
      <c r="X1760" s="5"/>
      <c r="Y1760" s="5"/>
      <c r="Z1760" s="5"/>
      <c r="AA1760" s="5"/>
      <c r="AB1760" s="5"/>
      <c r="AC1760" s="5"/>
      <c r="AD1760" s="5"/>
      <c r="AE1760" s="5"/>
      <c r="AF1760" s="5"/>
      <c r="AG1760" s="5"/>
      <c r="AH1760" s="5"/>
      <c r="AI1760" s="5"/>
      <c r="AJ1760" s="5"/>
      <c r="AK1760" s="5"/>
    </row>
    <row r="1761" spans="1:37" x14ac:dyDescent="0.25">
      <c r="A1761" s="11">
        <f>Table1[[#This Row],[Milk Yield]]-J1757</f>
        <v>-349</v>
      </c>
      <c r="B1761" t="s">
        <v>24</v>
      </c>
      <c r="C1761" s="2">
        <v>3</v>
      </c>
      <c r="D1761" s="12">
        <v>45907</v>
      </c>
      <c r="E1761" s="2">
        <v>35</v>
      </c>
      <c r="F1761" s="13">
        <v>0.99986111111111109</v>
      </c>
      <c r="G1761" s="3">
        <v>0.17664351851851851</v>
      </c>
      <c r="H1761" s="1">
        <v>0.1763888888888889</v>
      </c>
      <c r="I1761" s="5">
        <v>790</v>
      </c>
      <c r="J1761">
        <v>9451</v>
      </c>
      <c r="K1761">
        <v>186</v>
      </c>
      <c r="L1761" s="5">
        <v>80</v>
      </c>
      <c r="M1761" s="5">
        <v>788</v>
      </c>
      <c r="N1761">
        <v>7</v>
      </c>
      <c r="O1761">
        <v>781</v>
      </c>
      <c r="P1761" s="1">
        <v>0.20416666666666666</v>
      </c>
      <c r="Q1761" s="5">
        <v>2227</v>
      </c>
      <c r="R1761" s="14">
        <v>12</v>
      </c>
      <c r="S1761">
        <v>186</v>
      </c>
      <c r="T1761" s="5">
        <v>7</v>
      </c>
      <c r="U1761" s="5">
        <v>781</v>
      </c>
      <c r="V1761" s="5">
        <v>0</v>
      </c>
      <c r="W1761" s="5"/>
      <c r="X1761" s="5"/>
      <c r="Y1761" s="5"/>
      <c r="Z1761" s="5"/>
      <c r="AA1761" s="5"/>
      <c r="AB1761" s="5"/>
      <c r="AC1761" s="5"/>
      <c r="AD1761" s="5"/>
      <c r="AE1761" s="5"/>
      <c r="AF1761" s="5"/>
      <c r="AG1761" s="5"/>
      <c r="AH1761" s="5"/>
      <c r="AI1761" s="5"/>
      <c r="AJ1761" s="5"/>
      <c r="AK1761" s="5"/>
    </row>
    <row r="1762" spans="1:37" x14ac:dyDescent="0.25">
      <c r="A1762" s="11" t="e">
        <f>Table1[[#This Row],[Milk Yield]]-J1758</f>
        <v>#VALUE!</v>
      </c>
      <c r="B1762" t="s">
        <v>0</v>
      </c>
      <c r="C1762" s="2" t="s">
        <v>1</v>
      </c>
      <c r="D1762" s="12" t="s">
        <v>2</v>
      </c>
      <c r="E1762" s="2" t="s">
        <v>3</v>
      </c>
      <c r="F1762" s="13" t="s">
        <v>4</v>
      </c>
      <c r="G1762" s="3" t="s">
        <v>5</v>
      </c>
      <c r="H1762" s="1" t="s">
        <v>6</v>
      </c>
      <c r="I1762" s="5" t="s">
        <v>8</v>
      </c>
      <c r="J1762" t="s">
        <v>9</v>
      </c>
      <c r="K1762" t="s">
        <v>10</v>
      </c>
      <c r="L1762" s="5" t="s">
        <v>11</v>
      </c>
      <c r="M1762" s="5" t="s">
        <v>12</v>
      </c>
      <c r="N1762" t="s">
        <v>13</v>
      </c>
      <c r="O1762" t="s">
        <v>20</v>
      </c>
      <c r="P1762" s="1" t="s">
        <v>7</v>
      </c>
      <c r="Q1762" s="5" t="s">
        <v>15</v>
      </c>
      <c r="R1762" s="14" t="s">
        <v>18</v>
      </c>
      <c r="S1762" t="s">
        <v>16</v>
      </c>
      <c r="T1762" s="5" t="s">
        <v>14</v>
      </c>
      <c r="U1762" s="5" t="s">
        <v>17</v>
      </c>
      <c r="V1762" s="5" t="s">
        <v>19</v>
      </c>
      <c r="W1762" s="5"/>
      <c r="X1762" s="5"/>
      <c r="Y1762" s="5"/>
      <c r="Z1762" s="5"/>
      <c r="AA1762" s="5"/>
      <c r="AB1762" s="5"/>
      <c r="AC1762" s="5"/>
      <c r="AD1762" s="5"/>
      <c r="AE1762" s="5"/>
      <c r="AF1762" s="5"/>
      <c r="AG1762" s="5"/>
      <c r="AH1762" s="5"/>
      <c r="AI1762" s="5"/>
      <c r="AJ1762" s="5"/>
      <c r="AK1762" s="5"/>
    </row>
    <row r="1763" spans="1:37" x14ac:dyDescent="0.25">
      <c r="A1763" s="11">
        <f>Table1[[#This Row],[Milk Yield]]-J1759</f>
        <v>-132</v>
      </c>
      <c r="B1763" t="s">
        <v>24</v>
      </c>
      <c r="C1763" s="2">
        <v>1</v>
      </c>
      <c r="D1763" s="12">
        <v>45908</v>
      </c>
      <c r="E1763" s="2">
        <v>35</v>
      </c>
      <c r="F1763" s="13">
        <v>0.33605324074074072</v>
      </c>
      <c r="G1763" s="3">
        <v>0.51680555555555552</v>
      </c>
      <c r="H1763" s="1">
        <v>0.18055555555555555</v>
      </c>
      <c r="I1763" s="5">
        <v>789</v>
      </c>
      <c r="J1763">
        <v>10894</v>
      </c>
      <c r="K1763">
        <v>182</v>
      </c>
      <c r="L1763" s="5">
        <v>99</v>
      </c>
      <c r="M1763" s="5">
        <v>788</v>
      </c>
      <c r="N1763">
        <v>8</v>
      </c>
      <c r="O1763">
        <v>780</v>
      </c>
      <c r="P1763" s="1">
        <v>0.22638888888888889</v>
      </c>
      <c r="Q1763" s="5">
        <v>2511</v>
      </c>
      <c r="R1763" s="14">
        <v>13.9</v>
      </c>
      <c r="S1763">
        <v>182</v>
      </c>
      <c r="T1763" s="5">
        <v>8</v>
      </c>
      <c r="U1763" s="5">
        <v>781</v>
      </c>
      <c r="V1763" s="5">
        <v>1</v>
      </c>
      <c r="W1763" s="5"/>
      <c r="X1763" s="5"/>
      <c r="Y1763" s="5"/>
      <c r="Z1763" s="5"/>
      <c r="AA1763" s="5"/>
      <c r="AB1763" s="5"/>
      <c r="AC1763" s="5"/>
      <c r="AD1763" s="5"/>
      <c r="AE1763" s="5"/>
      <c r="AF1763" s="5"/>
      <c r="AG1763" s="5"/>
      <c r="AH1763" s="5"/>
      <c r="AI1763" s="5"/>
      <c r="AJ1763" s="5"/>
      <c r="AK1763" s="5"/>
    </row>
    <row r="1764" spans="1:37" x14ac:dyDescent="0.25">
      <c r="A1764" s="11">
        <f>Table1[[#This Row],[Milk Yield]]-J1760</f>
        <v>28</v>
      </c>
      <c r="B1764" t="s">
        <v>24</v>
      </c>
      <c r="C1764" s="2">
        <v>2</v>
      </c>
      <c r="D1764" s="12">
        <v>45908</v>
      </c>
      <c r="E1764" s="2">
        <v>39</v>
      </c>
      <c r="F1764" s="13">
        <v>0.66749999999999998</v>
      </c>
      <c r="G1764" s="3">
        <v>0.89315972222222217</v>
      </c>
      <c r="H1764" s="1">
        <v>0.22500000000000001</v>
      </c>
      <c r="I1764" s="5">
        <v>796</v>
      </c>
      <c r="J1764">
        <v>11144</v>
      </c>
      <c r="K1764">
        <v>147</v>
      </c>
      <c r="L1764" s="5">
        <v>124</v>
      </c>
      <c r="M1764" s="5">
        <v>795</v>
      </c>
      <c r="N1764">
        <v>12</v>
      </c>
      <c r="O1764">
        <v>783</v>
      </c>
      <c r="P1764" s="1">
        <v>0.22708333333333333</v>
      </c>
      <c r="Q1764" s="5">
        <v>2058</v>
      </c>
      <c r="R1764" s="14">
        <v>14.1</v>
      </c>
      <c r="S1764">
        <v>147</v>
      </c>
      <c r="T1764" s="5">
        <v>12</v>
      </c>
      <c r="U1764" s="5">
        <v>784</v>
      </c>
      <c r="V1764" s="5">
        <v>1</v>
      </c>
      <c r="W1764" s="5"/>
      <c r="X1764" s="5"/>
      <c r="Y1764" s="5"/>
      <c r="Z1764" s="5"/>
      <c r="AA1764" s="5"/>
      <c r="AB1764" s="5"/>
      <c r="AC1764" s="5"/>
      <c r="AD1764" s="5"/>
      <c r="AE1764" s="5"/>
      <c r="AF1764" s="5"/>
      <c r="AG1764" s="5"/>
      <c r="AH1764" s="5"/>
      <c r="AI1764" s="5"/>
      <c r="AJ1764" s="5"/>
      <c r="AK1764" s="5"/>
    </row>
    <row r="1765" spans="1:37" x14ac:dyDescent="0.25">
      <c r="A1765" s="11">
        <f>Table1[[#This Row],[Milk Yield]]-J1761</f>
        <v>-106</v>
      </c>
      <c r="B1765" t="s">
        <v>24</v>
      </c>
      <c r="C1765" s="2">
        <v>3</v>
      </c>
      <c r="D1765" s="12">
        <v>45908</v>
      </c>
      <c r="E1765" s="2">
        <v>35</v>
      </c>
      <c r="F1765" s="13">
        <v>0.99886574074074075</v>
      </c>
      <c r="G1765" s="3">
        <v>0.17093749999999999</v>
      </c>
      <c r="H1765" s="1">
        <v>0.17152777777777778</v>
      </c>
      <c r="I1765" s="5">
        <v>788</v>
      </c>
      <c r="J1765">
        <v>9345</v>
      </c>
      <c r="K1765">
        <v>191</v>
      </c>
      <c r="L1765" s="5">
        <v>71</v>
      </c>
      <c r="M1765" s="5">
        <v>786</v>
      </c>
      <c r="N1765">
        <v>7</v>
      </c>
      <c r="O1765">
        <v>779</v>
      </c>
      <c r="P1765" s="1">
        <v>0.20416666666666666</v>
      </c>
      <c r="Q1765" s="5">
        <v>2263</v>
      </c>
      <c r="R1765" s="14">
        <v>11.9</v>
      </c>
      <c r="S1765">
        <v>190</v>
      </c>
      <c r="T1765" s="5">
        <v>7</v>
      </c>
      <c r="U1765" s="5">
        <v>780</v>
      </c>
      <c r="V1765" s="5">
        <v>1</v>
      </c>
      <c r="W1765" s="5"/>
      <c r="X1765" s="5"/>
      <c r="Y1765" s="5"/>
      <c r="Z1765" s="5"/>
      <c r="AA1765" s="5"/>
      <c r="AB1765" s="5"/>
      <c r="AC1765" s="5"/>
      <c r="AD1765" s="5"/>
      <c r="AE1765" s="5"/>
      <c r="AF1765" s="5"/>
      <c r="AG1765" s="5"/>
      <c r="AH1765" s="5"/>
      <c r="AI1765" s="5"/>
      <c r="AJ1765" s="5"/>
      <c r="AK1765" s="5"/>
    </row>
    <row r="1766" spans="1:37" x14ac:dyDescent="0.25">
      <c r="A1766" s="11" t="e">
        <f>Table1[[#This Row],[Milk Yield]]-J1762</f>
        <v>#VALUE!</v>
      </c>
      <c r="B1766" t="s">
        <v>0</v>
      </c>
      <c r="C1766" s="2" t="s">
        <v>1</v>
      </c>
      <c r="D1766" s="12" t="s">
        <v>2</v>
      </c>
      <c r="E1766" s="2" t="s">
        <v>3</v>
      </c>
      <c r="F1766" s="13" t="s">
        <v>4</v>
      </c>
      <c r="G1766" s="3" t="s">
        <v>5</v>
      </c>
      <c r="H1766" s="1" t="s">
        <v>6</v>
      </c>
      <c r="I1766" s="5" t="s">
        <v>8</v>
      </c>
      <c r="J1766" t="s">
        <v>9</v>
      </c>
      <c r="K1766" t="s">
        <v>10</v>
      </c>
      <c r="L1766" s="5" t="s">
        <v>11</v>
      </c>
      <c r="M1766" s="5" t="s">
        <v>12</v>
      </c>
      <c r="N1766" t="s">
        <v>13</v>
      </c>
      <c r="O1766" t="s">
        <v>20</v>
      </c>
      <c r="P1766" s="1" t="s">
        <v>7</v>
      </c>
      <c r="Q1766" s="5" t="s">
        <v>15</v>
      </c>
      <c r="R1766" s="14" t="s">
        <v>18</v>
      </c>
      <c r="S1766" t="s">
        <v>16</v>
      </c>
      <c r="T1766" s="5" t="s">
        <v>14</v>
      </c>
      <c r="U1766" s="5" t="s">
        <v>17</v>
      </c>
      <c r="V1766" s="5" t="s">
        <v>19</v>
      </c>
      <c r="W1766" s="5"/>
      <c r="X1766" s="5"/>
      <c r="Y1766" s="5"/>
      <c r="Z1766" s="5"/>
      <c r="AA1766" s="5"/>
      <c r="AB1766" s="5"/>
      <c r="AC1766" s="5"/>
      <c r="AD1766" s="5"/>
      <c r="AE1766" s="5"/>
      <c r="AF1766" s="5"/>
      <c r="AG1766" s="5"/>
      <c r="AH1766" s="5"/>
      <c r="AI1766" s="5"/>
      <c r="AJ1766" s="5"/>
      <c r="AK1766" s="5"/>
    </row>
    <row r="1767" spans="1:37" x14ac:dyDescent="0.25">
      <c r="A1767" s="11">
        <f>Table1[[#This Row],[Milk Yield]]-J1763</f>
        <v>-314</v>
      </c>
      <c r="B1767" t="s">
        <v>24</v>
      </c>
      <c r="C1767" s="2">
        <v>1</v>
      </c>
      <c r="D1767" s="12">
        <v>45909</v>
      </c>
      <c r="E1767" s="2">
        <v>35</v>
      </c>
      <c r="F1767" s="13">
        <v>0.33490740740740743</v>
      </c>
      <c r="G1767" s="3">
        <v>0.50417824074074069</v>
      </c>
      <c r="H1767" s="1">
        <v>0.16875000000000001</v>
      </c>
      <c r="I1767" s="5">
        <v>779</v>
      </c>
      <c r="J1767">
        <v>10580</v>
      </c>
      <c r="K1767">
        <v>192</v>
      </c>
      <c r="L1767" s="5">
        <v>85</v>
      </c>
      <c r="M1767" s="5">
        <v>779</v>
      </c>
      <c r="N1767">
        <v>8</v>
      </c>
      <c r="O1767">
        <v>771</v>
      </c>
      <c r="P1767" s="1">
        <v>0.22083333333333333</v>
      </c>
      <c r="Q1767" s="5">
        <v>2604</v>
      </c>
      <c r="R1767" s="14">
        <v>13.6</v>
      </c>
      <c r="S1767">
        <v>192</v>
      </c>
      <c r="T1767" s="5">
        <v>8</v>
      </c>
      <c r="U1767" s="5">
        <v>772</v>
      </c>
      <c r="V1767" s="5">
        <v>1</v>
      </c>
      <c r="W1767" s="5"/>
      <c r="X1767" s="5"/>
      <c r="Y1767" s="5"/>
      <c r="Z1767" s="5"/>
      <c r="AA1767" s="5"/>
      <c r="AB1767" s="5"/>
      <c r="AC1767" s="5"/>
      <c r="AD1767" s="5"/>
      <c r="AE1767" s="5"/>
      <c r="AF1767" s="5"/>
      <c r="AG1767" s="5"/>
      <c r="AH1767" s="5"/>
      <c r="AI1767" s="5"/>
      <c r="AJ1767" s="5"/>
      <c r="AK1767" s="5"/>
    </row>
    <row r="1768" spans="1:37" x14ac:dyDescent="0.25">
      <c r="A1768" s="11">
        <f>Table1[[#This Row],[Milk Yield]]-J1764</f>
        <v>-145</v>
      </c>
      <c r="B1768" t="s">
        <v>24</v>
      </c>
      <c r="C1768" s="2">
        <v>2</v>
      </c>
      <c r="D1768" s="12">
        <v>45909</v>
      </c>
      <c r="E1768" s="2">
        <v>37</v>
      </c>
      <c r="F1768" s="13">
        <v>0.66756944444444444</v>
      </c>
      <c r="G1768" s="3">
        <v>0.87336805555555552</v>
      </c>
      <c r="H1768" s="1">
        <v>0.20555555555555555</v>
      </c>
      <c r="I1768" s="5">
        <v>786</v>
      </c>
      <c r="J1768">
        <v>10999</v>
      </c>
      <c r="K1768">
        <v>159</v>
      </c>
      <c r="L1768" s="5">
        <v>57</v>
      </c>
      <c r="M1768" s="5">
        <v>786</v>
      </c>
      <c r="N1768">
        <v>7</v>
      </c>
      <c r="O1768">
        <v>779</v>
      </c>
      <c r="P1768" s="1">
        <v>0.22361111111111112</v>
      </c>
      <c r="Q1768" s="5">
        <v>2227</v>
      </c>
      <c r="R1768" s="14">
        <v>14</v>
      </c>
      <c r="S1768">
        <v>159</v>
      </c>
      <c r="T1768" s="5">
        <v>7</v>
      </c>
      <c r="U1768" s="5">
        <v>780</v>
      </c>
      <c r="V1768" s="5">
        <v>1</v>
      </c>
      <c r="W1768" s="5"/>
      <c r="X1768" s="5"/>
      <c r="Y1768" s="5"/>
      <c r="Z1768" s="5"/>
      <c r="AA1768" s="5"/>
      <c r="AB1768" s="5"/>
      <c r="AC1768" s="5"/>
      <c r="AD1768" s="5"/>
      <c r="AE1768" s="5"/>
      <c r="AF1768" s="5"/>
      <c r="AG1768" s="5"/>
      <c r="AH1768" s="5"/>
      <c r="AI1768" s="5"/>
      <c r="AJ1768" s="5"/>
      <c r="AK1768" s="5"/>
    </row>
    <row r="1769" spans="1:37" x14ac:dyDescent="0.25">
      <c r="A1769" s="11">
        <f>Table1[[#This Row],[Milk Yield]]-J1765</f>
        <v>489</v>
      </c>
      <c r="B1769" t="s">
        <v>24</v>
      </c>
      <c r="C1769" s="2">
        <v>3</v>
      </c>
      <c r="D1769" s="12">
        <v>45909</v>
      </c>
      <c r="E1769" s="2">
        <v>36</v>
      </c>
      <c r="F1769" s="13">
        <v>0.99962962962962965</v>
      </c>
      <c r="G1769" s="3">
        <v>0.19155092592592593</v>
      </c>
      <c r="H1769" s="1">
        <v>0.19166666666666668</v>
      </c>
      <c r="I1769" s="5">
        <v>787</v>
      </c>
      <c r="J1769">
        <v>9834</v>
      </c>
      <c r="K1769">
        <v>171</v>
      </c>
      <c r="L1769" s="5">
        <v>66</v>
      </c>
      <c r="M1769" s="5">
        <v>785</v>
      </c>
      <c r="N1769">
        <v>7</v>
      </c>
      <c r="O1769">
        <v>778</v>
      </c>
      <c r="P1769" s="1">
        <v>0.20833333333333334</v>
      </c>
      <c r="Q1769" s="5">
        <v>2135</v>
      </c>
      <c r="R1769" s="14">
        <v>12.6</v>
      </c>
      <c r="S1769">
        <v>170</v>
      </c>
      <c r="T1769" s="5">
        <v>7</v>
      </c>
      <c r="U1769" s="5">
        <v>779</v>
      </c>
      <c r="V1769" s="5">
        <v>1</v>
      </c>
      <c r="W1769" s="5"/>
      <c r="X1769" s="5"/>
      <c r="Y1769" s="5"/>
      <c r="Z1769" s="5"/>
      <c r="AA1769" s="5"/>
      <c r="AB1769" s="5"/>
      <c r="AC1769" s="5"/>
      <c r="AD1769" s="5"/>
      <c r="AE1769" s="5"/>
      <c r="AF1769" s="5"/>
      <c r="AG1769" s="5"/>
      <c r="AH1769" s="5"/>
      <c r="AI1769" s="5"/>
      <c r="AJ1769" s="5"/>
      <c r="AK1769" s="5"/>
    </row>
    <row r="1770" spans="1:37" x14ac:dyDescent="0.25">
      <c r="A1770" s="11" t="e">
        <f>Table1[[#This Row],[Milk Yield]]-J1766</f>
        <v>#VALUE!</v>
      </c>
      <c r="B1770" t="s">
        <v>0</v>
      </c>
      <c r="C1770" s="2" t="s">
        <v>1</v>
      </c>
      <c r="D1770" s="12" t="s">
        <v>2</v>
      </c>
      <c r="E1770" s="2" t="s">
        <v>3</v>
      </c>
      <c r="F1770" s="13" t="s">
        <v>4</v>
      </c>
      <c r="G1770" s="3" t="s">
        <v>5</v>
      </c>
      <c r="H1770" s="1" t="s">
        <v>6</v>
      </c>
      <c r="I1770" s="5" t="s">
        <v>8</v>
      </c>
      <c r="J1770" t="s">
        <v>9</v>
      </c>
      <c r="K1770" t="s">
        <v>10</v>
      </c>
      <c r="L1770" s="5" t="s">
        <v>11</v>
      </c>
      <c r="M1770" s="5" t="s">
        <v>12</v>
      </c>
      <c r="N1770" t="s">
        <v>13</v>
      </c>
      <c r="O1770" t="s">
        <v>20</v>
      </c>
      <c r="P1770" s="1" t="s">
        <v>7</v>
      </c>
      <c r="Q1770" s="5" t="s">
        <v>15</v>
      </c>
      <c r="R1770" s="14" t="s">
        <v>18</v>
      </c>
      <c r="S1770" t="s">
        <v>16</v>
      </c>
      <c r="T1770" s="5" t="s">
        <v>14</v>
      </c>
      <c r="U1770" s="5" t="s">
        <v>17</v>
      </c>
      <c r="V1770" s="5" t="s">
        <v>19</v>
      </c>
      <c r="W1770" s="5"/>
      <c r="X1770" s="5"/>
      <c r="Y1770" s="5"/>
      <c r="Z1770" s="5"/>
      <c r="AA1770" s="5"/>
      <c r="AB1770" s="5"/>
      <c r="AC1770" s="5"/>
      <c r="AD1770" s="5"/>
      <c r="AE1770" s="5"/>
      <c r="AF1770" s="5"/>
      <c r="AG1770" s="5"/>
      <c r="AH1770" s="5"/>
      <c r="AI1770" s="5"/>
      <c r="AJ1770" s="5"/>
      <c r="AK1770" s="5"/>
    </row>
    <row r="1771" spans="1:37" x14ac:dyDescent="0.25">
      <c r="A1771" s="11">
        <f>Table1[[#This Row],[Milk Yield]]-J1767</f>
        <v>-161</v>
      </c>
      <c r="B1771" t="s">
        <v>24</v>
      </c>
      <c r="C1771" s="2">
        <v>1</v>
      </c>
      <c r="D1771" s="12">
        <v>45910</v>
      </c>
      <c r="E1771" s="2">
        <v>35</v>
      </c>
      <c r="F1771" s="13">
        <v>0.33564814814814814</v>
      </c>
      <c r="G1771" s="3">
        <v>0.51500000000000001</v>
      </c>
      <c r="H1771" s="1">
        <v>0.17916666666666667</v>
      </c>
      <c r="I1771" s="5">
        <v>782</v>
      </c>
      <c r="J1771">
        <v>10419</v>
      </c>
      <c r="K1771">
        <v>182</v>
      </c>
      <c r="L1771" s="5">
        <v>60</v>
      </c>
      <c r="M1771" s="5">
        <v>782</v>
      </c>
      <c r="N1771">
        <v>7</v>
      </c>
      <c r="O1771">
        <v>775</v>
      </c>
      <c r="P1771" s="1">
        <v>0.22500000000000001</v>
      </c>
      <c r="Q1771" s="5">
        <v>2420</v>
      </c>
      <c r="R1771" s="14">
        <v>13.4</v>
      </c>
      <c r="S1771">
        <v>182</v>
      </c>
      <c r="T1771" s="5">
        <v>7</v>
      </c>
      <c r="U1771" s="5">
        <v>776</v>
      </c>
      <c r="V1771" s="5">
        <v>1</v>
      </c>
      <c r="W1771" s="5"/>
      <c r="X1771" s="5"/>
      <c r="Y1771" s="5"/>
      <c r="Z1771" s="5"/>
      <c r="AA1771" s="5"/>
      <c r="AB1771" s="5"/>
      <c r="AC1771" s="5"/>
      <c r="AD1771" s="5"/>
      <c r="AE1771" s="5"/>
      <c r="AF1771" s="5"/>
      <c r="AG1771" s="5"/>
      <c r="AH1771" s="5"/>
      <c r="AI1771" s="5"/>
      <c r="AJ1771" s="5"/>
      <c r="AK1771" s="5"/>
    </row>
    <row r="1772" spans="1:37" x14ac:dyDescent="0.25">
      <c r="A1772" s="11">
        <f>Table1[[#This Row],[Milk Yield]]-J1768</f>
        <v>-134</v>
      </c>
      <c r="B1772" t="s">
        <v>24</v>
      </c>
      <c r="C1772" s="2">
        <v>2</v>
      </c>
      <c r="D1772" s="12">
        <v>45910</v>
      </c>
      <c r="E1772" s="2">
        <v>36</v>
      </c>
      <c r="F1772" s="13">
        <v>0.66745370370370372</v>
      </c>
      <c r="G1772" s="3">
        <v>0.88200231481481484</v>
      </c>
      <c r="H1772" s="1">
        <v>0.21388888888888888</v>
      </c>
      <c r="I1772" s="5">
        <v>788</v>
      </c>
      <c r="J1772">
        <v>10865</v>
      </c>
      <c r="K1772">
        <v>153</v>
      </c>
      <c r="L1772" s="5">
        <v>93</v>
      </c>
      <c r="M1772" s="5">
        <v>787</v>
      </c>
      <c r="N1772">
        <v>10</v>
      </c>
      <c r="O1772">
        <v>777</v>
      </c>
      <c r="P1772" s="1">
        <v>0.22638888888888889</v>
      </c>
      <c r="Q1772" s="5">
        <v>2110</v>
      </c>
      <c r="R1772" s="14">
        <v>13.9</v>
      </c>
      <c r="S1772">
        <v>153</v>
      </c>
      <c r="T1772" s="5">
        <v>10</v>
      </c>
      <c r="U1772" s="5">
        <v>778</v>
      </c>
      <c r="V1772" s="5">
        <v>1</v>
      </c>
      <c r="W1772" s="5"/>
      <c r="X1772" s="5"/>
      <c r="Y1772" s="5"/>
      <c r="Z1772" s="5"/>
      <c r="AA1772" s="5"/>
      <c r="AB1772" s="5"/>
      <c r="AC1772" s="5"/>
      <c r="AD1772" s="5"/>
      <c r="AE1772" s="5"/>
      <c r="AF1772" s="5"/>
      <c r="AG1772" s="5"/>
      <c r="AH1772" s="5"/>
      <c r="AI1772" s="5"/>
      <c r="AJ1772" s="5"/>
      <c r="AK1772" s="5"/>
    </row>
    <row r="1773" spans="1:37" x14ac:dyDescent="0.25">
      <c r="A1773" s="11">
        <f>Table1[[#This Row],[Milk Yield]]-J1769</f>
        <v>-421</v>
      </c>
      <c r="B1773" t="s">
        <v>24</v>
      </c>
      <c r="C1773" s="2">
        <v>3</v>
      </c>
      <c r="D1773" s="12">
        <v>45910</v>
      </c>
      <c r="E1773" s="2">
        <v>35</v>
      </c>
      <c r="F1773" s="13">
        <v>0.99973379629629633</v>
      </c>
      <c r="G1773" s="3">
        <v>0.17858796296296298</v>
      </c>
      <c r="H1773" s="1">
        <v>0.17847222222222223</v>
      </c>
      <c r="I1773" s="5">
        <v>783</v>
      </c>
      <c r="J1773">
        <v>9413</v>
      </c>
      <c r="K1773">
        <v>182</v>
      </c>
      <c r="L1773" s="5">
        <v>54</v>
      </c>
      <c r="M1773" s="5">
        <v>783</v>
      </c>
      <c r="N1773">
        <v>5</v>
      </c>
      <c r="O1773">
        <v>778</v>
      </c>
      <c r="P1773" s="1">
        <v>0.20555555555555555</v>
      </c>
      <c r="Q1773" s="5">
        <v>2193</v>
      </c>
      <c r="R1773" s="14">
        <v>12.1</v>
      </c>
      <c r="S1773">
        <v>182</v>
      </c>
      <c r="T1773" s="5">
        <v>5</v>
      </c>
      <c r="U1773" s="5">
        <v>779</v>
      </c>
      <c r="V1773" s="5">
        <v>1</v>
      </c>
      <c r="W1773" s="5"/>
      <c r="X1773" s="5"/>
      <c r="Y1773" s="5"/>
      <c r="Z1773" s="5"/>
      <c r="AA1773" s="5"/>
      <c r="AB1773" s="5"/>
      <c r="AC1773" s="5"/>
      <c r="AD1773" s="5"/>
      <c r="AE1773" s="5"/>
      <c r="AF1773" s="5"/>
      <c r="AG1773" s="5"/>
      <c r="AH1773" s="5"/>
      <c r="AI1773" s="5"/>
      <c r="AJ1773" s="5"/>
      <c r="AK1773" s="5"/>
    </row>
    <row r="1774" spans="1:37" x14ac:dyDescent="0.25">
      <c r="A1774" s="11" t="e">
        <f>Table1[[#This Row],[Milk Yield]]-J1770</f>
        <v>#VALUE!</v>
      </c>
      <c r="B1774" t="s">
        <v>0</v>
      </c>
      <c r="C1774" s="2" t="s">
        <v>1</v>
      </c>
      <c r="D1774" s="12" t="s">
        <v>2</v>
      </c>
      <c r="E1774" s="2" t="s">
        <v>3</v>
      </c>
      <c r="F1774" s="13" t="s">
        <v>4</v>
      </c>
      <c r="G1774" s="3" t="s">
        <v>5</v>
      </c>
      <c r="H1774" s="1" t="s">
        <v>6</v>
      </c>
      <c r="I1774" s="5" t="s">
        <v>8</v>
      </c>
      <c r="J1774" t="s">
        <v>9</v>
      </c>
      <c r="K1774" t="s">
        <v>10</v>
      </c>
      <c r="L1774" s="5" t="s">
        <v>11</v>
      </c>
      <c r="M1774" s="5" t="s">
        <v>12</v>
      </c>
      <c r="N1774" t="s">
        <v>13</v>
      </c>
      <c r="O1774" t="s">
        <v>20</v>
      </c>
      <c r="P1774" s="1" t="s">
        <v>7</v>
      </c>
      <c r="Q1774" s="5" t="s">
        <v>15</v>
      </c>
      <c r="R1774" s="14" t="s">
        <v>18</v>
      </c>
      <c r="S1774" t="s">
        <v>16</v>
      </c>
      <c r="T1774" s="5" t="s">
        <v>14</v>
      </c>
      <c r="U1774" s="5" t="s">
        <v>17</v>
      </c>
      <c r="V1774" s="5" t="s">
        <v>19</v>
      </c>
      <c r="W1774" s="5"/>
      <c r="X1774" s="5"/>
      <c r="Y1774" s="5"/>
      <c r="Z1774" s="5"/>
      <c r="AA1774" s="5"/>
      <c r="AB1774" s="5"/>
      <c r="AC1774" s="5"/>
      <c r="AD1774" s="5"/>
      <c r="AE1774" s="5"/>
      <c r="AF1774" s="5"/>
      <c r="AG1774" s="5"/>
      <c r="AH1774" s="5"/>
      <c r="AI1774" s="5"/>
      <c r="AJ1774" s="5"/>
      <c r="AK1774" s="5"/>
    </row>
    <row r="1775" spans="1:37" x14ac:dyDescent="0.25">
      <c r="A1775" s="11">
        <f>Table1[[#This Row],[Milk Yield]]-J1771</f>
        <v>277</v>
      </c>
      <c r="B1775" t="s">
        <v>24</v>
      </c>
      <c r="C1775" s="2">
        <v>1</v>
      </c>
      <c r="D1775" s="12">
        <v>45911</v>
      </c>
      <c r="E1775" s="2">
        <v>36</v>
      </c>
      <c r="F1775" s="13">
        <v>0.33656249999999999</v>
      </c>
      <c r="G1775" s="3">
        <v>0.52708333333333335</v>
      </c>
      <c r="H1775" s="1">
        <v>0.19027777777777777</v>
      </c>
      <c r="I1775" s="5">
        <v>785</v>
      </c>
      <c r="J1775">
        <v>10696</v>
      </c>
      <c r="K1775">
        <v>172</v>
      </c>
      <c r="L1775" s="5">
        <v>295</v>
      </c>
      <c r="M1775" s="5">
        <v>783</v>
      </c>
      <c r="N1775">
        <v>25</v>
      </c>
      <c r="O1775">
        <v>758</v>
      </c>
      <c r="P1775" s="1">
        <v>0.22638888888888889</v>
      </c>
      <c r="Q1775" s="5">
        <v>2339</v>
      </c>
      <c r="R1775" s="14">
        <v>13.7</v>
      </c>
      <c r="S1775">
        <v>171</v>
      </c>
      <c r="T1775" s="5">
        <v>25</v>
      </c>
      <c r="U1775" s="5">
        <v>759</v>
      </c>
      <c r="V1775" s="5">
        <v>1</v>
      </c>
      <c r="W1775" s="5"/>
      <c r="X1775" s="5"/>
      <c r="Y1775" s="5"/>
      <c r="Z1775" s="5"/>
      <c r="AA1775" s="5"/>
      <c r="AB1775" s="5"/>
      <c r="AC1775" s="5"/>
      <c r="AD1775" s="5"/>
      <c r="AE1775" s="5"/>
      <c r="AF1775" s="5"/>
      <c r="AG1775" s="5"/>
      <c r="AH1775" s="5"/>
      <c r="AI1775" s="5"/>
      <c r="AJ1775" s="5"/>
      <c r="AK1775" s="5"/>
    </row>
    <row r="1776" spans="1:37" x14ac:dyDescent="0.25">
      <c r="A1776" s="11">
        <f>Table1[[#This Row],[Milk Yield]]-J1772</f>
        <v>-214</v>
      </c>
      <c r="B1776" t="s">
        <v>24</v>
      </c>
      <c r="C1776" s="2">
        <v>2</v>
      </c>
      <c r="D1776" s="12">
        <v>45911</v>
      </c>
      <c r="E1776" s="2">
        <v>39</v>
      </c>
      <c r="F1776" s="13">
        <v>0.67143518518518519</v>
      </c>
      <c r="G1776" s="3">
        <v>0.87415509259259261</v>
      </c>
      <c r="H1776" s="1">
        <v>0.20208333333333334</v>
      </c>
      <c r="I1776" s="5">
        <v>795</v>
      </c>
      <c r="J1776">
        <v>10651</v>
      </c>
      <c r="K1776">
        <v>163</v>
      </c>
      <c r="L1776" s="5">
        <v>140</v>
      </c>
      <c r="M1776" s="5">
        <v>795</v>
      </c>
      <c r="N1776">
        <v>29</v>
      </c>
      <c r="O1776">
        <v>766</v>
      </c>
      <c r="P1776" s="1">
        <v>0.22291666666666668</v>
      </c>
      <c r="Q1776" s="5">
        <v>2189</v>
      </c>
      <c r="R1776" s="14">
        <v>13.4</v>
      </c>
      <c r="S1776">
        <v>163</v>
      </c>
      <c r="T1776" s="5">
        <v>29</v>
      </c>
      <c r="U1776" s="5">
        <v>768</v>
      </c>
      <c r="V1776" s="5">
        <v>2</v>
      </c>
      <c r="W1776" s="5"/>
      <c r="X1776" s="5"/>
      <c r="Y1776" s="5"/>
      <c r="Z1776" s="5"/>
      <c r="AA1776" s="5"/>
      <c r="AB1776" s="5"/>
      <c r="AC1776" s="5"/>
      <c r="AD1776" s="5"/>
      <c r="AE1776" s="5"/>
      <c r="AF1776" s="5"/>
      <c r="AG1776" s="5"/>
      <c r="AH1776" s="5"/>
      <c r="AI1776" s="5"/>
      <c r="AJ1776" s="5"/>
      <c r="AK1776" s="5"/>
    </row>
    <row r="1777" spans="1:37" x14ac:dyDescent="0.25">
      <c r="A1777" s="11">
        <f>Table1[[#This Row],[Milk Yield]]-J1773</f>
        <v>362</v>
      </c>
      <c r="B1777" t="s">
        <v>24</v>
      </c>
      <c r="C1777" s="2">
        <v>3</v>
      </c>
      <c r="D1777" s="12">
        <v>45911</v>
      </c>
      <c r="E1777" s="2">
        <v>35</v>
      </c>
      <c r="F1777" s="13">
        <v>1.261574074074074E-3</v>
      </c>
      <c r="G1777" s="3">
        <v>0.19100694444444444</v>
      </c>
      <c r="H1777" s="1">
        <v>0.18958333333333333</v>
      </c>
      <c r="I1777" s="5">
        <v>792</v>
      </c>
      <c r="J1777">
        <v>9775</v>
      </c>
      <c r="K1777">
        <v>174</v>
      </c>
      <c r="L1777" s="5">
        <v>120</v>
      </c>
      <c r="M1777" s="5">
        <v>788</v>
      </c>
      <c r="N1777">
        <v>11</v>
      </c>
      <c r="O1777">
        <v>777</v>
      </c>
      <c r="P1777" s="1">
        <v>0.20902777777777778</v>
      </c>
      <c r="Q1777" s="5">
        <v>2146</v>
      </c>
      <c r="R1777" s="14">
        <v>12.5</v>
      </c>
      <c r="S1777">
        <v>173</v>
      </c>
      <c r="T1777" s="5">
        <v>11</v>
      </c>
      <c r="U1777" s="5">
        <v>779</v>
      </c>
      <c r="V1777" s="5">
        <v>2</v>
      </c>
      <c r="W1777" s="5"/>
      <c r="X1777" s="5"/>
      <c r="Y1777" s="5"/>
      <c r="Z1777" s="5"/>
      <c r="AA1777" s="5"/>
      <c r="AB1777" s="5"/>
      <c r="AC1777" s="5"/>
      <c r="AD1777" s="5"/>
      <c r="AE1777" s="5"/>
      <c r="AF1777" s="5"/>
      <c r="AG1777" s="5"/>
      <c r="AH1777" s="5"/>
      <c r="AI1777" s="5"/>
      <c r="AJ1777" s="5"/>
      <c r="AK1777" s="5"/>
    </row>
    <row r="1778" spans="1:37" x14ac:dyDescent="0.25">
      <c r="A1778" s="11" t="e">
        <f>Table1[[#This Row],[Milk Yield]]-J1774</f>
        <v>#VALUE!</v>
      </c>
      <c r="B1778" t="s">
        <v>0</v>
      </c>
      <c r="C1778" s="2" t="s">
        <v>1</v>
      </c>
      <c r="D1778" s="12" t="s">
        <v>2</v>
      </c>
      <c r="E1778" s="2" t="s">
        <v>3</v>
      </c>
      <c r="F1778" s="13" t="s">
        <v>4</v>
      </c>
      <c r="G1778" s="3" t="s">
        <v>5</v>
      </c>
      <c r="H1778" s="1" t="s">
        <v>6</v>
      </c>
      <c r="I1778" s="5" t="s">
        <v>8</v>
      </c>
      <c r="J1778" t="s">
        <v>9</v>
      </c>
      <c r="K1778" t="s">
        <v>10</v>
      </c>
      <c r="L1778" s="5" t="s">
        <v>11</v>
      </c>
      <c r="M1778" s="5" t="s">
        <v>12</v>
      </c>
      <c r="N1778" t="s">
        <v>13</v>
      </c>
      <c r="O1778" t="s">
        <v>20</v>
      </c>
      <c r="P1778" s="1" t="s">
        <v>7</v>
      </c>
      <c r="Q1778" s="5" t="s">
        <v>15</v>
      </c>
      <c r="R1778" s="14" t="s">
        <v>18</v>
      </c>
      <c r="S1778" t="s">
        <v>16</v>
      </c>
      <c r="T1778" s="5" t="s">
        <v>14</v>
      </c>
      <c r="U1778" s="5" t="s">
        <v>17</v>
      </c>
      <c r="V1778" s="5" t="s">
        <v>19</v>
      </c>
      <c r="W1778" s="5"/>
      <c r="X1778" s="5"/>
      <c r="Y1778" s="5"/>
      <c r="Z1778" s="5"/>
      <c r="AA1778" s="5"/>
      <c r="AB1778" s="5"/>
      <c r="AC1778" s="5"/>
      <c r="AD1778" s="5"/>
      <c r="AE1778" s="5"/>
      <c r="AF1778" s="5"/>
      <c r="AG1778" s="5"/>
      <c r="AH1778" s="5"/>
      <c r="AI1778" s="5"/>
      <c r="AJ1778" s="5"/>
      <c r="AK1778" s="5"/>
    </row>
    <row r="1779" spans="1:37" x14ac:dyDescent="0.25">
      <c r="A1779" s="11">
        <f>Table1[[#This Row],[Milk Yield]]-J1775</f>
        <v>204</v>
      </c>
      <c r="B1779" t="s">
        <v>24</v>
      </c>
      <c r="C1779" s="2">
        <v>1</v>
      </c>
      <c r="D1779" s="12">
        <v>45912</v>
      </c>
      <c r="E1779" s="2">
        <v>35</v>
      </c>
      <c r="F1779" s="13">
        <v>0.33726851851851852</v>
      </c>
      <c r="G1779" s="3">
        <v>0.53760416666666666</v>
      </c>
      <c r="H1779" s="1">
        <v>0.2</v>
      </c>
      <c r="I1779" s="5">
        <v>789</v>
      </c>
      <c r="J1779">
        <v>10900</v>
      </c>
      <c r="K1779">
        <v>164</v>
      </c>
      <c r="L1779" s="5">
        <v>158</v>
      </c>
      <c r="M1779" s="5">
        <v>788</v>
      </c>
      <c r="N1779">
        <v>13</v>
      </c>
      <c r="O1779">
        <v>775</v>
      </c>
      <c r="P1779" s="1">
        <v>0.23402777777777778</v>
      </c>
      <c r="Q1779" s="5">
        <v>2267</v>
      </c>
      <c r="R1779" s="14">
        <v>13.9</v>
      </c>
      <c r="S1779">
        <v>164</v>
      </c>
      <c r="T1779" s="5">
        <v>13</v>
      </c>
      <c r="U1779" s="5">
        <v>777</v>
      </c>
      <c r="V1779" s="5">
        <v>2</v>
      </c>
      <c r="W1779" s="5"/>
      <c r="X1779" s="5"/>
      <c r="Y1779" s="5"/>
      <c r="Z1779" s="5"/>
      <c r="AA1779" s="5"/>
      <c r="AB1779" s="5"/>
      <c r="AC1779" s="5"/>
      <c r="AD1779" s="5"/>
      <c r="AE1779" s="5"/>
      <c r="AF1779" s="5"/>
      <c r="AG1779" s="5"/>
      <c r="AH1779" s="5"/>
      <c r="AI1779" s="5"/>
      <c r="AJ1779" s="5"/>
      <c r="AK1779" s="5"/>
    </row>
    <row r="1780" spans="1:37" x14ac:dyDescent="0.25">
      <c r="A1780" s="11">
        <f>Table1[[#This Row],[Milk Yield]]-J1776</f>
        <v>-653</v>
      </c>
      <c r="B1780" t="s">
        <v>24</v>
      </c>
      <c r="C1780" s="2">
        <v>2</v>
      </c>
      <c r="D1780" s="12">
        <v>45912</v>
      </c>
      <c r="E1780" s="2">
        <v>39</v>
      </c>
      <c r="F1780" s="13">
        <v>0.66814814814814816</v>
      </c>
      <c r="G1780" s="3">
        <v>0.85652777777777778</v>
      </c>
      <c r="H1780" s="1">
        <v>0.18819444444444444</v>
      </c>
      <c r="I1780" s="5">
        <v>800</v>
      </c>
      <c r="J1780">
        <v>9998</v>
      </c>
      <c r="K1780">
        <v>177</v>
      </c>
      <c r="L1780" s="5">
        <v>159</v>
      </c>
      <c r="M1780" s="5">
        <v>799</v>
      </c>
      <c r="N1780">
        <v>18</v>
      </c>
      <c r="O1780">
        <v>781</v>
      </c>
      <c r="P1780" s="1">
        <v>0.2076388888888889</v>
      </c>
      <c r="Q1780" s="5">
        <v>2211</v>
      </c>
      <c r="R1780" s="14">
        <v>12.6</v>
      </c>
      <c r="S1780">
        <v>177</v>
      </c>
      <c r="T1780" s="5">
        <v>18</v>
      </c>
      <c r="U1780" s="5">
        <v>781</v>
      </c>
      <c r="V1780" s="5">
        <v>0</v>
      </c>
      <c r="W1780" s="5"/>
      <c r="X1780" s="5"/>
      <c r="Y1780" s="5"/>
      <c r="Z1780" s="5"/>
      <c r="AA1780" s="5"/>
      <c r="AB1780" s="5"/>
      <c r="AC1780" s="5"/>
      <c r="AD1780" s="5"/>
      <c r="AE1780" s="5"/>
      <c r="AF1780" s="5"/>
      <c r="AG1780" s="5"/>
      <c r="AH1780" s="5"/>
      <c r="AI1780" s="5"/>
      <c r="AJ1780" s="5"/>
      <c r="AK1780" s="5"/>
    </row>
    <row r="1781" spans="1:37" x14ac:dyDescent="0.25">
      <c r="A1781" s="11">
        <f>Table1[[#This Row],[Milk Yield]]-J1777</f>
        <v>785</v>
      </c>
      <c r="B1781" t="s">
        <v>24</v>
      </c>
      <c r="C1781" s="2">
        <v>3</v>
      </c>
      <c r="D1781" s="12">
        <v>45912</v>
      </c>
      <c r="E1781" s="2">
        <v>35</v>
      </c>
      <c r="F1781" s="13">
        <v>0.99990740740740736</v>
      </c>
      <c r="G1781" s="3">
        <v>0.21130787037037038</v>
      </c>
      <c r="H1781" s="1">
        <v>0.21111111111111111</v>
      </c>
      <c r="I1781" s="5">
        <v>796</v>
      </c>
      <c r="J1781">
        <v>10560</v>
      </c>
      <c r="K1781">
        <v>157</v>
      </c>
      <c r="L1781" s="5">
        <v>74</v>
      </c>
      <c r="M1781" s="5">
        <v>796</v>
      </c>
      <c r="N1781">
        <v>6</v>
      </c>
      <c r="O1781">
        <v>790</v>
      </c>
      <c r="P1781" s="1">
        <v>0.22569444444444445</v>
      </c>
      <c r="Q1781" s="5">
        <v>2081</v>
      </c>
      <c r="R1781" s="14">
        <v>13.3</v>
      </c>
      <c r="S1781">
        <v>157</v>
      </c>
      <c r="T1781" s="5">
        <v>6</v>
      </c>
      <c r="U1781" s="5">
        <v>790</v>
      </c>
      <c r="V1781" s="5">
        <v>0</v>
      </c>
      <c r="W1781" s="5"/>
      <c r="X1781" s="5"/>
      <c r="Y1781" s="5"/>
      <c r="Z1781" s="5"/>
      <c r="AA1781" s="5"/>
      <c r="AB1781" s="5"/>
      <c r="AC1781" s="5"/>
      <c r="AD1781" s="5"/>
      <c r="AE1781" s="5"/>
      <c r="AF1781" s="5"/>
      <c r="AG1781" s="5"/>
      <c r="AH1781" s="5"/>
      <c r="AI1781" s="5"/>
      <c r="AJ1781" s="5"/>
      <c r="AK1781" s="5"/>
    </row>
    <row r="1782" spans="1:37" x14ac:dyDescent="0.25">
      <c r="A1782" s="11" t="e">
        <f>Table1[[#This Row],[Milk Yield]]-J1778</f>
        <v>#VALUE!</v>
      </c>
      <c r="B1782" t="s">
        <v>0</v>
      </c>
      <c r="C1782" s="2" t="s">
        <v>1</v>
      </c>
      <c r="D1782" s="12" t="s">
        <v>2</v>
      </c>
      <c r="E1782" s="2" t="s">
        <v>3</v>
      </c>
      <c r="F1782" s="13" t="s">
        <v>4</v>
      </c>
      <c r="G1782" s="3" t="s">
        <v>5</v>
      </c>
      <c r="H1782" s="1" t="s">
        <v>6</v>
      </c>
      <c r="I1782" s="5" t="s">
        <v>8</v>
      </c>
      <c r="J1782" t="s">
        <v>9</v>
      </c>
      <c r="K1782" t="s">
        <v>10</v>
      </c>
      <c r="L1782" s="5" t="s">
        <v>11</v>
      </c>
      <c r="M1782" s="5" t="s">
        <v>12</v>
      </c>
      <c r="N1782" t="s">
        <v>13</v>
      </c>
      <c r="O1782" t="s">
        <v>20</v>
      </c>
      <c r="P1782" s="1" t="s">
        <v>7</v>
      </c>
      <c r="Q1782" s="5" t="s">
        <v>15</v>
      </c>
      <c r="R1782" s="14" t="s">
        <v>18</v>
      </c>
      <c r="S1782" t="s">
        <v>16</v>
      </c>
      <c r="T1782" s="5" t="s">
        <v>14</v>
      </c>
      <c r="U1782" s="5" t="s">
        <v>17</v>
      </c>
      <c r="V1782" s="5" t="s">
        <v>19</v>
      </c>
      <c r="W1782" s="5"/>
      <c r="X1782" s="5"/>
      <c r="Y1782" s="5"/>
      <c r="Z1782" s="5"/>
      <c r="AA1782" s="5"/>
      <c r="AB1782" s="5"/>
      <c r="AC1782" s="5"/>
      <c r="AD1782" s="5"/>
      <c r="AE1782" s="5"/>
      <c r="AF1782" s="5"/>
      <c r="AG1782" s="5"/>
      <c r="AH1782" s="5"/>
      <c r="AI1782" s="5"/>
      <c r="AJ1782" s="5"/>
      <c r="AK1782" s="5"/>
    </row>
    <row r="1783" spans="1:37" x14ac:dyDescent="0.25">
      <c r="A1783" s="11">
        <f>Table1[[#This Row],[Milk Yield]]-J1779</f>
        <v>-819</v>
      </c>
      <c r="B1783" t="s">
        <v>24</v>
      </c>
      <c r="C1783" s="2">
        <v>1</v>
      </c>
      <c r="D1783" s="12">
        <v>45913</v>
      </c>
      <c r="E1783" s="2">
        <v>35</v>
      </c>
      <c r="F1783" s="13">
        <v>0.33510416666666665</v>
      </c>
      <c r="G1783" s="3">
        <v>0.52112268518518523</v>
      </c>
      <c r="H1783" s="1">
        <v>0.18541666666666667</v>
      </c>
      <c r="I1783" s="5">
        <v>791</v>
      </c>
      <c r="J1783">
        <v>10081</v>
      </c>
      <c r="K1783">
        <v>177</v>
      </c>
      <c r="L1783" s="5">
        <v>75</v>
      </c>
      <c r="M1783" s="5">
        <v>790</v>
      </c>
      <c r="N1783">
        <v>7</v>
      </c>
      <c r="O1783">
        <v>783</v>
      </c>
      <c r="P1783" s="1">
        <v>0.21875</v>
      </c>
      <c r="Q1783" s="5">
        <v>2258</v>
      </c>
      <c r="R1783" s="14">
        <v>12.8</v>
      </c>
      <c r="S1783">
        <v>177</v>
      </c>
      <c r="T1783" s="5">
        <v>7</v>
      </c>
      <c r="U1783" s="5">
        <v>783</v>
      </c>
      <c r="V1783" s="5">
        <v>0</v>
      </c>
      <c r="W1783" s="5"/>
      <c r="X1783" s="5"/>
      <c r="Y1783" s="5"/>
      <c r="Z1783" s="5"/>
      <c r="AA1783" s="5"/>
      <c r="AB1783" s="5"/>
      <c r="AC1783" s="5"/>
      <c r="AD1783" s="5"/>
      <c r="AE1783" s="5"/>
      <c r="AF1783" s="5"/>
      <c r="AG1783" s="5"/>
      <c r="AH1783" s="5"/>
      <c r="AI1783" s="5"/>
      <c r="AJ1783" s="5"/>
      <c r="AK1783" s="5"/>
    </row>
    <row r="1784" spans="1:37" x14ac:dyDescent="0.25">
      <c r="A1784" s="11">
        <f>Table1[[#This Row],[Milk Yield]]-J1780</f>
        <v>412</v>
      </c>
      <c r="B1784" t="s">
        <v>24</v>
      </c>
      <c r="C1784" s="2">
        <v>2</v>
      </c>
      <c r="D1784" s="12">
        <v>45913</v>
      </c>
      <c r="E1784" s="2">
        <v>38</v>
      </c>
      <c r="F1784" s="13">
        <v>0.66560185185185183</v>
      </c>
      <c r="G1784" s="3">
        <v>0.87591435185185185</v>
      </c>
      <c r="H1784" s="1">
        <v>0.20972222222222223</v>
      </c>
      <c r="I1784" s="5">
        <v>798</v>
      </c>
      <c r="J1784">
        <v>10410</v>
      </c>
      <c r="K1784">
        <v>158</v>
      </c>
      <c r="L1784" s="5">
        <v>128</v>
      </c>
      <c r="M1784" s="5">
        <v>798</v>
      </c>
      <c r="N1784">
        <v>10</v>
      </c>
      <c r="O1784">
        <v>788</v>
      </c>
      <c r="P1784" s="1">
        <v>0.21944444444444444</v>
      </c>
      <c r="Q1784" s="5">
        <v>2062</v>
      </c>
      <c r="R1784" s="14">
        <v>13.1</v>
      </c>
      <c r="S1784">
        <v>158</v>
      </c>
      <c r="T1784" s="5">
        <v>10</v>
      </c>
      <c r="U1784" s="5">
        <v>790</v>
      </c>
      <c r="V1784" s="5">
        <v>2</v>
      </c>
      <c r="W1784" s="5"/>
      <c r="X1784" s="5"/>
      <c r="Y1784" s="5"/>
      <c r="Z1784" s="5"/>
      <c r="AA1784" s="5"/>
      <c r="AB1784" s="5"/>
      <c r="AC1784" s="5"/>
      <c r="AD1784" s="5"/>
      <c r="AE1784" s="5"/>
      <c r="AF1784" s="5"/>
      <c r="AG1784" s="5"/>
      <c r="AH1784" s="5"/>
      <c r="AI1784" s="5"/>
      <c r="AJ1784" s="5"/>
      <c r="AK1784" s="5"/>
    </row>
    <row r="1785" spans="1:37" x14ac:dyDescent="0.25">
      <c r="A1785" s="11">
        <f>Table1[[#This Row],[Milk Yield]]-J1781</f>
        <v>-156</v>
      </c>
      <c r="B1785" t="s">
        <v>24</v>
      </c>
      <c r="C1785" s="2">
        <v>3</v>
      </c>
      <c r="D1785" s="12">
        <v>45913</v>
      </c>
      <c r="E1785" s="2">
        <v>35</v>
      </c>
      <c r="F1785" s="13">
        <v>0.99913194444444442</v>
      </c>
      <c r="G1785" s="3">
        <v>0.20188657407407407</v>
      </c>
      <c r="H1785" s="1">
        <v>0.20208333333333334</v>
      </c>
      <c r="I1785" s="5">
        <v>795</v>
      </c>
      <c r="J1785">
        <v>10404</v>
      </c>
      <c r="K1785">
        <v>163</v>
      </c>
      <c r="L1785" s="5">
        <v>69</v>
      </c>
      <c r="M1785" s="5">
        <v>793</v>
      </c>
      <c r="N1785">
        <v>6</v>
      </c>
      <c r="O1785">
        <v>787</v>
      </c>
      <c r="P1785" s="1">
        <v>0.21319444444444444</v>
      </c>
      <c r="Q1785" s="5">
        <v>2138</v>
      </c>
      <c r="R1785" s="14">
        <v>13.2</v>
      </c>
      <c r="S1785">
        <v>163</v>
      </c>
      <c r="T1785" s="5">
        <v>6</v>
      </c>
      <c r="U1785" s="5">
        <v>789</v>
      </c>
      <c r="V1785" s="5">
        <v>2</v>
      </c>
      <c r="W1785" s="5"/>
      <c r="X1785" s="5"/>
      <c r="Y1785" s="5"/>
      <c r="Z1785" s="5"/>
      <c r="AA1785" s="5"/>
      <c r="AB1785" s="5"/>
      <c r="AC1785" s="5"/>
      <c r="AD1785" s="5"/>
      <c r="AE1785" s="5"/>
      <c r="AF1785" s="5"/>
      <c r="AG1785" s="5"/>
      <c r="AH1785" s="5"/>
      <c r="AI1785" s="5"/>
      <c r="AJ1785" s="5"/>
      <c r="AK1785" s="5"/>
    </row>
    <row r="1786" spans="1:37" x14ac:dyDescent="0.25">
      <c r="A1786" s="11" t="e">
        <f>Table1[[#This Row],[Milk Yield]]-J1782</f>
        <v>#VALUE!</v>
      </c>
      <c r="B1786" t="s">
        <v>0</v>
      </c>
      <c r="C1786" s="2" t="s">
        <v>1</v>
      </c>
      <c r="D1786" s="12" t="s">
        <v>2</v>
      </c>
      <c r="E1786" s="2" t="s">
        <v>3</v>
      </c>
      <c r="F1786" s="13" t="s">
        <v>4</v>
      </c>
      <c r="G1786" s="3" t="s">
        <v>5</v>
      </c>
      <c r="H1786" s="1" t="s">
        <v>6</v>
      </c>
      <c r="I1786" s="5" t="s">
        <v>8</v>
      </c>
      <c r="J1786" t="s">
        <v>9</v>
      </c>
      <c r="K1786" t="s">
        <v>10</v>
      </c>
      <c r="L1786" s="5" t="s">
        <v>11</v>
      </c>
      <c r="M1786" s="5" t="s">
        <v>12</v>
      </c>
      <c r="N1786" t="s">
        <v>13</v>
      </c>
      <c r="O1786" t="s">
        <v>20</v>
      </c>
      <c r="P1786" s="1" t="s">
        <v>7</v>
      </c>
      <c r="Q1786" s="5" t="s">
        <v>15</v>
      </c>
      <c r="R1786" s="14" t="s">
        <v>18</v>
      </c>
      <c r="S1786" t="s">
        <v>16</v>
      </c>
      <c r="T1786" s="5" t="s">
        <v>14</v>
      </c>
      <c r="U1786" s="5" t="s">
        <v>17</v>
      </c>
      <c r="V1786" s="5" t="s">
        <v>19</v>
      </c>
      <c r="W1786" s="5"/>
      <c r="X1786" s="5"/>
      <c r="Y1786" s="5"/>
      <c r="Z1786" s="5"/>
      <c r="AA1786" s="5"/>
      <c r="AB1786" s="5"/>
      <c r="AC1786" s="5"/>
      <c r="AD1786" s="5"/>
      <c r="AE1786" s="5"/>
      <c r="AF1786" s="5"/>
      <c r="AG1786" s="5"/>
      <c r="AH1786" s="5"/>
      <c r="AI1786" s="5"/>
      <c r="AJ1786" s="5"/>
      <c r="AK1786" s="5"/>
    </row>
    <row r="1787" spans="1:37" x14ac:dyDescent="0.25">
      <c r="A1787" s="11">
        <f>Table1[[#This Row],[Milk Yield]]-J1783</f>
        <v>94</v>
      </c>
      <c r="B1787" t="s">
        <v>24</v>
      </c>
      <c r="C1787" s="2">
        <v>1</v>
      </c>
      <c r="D1787" s="12">
        <v>45914</v>
      </c>
      <c r="E1787" s="2">
        <v>34</v>
      </c>
      <c r="F1787" s="13">
        <v>0.33520833333333333</v>
      </c>
      <c r="G1787" s="3">
        <v>0.54547453703703708</v>
      </c>
      <c r="H1787" s="1">
        <v>0.20972222222222223</v>
      </c>
      <c r="I1787" s="5">
        <v>793</v>
      </c>
      <c r="J1787">
        <v>10175</v>
      </c>
      <c r="K1787">
        <v>157</v>
      </c>
      <c r="L1787" s="5">
        <v>96</v>
      </c>
      <c r="M1787" s="5">
        <v>792</v>
      </c>
      <c r="N1787">
        <v>31</v>
      </c>
      <c r="O1787">
        <v>761</v>
      </c>
      <c r="P1787" s="1">
        <v>0.22708333333333333</v>
      </c>
      <c r="Q1787" s="5">
        <v>2016</v>
      </c>
      <c r="R1787" s="14">
        <v>12.9</v>
      </c>
      <c r="S1787">
        <v>157</v>
      </c>
      <c r="T1787" s="5">
        <v>31</v>
      </c>
      <c r="U1787" s="5">
        <v>763</v>
      </c>
      <c r="V1787" s="5">
        <v>2</v>
      </c>
      <c r="W1787" s="5"/>
      <c r="X1787" s="5"/>
      <c r="Y1787" s="5"/>
      <c r="Z1787" s="5"/>
      <c r="AA1787" s="5"/>
      <c r="AB1787" s="5"/>
      <c r="AC1787" s="5"/>
      <c r="AD1787" s="5"/>
      <c r="AE1787" s="5"/>
      <c r="AF1787" s="5"/>
      <c r="AG1787" s="5"/>
      <c r="AH1787" s="5"/>
      <c r="AI1787" s="5"/>
      <c r="AJ1787" s="5"/>
      <c r="AK1787" s="5"/>
    </row>
    <row r="1788" spans="1:37" x14ac:dyDescent="0.25">
      <c r="A1788" s="11">
        <f>Table1[[#This Row],[Milk Yield]]-J1784</f>
        <v>-313</v>
      </c>
      <c r="B1788" t="s">
        <v>24</v>
      </c>
      <c r="C1788" s="2">
        <v>2</v>
      </c>
      <c r="D1788" s="12">
        <v>45914</v>
      </c>
      <c r="E1788" s="2">
        <v>36</v>
      </c>
      <c r="F1788" s="13">
        <v>0.67152777777777772</v>
      </c>
      <c r="G1788" s="3">
        <v>0.86225694444444445</v>
      </c>
      <c r="H1788" s="1">
        <v>0.19027777777777777</v>
      </c>
      <c r="I1788" s="5">
        <v>795</v>
      </c>
      <c r="J1788">
        <v>10097</v>
      </c>
      <c r="K1788">
        <v>174</v>
      </c>
      <c r="L1788" s="5">
        <v>69</v>
      </c>
      <c r="M1788" s="5">
        <v>795</v>
      </c>
      <c r="N1788">
        <v>7</v>
      </c>
      <c r="O1788">
        <v>788</v>
      </c>
      <c r="P1788" s="1">
        <v>0.20902777777777778</v>
      </c>
      <c r="Q1788" s="5">
        <v>2206</v>
      </c>
      <c r="R1788" s="14">
        <v>12.8</v>
      </c>
      <c r="S1788">
        <v>174</v>
      </c>
      <c r="T1788" s="5">
        <v>7</v>
      </c>
      <c r="U1788" s="5">
        <v>788</v>
      </c>
      <c r="V1788" s="5">
        <v>0</v>
      </c>
      <c r="W1788" s="5"/>
      <c r="X1788" s="5"/>
      <c r="Y1788" s="5"/>
      <c r="Z1788" s="5"/>
      <c r="AA1788" s="5"/>
      <c r="AB1788" s="5"/>
      <c r="AC1788" s="5"/>
      <c r="AD1788" s="5"/>
      <c r="AE1788" s="5"/>
      <c r="AF1788" s="5"/>
      <c r="AG1788" s="5"/>
      <c r="AH1788" s="5"/>
      <c r="AI1788" s="5"/>
      <c r="AJ1788" s="5"/>
      <c r="AK1788" s="5"/>
    </row>
    <row r="1789" spans="1:37" x14ac:dyDescent="0.25">
      <c r="A1789" s="11">
        <f>Table1[[#This Row],[Milk Yield]]-J1785</f>
        <v>-56</v>
      </c>
      <c r="B1789" t="s">
        <v>24</v>
      </c>
      <c r="C1789" s="2">
        <v>3</v>
      </c>
      <c r="D1789" s="12">
        <v>45914</v>
      </c>
      <c r="E1789" s="2">
        <v>35</v>
      </c>
      <c r="F1789" s="13">
        <v>1.9212962962962964E-3</v>
      </c>
      <c r="G1789" s="3">
        <v>0.19805555555555557</v>
      </c>
      <c r="H1789" s="1">
        <v>0.19583333333333333</v>
      </c>
      <c r="I1789" s="5">
        <v>792</v>
      </c>
      <c r="J1789">
        <v>10348</v>
      </c>
      <c r="K1789">
        <v>168</v>
      </c>
      <c r="L1789" s="5">
        <v>49</v>
      </c>
      <c r="M1789" s="5">
        <v>791</v>
      </c>
      <c r="N1789">
        <v>4</v>
      </c>
      <c r="O1789">
        <v>787</v>
      </c>
      <c r="P1789" s="1">
        <v>0.21597222222222223</v>
      </c>
      <c r="Q1789" s="5">
        <v>2198</v>
      </c>
      <c r="R1789" s="14">
        <v>13.1</v>
      </c>
      <c r="S1789">
        <v>168</v>
      </c>
      <c r="T1789" s="5">
        <v>4</v>
      </c>
      <c r="U1789" s="5">
        <v>787</v>
      </c>
      <c r="V1789" s="5">
        <v>0</v>
      </c>
      <c r="W1789" s="5"/>
      <c r="X1789" s="5"/>
      <c r="Y1789" s="5"/>
      <c r="Z1789" s="5"/>
      <c r="AA1789" s="5"/>
      <c r="AB1789" s="5"/>
      <c r="AC1789" s="5"/>
      <c r="AD1789" s="5"/>
      <c r="AE1789" s="5"/>
      <c r="AF1789" s="5"/>
      <c r="AG1789" s="5"/>
      <c r="AH1789" s="5"/>
      <c r="AI1789" s="5"/>
      <c r="AJ1789" s="5"/>
      <c r="AK1789" s="5"/>
    </row>
    <row r="1790" spans="1:37" x14ac:dyDescent="0.25">
      <c r="A1790" s="11" t="e">
        <f>Table1[[#This Row],[Milk Yield]]-J1786</f>
        <v>#VALUE!</v>
      </c>
      <c r="B1790" t="s">
        <v>0</v>
      </c>
      <c r="C1790" s="2" t="s">
        <v>1</v>
      </c>
      <c r="D1790" s="12" t="s">
        <v>2</v>
      </c>
      <c r="E1790" s="2" t="s">
        <v>3</v>
      </c>
      <c r="F1790" s="13" t="s">
        <v>4</v>
      </c>
      <c r="G1790" s="3" t="s">
        <v>5</v>
      </c>
      <c r="H1790" s="1" t="s">
        <v>6</v>
      </c>
      <c r="I1790" s="5" t="s">
        <v>8</v>
      </c>
      <c r="J1790" t="s">
        <v>9</v>
      </c>
      <c r="K1790" t="s">
        <v>10</v>
      </c>
      <c r="L1790" s="5" t="s">
        <v>11</v>
      </c>
      <c r="M1790" s="5" t="s">
        <v>12</v>
      </c>
      <c r="N1790" t="s">
        <v>13</v>
      </c>
      <c r="O1790" t="s">
        <v>20</v>
      </c>
      <c r="P1790" s="1" t="s">
        <v>7</v>
      </c>
      <c r="Q1790" s="5" t="s">
        <v>15</v>
      </c>
      <c r="R1790" s="14" t="s">
        <v>18</v>
      </c>
      <c r="S1790" t="s">
        <v>16</v>
      </c>
      <c r="T1790" s="5" t="s">
        <v>14</v>
      </c>
      <c r="U1790" s="5" t="s">
        <v>17</v>
      </c>
      <c r="V1790" s="5" t="s">
        <v>19</v>
      </c>
      <c r="W1790" s="5"/>
      <c r="X1790" s="5"/>
      <c r="Y1790" s="5"/>
      <c r="Z1790" s="5"/>
      <c r="AA1790" s="5"/>
      <c r="AB1790" s="5"/>
      <c r="AC1790" s="5"/>
      <c r="AD1790" s="5"/>
      <c r="AE1790" s="5"/>
      <c r="AF1790" s="5"/>
      <c r="AG1790" s="5"/>
      <c r="AH1790" s="5"/>
      <c r="AI1790" s="5"/>
      <c r="AJ1790" s="5"/>
      <c r="AK1790" s="5"/>
    </row>
    <row r="1791" spans="1:37" x14ac:dyDescent="0.25">
      <c r="A1791" s="11">
        <f>Table1[[#This Row],[Milk Yield]]-J1787</f>
        <v>-106</v>
      </c>
      <c r="B1791" t="s">
        <v>24</v>
      </c>
      <c r="C1791" s="2">
        <v>1</v>
      </c>
      <c r="D1791" s="12">
        <v>45915</v>
      </c>
      <c r="E1791" s="2">
        <v>35</v>
      </c>
      <c r="F1791" s="13">
        <v>0.33576388888888886</v>
      </c>
      <c r="G1791" s="3">
        <v>0.53872685185185187</v>
      </c>
      <c r="H1791" s="1">
        <v>0.20277777777777778</v>
      </c>
      <c r="I1791" s="5">
        <v>790</v>
      </c>
      <c r="J1791">
        <v>10069</v>
      </c>
      <c r="K1791">
        <v>162</v>
      </c>
      <c r="L1791" s="5">
        <v>68</v>
      </c>
      <c r="M1791" s="5">
        <v>790</v>
      </c>
      <c r="N1791">
        <v>6</v>
      </c>
      <c r="O1791">
        <v>784</v>
      </c>
      <c r="P1791" s="1">
        <v>0.21458333333333332</v>
      </c>
      <c r="Q1791" s="5">
        <v>2067</v>
      </c>
      <c r="R1791" s="14">
        <v>12.8</v>
      </c>
      <c r="S1791">
        <v>162</v>
      </c>
      <c r="T1791" s="5">
        <v>6</v>
      </c>
      <c r="U1791" s="5">
        <v>784</v>
      </c>
      <c r="V1791" s="5">
        <v>0</v>
      </c>
      <c r="W1791" s="5"/>
      <c r="X1791" s="5"/>
      <c r="Y1791" s="5"/>
      <c r="Z1791" s="5"/>
      <c r="AA1791" s="5"/>
      <c r="AB1791" s="5"/>
      <c r="AC1791" s="5"/>
      <c r="AD1791" s="5"/>
      <c r="AE1791" s="5"/>
      <c r="AF1791" s="5"/>
      <c r="AG1791" s="5"/>
      <c r="AH1791" s="5"/>
      <c r="AI1791" s="5"/>
      <c r="AJ1791" s="5"/>
      <c r="AK1791" s="5"/>
    </row>
    <row r="1792" spans="1:37" x14ac:dyDescent="0.25">
      <c r="A1792" s="11">
        <f>Table1[[#This Row],[Milk Yield]]-J1788</f>
        <v>257</v>
      </c>
      <c r="B1792" t="s">
        <v>24</v>
      </c>
      <c r="C1792" s="2">
        <v>2</v>
      </c>
      <c r="D1792" s="12">
        <v>45915</v>
      </c>
      <c r="E1792" s="2">
        <v>38</v>
      </c>
      <c r="F1792" s="13">
        <v>0.66804398148148147</v>
      </c>
      <c r="G1792" s="3">
        <v>0.86677083333333338</v>
      </c>
      <c r="H1792" s="1">
        <v>0.1986111111111111</v>
      </c>
      <c r="I1792" s="5">
        <v>795</v>
      </c>
      <c r="J1792">
        <v>10354</v>
      </c>
      <c r="K1792">
        <v>167</v>
      </c>
      <c r="L1792" s="5">
        <v>63</v>
      </c>
      <c r="M1792" s="5">
        <v>794</v>
      </c>
      <c r="N1792">
        <v>6</v>
      </c>
      <c r="O1792">
        <v>788</v>
      </c>
      <c r="P1792" s="1">
        <v>0.20694444444444443</v>
      </c>
      <c r="Q1792" s="5">
        <v>2171</v>
      </c>
      <c r="R1792" s="14">
        <v>13.1</v>
      </c>
      <c r="S1792">
        <v>166</v>
      </c>
      <c r="T1792" s="5">
        <v>6</v>
      </c>
      <c r="U1792" s="5">
        <v>788</v>
      </c>
      <c r="V1792" s="5">
        <v>0</v>
      </c>
      <c r="W1792" s="5"/>
      <c r="X1792" s="5"/>
      <c r="Y1792" s="5"/>
      <c r="Z1792" s="5"/>
      <c r="AA1792" s="5"/>
      <c r="AB1792" s="5"/>
      <c r="AC1792" s="5"/>
      <c r="AD1792" s="5"/>
      <c r="AE1792" s="5"/>
      <c r="AF1792" s="5"/>
      <c r="AG1792" s="5"/>
      <c r="AH1792" s="5"/>
      <c r="AI1792" s="5"/>
      <c r="AJ1792" s="5"/>
      <c r="AK1792" s="5"/>
    </row>
    <row r="1793" spans="1:37" x14ac:dyDescent="0.25">
      <c r="A1793" s="11">
        <f>Table1[[#This Row],[Milk Yield]]-J1789</f>
        <v>-231</v>
      </c>
      <c r="B1793" t="s">
        <v>24</v>
      </c>
      <c r="C1793" s="2">
        <v>3</v>
      </c>
      <c r="D1793" s="12">
        <v>45915</v>
      </c>
      <c r="E1793" s="2">
        <v>35</v>
      </c>
      <c r="F1793" s="13">
        <v>2.7199074074074074E-3</v>
      </c>
      <c r="G1793" s="3">
        <v>0.1897800925925926</v>
      </c>
      <c r="H1793" s="1">
        <v>0.18680555555555556</v>
      </c>
      <c r="I1793" s="5">
        <v>793</v>
      </c>
      <c r="J1793">
        <v>10117</v>
      </c>
      <c r="K1793">
        <v>177</v>
      </c>
      <c r="L1793" s="5">
        <v>116</v>
      </c>
      <c r="M1793" s="5">
        <v>792</v>
      </c>
      <c r="N1793">
        <v>11</v>
      </c>
      <c r="O1793">
        <v>781</v>
      </c>
      <c r="P1793" s="1">
        <v>0.21875</v>
      </c>
      <c r="Q1793" s="5">
        <v>2253</v>
      </c>
      <c r="R1793" s="14">
        <v>12.8</v>
      </c>
      <c r="S1793">
        <v>176</v>
      </c>
      <c r="T1793" s="5">
        <v>11</v>
      </c>
      <c r="U1793" s="5">
        <v>781</v>
      </c>
      <c r="V1793" s="5">
        <v>0</v>
      </c>
      <c r="W1793" s="5"/>
      <c r="X1793" s="5"/>
      <c r="Y1793" s="5"/>
      <c r="Z1793" s="5"/>
      <c r="AA1793" s="5"/>
      <c r="AB1793" s="5"/>
      <c r="AC1793" s="5"/>
      <c r="AD1793" s="5"/>
      <c r="AE1793" s="5"/>
      <c r="AF1793" s="5"/>
      <c r="AG1793" s="5"/>
      <c r="AH1793" s="5"/>
      <c r="AI1793" s="5"/>
      <c r="AJ1793" s="5"/>
      <c r="AK1793" s="5"/>
    </row>
    <row r="1794" spans="1:37" x14ac:dyDescent="0.25">
      <c r="A1794" s="11" t="e">
        <f>Table1[[#This Row],[Milk Yield]]-J1790</f>
        <v>#VALUE!</v>
      </c>
      <c r="B1794" t="s">
        <v>0</v>
      </c>
      <c r="C1794" s="2" t="s">
        <v>1</v>
      </c>
      <c r="D1794" s="12" t="s">
        <v>2</v>
      </c>
      <c r="E1794" s="2" t="s">
        <v>3</v>
      </c>
      <c r="F1794" s="13" t="s">
        <v>4</v>
      </c>
      <c r="G1794" s="3" t="s">
        <v>5</v>
      </c>
      <c r="H1794" s="1" t="s">
        <v>6</v>
      </c>
      <c r="I1794" s="5" t="s">
        <v>8</v>
      </c>
      <c r="J1794" t="s">
        <v>9</v>
      </c>
      <c r="K1794" t="s">
        <v>10</v>
      </c>
      <c r="L1794" s="5" t="s">
        <v>11</v>
      </c>
      <c r="M1794" s="5" t="s">
        <v>12</v>
      </c>
      <c r="N1794" t="s">
        <v>13</v>
      </c>
      <c r="O1794" t="s">
        <v>20</v>
      </c>
      <c r="P1794" s="1" t="s">
        <v>7</v>
      </c>
      <c r="Q1794" s="5" t="s">
        <v>15</v>
      </c>
      <c r="R1794" s="14" t="s">
        <v>18</v>
      </c>
      <c r="S1794" t="s">
        <v>16</v>
      </c>
      <c r="T1794" s="5" t="s">
        <v>14</v>
      </c>
      <c r="U1794" s="5" t="s">
        <v>17</v>
      </c>
      <c r="V1794" s="5" t="s">
        <v>19</v>
      </c>
      <c r="W1794" s="5"/>
      <c r="X1794" s="5"/>
      <c r="Y1794" s="5"/>
      <c r="Z1794" s="5"/>
      <c r="AA1794" s="5"/>
      <c r="AB1794" s="5"/>
      <c r="AC1794" s="5"/>
      <c r="AD1794" s="5"/>
      <c r="AE1794" s="5"/>
      <c r="AF1794" s="5"/>
      <c r="AG1794" s="5"/>
      <c r="AH1794" s="5"/>
      <c r="AI1794" s="5"/>
      <c r="AJ1794" s="5"/>
      <c r="AK1794" s="5"/>
    </row>
    <row r="1795" spans="1:37" x14ac:dyDescent="0.25">
      <c r="A1795" s="11">
        <f>Table1[[#This Row],[Milk Yield]]-J1791</f>
        <v>608</v>
      </c>
      <c r="B1795" t="s">
        <v>24</v>
      </c>
      <c r="C1795" s="2">
        <v>1</v>
      </c>
      <c r="D1795" s="12">
        <v>45916</v>
      </c>
      <c r="E1795" s="2">
        <v>35</v>
      </c>
      <c r="F1795" s="13">
        <v>0.34944444444444445</v>
      </c>
      <c r="G1795" s="3">
        <v>0.5493865740740741</v>
      </c>
      <c r="H1795" s="1">
        <v>0.19930555555555557</v>
      </c>
      <c r="I1795" s="5">
        <v>793</v>
      </c>
      <c r="J1795">
        <v>10677</v>
      </c>
      <c r="K1795">
        <v>165</v>
      </c>
      <c r="L1795" s="5">
        <v>116</v>
      </c>
      <c r="M1795" s="5">
        <v>790</v>
      </c>
      <c r="N1795">
        <v>9</v>
      </c>
      <c r="O1795">
        <v>781</v>
      </c>
      <c r="P1795" s="1">
        <v>0.22222222222222221</v>
      </c>
      <c r="Q1795" s="5">
        <v>2225</v>
      </c>
      <c r="R1795" s="14">
        <v>13.6</v>
      </c>
      <c r="S1795">
        <v>165</v>
      </c>
      <c r="T1795" s="5">
        <v>9</v>
      </c>
      <c r="U1795" s="5">
        <v>781</v>
      </c>
      <c r="V1795" s="5">
        <v>0</v>
      </c>
      <c r="W1795" s="5"/>
      <c r="X1795" s="5"/>
      <c r="Y1795" s="5"/>
      <c r="Z1795" s="5"/>
      <c r="AA1795" s="5"/>
      <c r="AB1795" s="5"/>
      <c r="AC1795" s="5"/>
      <c r="AD1795" s="5"/>
      <c r="AE1795" s="5"/>
      <c r="AF1795" s="5"/>
      <c r="AG1795" s="5"/>
      <c r="AH1795" s="5"/>
      <c r="AI1795" s="5"/>
      <c r="AJ1795" s="5"/>
      <c r="AK1795" s="5"/>
    </row>
    <row r="1796" spans="1:37" x14ac:dyDescent="0.25">
      <c r="A1796" s="11">
        <f>Table1[[#This Row],[Milk Yield]]-J1792</f>
        <v>-7</v>
      </c>
      <c r="B1796" t="s">
        <v>24</v>
      </c>
      <c r="C1796" s="2">
        <v>2</v>
      </c>
      <c r="D1796" s="12">
        <v>45916</v>
      </c>
      <c r="E1796" s="2">
        <v>37</v>
      </c>
      <c r="F1796" s="13">
        <v>0.67104166666666665</v>
      </c>
      <c r="G1796" s="3">
        <v>0.88045138888888885</v>
      </c>
      <c r="H1796" s="1">
        <v>0.20902777777777778</v>
      </c>
      <c r="I1796" s="5">
        <v>795</v>
      </c>
      <c r="J1796">
        <v>10347</v>
      </c>
      <c r="K1796">
        <v>158</v>
      </c>
      <c r="L1796" s="5">
        <v>54</v>
      </c>
      <c r="M1796" s="5">
        <v>793</v>
      </c>
      <c r="N1796">
        <v>5</v>
      </c>
      <c r="O1796">
        <v>788</v>
      </c>
      <c r="P1796" s="1">
        <v>0.21249999999999999</v>
      </c>
      <c r="Q1796" s="5">
        <v>2059</v>
      </c>
      <c r="R1796" s="14">
        <v>13.1</v>
      </c>
      <c r="S1796">
        <v>158</v>
      </c>
      <c r="T1796" s="5">
        <v>5</v>
      </c>
      <c r="U1796" s="5">
        <v>788</v>
      </c>
      <c r="V1796" s="5">
        <v>0</v>
      </c>
      <c r="W1796" s="5"/>
      <c r="X1796" s="5"/>
      <c r="Y1796" s="5"/>
      <c r="Z1796" s="5"/>
      <c r="AA1796" s="5"/>
      <c r="AB1796" s="5"/>
      <c r="AC1796" s="5"/>
      <c r="AD1796" s="5"/>
      <c r="AE1796" s="5"/>
      <c r="AF1796" s="5"/>
      <c r="AG1796" s="5"/>
      <c r="AH1796" s="5"/>
      <c r="AI1796" s="5"/>
      <c r="AJ1796" s="5"/>
      <c r="AK1796" s="5"/>
    </row>
    <row r="1797" spans="1:37" x14ac:dyDescent="0.25">
      <c r="A1797" s="11">
        <f>Table1[[#This Row],[Milk Yield]]-J1793</f>
        <v>-485</v>
      </c>
      <c r="B1797" t="s">
        <v>24</v>
      </c>
      <c r="C1797" s="2">
        <v>3</v>
      </c>
      <c r="D1797" s="12">
        <v>45916</v>
      </c>
      <c r="E1797" s="2">
        <v>36</v>
      </c>
      <c r="F1797" s="13">
        <v>0.99984953703703705</v>
      </c>
      <c r="G1797" s="3">
        <v>0.1831712962962963</v>
      </c>
      <c r="H1797" s="1">
        <v>0.18333333333333332</v>
      </c>
      <c r="I1797" s="5">
        <v>791</v>
      </c>
      <c r="J1797">
        <v>9632</v>
      </c>
      <c r="K1797">
        <v>180</v>
      </c>
      <c r="L1797" s="5">
        <v>58</v>
      </c>
      <c r="M1797" s="5">
        <v>790</v>
      </c>
      <c r="N1797">
        <v>5</v>
      </c>
      <c r="O1797">
        <v>785</v>
      </c>
      <c r="P1797" s="1">
        <v>0.21666666666666667</v>
      </c>
      <c r="Q1797" s="5">
        <v>2189</v>
      </c>
      <c r="R1797" s="14">
        <v>12.2</v>
      </c>
      <c r="S1797">
        <v>180</v>
      </c>
      <c r="T1797" s="5">
        <v>5</v>
      </c>
      <c r="U1797" s="5">
        <v>785</v>
      </c>
      <c r="V1797" s="5">
        <v>0</v>
      </c>
      <c r="W1797" s="5"/>
      <c r="X1797" s="5"/>
      <c r="Y1797" s="5"/>
      <c r="Z1797" s="5"/>
      <c r="AA1797" s="5"/>
      <c r="AB1797" s="5"/>
      <c r="AC1797" s="5"/>
      <c r="AD1797" s="5"/>
      <c r="AE1797" s="5"/>
      <c r="AF1797" s="5"/>
      <c r="AG1797" s="5"/>
      <c r="AH1797" s="5"/>
      <c r="AI1797" s="5"/>
      <c r="AJ1797" s="5"/>
      <c r="AK1797" s="5"/>
    </row>
    <row r="1798" spans="1:37" x14ac:dyDescent="0.25">
      <c r="A1798" s="11" t="e">
        <f>Table1[[#This Row],[Milk Yield]]-J1794</f>
        <v>#VALUE!</v>
      </c>
      <c r="B1798" t="s">
        <v>0</v>
      </c>
      <c r="C1798" s="2" t="s">
        <v>1</v>
      </c>
      <c r="D1798" s="12" t="s">
        <v>2</v>
      </c>
      <c r="E1798" s="2" t="s">
        <v>3</v>
      </c>
      <c r="F1798" s="13" t="s">
        <v>4</v>
      </c>
      <c r="G1798" s="3" t="s">
        <v>5</v>
      </c>
      <c r="H1798" s="1" t="s">
        <v>6</v>
      </c>
      <c r="I1798" s="5" t="s">
        <v>8</v>
      </c>
      <c r="J1798" t="s">
        <v>9</v>
      </c>
      <c r="K1798" t="s">
        <v>10</v>
      </c>
      <c r="L1798" s="5" t="s">
        <v>11</v>
      </c>
      <c r="M1798" s="5" t="s">
        <v>12</v>
      </c>
      <c r="N1798" t="s">
        <v>13</v>
      </c>
      <c r="O1798" t="s">
        <v>20</v>
      </c>
      <c r="P1798" s="1" t="s">
        <v>7</v>
      </c>
      <c r="Q1798" s="5" t="s">
        <v>15</v>
      </c>
      <c r="R1798" s="14" t="s">
        <v>18</v>
      </c>
      <c r="S1798" t="s">
        <v>16</v>
      </c>
      <c r="T1798" s="5" t="s">
        <v>14</v>
      </c>
      <c r="U1798" s="5" t="s">
        <v>17</v>
      </c>
      <c r="V1798" s="5" t="s">
        <v>19</v>
      </c>
      <c r="W1798" s="5"/>
      <c r="X1798" s="5"/>
      <c r="Y1798" s="5"/>
      <c r="Z1798" s="5"/>
      <c r="AA1798" s="5"/>
      <c r="AB1798" s="5"/>
      <c r="AC1798" s="5"/>
      <c r="AD1798" s="5"/>
      <c r="AE1798" s="5"/>
      <c r="AF1798" s="5"/>
      <c r="AG1798" s="5"/>
      <c r="AH1798" s="5"/>
      <c r="AI1798" s="5"/>
      <c r="AJ1798" s="5"/>
      <c r="AK1798" s="5"/>
    </row>
    <row r="1799" spans="1:37" x14ac:dyDescent="0.25">
      <c r="A1799" s="11">
        <f>Table1[[#This Row],[Milk Yield]]-J1795</f>
        <v>-531</v>
      </c>
      <c r="B1799" t="s">
        <v>24</v>
      </c>
      <c r="C1799" s="2">
        <v>1</v>
      </c>
      <c r="D1799" s="12">
        <v>45917</v>
      </c>
      <c r="E1799" s="2">
        <v>35</v>
      </c>
      <c r="F1799" s="13">
        <v>0.33680555555555558</v>
      </c>
      <c r="G1799" s="3">
        <v>0.53711805555555558</v>
      </c>
      <c r="H1799" s="1">
        <v>0.2</v>
      </c>
      <c r="I1799" s="5">
        <v>770</v>
      </c>
      <c r="J1799">
        <v>10146</v>
      </c>
      <c r="K1799">
        <v>160</v>
      </c>
      <c r="L1799" s="5">
        <v>40</v>
      </c>
      <c r="M1799" s="5">
        <v>767</v>
      </c>
      <c r="N1799">
        <v>3</v>
      </c>
      <c r="O1799">
        <v>764</v>
      </c>
      <c r="P1799" s="1">
        <v>0.21527777777777779</v>
      </c>
      <c r="Q1799" s="5">
        <v>2110</v>
      </c>
      <c r="R1799" s="14">
        <v>13.3</v>
      </c>
      <c r="S1799">
        <v>160</v>
      </c>
      <c r="T1799" s="5">
        <v>3</v>
      </c>
      <c r="U1799" s="5">
        <v>764</v>
      </c>
      <c r="V1799" s="5">
        <v>0</v>
      </c>
      <c r="W1799" s="5"/>
      <c r="X1799" s="5"/>
      <c r="Y1799" s="5"/>
      <c r="Z1799" s="5"/>
      <c r="AA1799" s="5"/>
      <c r="AB1799" s="5"/>
      <c r="AC1799" s="5"/>
      <c r="AD1799" s="5"/>
      <c r="AE1799" s="5"/>
      <c r="AF1799" s="5"/>
      <c r="AG1799" s="5"/>
      <c r="AH1799" s="5"/>
      <c r="AI1799" s="5"/>
      <c r="AJ1799" s="5"/>
      <c r="AK1799" s="5"/>
    </row>
    <row r="1800" spans="1:37" x14ac:dyDescent="0.25">
      <c r="A1800" s="11">
        <f>Table1[[#This Row],[Milk Yield]]-J1796</f>
        <v>-295</v>
      </c>
      <c r="B1800" t="s">
        <v>24</v>
      </c>
      <c r="C1800" s="2">
        <v>2</v>
      </c>
      <c r="D1800" s="12">
        <v>45917</v>
      </c>
      <c r="E1800" s="2">
        <v>38</v>
      </c>
      <c r="F1800" s="13">
        <v>0.66392361111111109</v>
      </c>
      <c r="G1800" s="3">
        <v>0.85403935185185187</v>
      </c>
      <c r="H1800" s="1">
        <v>0.18958333333333333</v>
      </c>
      <c r="I1800" s="5">
        <v>796</v>
      </c>
      <c r="J1800">
        <v>10052</v>
      </c>
      <c r="K1800">
        <v>174</v>
      </c>
      <c r="L1800" s="5">
        <v>58</v>
      </c>
      <c r="M1800" s="5">
        <v>795</v>
      </c>
      <c r="N1800">
        <v>6</v>
      </c>
      <c r="O1800">
        <v>789</v>
      </c>
      <c r="P1800" s="1">
        <v>0.21388888888888888</v>
      </c>
      <c r="Q1800" s="5">
        <v>2203</v>
      </c>
      <c r="R1800" s="14">
        <v>12.7</v>
      </c>
      <c r="S1800">
        <v>174</v>
      </c>
      <c r="T1800" s="5">
        <v>6</v>
      </c>
      <c r="U1800" s="5">
        <v>789</v>
      </c>
      <c r="V1800" s="5">
        <v>0</v>
      </c>
      <c r="W1800" s="5"/>
      <c r="X1800" s="5"/>
      <c r="Y1800" s="5"/>
      <c r="Z1800" s="5"/>
      <c r="AA1800" s="5"/>
      <c r="AB1800" s="5"/>
      <c r="AC1800" s="5"/>
      <c r="AD1800" s="5"/>
      <c r="AE1800" s="5"/>
      <c r="AF1800" s="5"/>
      <c r="AG1800" s="5"/>
      <c r="AH1800" s="5"/>
      <c r="AI1800" s="5"/>
      <c r="AJ1800" s="5"/>
      <c r="AK1800" s="5"/>
    </row>
    <row r="1801" spans="1:37" x14ac:dyDescent="0.25">
      <c r="A1801" s="11">
        <f>Table1[[#This Row],[Milk Yield]]-J1797</f>
        <v>428</v>
      </c>
      <c r="B1801" t="s">
        <v>24</v>
      </c>
      <c r="C1801" s="2">
        <v>3</v>
      </c>
      <c r="D1801" s="12">
        <v>45917</v>
      </c>
      <c r="E1801" s="2">
        <v>35</v>
      </c>
      <c r="F1801" s="13">
        <v>1.3194444444444445E-3</v>
      </c>
      <c r="G1801" s="3">
        <v>0.17743055555555556</v>
      </c>
      <c r="H1801" s="1">
        <v>0.17569444444444443</v>
      </c>
      <c r="I1801" s="5">
        <v>793</v>
      </c>
      <c r="J1801">
        <v>10060</v>
      </c>
      <c r="K1801">
        <v>188</v>
      </c>
      <c r="L1801" s="5">
        <v>46</v>
      </c>
      <c r="M1801" s="5">
        <v>792</v>
      </c>
      <c r="N1801">
        <v>4</v>
      </c>
      <c r="O1801">
        <v>788</v>
      </c>
      <c r="P1801" s="1">
        <v>0.21458333333333332</v>
      </c>
      <c r="Q1801" s="5">
        <v>2380</v>
      </c>
      <c r="R1801" s="14">
        <v>12.8</v>
      </c>
      <c r="S1801">
        <v>187</v>
      </c>
      <c r="T1801" s="5">
        <v>4</v>
      </c>
      <c r="U1801" s="5">
        <v>788</v>
      </c>
      <c r="V1801" s="5">
        <v>0</v>
      </c>
      <c r="W1801" s="5"/>
      <c r="X1801" s="5"/>
      <c r="Y1801" s="5"/>
      <c r="Z1801" s="5"/>
      <c r="AA1801" s="5"/>
      <c r="AB1801" s="5"/>
      <c r="AC1801" s="5"/>
      <c r="AD1801" s="5"/>
      <c r="AE1801" s="5"/>
      <c r="AF1801" s="5"/>
      <c r="AG1801" s="5"/>
      <c r="AH1801" s="5"/>
      <c r="AI1801" s="5"/>
      <c r="AJ1801" s="5"/>
      <c r="AK1801" s="5"/>
    </row>
    <row r="1802" spans="1:37" x14ac:dyDescent="0.25">
      <c r="A1802" s="11" t="e">
        <f>Table1[[#This Row],[Milk Yield]]-J1798</f>
        <v>#VALUE!</v>
      </c>
      <c r="B1802" t="s">
        <v>0</v>
      </c>
      <c r="C1802" s="2" t="s">
        <v>1</v>
      </c>
      <c r="D1802" s="12" t="s">
        <v>2</v>
      </c>
      <c r="E1802" s="2" t="s">
        <v>3</v>
      </c>
      <c r="F1802" s="13" t="s">
        <v>4</v>
      </c>
      <c r="G1802" s="3" t="s">
        <v>5</v>
      </c>
      <c r="H1802" s="1" t="s">
        <v>6</v>
      </c>
      <c r="I1802" s="5" t="s">
        <v>8</v>
      </c>
      <c r="J1802" t="s">
        <v>9</v>
      </c>
      <c r="K1802" t="s">
        <v>10</v>
      </c>
      <c r="L1802" s="5" t="s">
        <v>11</v>
      </c>
      <c r="M1802" s="5" t="s">
        <v>12</v>
      </c>
      <c r="N1802" t="s">
        <v>13</v>
      </c>
      <c r="O1802" t="s">
        <v>20</v>
      </c>
      <c r="P1802" s="1" t="s">
        <v>7</v>
      </c>
      <c r="Q1802" s="5" t="s">
        <v>15</v>
      </c>
      <c r="R1802" s="14" t="s">
        <v>18</v>
      </c>
      <c r="S1802" t="s">
        <v>16</v>
      </c>
      <c r="T1802" s="5" t="s">
        <v>14</v>
      </c>
      <c r="U1802" s="5" t="s">
        <v>17</v>
      </c>
      <c r="V1802" s="5" t="s">
        <v>19</v>
      </c>
      <c r="W1802" s="5"/>
      <c r="X1802" s="5"/>
      <c r="Y1802" s="5"/>
      <c r="Z1802" s="5"/>
      <c r="AA1802" s="5"/>
      <c r="AB1802" s="5"/>
      <c r="AC1802" s="5"/>
      <c r="AD1802" s="5"/>
      <c r="AE1802" s="5"/>
      <c r="AF1802" s="5"/>
      <c r="AG1802" s="5"/>
      <c r="AH1802" s="5"/>
      <c r="AI1802" s="5"/>
      <c r="AJ1802" s="5"/>
      <c r="AK1802" s="5"/>
    </row>
    <row r="1803" spans="1:37" x14ac:dyDescent="0.25">
      <c r="A1803" s="11">
        <f>Table1[[#This Row],[Milk Yield]]-J1799</f>
        <v>-73</v>
      </c>
      <c r="B1803" t="s">
        <v>24</v>
      </c>
      <c r="C1803" s="2">
        <v>1</v>
      </c>
      <c r="D1803" s="12">
        <v>45918</v>
      </c>
      <c r="E1803" s="2">
        <v>35</v>
      </c>
      <c r="F1803" s="13">
        <v>0.33496527777777779</v>
      </c>
      <c r="G1803" s="3">
        <v>0.51508101851851851</v>
      </c>
      <c r="H1803" s="1">
        <v>0.17986111111111111</v>
      </c>
      <c r="I1803" s="5">
        <v>793</v>
      </c>
      <c r="J1803">
        <v>10073</v>
      </c>
      <c r="K1803">
        <v>183</v>
      </c>
      <c r="L1803" s="5">
        <v>71</v>
      </c>
      <c r="M1803" s="5">
        <v>792</v>
      </c>
      <c r="N1803">
        <v>6</v>
      </c>
      <c r="O1803">
        <v>786</v>
      </c>
      <c r="P1803" s="1">
        <v>0.21180555555555555</v>
      </c>
      <c r="Q1803" s="5">
        <v>2330</v>
      </c>
      <c r="R1803" s="14">
        <v>12.8</v>
      </c>
      <c r="S1803">
        <v>183</v>
      </c>
      <c r="T1803" s="5">
        <v>6</v>
      </c>
      <c r="U1803" s="5">
        <v>786</v>
      </c>
      <c r="V1803" s="5">
        <v>0</v>
      </c>
      <c r="W1803" s="5"/>
      <c r="X1803" s="5"/>
      <c r="Y1803" s="5"/>
      <c r="Z1803" s="5"/>
      <c r="AA1803" s="5"/>
      <c r="AB1803" s="5"/>
      <c r="AC1803" s="5"/>
      <c r="AD1803" s="5"/>
      <c r="AE1803" s="5"/>
      <c r="AF1803" s="5"/>
      <c r="AG1803" s="5"/>
      <c r="AH1803" s="5"/>
      <c r="AI1803" s="5"/>
      <c r="AJ1803" s="5"/>
      <c r="AK1803" s="5"/>
    </row>
    <row r="1804" spans="1:37" x14ac:dyDescent="0.25">
      <c r="A1804" s="11">
        <f>Table1[[#This Row],[Milk Yield]]-J1800</f>
        <v>694</v>
      </c>
      <c r="B1804" t="s">
        <v>24</v>
      </c>
      <c r="C1804" s="2">
        <v>2</v>
      </c>
      <c r="D1804" s="12">
        <v>45918</v>
      </c>
      <c r="E1804" s="2">
        <v>37</v>
      </c>
      <c r="F1804" s="13">
        <v>0.67031249999999998</v>
      </c>
      <c r="G1804" s="3">
        <v>0.85922453703703705</v>
      </c>
      <c r="H1804" s="1">
        <v>0.18888888888888888</v>
      </c>
      <c r="I1804" s="5">
        <v>795</v>
      </c>
      <c r="J1804">
        <v>10746</v>
      </c>
      <c r="K1804">
        <v>175</v>
      </c>
      <c r="L1804" s="5">
        <v>27</v>
      </c>
      <c r="M1804" s="5">
        <v>795</v>
      </c>
      <c r="N1804">
        <v>3</v>
      </c>
      <c r="O1804">
        <v>792</v>
      </c>
      <c r="P1804" s="1">
        <v>0.21944444444444444</v>
      </c>
      <c r="Q1804" s="5">
        <v>2370</v>
      </c>
      <c r="R1804" s="14">
        <v>13.6</v>
      </c>
      <c r="S1804">
        <v>175</v>
      </c>
      <c r="T1804" s="5">
        <v>3</v>
      </c>
      <c r="U1804" s="5">
        <v>792</v>
      </c>
      <c r="V1804" s="5">
        <v>0</v>
      </c>
      <c r="W1804" s="5"/>
      <c r="X1804" s="5"/>
      <c r="Y1804" s="5"/>
      <c r="Z1804" s="5"/>
      <c r="AA1804" s="5"/>
      <c r="AB1804" s="5"/>
      <c r="AC1804" s="5"/>
      <c r="AD1804" s="5"/>
      <c r="AE1804" s="5"/>
      <c r="AF1804" s="5"/>
      <c r="AG1804" s="5"/>
      <c r="AH1804" s="5"/>
      <c r="AI1804" s="5"/>
      <c r="AJ1804" s="5"/>
      <c r="AK1804" s="5"/>
    </row>
    <row r="1805" spans="1:37" x14ac:dyDescent="0.25">
      <c r="A1805" s="11">
        <f>Table1[[#This Row],[Milk Yield]]-J1801</f>
        <v>40</v>
      </c>
      <c r="B1805" t="s">
        <v>24</v>
      </c>
      <c r="C1805" s="2">
        <v>3</v>
      </c>
      <c r="D1805" s="12">
        <v>45918</v>
      </c>
      <c r="E1805" s="2">
        <v>36</v>
      </c>
      <c r="F1805" s="13">
        <v>1.0300925925925926E-3</v>
      </c>
      <c r="G1805" s="3">
        <v>0.19869212962962962</v>
      </c>
      <c r="H1805" s="1">
        <v>0.19722222222222222</v>
      </c>
      <c r="I1805" s="5">
        <v>792</v>
      </c>
      <c r="J1805">
        <v>10100</v>
      </c>
      <c r="K1805">
        <v>167</v>
      </c>
      <c r="L1805" s="5">
        <v>24</v>
      </c>
      <c r="M1805" s="5">
        <v>790</v>
      </c>
      <c r="N1805">
        <v>3</v>
      </c>
      <c r="O1805">
        <v>787</v>
      </c>
      <c r="P1805" s="1">
        <v>0.21875</v>
      </c>
      <c r="Q1805" s="5">
        <v>2129</v>
      </c>
      <c r="R1805" s="14">
        <v>12.8</v>
      </c>
      <c r="S1805">
        <v>167</v>
      </c>
      <c r="T1805" s="5">
        <v>3</v>
      </c>
      <c r="U1805" s="5">
        <v>787</v>
      </c>
      <c r="V1805" s="5">
        <v>0</v>
      </c>
      <c r="W1805" s="5"/>
      <c r="X1805" s="5"/>
      <c r="Y1805" s="5"/>
      <c r="Z1805" s="5"/>
      <c r="AA1805" s="5"/>
      <c r="AB1805" s="5"/>
      <c r="AC1805" s="5"/>
      <c r="AD1805" s="5"/>
      <c r="AE1805" s="5"/>
      <c r="AF1805" s="5"/>
      <c r="AG1805" s="5"/>
      <c r="AH1805" s="5"/>
      <c r="AI1805" s="5"/>
      <c r="AJ1805" s="5"/>
      <c r="AK1805" s="5"/>
    </row>
    <row r="1806" spans="1:37" x14ac:dyDescent="0.25">
      <c r="A1806" s="11" t="e">
        <f>Table1[[#This Row],[Milk Yield]]-J1802</f>
        <v>#VALUE!</v>
      </c>
      <c r="B1806" t="s">
        <v>0</v>
      </c>
      <c r="C1806" s="2" t="s">
        <v>1</v>
      </c>
      <c r="D1806" s="12" t="s">
        <v>2</v>
      </c>
      <c r="E1806" s="2" t="s">
        <v>3</v>
      </c>
      <c r="F1806" s="13" t="s">
        <v>4</v>
      </c>
      <c r="G1806" s="3" t="s">
        <v>5</v>
      </c>
      <c r="H1806" s="1" t="s">
        <v>6</v>
      </c>
      <c r="I1806" s="5" t="s">
        <v>8</v>
      </c>
      <c r="J1806" t="s">
        <v>9</v>
      </c>
      <c r="K1806" t="s">
        <v>10</v>
      </c>
      <c r="L1806" s="5" t="s">
        <v>11</v>
      </c>
      <c r="M1806" s="5" t="s">
        <v>12</v>
      </c>
      <c r="N1806" t="s">
        <v>13</v>
      </c>
      <c r="O1806" t="s">
        <v>20</v>
      </c>
      <c r="P1806" s="1" t="s">
        <v>7</v>
      </c>
      <c r="Q1806" s="5" t="s">
        <v>15</v>
      </c>
      <c r="R1806" s="14" t="s">
        <v>18</v>
      </c>
      <c r="S1806" t="s">
        <v>16</v>
      </c>
      <c r="T1806" s="5" t="s">
        <v>14</v>
      </c>
      <c r="U1806" s="5" t="s">
        <v>17</v>
      </c>
      <c r="V1806" s="5" t="s">
        <v>19</v>
      </c>
      <c r="W1806" s="5"/>
      <c r="X1806" s="5"/>
      <c r="Y1806" s="5"/>
      <c r="Z1806" s="5"/>
      <c r="AA1806" s="5"/>
      <c r="AB1806" s="5"/>
      <c r="AC1806" s="5"/>
      <c r="AD1806" s="5"/>
      <c r="AE1806" s="5"/>
      <c r="AF1806" s="5"/>
      <c r="AG1806" s="5"/>
      <c r="AH1806" s="5"/>
      <c r="AI1806" s="5"/>
      <c r="AJ1806" s="5"/>
      <c r="AK1806" s="5"/>
    </row>
    <row r="1807" spans="1:37" x14ac:dyDescent="0.25">
      <c r="A1807" s="11">
        <f>Table1[[#This Row],[Milk Yield]]-J1803</f>
        <v>22</v>
      </c>
      <c r="B1807" t="s">
        <v>24</v>
      </c>
      <c r="C1807" s="2">
        <v>1</v>
      </c>
      <c r="D1807" s="12">
        <v>45919</v>
      </c>
      <c r="E1807" s="2">
        <v>36</v>
      </c>
      <c r="F1807" s="13">
        <v>0.33371527777777776</v>
      </c>
      <c r="G1807" s="3">
        <v>0.55026620370370372</v>
      </c>
      <c r="H1807" s="1">
        <v>0.21597222222222223</v>
      </c>
      <c r="I1807" s="5">
        <v>794</v>
      </c>
      <c r="J1807">
        <v>10095</v>
      </c>
      <c r="K1807">
        <v>153</v>
      </c>
      <c r="L1807" s="5">
        <v>242</v>
      </c>
      <c r="M1807" s="5">
        <v>793</v>
      </c>
      <c r="N1807">
        <v>20</v>
      </c>
      <c r="O1807">
        <v>773</v>
      </c>
      <c r="P1807" s="1">
        <v>0.22013888888888888</v>
      </c>
      <c r="Q1807" s="5">
        <v>1942</v>
      </c>
      <c r="R1807" s="14">
        <v>12.8</v>
      </c>
      <c r="S1807">
        <v>153</v>
      </c>
      <c r="T1807" s="5">
        <v>20</v>
      </c>
      <c r="U1807" s="5">
        <v>773</v>
      </c>
      <c r="V1807" s="5">
        <v>0</v>
      </c>
      <c r="W1807" s="5"/>
      <c r="X1807" s="5"/>
      <c r="Y1807" s="5"/>
      <c r="Z1807" s="5"/>
      <c r="AA1807" s="5"/>
      <c r="AB1807" s="5"/>
      <c r="AC1807" s="5"/>
      <c r="AD1807" s="5"/>
      <c r="AE1807" s="5"/>
      <c r="AF1807" s="5"/>
      <c r="AG1807" s="5"/>
      <c r="AH1807" s="5"/>
      <c r="AI1807" s="5"/>
      <c r="AJ1807" s="5"/>
      <c r="AK1807" s="5"/>
    </row>
    <row r="1808" spans="1:37" x14ac:dyDescent="0.25">
      <c r="A1808" s="11">
        <f>Table1[[#This Row],[Milk Yield]]-J1804</f>
        <v>-301</v>
      </c>
      <c r="B1808" t="s">
        <v>24</v>
      </c>
      <c r="C1808" s="2">
        <v>2</v>
      </c>
      <c r="D1808" s="12">
        <v>45919</v>
      </c>
      <c r="E1808" s="2">
        <v>36</v>
      </c>
      <c r="F1808" s="13">
        <v>0.66958333333333331</v>
      </c>
      <c r="G1808" s="3">
        <v>0.86510416666666667</v>
      </c>
      <c r="H1808" s="1">
        <v>0.19513888888888889</v>
      </c>
      <c r="I1808" s="5">
        <v>787</v>
      </c>
      <c r="J1808">
        <v>10445</v>
      </c>
      <c r="K1808">
        <v>168</v>
      </c>
      <c r="L1808" s="5">
        <v>48</v>
      </c>
      <c r="M1808" s="5">
        <v>787</v>
      </c>
      <c r="N1808">
        <v>4</v>
      </c>
      <c r="O1808">
        <v>783</v>
      </c>
      <c r="P1808" s="1">
        <v>0.21527777777777779</v>
      </c>
      <c r="Q1808" s="5">
        <v>2226</v>
      </c>
      <c r="R1808" s="14">
        <v>13.3</v>
      </c>
      <c r="S1808">
        <v>168</v>
      </c>
      <c r="T1808" s="5">
        <v>4</v>
      </c>
      <c r="U1808" s="5">
        <v>783</v>
      </c>
      <c r="V1808" s="5">
        <v>0</v>
      </c>
      <c r="W1808" s="5"/>
      <c r="X1808" s="5"/>
      <c r="Y1808" s="5"/>
      <c r="Z1808" s="5"/>
      <c r="AA1808" s="5"/>
      <c r="AB1808" s="5"/>
      <c r="AC1808" s="5"/>
      <c r="AD1808" s="5"/>
      <c r="AE1808" s="5"/>
      <c r="AF1808" s="5"/>
      <c r="AG1808" s="5"/>
      <c r="AH1808" s="5"/>
      <c r="AI1808" s="5"/>
      <c r="AJ1808" s="5"/>
      <c r="AK1808" s="5"/>
    </row>
    <row r="1809" spans="1:37" x14ac:dyDescent="0.25">
      <c r="A1809" s="11">
        <f>Table1[[#This Row],[Milk Yield]]-J1805</f>
        <v>472</v>
      </c>
      <c r="B1809" t="s">
        <v>24</v>
      </c>
      <c r="C1809" s="2">
        <v>3</v>
      </c>
      <c r="D1809" s="12">
        <v>45919</v>
      </c>
      <c r="E1809" s="2">
        <v>38</v>
      </c>
      <c r="F1809" s="13">
        <v>8.3333333333333339E-4</v>
      </c>
      <c r="G1809" s="3">
        <v>0.20905092592592592</v>
      </c>
      <c r="H1809" s="1">
        <v>0.2076388888888889</v>
      </c>
      <c r="I1809" s="5">
        <v>792</v>
      </c>
      <c r="J1809">
        <v>10572</v>
      </c>
      <c r="K1809">
        <v>158</v>
      </c>
      <c r="L1809" s="5">
        <v>87</v>
      </c>
      <c r="M1809" s="5">
        <v>789</v>
      </c>
      <c r="N1809">
        <v>10</v>
      </c>
      <c r="O1809">
        <v>779</v>
      </c>
      <c r="P1809" s="1">
        <v>0.22291666666666668</v>
      </c>
      <c r="Q1809" s="5">
        <v>2115</v>
      </c>
      <c r="R1809" s="14">
        <v>13.4</v>
      </c>
      <c r="S1809">
        <v>158</v>
      </c>
      <c r="T1809" s="5">
        <v>10</v>
      </c>
      <c r="U1809" s="5">
        <v>779</v>
      </c>
      <c r="V1809" s="5">
        <v>0</v>
      </c>
      <c r="W1809" s="5"/>
      <c r="X1809" s="5"/>
      <c r="Y1809" s="5"/>
      <c r="Z1809" s="5"/>
      <c r="AA1809" s="5"/>
      <c r="AB1809" s="5"/>
      <c r="AC1809" s="5"/>
      <c r="AD1809" s="5"/>
      <c r="AE1809" s="5"/>
      <c r="AF1809" s="5"/>
      <c r="AG1809" s="5"/>
      <c r="AH1809" s="5"/>
      <c r="AI1809" s="5"/>
      <c r="AJ1809" s="5"/>
      <c r="AK1809" s="5"/>
    </row>
    <row r="1810" spans="1:37" x14ac:dyDescent="0.25">
      <c r="A1810" s="11" t="e">
        <f>Table1[[#This Row],[Milk Yield]]-J1806</f>
        <v>#VALUE!</v>
      </c>
      <c r="B1810" t="s">
        <v>0</v>
      </c>
      <c r="C1810" s="2" t="s">
        <v>1</v>
      </c>
      <c r="D1810" s="12" t="s">
        <v>2</v>
      </c>
      <c r="E1810" s="2" t="s">
        <v>3</v>
      </c>
      <c r="F1810" s="13" t="s">
        <v>4</v>
      </c>
      <c r="G1810" s="3" t="s">
        <v>5</v>
      </c>
      <c r="H1810" s="1" t="s">
        <v>6</v>
      </c>
      <c r="I1810" s="5" t="s">
        <v>8</v>
      </c>
      <c r="J1810" t="s">
        <v>9</v>
      </c>
      <c r="K1810" t="s">
        <v>10</v>
      </c>
      <c r="L1810" s="5" t="s">
        <v>11</v>
      </c>
      <c r="M1810" s="5" t="s">
        <v>12</v>
      </c>
      <c r="N1810" t="s">
        <v>13</v>
      </c>
      <c r="O1810" t="s">
        <v>20</v>
      </c>
      <c r="P1810" s="1" t="s">
        <v>7</v>
      </c>
      <c r="Q1810" s="5" t="s">
        <v>15</v>
      </c>
      <c r="R1810" s="14" t="s">
        <v>18</v>
      </c>
      <c r="S1810" t="s">
        <v>16</v>
      </c>
      <c r="T1810" s="5" t="s">
        <v>14</v>
      </c>
      <c r="U1810" s="5" t="s">
        <v>17</v>
      </c>
      <c r="V1810" s="5" t="s">
        <v>19</v>
      </c>
      <c r="W1810" s="5"/>
      <c r="X1810" s="5"/>
      <c r="Y1810" s="5"/>
      <c r="Z1810" s="5"/>
      <c r="AA1810" s="5"/>
      <c r="AB1810" s="5"/>
      <c r="AC1810" s="5"/>
      <c r="AD1810" s="5"/>
      <c r="AE1810" s="5"/>
      <c r="AF1810" s="5"/>
      <c r="AG1810" s="5"/>
      <c r="AH1810" s="5"/>
      <c r="AI1810" s="5"/>
      <c r="AJ1810" s="5"/>
      <c r="AK1810" s="5"/>
    </row>
    <row r="1811" spans="1:37" x14ac:dyDescent="0.25">
      <c r="A1811" s="11">
        <f>Table1[[#This Row],[Milk Yield]]-J1807</f>
        <v>-103</v>
      </c>
      <c r="B1811" t="s">
        <v>24</v>
      </c>
      <c r="C1811" s="2">
        <v>1</v>
      </c>
      <c r="D1811" s="12">
        <v>45920</v>
      </c>
      <c r="E1811" s="2">
        <v>36</v>
      </c>
      <c r="F1811" s="13">
        <v>0.33550925925925928</v>
      </c>
      <c r="G1811" s="3">
        <v>0.5247222222222222</v>
      </c>
      <c r="H1811" s="1">
        <v>0.18888888888888888</v>
      </c>
      <c r="I1811" s="5">
        <v>787</v>
      </c>
      <c r="J1811">
        <v>9992</v>
      </c>
      <c r="K1811">
        <v>173</v>
      </c>
      <c r="L1811" s="5">
        <v>57</v>
      </c>
      <c r="M1811" s="5">
        <v>787</v>
      </c>
      <c r="N1811">
        <v>5</v>
      </c>
      <c r="O1811">
        <v>782</v>
      </c>
      <c r="P1811" s="1">
        <v>0.21041666666666667</v>
      </c>
      <c r="Q1811" s="5">
        <v>2200</v>
      </c>
      <c r="R1811" s="14">
        <v>12.7</v>
      </c>
      <c r="S1811">
        <v>173</v>
      </c>
      <c r="T1811" s="5">
        <v>5</v>
      </c>
      <c r="U1811" s="5">
        <v>782</v>
      </c>
      <c r="V1811" s="5">
        <v>0</v>
      </c>
      <c r="W1811" s="5"/>
      <c r="X1811" s="5"/>
      <c r="Y1811" s="5"/>
      <c r="Z1811" s="5"/>
      <c r="AA1811" s="5"/>
      <c r="AB1811" s="5"/>
      <c r="AC1811" s="5"/>
      <c r="AD1811" s="5"/>
      <c r="AE1811" s="5"/>
      <c r="AF1811" s="5"/>
      <c r="AG1811" s="5"/>
      <c r="AH1811" s="5"/>
      <c r="AI1811" s="5"/>
      <c r="AJ1811" s="5"/>
      <c r="AK1811" s="5"/>
    </row>
    <row r="1812" spans="1:37" x14ac:dyDescent="0.25">
      <c r="A1812" s="11">
        <f>Table1[[#This Row],[Milk Yield]]-J1808</f>
        <v>-23</v>
      </c>
      <c r="B1812" t="s">
        <v>24</v>
      </c>
      <c r="C1812" s="2">
        <v>2</v>
      </c>
      <c r="D1812" s="12">
        <v>45920</v>
      </c>
      <c r="E1812" s="2">
        <v>35</v>
      </c>
      <c r="F1812" s="13">
        <v>0.66535879629629635</v>
      </c>
      <c r="G1812" s="3">
        <v>0.85930555555555554</v>
      </c>
      <c r="H1812" s="1">
        <v>0.19375000000000001</v>
      </c>
      <c r="I1812" s="5">
        <v>789</v>
      </c>
      <c r="J1812">
        <v>10422</v>
      </c>
      <c r="K1812">
        <v>169</v>
      </c>
      <c r="L1812" s="5">
        <v>32</v>
      </c>
      <c r="M1812" s="5">
        <v>789</v>
      </c>
      <c r="N1812">
        <v>3</v>
      </c>
      <c r="O1812">
        <v>786</v>
      </c>
      <c r="P1812" s="1">
        <v>0.21388888888888888</v>
      </c>
      <c r="Q1812" s="5">
        <v>2239</v>
      </c>
      <c r="R1812" s="14">
        <v>13.3</v>
      </c>
      <c r="S1812">
        <v>169</v>
      </c>
      <c r="T1812" s="5">
        <v>3</v>
      </c>
      <c r="U1812" s="5">
        <v>786</v>
      </c>
      <c r="V1812" s="5">
        <v>0</v>
      </c>
      <c r="W1812" s="5"/>
      <c r="X1812" s="5"/>
      <c r="Y1812" s="5"/>
      <c r="Z1812" s="5"/>
      <c r="AA1812" s="5"/>
      <c r="AB1812" s="5"/>
      <c r="AC1812" s="5"/>
      <c r="AD1812" s="5"/>
      <c r="AE1812" s="5"/>
      <c r="AF1812" s="5"/>
      <c r="AG1812" s="5"/>
      <c r="AH1812" s="5"/>
      <c r="AI1812" s="5"/>
      <c r="AJ1812" s="5"/>
      <c r="AK1812" s="5"/>
    </row>
    <row r="1813" spans="1:37" x14ac:dyDescent="0.25">
      <c r="A1813" s="11">
        <f>Table1[[#This Row],[Milk Yield]]-J1809</f>
        <v>-457</v>
      </c>
      <c r="B1813" t="s">
        <v>24</v>
      </c>
      <c r="C1813" s="2">
        <v>3</v>
      </c>
      <c r="D1813" s="12">
        <v>45920</v>
      </c>
      <c r="E1813" s="2">
        <v>36</v>
      </c>
      <c r="F1813" s="13">
        <v>0.99906249999999996</v>
      </c>
      <c r="G1813" s="3">
        <v>0.18679398148148149</v>
      </c>
      <c r="H1813" s="1">
        <v>0.1875</v>
      </c>
      <c r="I1813" s="5">
        <v>793</v>
      </c>
      <c r="J1813">
        <v>10115</v>
      </c>
      <c r="K1813">
        <v>176</v>
      </c>
      <c r="L1813" s="5">
        <v>39</v>
      </c>
      <c r="M1813" s="5">
        <v>788</v>
      </c>
      <c r="N1813">
        <v>4</v>
      </c>
      <c r="O1813">
        <v>784</v>
      </c>
      <c r="P1813" s="1">
        <v>0.21527777777777779</v>
      </c>
      <c r="Q1813" s="5">
        <v>2245</v>
      </c>
      <c r="R1813" s="14">
        <v>12.9</v>
      </c>
      <c r="S1813">
        <v>175</v>
      </c>
      <c r="T1813" s="5">
        <v>4</v>
      </c>
      <c r="U1813" s="5">
        <v>784</v>
      </c>
      <c r="V1813" s="5">
        <v>0</v>
      </c>
      <c r="W1813" s="5"/>
      <c r="X1813" s="5"/>
      <c r="Y1813" s="5"/>
      <c r="Z1813" s="5"/>
      <c r="AA1813" s="5"/>
      <c r="AB1813" s="5"/>
      <c r="AC1813" s="5"/>
      <c r="AD1813" s="5"/>
      <c r="AE1813" s="5"/>
      <c r="AF1813" s="5"/>
      <c r="AG1813" s="5"/>
      <c r="AH1813" s="5"/>
      <c r="AI1813" s="5"/>
      <c r="AJ1813" s="5"/>
      <c r="AK1813" s="5"/>
    </row>
    <row r="1814" spans="1:37" x14ac:dyDescent="0.25">
      <c r="A1814" s="11" t="e">
        <f>Table1[[#This Row],[Milk Yield]]-J1810</f>
        <v>#VALUE!</v>
      </c>
      <c r="B1814" t="s">
        <v>0</v>
      </c>
      <c r="C1814" s="2" t="s">
        <v>1</v>
      </c>
      <c r="D1814" s="12" t="s">
        <v>2</v>
      </c>
      <c r="E1814" s="2" t="s">
        <v>3</v>
      </c>
      <c r="F1814" s="13" t="s">
        <v>4</v>
      </c>
      <c r="G1814" s="3" t="s">
        <v>5</v>
      </c>
      <c r="H1814" s="1" t="s">
        <v>6</v>
      </c>
      <c r="I1814" s="5" t="s">
        <v>8</v>
      </c>
      <c r="J1814" t="s">
        <v>9</v>
      </c>
      <c r="K1814" t="s">
        <v>10</v>
      </c>
      <c r="L1814" s="5" t="s">
        <v>11</v>
      </c>
      <c r="M1814" s="5" t="s">
        <v>12</v>
      </c>
      <c r="N1814" t="s">
        <v>13</v>
      </c>
      <c r="O1814" t="s">
        <v>20</v>
      </c>
      <c r="P1814" s="1" t="s">
        <v>7</v>
      </c>
      <c r="Q1814" s="5" t="s">
        <v>15</v>
      </c>
      <c r="R1814" s="14" t="s">
        <v>18</v>
      </c>
      <c r="S1814" t="s">
        <v>16</v>
      </c>
      <c r="T1814" s="5" t="s">
        <v>14</v>
      </c>
      <c r="U1814" s="5" t="s">
        <v>17</v>
      </c>
      <c r="V1814" s="5" t="s">
        <v>19</v>
      </c>
      <c r="W1814" s="5"/>
      <c r="X1814" s="5"/>
      <c r="Y1814" s="5"/>
      <c r="Z1814" s="5"/>
      <c r="AA1814" s="5"/>
      <c r="AB1814" s="5"/>
      <c r="AC1814" s="5"/>
      <c r="AD1814" s="5"/>
      <c r="AE1814" s="5"/>
      <c r="AF1814" s="5"/>
      <c r="AG1814" s="5"/>
      <c r="AH1814" s="5"/>
      <c r="AI1814" s="5"/>
      <c r="AJ1814" s="5"/>
      <c r="AK1814" s="5"/>
    </row>
    <row r="1815" spans="1:37" x14ac:dyDescent="0.25">
      <c r="A1815" s="11">
        <f>Table1[[#This Row],[Milk Yield]]-J1811</f>
        <v>260</v>
      </c>
      <c r="B1815" t="s">
        <v>24</v>
      </c>
      <c r="C1815" s="2">
        <v>1</v>
      </c>
      <c r="D1815" s="12">
        <v>45921</v>
      </c>
      <c r="E1815" s="2">
        <v>37</v>
      </c>
      <c r="F1815" s="13">
        <v>0.33423611111111112</v>
      </c>
      <c r="G1815" s="3">
        <v>0.51521990740740742</v>
      </c>
      <c r="H1815" s="1">
        <v>0.18055555555555555</v>
      </c>
      <c r="I1815" s="5">
        <v>815</v>
      </c>
      <c r="J1815">
        <v>10252</v>
      </c>
      <c r="K1815">
        <v>188</v>
      </c>
      <c r="L1815" s="5">
        <v>151</v>
      </c>
      <c r="M1815" s="5">
        <v>811</v>
      </c>
      <c r="N1815">
        <v>33</v>
      </c>
      <c r="O1815">
        <v>778</v>
      </c>
      <c r="P1815" s="1">
        <v>0.21180555555555555</v>
      </c>
      <c r="Q1815" s="5">
        <v>2360</v>
      </c>
      <c r="R1815" s="14">
        <v>12.7</v>
      </c>
      <c r="S1815">
        <v>187</v>
      </c>
      <c r="T1815" s="5">
        <v>33</v>
      </c>
      <c r="U1815" s="5">
        <v>778</v>
      </c>
      <c r="V1815" s="5">
        <v>0</v>
      </c>
      <c r="W1815" s="5"/>
      <c r="X1815" s="5"/>
      <c r="Y1815" s="5"/>
      <c r="Z1815" s="5"/>
      <c r="AA1815" s="5"/>
      <c r="AB1815" s="5"/>
      <c r="AC1815" s="5"/>
      <c r="AD1815" s="5"/>
      <c r="AE1815" s="5"/>
      <c r="AF1815" s="5"/>
      <c r="AG1815" s="5"/>
      <c r="AH1815" s="5"/>
      <c r="AI1815" s="5"/>
      <c r="AJ1815" s="5"/>
      <c r="AK1815" s="5"/>
    </row>
    <row r="1816" spans="1:37" x14ac:dyDescent="0.25">
      <c r="A1816" s="11">
        <f>Table1[[#This Row],[Milk Yield]]-J1812</f>
        <v>668</v>
      </c>
      <c r="B1816" t="s">
        <v>24</v>
      </c>
      <c r="C1816" s="2">
        <v>2</v>
      </c>
      <c r="D1816" s="12">
        <v>45921</v>
      </c>
      <c r="E1816" s="2">
        <v>37</v>
      </c>
      <c r="F1816" s="13">
        <v>0.66546296296296292</v>
      </c>
      <c r="G1816" s="3">
        <v>0.9196643518518518</v>
      </c>
      <c r="H1816" s="1">
        <v>0.25416666666666665</v>
      </c>
      <c r="I1816" s="5">
        <v>795</v>
      </c>
      <c r="J1816">
        <v>11090</v>
      </c>
      <c r="K1816">
        <v>130</v>
      </c>
      <c r="L1816" s="5">
        <v>112</v>
      </c>
      <c r="M1816" s="5">
        <v>790</v>
      </c>
      <c r="N1816">
        <v>10</v>
      </c>
      <c r="O1816">
        <v>780</v>
      </c>
      <c r="P1816" s="1">
        <v>0.23819444444444443</v>
      </c>
      <c r="Q1816" s="5">
        <v>1818</v>
      </c>
      <c r="R1816" s="14">
        <v>14.1</v>
      </c>
      <c r="S1816">
        <v>129</v>
      </c>
      <c r="T1816" s="5">
        <v>10</v>
      </c>
      <c r="U1816" s="5">
        <v>780</v>
      </c>
      <c r="V1816" s="5">
        <v>0</v>
      </c>
      <c r="W1816" s="5"/>
      <c r="X1816" s="5"/>
      <c r="Y1816" s="5"/>
      <c r="Z1816" s="5"/>
      <c r="AA1816" s="5"/>
      <c r="AB1816" s="5"/>
      <c r="AC1816" s="5"/>
      <c r="AD1816" s="5"/>
      <c r="AE1816" s="5"/>
      <c r="AF1816" s="5"/>
      <c r="AG1816" s="5"/>
      <c r="AH1816" s="5"/>
      <c r="AI1816" s="5"/>
      <c r="AJ1816" s="5"/>
      <c r="AK1816" s="5"/>
    </row>
    <row r="1817" spans="1:37" x14ac:dyDescent="0.25">
      <c r="A1817" s="11">
        <f>Table1[[#This Row],[Milk Yield]]-J1813</f>
        <v>-963</v>
      </c>
      <c r="B1817" t="s">
        <v>24</v>
      </c>
      <c r="C1817" s="2">
        <v>3</v>
      </c>
      <c r="D1817" s="12">
        <v>45921</v>
      </c>
      <c r="E1817" s="2">
        <v>35</v>
      </c>
      <c r="F1817" s="13">
        <v>0.99912037037037038</v>
      </c>
      <c r="G1817" s="3">
        <v>0.17952546296296296</v>
      </c>
      <c r="H1817" s="1">
        <v>0.17986111111111111</v>
      </c>
      <c r="I1817" s="5">
        <v>782</v>
      </c>
      <c r="J1817">
        <v>9152</v>
      </c>
      <c r="K1817">
        <v>181</v>
      </c>
      <c r="L1817" s="5">
        <v>0</v>
      </c>
      <c r="M1817" s="5">
        <v>782</v>
      </c>
      <c r="N1817">
        <v>0</v>
      </c>
      <c r="O1817">
        <v>782</v>
      </c>
      <c r="P1817" s="1">
        <v>0.21666666666666667</v>
      </c>
      <c r="Q1817" s="5">
        <v>2114</v>
      </c>
      <c r="R1817" s="14">
        <v>11.8</v>
      </c>
      <c r="S1817">
        <v>181</v>
      </c>
      <c r="T1817" s="5">
        <v>0</v>
      </c>
      <c r="U1817" s="5">
        <v>782</v>
      </c>
      <c r="V1817" s="5">
        <v>0</v>
      </c>
      <c r="W1817" s="5"/>
      <c r="X1817" s="5"/>
      <c r="Y1817" s="5"/>
      <c r="Z1817" s="5"/>
      <c r="AA1817" s="5"/>
      <c r="AB1817" s="5"/>
      <c r="AC1817" s="5"/>
      <c r="AD1817" s="5"/>
      <c r="AE1817" s="5"/>
      <c r="AF1817" s="5"/>
      <c r="AG1817" s="5"/>
      <c r="AH1817" s="5"/>
      <c r="AI1817" s="5"/>
      <c r="AJ1817" s="5"/>
      <c r="AK1817" s="5"/>
    </row>
    <row r="1818" spans="1:37" x14ac:dyDescent="0.25">
      <c r="A1818" s="11" t="e">
        <f>Table1[[#This Row],[Milk Yield]]-J1814</f>
        <v>#VALUE!</v>
      </c>
      <c r="B1818" t="s">
        <v>0</v>
      </c>
      <c r="C1818" s="2" t="s">
        <v>1</v>
      </c>
      <c r="D1818" s="12" t="s">
        <v>2</v>
      </c>
      <c r="E1818" s="2" t="s">
        <v>3</v>
      </c>
      <c r="F1818" s="13" t="s">
        <v>4</v>
      </c>
      <c r="G1818" s="3" t="s">
        <v>5</v>
      </c>
      <c r="H1818" s="1" t="s">
        <v>6</v>
      </c>
      <c r="I1818" s="5" t="s">
        <v>8</v>
      </c>
      <c r="J1818" t="s">
        <v>9</v>
      </c>
      <c r="K1818" t="s">
        <v>10</v>
      </c>
      <c r="L1818" s="5" t="s">
        <v>11</v>
      </c>
      <c r="M1818" s="5" t="s">
        <v>12</v>
      </c>
      <c r="N1818" t="s">
        <v>13</v>
      </c>
      <c r="O1818" t="s">
        <v>20</v>
      </c>
      <c r="P1818" s="1" t="s">
        <v>7</v>
      </c>
      <c r="Q1818" s="5" t="s">
        <v>15</v>
      </c>
      <c r="R1818" s="14" t="s">
        <v>18</v>
      </c>
      <c r="S1818" t="s">
        <v>16</v>
      </c>
      <c r="T1818" s="5" t="s">
        <v>14</v>
      </c>
      <c r="U1818" s="5" t="s">
        <v>17</v>
      </c>
      <c r="V1818" s="5" t="s">
        <v>19</v>
      </c>
      <c r="W1818" s="5"/>
      <c r="X1818" s="5"/>
      <c r="Y1818" s="5"/>
      <c r="Z1818" s="5"/>
      <c r="AA1818" s="5"/>
      <c r="AB1818" s="5"/>
      <c r="AC1818" s="5"/>
      <c r="AD1818" s="5"/>
      <c r="AE1818" s="5"/>
      <c r="AF1818" s="5"/>
      <c r="AG1818" s="5"/>
      <c r="AH1818" s="5"/>
      <c r="AI1818" s="5"/>
      <c r="AJ1818" s="5"/>
      <c r="AK1818" s="5"/>
    </row>
    <row r="1819" spans="1:37" x14ac:dyDescent="0.25">
      <c r="A1819" s="11">
        <f>Table1[[#This Row],[Milk Yield]]-J1815</f>
        <v>-115</v>
      </c>
      <c r="B1819" t="s">
        <v>24</v>
      </c>
      <c r="C1819" s="2">
        <v>1</v>
      </c>
      <c r="D1819" s="12">
        <v>45922</v>
      </c>
      <c r="E1819" s="2">
        <v>36</v>
      </c>
      <c r="F1819" s="13">
        <v>0.33701388888888889</v>
      </c>
      <c r="G1819" s="3">
        <v>0.52012731481481478</v>
      </c>
      <c r="H1819" s="1">
        <v>0.18263888888888888</v>
      </c>
      <c r="I1819" s="5">
        <v>788</v>
      </c>
      <c r="J1819">
        <v>10137</v>
      </c>
      <c r="K1819">
        <v>179</v>
      </c>
      <c r="L1819" s="5">
        <v>81</v>
      </c>
      <c r="M1819" s="5">
        <v>787</v>
      </c>
      <c r="N1819">
        <v>7</v>
      </c>
      <c r="O1819">
        <v>780</v>
      </c>
      <c r="P1819" s="1">
        <v>0.21666666666666667</v>
      </c>
      <c r="Q1819" s="5">
        <v>2307</v>
      </c>
      <c r="R1819" s="14">
        <v>12.9</v>
      </c>
      <c r="S1819">
        <v>179</v>
      </c>
      <c r="T1819" s="5">
        <v>7</v>
      </c>
      <c r="U1819" s="5">
        <v>780</v>
      </c>
      <c r="V1819" s="5">
        <v>0</v>
      </c>
      <c r="W1819" s="5"/>
      <c r="X1819" s="5"/>
      <c r="Y1819" s="5"/>
      <c r="Z1819" s="5"/>
      <c r="AA1819" s="5"/>
      <c r="AB1819" s="5"/>
      <c r="AC1819" s="5"/>
      <c r="AD1819" s="5"/>
      <c r="AE1819" s="5"/>
      <c r="AF1819" s="5"/>
      <c r="AG1819" s="5"/>
      <c r="AH1819" s="5"/>
      <c r="AI1819" s="5"/>
      <c r="AJ1819" s="5"/>
      <c r="AK1819" s="5"/>
    </row>
    <row r="1820" spans="1:37" x14ac:dyDescent="0.25">
      <c r="A1820" s="11">
        <f>Table1[[#This Row],[Milk Yield]]-J1816</f>
        <v>-787</v>
      </c>
      <c r="B1820" t="s">
        <v>24</v>
      </c>
      <c r="C1820" s="2">
        <v>2</v>
      </c>
      <c r="D1820" s="12">
        <v>45922</v>
      </c>
      <c r="E1820" s="2">
        <v>38</v>
      </c>
      <c r="F1820" s="13">
        <v>0.66987268518518517</v>
      </c>
      <c r="G1820" s="3">
        <v>0.84971064814814812</v>
      </c>
      <c r="H1820" s="1">
        <v>0.17916666666666667</v>
      </c>
      <c r="I1820" s="5">
        <v>788</v>
      </c>
      <c r="J1820">
        <v>10303</v>
      </c>
      <c r="K1820">
        <v>183</v>
      </c>
      <c r="L1820" s="5">
        <v>64</v>
      </c>
      <c r="M1820" s="5">
        <v>787</v>
      </c>
      <c r="N1820">
        <v>8</v>
      </c>
      <c r="O1820">
        <v>779</v>
      </c>
      <c r="P1820" s="1">
        <v>0.21736111111111112</v>
      </c>
      <c r="Q1820" s="5">
        <v>2387</v>
      </c>
      <c r="R1820" s="14">
        <v>13.1</v>
      </c>
      <c r="S1820">
        <v>182</v>
      </c>
      <c r="T1820" s="5">
        <v>8</v>
      </c>
      <c r="U1820" s="5">
        <v>779</v>
      </c>
      <c r="V1820" s="5">
        <v>0</v>
      </c>
      <c r="W1820" s="5"/>
      <c r="X1820" s="5"/>
      <c r="Y1820" s="5"/>
      <c r="Z1820" s="5"/>
      <c r="AA1820" s="5"/>
      <c r="AB1820" s="5"/>
      <c r="AC1820" s="5"/>
      <c r="AD1820" s="5"/>
      <c r="AE1820" s="5"/>
      <c r="AF1820" s="5"/>
      <c r="AG1820" s="5"/>
      <c r="AH1820" s="5"/>
      <c r="AI1820" s="5"/>
      <c r="AJ1820" s="5"/>
      <c r="AK1820" s="5"/>
    </row>
    <row r="1821" spans="1:37" x14ac:dyDescent="0.25">
      <c r="A1821" s="11">
        <f>Table1[[#This Row],[Milk Yield]]-J1817</f>
        <v>1238</v>
      </c>
      <c r="B1821" t="s">
        <v>24</v>
      </c>
      <c r="C1821" s="2">
        <v>3</v>
      </c>
      <c r="D1821" s="12">
        <v>45922</v>
      </c>
      <c r="E1821" s="2">
        <v>38</v>
      </c>
      <c r="F1821" s="13">
        <v>2.8587962962962963E-3</v>
      </c>
      <c r="G1821" s="3">
        <v>0.21347222222222223</v>
      </c>
      <c r="H1821" s="1">
        <v>0.21041666666666667</v>
      </c>
      <c r="I1821" s="5">
        <v>801</v>
      </c>
      <c r="J1821">
        <v>10390</v>
      </c>
      <c r="K1821">
        <v>158</v>
      </c>
      <c r="L1821" s="5">
        <v>145</v>
      </c>
      <c r="M1821" s="5">
        <v>800</v>
      </c>
      <c r="N1821">
        <v>22</v>
      </c>
      <c r="O1821">
        <v>778</v>
      </c>
      <c r="P1821" s="1">
        <v>0.22083333333333333</v>
      </c>
      <c r="Q1821" s="5">
        <v>2055</v>
      </c>
      <c r="R1821" s="14">
        <v>13</v>
      </c>
      <c r="S1821">
        <v>158</v>
      </c>
      <c r="T1821" s="5">
        <v>22</v>
      </c>
      <c r="U1821" s="5">
        <v>778</v>
      </c>
      <c r="V1821" s="5">
        <v>0</v>
      </c>
      <c r="W1821" s="5"/>
      <c r="X1821" s="5"/>
      <c r="Y1821" s="5"/>
      <c r="Z1821" s="5"/>
      <c r="AA1821" s="5"/>
      <c r="AB1821" s="5"/>
      <c r="AC1821" s="5"/>
      <c r="AD1821" s="5"/>
      <c r="AE1821" s="5"/>
      <c r="AF1821" s="5"/>
      <c r="AG1821" s="5"/>
      <c r="AH1821" s="5"/>
      <c r="AI1821" s="5"/>
      <c r="AJ1821" s="5"/>
      <c r="AK1821" s="5"/>
    </row>
    <row r="1822" spans="1:37" x14ac:dyDescent="0.25">
      <c r="A1822" s="11" t="e">
        <f>Table1[[#This Row],[Milk Yield]]-J1818</f>
        <v>#VALUE!</v>
      </c>
      <c r="B1822" t="s">
        <v>0</v>
      </c>
      <c r="C1822" s="2" t="s">
        <v>1</v>
      </c>
      <c r="D1822" s="12" t="s">
        <v>2</v>
      </c>
      <c r="E1822" s="2" t="s">
        <v>3</v>
      </c>
      <c r="F1822" s="13" t="s">
        <v>4</v>
      </c>
      <c r="G1822" s="3" t="s">
        <v>5</v>
      </c>
      <c r="H1822" s="1" t="s">
        <v>6</v>
      </c>
      <c r="I1822" s="5" t="s">
        <v>8</v>
      </c>
      <c r="J1822" t="s">
        <v>9</v>
      </c>
      <c r="K1822" t="s">
        <v>10</v>
      </c>
      <c r="L1822" s="5" t="s">
        <v>11</v>
      </c>
      <c r="M1822" s="5" t="s">
        <v>12</v>
      </c>
      <c r="N1822" t="s">
        <v>13</v>
      </c>
      <c r="O1822" t="s">
        <v>20</v>
      </c>
      <c r="P1822" s="1" t="s">
        <v>7</v>
      </c>
      <c r="Q1822" s="5" t="s">
        <v>15</v>
      </c>
      <c r="R1822" s="14" t="s">
        <v>18</v>
      </c>
      <c r="S1822" t="s">
        <v>16</v>
      </c>
      <c r="T1822" s="5" t="s">
        <v>14</v>
      </c>
      <c r="U1822" s="5" t="s">
        <v>17</v>
      </c>
      <c r="V1822" s="5" t="s">
        <v>19</v>
      </c>
      <c r="W1822" s="5"/>
      <c r="X1822" s="5"/>
      <c r="Y1822" s="5"/>
      <c r="Z1822" s="5"/>
      <c r="AA1822" s="5"/>
      <c r="AB1822" s="5"/>
      <c r="AC1822" s="5"/>
      <c r="AD1822" s="5"/>
      <c r="AE1822" s="5"/>
      <c r="AF1822" s="5"/>
      <c r="AG1822" s="5"/>
      <c r="AH1822" s="5"/>
      <c r="AI1822" s="5"/>
      <c r="AJ1822" s="5"/>
      <c r="AK1822" s="5"/>
    </row>
    <row r="1823" spans="1:37" x14ac:dyDescent="0.25">
      <c r="A1823" s="11">
        <f>Table1[[#This Row],[Milk Yield]]-J1819</f>
        <v>-1939</v>
      </c>
      <c r="B1823" t="s">
        <v>24</v>
      </c>
      <c r="C1823" s="2">
        <v>1</v>
      </c>
      <c r="D1823" s="12">
        <v>45966</v>
      </c>
      <c r="E1823" s="2">
        <v>36</v>
      </c>
      <c r="F1823" s="13">
        <v>0.33797453703703706</v>
      </c>
      <c r="G1823" s="3">
        <v>0.53092592592592591</v>
      </c>
      <c r="H1823" s="1">
        <v>0.19236111111111112</v>
      </c>
      <c r="I1823" s="5">
        <v>783</v>
      </c>
      <c r="J1823">
        <v>8198</v>
      </c>
      <c r="K1823">
        <v>169</v>
      </c>
      <c r="L1823" s="5">
        <v>38</v>
      </c>
      <c r="M1823" s="5">
        <v>782</v>
      </c>
      <c r="N1823">
        <v>4</v>
      </c>
      <c r="O1823">
        <v>778</v>
      </c>
      <c r="P1823" s="1">
        <v>0.21736111111111112</v>
      </c>
      <c r="Q1823" s="5">
        <v>2129</v>
      </c>
      <c r="R1823" s="14">
        <v>12.7</v>
      </c>
      <c r="S1823">
        <v>169</v>
      </c>
      <c r="T1823" s="5">
        <v>4</v>
      </c>
      <c r="U1823" s="5">
        <v>778</v>
      </c>
      <c r="V1823" s="5">
        <v>0</v>
      </c>
      <c r="W1823" s="5"/>
      <c r="X1823" s="5"/>
      <c r="Y1823" s="5"/>
      <c r="Z1823" s="5"/>
      <c r="AA1823" s="5"/>
      <c r="AB1823" s="5"/>
      <c r="AC1823" s="5"/>
      <c r="AD1823" s="5"/>
      <c r="AE1823" s="5"/>
      <c r="AF1823" s="5"/>
      <c r="AG1823" s="5"/>
      <c r="AH1823" s="5"/>
      <c r="AI1823" s="5"/>
      <c r="AJ1823" s="5"/>
      <c r="AK1823" s="5"/>
    </row>
    <row r="1824" spans="1:37" x14ac:dyDescent="0.25">
      <c r="A1824" s="11">
        <f>Table1[[#This Row],[Milk Yield]]-J1820</f>
        <v>-1730</v>
      </c>
      <c r="B1824" t="s">
        <v>24</v>
      </c>
      <c r="C1824" s="2">
        <v>2</v>
      </c>
      <c r="D1824" s="12">
        <v>45966</v>
      </c>
      <c r="E1824" s="2">
        <v>37</v>
      </c>
      <c r="F1824" s="13">
        <v>0.6675578703703704</v>
      </c>
      <c r="G1824" s="3">
        <v>0.85128472222222218</v>
      </c>
      <c r="H1824" s="1">
        <v>0.18333333333333332</v>
      </c>
      <c r="I1824" s="5">
        <v>784</v>
      </c>
      <c r="J1824">
        <v>8573</v>
      </c>
      <c r="K1824">
        <v>178</v>
      </c>
      <c r="L1824" s="5">
        <v>95</v>
      </c>
      <c r="M1824" s="5">
        <v>783</v>
      </c>
      <c r="N1824">
        <v>8</v>
      </c>
      <c r="O1824">
        <v>775</v>
      </c>
      <c r="P1824" s="1">
        <v>0.21736111111111112</v>
      </c>
      <c r="Q1824" s="5">
        <v>2265</v>
      </c>
      <c r="R1824" s="14">
        <v>12.8</v>
      </c>
      <c r="S1824">
        <v>178</v>
      </c>
      <c r="T1824" s="5">
        <v>8</v>
      </c>
      <c r="U1824" s="5">
        <v>775</v>
      </c>
      <c r="V1824" s="5">
        <v>0</v>
      </c>
      <c r="W1824" s="5"/>
      <c r="X1824" s="5"/>
      <c r="Y1824" s="5"/>
      <c r="Z1824" s="5"/>
      <c r="AA1824" s="5"/>
      <c r="AB1824" s="5"/>
      <c r="AC1824" s="5"/>
      <c r="AD1824" s="5"/>
      <c r="AE1824" s="5"/>
      <c r="AF1824" s="5"/>
      <c r="AG1824" s="5"/>
      <c r="AH1824" s="5"/>
      <c r="AI1824" s="5"/>
      <c r="AJ1824" s="5"/>
      <c r="AK1824" s="5"/>
    </row>
    <row r="1825" spans="1:37" x14ac:dyDescent="0.25">
      <c r="A1825" s="11">
        <f>Table1[[#This Row],[Milk Yield]]-J1821</f>
        <v>-2165</v>
      </c>
      <c r="B1825" t="s">
        <v>24</v>
      </c>
      <c r="C1825" s="2">
        <v>3</v>
      </c>
      <c r="D1825" s="12">
        <v>45966</v>
      </c>
      <c r="E1825" s="2">
        <v>36</v>
      </c>
      <c r="F1825" s="13">
        <v>7.7546296296296293E-4</v>
      </c>
      <c r="G1825" s="3">
        <v>0.24113425925925927</v>
      </c>
      <c r="H1825" s="1">
        <v>0.24027777777777778</v>
      </c>
      <c r="I1825" s="5">
        <v>781</v>
      </c>
      <c r="J1825">
        <v>8225</v>
      </c>
      <c r="K1825">
        <v>135</v>
      </c>
      <c r="L1825" s="5">
        <v>46</v>
      </c>
      <c r="M1825" s="5">
        <v>780</v>
      </c>
      <c r="N1825">
        <v>4</v>
      </c>
      <c r="O1825">
        <v>776</v>
      </c>
      <c r="P1825" s="1">
        <v>0.22361111111111112</v>
      </c>
      <c r="Q1825" s="5">
        <v>1870</v>
      </c>
      <c r="R1825" s="14">
        <v>13.9</v>
      </c>
      <c r="S1825">
        <v>135</v>
      </c>
      <c r="T1825" s="5">
        <v>4</v>
      </c>
      <c r="U1825" s="5">
        <v>776</v>
      </c>
      <c r="V1825" s="5">
        <v>0</v>
      </c>
      <c r="W1825" s="5"/>
      <c r="X1825" s="5"/>
      <c r="Y1825" s="5"/>
      <c r="Z1825" s="5"/>
      <c r="AA1825" s="5"/>
      <c r="AB1825" s="5"/>
      <c r="AC1825" s="5"/>
      <c r="AD1825" s="5"/>
      <c r="AE1825" s="5"/>
      <c r="AF1825" s="5"/>
      <c r="AG1825" s="5"/>
      <c r="AH1825" s="5"/>
      <c r="AI1825" s="5"/>
      <c r="AJ1825" s="5"/>
      <c r="AK1825" s="5"/>
    </row>
    <row r="1826" spans="1:37" x14ac:dyDescent="0.25">
      <c r="A1826" s="11" t="e">
        <f>Table1[[#This Row],[Milk Yield]]-J1822</f>
        <v>#VALUE!</v>
      </c>
      <c r="B1826" t="s">
        <v>0</v>
      </c>
      <c r="C1826" s="2" t="s">
        <v>1</v>
      </c>
      <c r="D1826" s="12" t="s">
        <v>2</v>
      </c>
      <c r="E1826" s="2" t="s">
        <v>3</v>
      </c>
      <c r="F1826" s="13" t="s">
        <v>4</v>
      </c>
      <c r="G1826" s="3" t="s">
        <v>5</v>
      </c>
      <c r="H1826" s="1" t="s">
        <v>6</v>
      </c>
      <c r="I1826" s="5" t="s">
        <v>8</v>
      </c>
      <c r="J1826" t="s">
        <v>9</v>
      </c>
      <c r="K1826" t="s">
        <v>10</v>
      </c>
      <c r="L1826" s="5" t="s">
        <v>11</v>
      </c>
      <c r="M1826" s="5" t="s">
        <v>12</v>
      </c>
      <c r="N1826" t="s">
        <v>13</v>
      </c>
      <c r="O1826" t="s">
        <v>20</v>
      </c>
      <c r="P1826" s="1" t="s">
        <v>7</v>
      </c>
      <c r="Q1826" s="5" t="s">
        <v>15</v>
      </c>
      <c r="R1826" s="14" t="s">
        <v>18</v>
      </c>
      <c r="S1826" t="s">
        <v>16</v>
      </c>
      <c r="T1826" s="5" t="s">
        <v>14</v>
      </c>
      <c r="U1826" s="5" t="s">
        <v>17</v>
      </c>
      <c r="V1826" s="5" t="s">
        <v>19</v>
      </c>
      <c r="W1826" s="5"/>
      <c r="X1826" s="5"/>
      <c r="Y1826" s="5"/>
      <c r="Z1826" s="5"/>
      <c r="AA1826" s="5"/>
      <c r="AB1826" s="5"/>
      <c r="AC1826" s="5"/>
      <c r="AD1826" s="5"/>
      <c r="AE1826" s="5"/>
      <c r="AF1826" s="5"/>
      <c r="AG1826" s="5"/>
      <c r="AH1826" s="5"/>
      <c r="AI1826" s="5"/>
      <c r="AJ1826" s="5"/>
      <c r="AK1826" s="5"/>
    </row>
    <row r="1827" spans="1:37" x14ac:dyDescent="0.25">
      <c r="A1827" s="11">
        <f>Table1[[#This Row],[Milk Yield]]-J1823</f>
        <v>871</v>
      </c>
      <c r="B1827" t="s">
        <v>24</v>
      </c>
      <c r="C1827" s="2">
        <v>1</v>
      </c>
      <c r="D1827" s="12">
        <v>45967</v>
      </c>
      <c r="E1827" s="2">
        <v>34</v>
      </c>
      <c r="F1827" s="13">
        <v>0.3369328703703704</v>
      </c>
      <c r="G1827" s="3">
        <v>0.52068287037037042</v>
      </c>
      <c r="H1827" s="1">
        <v>0.18333333333333332</v>
      </c>
      <c r="I1827" s="5">
        <v>731</v>
      </c>
      <c r="J1827">
        <v>9069</v>
      </c>
      <c r="K1827">
        <v>166</v>
      </c>
      <c r="L1827" s="5">
        <v>116</v>
      </c>
      <c r="M1827" s="5">
        <v>731</v>
      </c>
      <c r="N1827">
        <v>11</v>
      </c>
      <c r="O1827">
        <v>720</v>
      </c>
      <c r="P1827" s="1">
        <v>0.22430555555555556</v>
      </c>
      <c r="Q1827" s="5">
        <v>2056</v>
      </c>
      <c r="R1827" s="14">
        <v>12.5</v>
      </c>
      <c r="S1827">
        <v>166</v>
      </c>
      <c r="T1827" s="5">
        <v>11</v>
      </c>
      <c r="U1827" s="5">
        <v>720</v>
      </c>
      <c r="V1827" s="5">
        <v>0</v>
      </c>
      <c r="W1827" s="5"/>
      <c r="X1827" s="5"/>
      <c r="Y1827" s="5"/>
      <c r="Z1827" s="5"/>
      <c r="AA1827" s="5"/>
      <c r="AB1827" s="5"/>
      <c r="AC1827" s="5"/>
      <c r="AD1827" s="5"/>
      <c r="AE1827" s="5"/>
      <c r="AF1827" s="5"/>
      <c r="AG1827" s="5"/>
      <c r="AH1827" s="5"/>
      <c r="AI1827" s="5"/>
      <c r="AJ1827" s="5"/>
      <c r="AK1827" s="5"/>
    </row>
    <row r="1828" spans="1:37" x14ac:dyDescent="0.25">
      <c r="A1828" s="11">
        <f>Table1[[#This Row],[Milk Yield]]-J1824</f>
        <v>-220</v>
      </c>
      <c r="B1828" t="s">
        <v>24</v>
      </c>
      <c r="C1828" s="2">
        <v>2</v>
      </c>
      <c r="D1828" s="12">
        <v>45967</v>
      </c>
      <c r="E1828" s="2">
        <v>36</v>
      </c>
      <c r="F1828" s="13">
        <v>0.66776620370370365</v>
      </c>
      <c r="G1828" s="3">
        <v>0.83704861111111106</v>
      </c>
      <c r="H1828" s="1">
        <v>0.16875000000000001</v>
      </c>
      <c r="I1828" s="5">
        <v>734</v>
      </c>
      <c r="J1828">
        <v>8353</v>
      </c>
      <c r="K1828">
        <v>181</v>
      </c>
      <c r="L1828" s="5">
        <v>99</v>
      </c>
      <c r="M1828" s="5">
        <v>732</v>
      </c>
      <c r="N1828">
        <v>11</v>
      </c>
      <c r="O1828">
        <v>721</v>
      </c>
      <c r="P1828" s="1">
        <v>0.21527777777777779</v>
      </c>
      <c r="Q1828" s="5">
        <v>2056</v>
      </c>
      <c r="R1828" s="14">
        <v>11.5</v>
      </c>
      <c r="S1828">
        <v>180</v>
      </c>
      <c r="T1828" s="5">
        <v>11</v>
      </c>
      <c r="U1828" s="5">
        <v>721</v>
      </c>
      <c r="V1828" s="5">
        <v>0</v>
      </c>
      <c r="W1828" s="5"/>
      <c r="X1828" s="5"/>
      <c r="Y1828" s="5"/>
      <c r="Z1828" s="5"/>
      <c r="AA1828" s="5"/>
      <c r="AB1828" s="5"/>
      <c r="AC1828" s="5"/>
      <c r="AD1828" s="5"/>
      <c r="AE1828" s="5"/>
      <c r="AF1828" s="5"/>
      <c r="AG1828" s="5"/>
      <c r="AH1828" s="5"/>
      <c r="AI1828" s="5"/>
      <c r="AJ1828" s="5"/>
      <c r="AK1828" s="5"/>
    </row>
    <row r="1829" spans="1:37" x14ac:dyDescent="0.25">
      <c r="A1829" s="11">
        <f>Table1[[#This Row],[Milk Yield]]-J1825</f>
        <v>473</v>
      </c>
      <c r="B1829" t="s">
        <v>24</v>
      </c>
      <c r="C1829" s="2">
        <v>3</v>
      </c>
      <c r="D1829" s="12">
        <v>45967</v>
      </c>
      <c r="E1829" s="2">
        <v>34</v>
      </c>
      <c r="F1829" s="13">
        <v>4.6296296296296298E-4</v>
      </c>
      <c r="G1829" s="3">
        <v>0.17693287037037037</v>
      </c>
      <c r="H1829" s="1">
        <v>0.1763888888888889</v>
      </c>
      <c r="I1829" s="5">
        <v>734</v>
      </c>
      <c r="J1829">
        <v>8698</v>
      </c>
      <c r="K1829">
        <v>173</v>
      </c>
      <c r="L1829" s="5">
        <v>139</v>
      </c>
      <c r="M1829" s="5">
        <v>732</v>
      </c>
      <c r="N1829">
        <v>13</v>
      </c>
      <c r="O1829">
        <v>719</v>
      </c>
      <c r="P1829" s="1">
        <v>0.21944444444444444</v>
      </c>
      <c r="Q1829" s="5">
        <v>2054</v>
      </c>
      <c r="R1829" s="14">
        <v>11.9</v>
      </c>
      <c r="S1829">
        <v>173</v>
      </c>
      <c r="T1829" s="5">
        <v>13</v>
      </c>
      <c r="U1829" s="5">
        <v>719</v>
      </c>
      <c r="V1829" s="5">
        <v>0</v>
      </c>
      <c r="W1829" s="5"/>
      <c r="X1829" s="5"/>
      <c r="Y1829" s="5"/>
      <c r="Z1829" s="5"/>
      <c r="AA1829" s="5"/>
      <c r="AB1829" s="5"/>
      <c r="AC1829" s="5"/>
      <c r="AD1829" s="5"/>
      <c r="AE1829" s="5"/>
      <c r="AF1829" s="5"/>
      <c r="AG1829" s="5"/>
      <c r="AH1829" s="5"/>
      <c r="AI1829" s="5"/>
      <c r="AJ1829" s="5"/>
      <c r="AK1829" s="5"/>
    </row>
    <row r="1830" spans="1:37" x14ac:dyDescent="0.25">
      <c r="A1830" s="11" t="e">
        <f>Table1[[#This Row],[Milk Yield]]-J1826</f>
        <v>#VALUE!</v>
      </c>
      <c r="B1830" t="s">
        <v>0</v>
      </c>
      <c r="C1830" s="2" t="s">
        <v>1</v>
      </c>
      <c r="D1830" s="12" t="s">
        <v>2</v>
      </c>
      <c r="E1830" s="2" t="s">
        <v>3</v>
      </c>
      <c r="F1830" s="13" t="s">
        <v>4</v>
      </c>
      <c r="G1830" s="3" t="s">
        <v>5</v>
      </c>
      <c r="H1830" s="17" t="s">
        <v>6</v>
      </c>
      <c r="I1830" s="5" t="s">
        <v>8</v>
      </c>
      <c r="J1830" t="s">
        <v>9</v>
      </c>
      <c r="K1830" t="s">
        <v>10</v>
      </c>
      <c r="L1830" s="5" t="s">
        <v>11</v>
      </c>
      <c r="M1830" s="5" t="s">
        <v>12</v>
      </c>
      <c r="N1830" t="s">
        <v>13</v>
      </c>
      <c r="O1830" t="s">
        <v>20</v>
      </c>
      <c r="P1830" s="1" t="s">
        <v>7</v>
      </c>
      <c r="Q1830" s="5" t="s">
        <v>15</v>
      </c>
      <c r="R1830" s="14" t="s">
        <v>18</v>
      </c>
      <c r="S1830" t="s">
        <v>16</v>
      </c>
      <c r="T1830" s="5" t="s">
        <v>14</v>
      </c>
      <c r="U1830" s="5" t="s">
        <v>17</v>
      </c>
      <c r="V1830" s="5" t="s">
        <v>19</v>
      </c>
      <c r="W1830" s="5"/>
      <c r="X1830" s="5"/>
      <c r="Y1830" s="5"/>
      <c r="Z1830" s="5"/>
      <c r="AA1830" s="5"/>
      <c r="AB1830" s="5"/>
      <c r="AC1830" s="5"/>
      <c r="AD1830" s="5"/>
      <c r="AE1830" s="5"/>
      <c r="AF1830" s="5"/>
      <c r="AG1830" s="5"/>
      <c r="AH1830" s="5"/>
      <c r="AI1830" s="5"/>
      <c r="AJ1830" s="5"/>
      <c r="AK1830" s="5"/>
    </row>
    <row r="1831" spans="1:37" x14ac:dyDescent="0.25">
      <c r="A1831" s="11">
        <f>Table1[[#This Row],[Milk Yield]]-J1827</f>
        <v>-438</v>
      </c>
      <c r="B1831" t="s">
        <v>24</v>
      </c>
      <c r="C1831" s="2">
        <v>1</v>
      </c>
      <c r="D1831" s="12">
        <v>45968</v>
      </c>
      <c r="E1831" s="2">
        <v>33</v>
      </c>
      <c r="F1831" s="13">
        <v>0.33619212962962963</v>
      </c>
      <c r="G1831" s="3">
        <v>0.50686342592592593</v>
      </c>
      <c r="H1831" s="17">
        <v>0.1701388888888889</v>
      </c>
      <c r="I1831" s="5">
        <v>716</v>
      </c>
      <c r="J1831">
        <v>8631</v>
      </c>
      <c r="K1831">
        <v>175</v>
      </c>
      <c r="L1831" s="5">
        <v>115</v>
      </c>
      <c r="M1831" s="5">
        <v>715</v>
      </c>
      <c r="N1831">
        <v>10</v>
      </c>
      <c r="O1831">
        <v>705</v>
      </c>
      <c r="P1831" s="1">
        <v>0.22222222222222221</v>
      </c>
      <c r="Q1831" s="5">
        <v>2107</v>
      </c>
      <c r="R1831" s="14">
        <v>12.1</v>
      </c>
      <c r="S1831">
        <v>175</v>
      </c>
      <c r="T1831" s="5">
        <v>10</v>
      </c>
      <c r="U1831" s="5">
        <v>705</v>
      </c>
      <c r="V1831" s="5">
        <v>0</v>
      </c>
      <c r="W1831" s="5"/>
      <c r="X1831" s="5"/>
      <c r="Y1831" s="5"/>
      <c r="Z1831" s="5"/>
      <c r="AA1831" s="5"/>
      <c r="AB1831" s="5"/>
      <c r="AC1831" s="5"/>
      <c r="AD1831" s="5"/>
      <c r="AE1831" s="5"/>
      <c r="AF1831" s="5"/>
      <c r="AG1831" s="5"/>
      <c r="AH1831" s="5"/>
      <c r="AI1831" s="5"/>
      <c r="AJ1831" s="5"/>
      <c r="AK1831" s="5"/>
    </row>
    <row r="1832" spans="1:37" x14ac:dyDescent="0.25">
      <c r="A1832" s="11">
        <f>Table1[[#This Row],[Milk Yield]]-J1828</f>
        <v>479</v>
      </c>
      <c r="B1832" t="s">
        <v>24</v>
      </c>
      <c r="C1832" s="2">
        <v>2</v>
      </c>
      <c r="D1832" s="12">
        <v>45968</v>
      </c>
      <c r="E1832" s="2">
        <v>34</v>
      </c>
      <c r="F1832" s="13">
        <v>0.67179398148148151</v>
      </c>
      <c r="G1832" s="3">
        <v>0.85640046296296302</v>
      </c>
      <c r="H1832" s="17">
        <v>0.18402777777777779</v>
      </c>
      <c r="I1832" s="5">
        <v>719</v>
      </c>
      <c r="J1832">
        <v>8832</v>
      </c>
      <c r="K1832">
        <v>162</v>
      </c>
      <c r="L1832" s="5">
        <v>126</v>
      </c>
      <c r="M1832" s="5">
        <v>719</v>
      </c>
      <c r="N1832">
        <v>12</v>
      </c>
      <c r="O1832">
        <v>707</v>
      </c>
      <c r="P1832" s="1">
        <v>0.22638888888888889</v>
      </c>
      <c r="Q1832" s="5">
        <v>1993</v>
      </c>
      <c r="R1832" s="14">
        <v>12.3</v>
      </c>
      <c r="S1832">
        <v>162</v>
      </c>
      <c r="T1832" s="5">
        <v>12</v>
      </c>
      <c r="U1832" s="5">
        <v>707</v>
      </c>
      <c r="V1832" s="5">
        <v>0</v>
      </c>
      <c r="W1832" s="5"/>
      <c r="X1832" s="5"/>
      <c r="Y1832" s="5"/>
      <c r="Z1832" s="5"/>
      <c r="AA1832" s="5"/>
      <c r="AB1832" s="5"/>
      <c r="AC1832" s="5"/>
      <c r="AD1832" s="5"/>
      <c r="AE1832" s="5"/>
      <c r="AF1832" s="5"/>
      <c r="AG1832" s="5"/>
      <c r="AH1832" s="5"/>
      <c r="AI1832" s="5"/>
      <c r="AJ1832" s="5"/>
      <c r="AK1832" s="5"/>
    </row>
    <row r="1833" spans="1:37" x14ac:dyDescent="0.25">
      <c r="A1833" s="11">
        <f>Table1[[#This Row],[Milk Yield]]-J1829</f>
        <v>-659</v>
      </c>
      <c r="B1833" t="s">
        <v>24</v>
      </c>
      <c r="C1833" s="2">
        <v>3</v>
      </c>
      <c r="D1833" s="12">
        <v>45968</v>
      </c>
      <c r="E1833" s="2">
        <v>32</v>
      </c>
      <c r="F1833" s="13">
        <v>1.7361111111111112E-4</v>
      </c>
      <c r="G1833" s="3">
        <v>0.16960648148148147</v>
      </c>
      <c r="H1833" s="17">
        <v>0.16944444444444445</v>
      </c>
      <c r="I1833" s="5">
        <v>715</v>
      </c>
      <c r="J1833">
        <v>8039</v>
      </c>
      <c r="K1833">
        <v>176</v>
      </c>
      <c r="L1833" s="5">
        <v>94</v>
      </c>
      <c r="M1833" s="5">
        <v>711</v>
      </c>
      <c r="N1833">
        <v>9</v>
      </c>
      <c r="O1833">
        <v>702</v>
      </c>
      <c r="P1833" s="1">
        <v>0.21875</v>
      </c>
      <c r="Q1833" s="5">
        <v>1977</v>
      </c>
      <c r="R1833" s="14">
        <v>11.4</v>
      </c>
      <c r="S1833">
        <v>175</v>
      </c>
      <c r="T1833" s="5">
        <v>9</v>
      </c>
      <c r="U1833" s="5">
        <v>702</v>
      </c>
      <c r="V1833" s="5">
        <v>0</v>
      </c>
      <c r="W1833" s="5"/>
      <c r="X1833" s="5"/>
      <c r="Y1833" s="5"/>
      <c r="Z1833" s="5"/>
      <c r="AA1833" s="5"/>
      <c r="AB1833" s="5"/>
      <c r="AC1833" s="5"/>
      <c r="AD1833" s="5"/>
      <c r="AE1833" s="5"/>
      <c r="AF1833" s="5"/>
      <c r="AG1833" s="5"/>
      <c r="AH1833" s="5"/>
      <c r="AI1833" s="5"/>
      <c r="AJ1833" s="5"/>
      <c r="AK1833" s="5"/>
    </row>
    <row r="1834" spans="1:37" x14ac:dyDescent="0.25">
      <c r="A1834" s="11" t="e">
        <f>Table1[[#This Row],[Milk Yield]]-J1830</f>
        <v>#VALUE!</v>
      </c>
      <c r="B1834" t="s">
        <v>0</v>
      </c>
      <c r="C1834" s="2" t="s">
        <v>1</v>
      </c>
      <c r="D1834" s="12" t="s">
        <v>2</v>
      </c>
      <c r="E1834" s="2" t="s">
        <v>3</v>
      </c>
      <c r="F1834" s="18" t="s">
        <v>4</v>
      </c>
      <c r="G1834" s="3" t="s">
        <v>5</v>
      </c>
      <c r="H1834" s="17" t="s">
        <v>6</v>
      </c>
      <c r="I1834" s="5" t="s">
        <v>8</v>
      </c>
      <c r="J1834" t="s">
        <v>9</v>
      </c>
      <c r="K1834" t="s">
        <v>10</v>
      </c>
      <c r="L1834" s="5" t="s">
        <v>11</v>
      </c>
      <c r="M1834" s="5" t="s">
        <v>12</v>
      </c>
      <c r="N1834" t="s">
        <v>13</v>
      </c>
      <c r="O1834" t="s">
        <v>20</v>
      </c>
      <c r="P1834" s="1" t="s">
        <v>7</v>
      </c>
      <c r="Q1834" s="5" t="s">
        <v>15</v>
      </c>
      <c r="R1834" s="14" t="s">
        <v>18</v>
      </c>
      <c r="S1834" t="s">
        <v>16</v>
      </c>
      <c r="T1834" s="5" t="s">
        <v>14</v>
      </c>
      <c r="U1834" s="5" t="s">
        <v>17</v>
      </c>
      <c r="V1834" s="5" t="s">
        <v>19</v>
      </c>
      <c r="W1834" s="5"/>
      <c r="X1834" s="5"/>
      <c r="Y1834" s="5"/>
      <c r="Z1834" s="5"/>
      <c r="AA1834" s="5"/>
      <c r="AB1834" s="5"/>
      <c r="AC1834" s="5"/>
      <c r="AD1834" s="5"/>
      <c r="AE1834" s="5"/>
      <c r="AF1834" s="5"/>
      <c r="AG1834" s="5"/>
      <c r="AH1834" s="5"/>
      <c r="AI1834" s="5"/>
      <c r="AJ1834" s="5"/>
      <c r="AK1834" s="5"/>
    </row>
    <row r="1835" spans="1:37" x14ac:dyDescent="0.25">
      <c r="A1835" s="11">
        <f>Table1[[#This Row],[Milk Yield]]-J1831</f>
        <v>1</v>
      </c>
      <c r="B1835" t="s">
        <v>24</v>
      </c>
      <c r="C1835" s="2">
        <v>1</v>
      </c>
      <c r="D1835" s="12">
        <v>45969</v>
      </c>
      <c r="E1835" s="2">
        <v>31</v>
      </c>
      <c r="F1835" s="18">
        <v>0.33657407407407408</v>
      </c>
      <c r="G1835" s="3">
        <v>0.50480324074074079</v>
      </c>
      <c r="H1835" s="17">
        <v>0.16805555555555557</v>
      </c>
      <c r="I1835" s="5">
        <v>714</v>
      </c>
      <c r="J1835">
        <v>8632</v>
      </c>
      <c r="K1835">
        <v>177</v>
      </c>
      <c r="L1835" s="5">
        <v>168</v>
      </c>
      <c r="M1835" s="5">
        <v>713</v>
      </c>
      <c r="N1835">
        <v>16</v>
      </c>
      <c r="O1835">
        <v>697</v>
      </c>
      <c r="P1835" s="1">
        <v>0.22430555555555556</v>
      </c>
      <c r="Q1835" s="5">
        <v>2138</v>
      </c>
      <c r="R1835" s="14">
        <v>12.2</v>
      </c>
      <c r="S1835">
        <v>177</v>
      </c>
      <c r="T1835" s="5">
        <v>16</v>
      </c>
      <c r="U1835" s="5">
        <v>697</v>
      </c>
      <c r="V1835" s="5">
        <v>0</v>
      </c>
      <c r="W1835" s="5"/>
      <c r="X1835" s="5"/>
      <c r="Y1835" s="5"/>
      <c r="Z1835" s="5"/>
      <c r="AA1835" s="5"/>
      <c r="AB1835" s="5"/>
      <c r="AC1835" s="5"/>
      <c r="AD1835" s="5"/>
      <c r="AE1835" s="5"/>
      <c r="AF1835" s="5"/>
      <c r="AG1835" s="5"/>
      <c r="AH1835" s="5"/>
      <c r="AI1835" s="5"/>
      <c r="AJ1835" s="5"/>
      <c r="AK1835" s="5"/>
    </row>
    <row r="1836" spans="1:37" x14ac:dyDescent="0.25">
      <c r="A1836" s="11">
        <f>Table1[[#This Row],[Milk Yield]]-J1832</f>
        <v>-314</v>
      </c>
      <c r="B1836" t="s">
        <v>24</v>
      </c>
      <c r="C1836" s="2">
        <v>2</v>
      </c>
      <c r="D1836" s="12">
        <v>45969</v>
      </c>
      <c r="E1836" s="2">
        <v>37</v>
      </c>
      <c r="F1836" s="18">
        <v>0.66732638888888884</v>
      </c>
      <c r="G1836" s="3">
        <v>0.85179398148148144</v>
      </c>
      <c r="H1836" s="17">
        <v>0.18402777777777779</v>
      </c>
      <c r="I1836" s="5">
        <v>720</v>
      </c>
      <c r="J1836">
        <v>8518</v>
      </c>
      <c r="K1836">
        <v>163</v>
      </c>
      <c r="L1836" s="5">
        <v>106</v>
      </c>
      <c r="M1836" s="5">
        <v>718</v>
      </c>
      <c r="N1836">
        <v>12</v>
      </c>
      <c r="O1836">
        <v>706</v>
      </c>
      <c r="P1836" s="1">
        <v>0.2298611111111111</v>
      </c>
      <c r="Q1836" s="5">
        <v>1924</v>
      </c>
      <c r="R1836" s="14">
        <v>11.9</v>
      </c>
      <c r="S1836">
        <v>162</v>
      </c>
      <c r="T1836" s="5">
        <v>12</v>
      </c>
      <c r="U1836" s="5">
        <v>706</v>
      </c>
      <c r="V1836" s="5">
        <v>0</v>
      </c>
      <c r="W1836" s="5"/>
      <c r="X1836" s="5"/>
      <c r="Y1836" s="5"/>
      <c r="Z1836" s="5"/>
      <c r="AA1836" s="5"/>
      <c r="AB1836" s="5"/>
      <c r="AC1836" s="5"/>
      <c r="AD1836" s="5"/>
      <c r="AE1836" s="5"/>
      <c r="AF1836" s="5"/>
      <c r="AG1836" s="5"/>
      <c r="AH1836" s="5"/>
      <c r="AI1836" s="5"/>
      <c r="AJ1836" s="5"/>
      <c r="AK1836" s="5"/>
    </row>
    <row r="1837" spans="1:37" x14ac:dyDescent="0.25">
      <c r="A1837" s="11">
        <f>Table1[[#This Row],[Milk Yield]]-J1833</f>
        <v>153</v>
      </c>
      <c r="B1837" t="s">
        <v>24</v>
      </c>
      <c r="C1837" s="2">
        <v>3</v>
      </c>
      <c r="D1837" s="12">
        <v>45969</v>
      </c>
      <c r="E1837" s="2">
        <v>34</v>
      </c>
      <c r="F1837" s="18">
        <v>6.018518518518519E-4</v>
      </c>
      <c r="G1837" s="3">
        <v>0.16762731481481483</v>
      </c>
      <c r="H1837" s="17">
        <v>0.16666666666666666</v>
      </c>
      <c r="I1837" s="5">
        <v>709</v>
      </c>
      <c r="J1837">
        <v>8192</v>
      </c>
      <c r="K1837">
        <v>177</v>
      </c>
      <c r="L1837" s="5">
        <v>46</v>
      </c>
      <c r="M1837" s="5">
        <v>707</v>
      </c>
      <c r="N1837">
        <v>6</v>
      </c>
      <c r="O1837">
        <v>701</v>
      </c>
      <c r="P1837" s="1">
        <v>0.22500000000000001</v>
      </c>
      <c r="Q1837" s="5">
        <v>2044</v>
      </c>
      <c r="R1837" s="14">
        <v>11.6</v>
      </c>
      <c r="S1837">
        <v>176</v>
      </c>
      <c r="T1837" s="5">
        <v>6</v>
      </c>
      <c r="U1837" s="5">
        <v>701</v>
      </c>
      <c r="V1837" s="5">
        <v>0</v>
      </c>
      <c r="W1837" s="5"/>
      <c r="X1837" s="5"/>
      <c r="Y1837" s="5"/>
      <c r="Z1837" s="5"/>
      <c r="AA1837" s="5"/>
      <c r="AB1837" s="5"/>
      <c r="AC1837" s="5"/>
      <c r="AD1837" s="5"/>
      <c r="AE1837" s="5"/>
      <c r="AF1837" s="5"/>
      <c r="AG1837" s="5"/>
      <c r="AH1837" s="5"/>
      <c r="AI1837" s="5"/>
      <c r="AJ1837" s="5"/>
      <c r="AK1837" s="5"/>
    </row>
    <row r="1838" spans="1:37" x14ac:dyDescent="0.25">
      <c r="A1838" s="11" t="e">
        <f>Table1[[#This Row],[Milk Yield]]-J1834</f>
        <v>#VALUE!</v>
      </c>
      <c r="B1838" t="s">
        <v>0</v>
      </c>
      <c r="C1838" s="2" t="s">
        <v>1</v>
      </c>
      <c r="D1838" s="12" t="s">
        <v>2</v>
      </c>
      <c r="E1838" s="2" t="s">
        <v>3</v>
      </c>
      <c r="F1838" s="18" t="s">
        <v>4</v>
      </c>
      <c r="G1838" s="3" t="s">
        <v>5</v>
      </c>
      <c r="H1838" s="17" t="s">
        <v>6</v>
      </c>
      <c r="I1838" s="5" t="s">
        <v>8</v>
      </c>
      <c r="J1838" t="s">
        <v>9</v>
      </c>
      <c r="K1838" t="s">
        <v>10</v>
      </c>
      <c r="L1838" s="5" t="s">
        <v>11</v>
      </c>
      <c r="M1838" s="5" t="s">
        <v>12</v>
      </c>
      <c r="N1838" t="s">
        <v>13</v>
      </c>
      <c r="O1838" t="s">
        <v>20</v>
      </c>
      <c r="P1838" s="1" t="s">
        <v>7</v>
      </c>
      <c r="Q1838" s="5" t="s">
        <v>15</v>
      </c>
      <c r="R1838" s="14" t="s">
        <v>18</v>
      </c>
      <c r="S1838" t="s">
        <v>16</v>
      </c>
      <c r="T1838" s="5" t="s">
        <v>14</v>
      </c>
      <c r="U1838" s="5" t="s">
        <v>17</v>
      </c>
      <c r="V1838" s="5" t="s">
        <v>19</v>
      </c>
      <c r="W1838" s="5"/>
      <c r="X1838" s="5"/>
      <c r="Y1838" s="5"/>
      <c r="Z1838" s="5"/>
      <c r="AA1838" s="5"/>
      <c r="AB1838" s="5"/>
      <c r="AC1838" s="5"/>
      <c r="AD1838" s="5"/>
      <c r="AE1838" s="5"/>
      <c r="AF1838" s="5"/>
      <c r="AG1838" s="5"/>
      <c r="AH1838" s="5"/>
      <c r="AI1838" s="5"/>
      <c r="AJ1838" s="5"/>
      <c r="AK1838" s="5"/>
    </row>
    <row r="1839" spans="1:37" x14ac:dyDescent="0.25">
      <c r="A1839" s="11">
        <f>Table1[[#This Row],[Milk Yield]]-J1835</f>
        <v>-75</v>
      </c>
      <c r="B1839" t="s">
        <v>24</v>
      </c>
      <c r="C1839" s="2">
        <v>1</v>
      </c>
      <c r="D1839" s="12">
        <v>45970</v>
      </c>
      <c r="E1839" s="2">
        <v>32</v>
      </c>
      <c r="F1839" s="18">
        <v>0.33560185185185187</v>
      </c>
      <c r="G1839" s="3">
        <v>0.50064814814814818</v>
      </c>
      <c r="H1839" s="17">
        <v>0.16458333333333333</v>
      </c>
      <c r="I1839" s="5">
        <v>713</v>
      </c>
      <c r="J1839">
        <v>8557</v>
      </c>
      <c r="K1839">
        <v>180</v>
      </c>
      <c r="L1839" s="5">
        <v>137</v>
      </c>
      <c r="M1839" s="5">
        <v>712</v>
      </c>
      <c r="N1839">
        <v>12</v>
      </c>
      <c r="O1839">
        <v>700</v>
      </c>
      <c r="P1839" s="1">
        <v>0.22500000000000001</v>
      </c>
      <c r="Q1839" s="5">
        <v>2160</v>
      </c>
      <c r="R1839" s="14">
        <v>12.1</v>
      </c>
      <c r="S1839">
        <v>180</v>
      </c>
      <c r="T1839" s="5">
        <v>12</v>
      </c>
      <c r="U1839" s="5">
        <v>700</v>
      </c>
      <c r="V1839" s="5">
        <v>0</v>
      </c>
      <c r="W1839" s="5"/>
      <c r="X1839" s="5"/>
      <c r="Y1839" s="5"/>
      <c r="Z1839" s="5"/>
      <c r="AA1839" s="5"/>
      <c r="AB1839" s="5"/>
      <c r="AC1839" s="5"/>
      <c r="AD1839" s="5"/>
      <c r="AE1839" s="5"/>
      <c r="AF1839" s="5"/>
      <c r="AG1839" s="5"/>
      <c r="AH1839" s="5"/>
      <c r="AI1839" s="5"/>
      <c r="AJ1839" s="5"/>
      <c r="AK1839" s="5"/>
    </row>
    <row r="1840" spans="1:37" x14ac:dyDescent="0.25">
      <c r="A1840" s="11">
        <f>Table1[[#This Row],[Milk Yield]]-J1836</f>
        <v>-275</v>
      </c>
      <c r="B1840" t="s">
        <v>24</v>
      </c>
      <c r="C1840" s="2">
        <v>2</v>
      </c>
      <c r="D1840" s="12">
        <v>45970</v>
      </c>
      <c r="E1840" s="2">
        <v>35</v>
      </c>
      <c r="F1840" s="18">
        <v>0.66424768518518518</v>
      </c>
      <c r="G1840" s="3">
        <v>0.83936342592592594</v>
      </c>
      <c r="H1840" s="17">
        <v>0.17499999999999999</v>
      </c>
      <c r="I1840" s="5">
        <v>716</v>
      </c>
      <c r="J1840">
        <v>8243</v>
      </c>
      <c r="K1840">
        <v>170</v>
      </c>
      <c r="L1840" s="5">
        <v>143</v>
      </c>
      <c r="M1840" s="5">
        <v>715</v>
      </c>
      <c r="N1840">
        <v>16</v>
      </c>
      <c r="O1840">
        <v>699</v>
      </c>
      <c r="P1840" s="1">
        <v>0.22083333333333333</v>
      </c>
      <c r="Q1840" s="5">
        <v>1961</v>
      </c>
      <c r="R1840" s="14">
        <v>11.6</v>
      </c>
      <c r="S1840">
        <v>170</v>
      </c>
      <c r="T1840" s="5">
        <v>16</v>
      </c>
      <c r="U1840" s="5">
        <v>699</v>
      </c>
      <c r="V1840" s="5">
        <v>0</v>
      </c>
      <c r="W1840" s="5"/>
      <c r="X1840" s="5"/>
      <c r="Y1840" s="5"/>
      <c r="Z1840" s="5"/>
      <c r="AA1840" s="5"/>
      <c r="AB1840" s="5"/>
      <c r="AC1840" s="5"/>
      <c r="AD1840" s="5"/>
      <c r="AE1840" s="5"/>
      <c r="AF1840" s="5"/>
      <c r="AG1840" s="5"/>
      <c r="AH1840" s="5"/>
      <c r="AI1840" s="5"/>
      <c r="AJ1840" s="5"/>
      <c r="AK1840" s="5"/>
    </row>
    <row r="1841" spans="1:37" x14ac:dyDescent="0.25">
      <c r="A1841" s="11">
        <f>Table1[[#This Row],[Milk Yield]]-J1837</f>
        <v>-18</v>
      </c>
      <c r="B1841" t="s">
        <v>24</v>
      </c>
      <c r="C1841" s="2">
        <v>3</v>
      </c>
      <c r="D1841" s="12">
        <v>45970</v>
      </c>
      <c r="E1841" s="2">
        <v>32</v>
      </c>
      <c r="F1841" s="18">
        <v>0.999537037037037</v>
      </c>
      <c r="G1841" s="3">
        <v>0.16471064814814815</v>
      </c>
      <c r="H1841" s="17">
        <v>0.16458333333333333</v>
      </c>
      <c r="I1841" s="5">
        <v>715</v>
      </c>
      <c r="J1841">
        <v>8174</v>
      </c>
      <c r="K1841">
        <v>180</v>
      </c>
      <c r="L1841" s="5">
        <v>173</v>
      </c>
      <c r="M1841" s="5">
        <v>714</v>
      </c>
      <c r="N1841">
        <v>16</v>
      </c>
      <c r="O1841">
        <v>698</v>
      </c>
      <c r="P1841" s="1">
        <v>0.21388888888888888</v>
      </c>
      <c r="Q1841" s="5">
        <v>2062</v>
      </c>
      <c r="R1841" s="14">
        <v>11.5</v>
      </c>
      <c r="S1841">
        <v>180</v>
      </c>
      <c r="T1841" s="5">
        <v>16</v>
      </c>
      <c r="U1841" s="5">
        <v>698</v>
      </c>
      <c r="V1841" s="5">
        <v>0</v>
      </c>
      <c r="W1841" s="5"/>
      <c r="X1841" s="5"/>
      <c r="Y1841" s="5"/>
      <c r="Z1841" s="5"/>
      <c r="AA1841" s="5"/>
      <c r="AB1841" s="5"/>
      <c r="AC1841" s="5"/>
      <c r="AD1841" s="5"/>
      <c r="AE1841" s="5"/>
      <c r="AF1841" s="5"/>
      <c r="AG1841" s="5"/>
      <c r="AH1841" s="5"/>
      <c r="AI1841" s="5"/>
      <c r="AJ1841" s="5"/>
      <c r="AK1841" s="5"/>
    </row>
    <row r="1842" spans="1:37" x14ac:dyDescent="0.25">
      <c r="A1842" s="11" t="e">
        <f>Table1[[#This Row],[Milk Yield]]-J1838</f>
        <v>#VALUE!</v>
      </c>
      <c r="B1842" t="s">
        <v>0</v>
      </c>
      <c r="C1842" s="2" t="s">
        <v>1</v>
      </c>
      <c r="D1842" s="12" t="s">
        <v>2</v>
      </c>
      <c r="E1842" s="2" t="s">
        <v>3</v>
      </c>
      <c r="F1842" s="18" t="s">
        <v>4</v>
      </c>
      <c r="G1842" s="3" t="s">
        <v>5</v>
      </c>
      <c r="H1842" s="17" t="s">
        <v>6</v>
      </c>
      <c r="I1842" s="5" t="s">
        <v>8</v>
      </c>
      <c r="J1842" t="s">
        <v>9</v>
      </c>
      <c r="K1842" t="s">
        <v>10</v>
      </c>
      <c r="L1842" s="5" t="s">
        <v>11</v>
      </c>
      <c r="M1842" s="5" t="s">
        <v>12</v>
      </c>
      <c r="N1842" t="s">
        <v>13</v>
      </c>
      <c r="O1842" t="s">
        <v>20</v>
      </c>
      <c r="P1842" s="1" t="s">
        <v>7</v>
      </c>
      <c r="Q1842" s="5" t="s">
        <v>15</v>
      </c>
      <c r="R1842" s="14" t="s">
        <v>18</v>
      </c>
      <c r="S1842" t="s">
        <v>16</v>
      </c>
      <c r="T1842" s="5" t="s">
        <v>14</v>
      </c>
      <c r="U1842" s="5" t="s">
        <v>17</v>
      </c>
      <c r="V1842" s="5" t="s">
        <v>19</v>
      </c>
      <c r="W1842" s="5"/>
      <c r="X1842" s="5"/>
      <c r="Y1842" s="5"/>
      <c r="Z1842" s="5"/>
      <c r="AA1842" s="5"/>
      <c r="AB1842" s="5"/>
      <c r="AC1842" s="5"/>
      <c r="AD1842" s="5"/>
      <c r="AE1842" s="5"/>
      <c r="AF1842" s="5"/>
      <c r="AG1842" s="5"/>
      <c r="AH1842" s="5"/>
      <c r="AI1842" s="5"/>
      <c r="AJ1842" s="5"/>
      <c r="AK1842" s="5"/>
    </row>
    <row r="1843" spans="1:37" x14ac:dyDescent="0.25">
      <c r="A1843" s="11">
        <f>Table1[[#This Row],[Milk Yield]]-J1839</f>
        <v>-17</v>
      </c>
      <c r="B1843" t="s">
        <v>24</v>
      </c>
      <c r="C1843" s="2">
        <v>1</v>
      </c>
      <c r="D1843" s="12">
        <v>45971</v>
      </c>
      <c r="E1843" s="2">
        <v>31</v>
      </c>
      <c r="F1843" s="18">
        <v>0.33622685185185186</v>
      </c>
      <c r="G1843" s="3">
        <v>0.50300925925925921</v>
      </c>
      <c r="H1843" s="17">
        <v>0.16666666666666666</v>
      </c>
      <c r="I1843" s="5">
        <v>714</v>
      </c>
      <c r="J1843">
        <v>8540</v>
      </c>
      <c r="K1843">
        <v>178</v>
      </c>
      <c r="L1843" s="5">
        <v>115</v>
      </c>
      <c r="M1843" s="5">
        <v>713</v>
      </c>
      <c r="N1843">
        <v>10</v>
      </c>
      <c r="O1843">
        <v>703</v>
      </c>
      <c r="P1843" s="1">
        <v>0.22569444444444445</v>
      </c>
      <c r="Q1843" s="5">
        <v>2133</v>
      </c>
      <c r="R1843" s="14">
        <v>12</v>
      </c>
      <c r="S1843">
        <v>178</v>
      </c>
      <c r="T1843" s="5">
        <v>10</v>
      </c>
      <c r="U1843" s="5">
        <v>703</v>
      </c>
      <c r="V1843" s="5">
        <v>0</v>
      </c>
      <c r="W1843" s="5"/>
      <c r="X1843" s="5"/>
      <c r="Y1843" s="5"/>
      <c r="Z1843" s="5"/>
      <c r="AA1843" s="5"/>
      <c r="AB1843" s="5"/>
      <c r="AC1843" s="5"/>
      <c r="AD1843" s="5"/>
      <c r="AE1843" s="5"/>
      <c r="AF1843" s="5"/>
      <c r="AG1843" s="5"/>
      <c r="AH1843" s="5"/>
      <c r="AI1843" s="5"/>
      <c r="AJ1843" s="5"/>
      <c r="AK1843" s="5"/>
    </row>
    <row r="1844" spans="1:37" x14ac:dyDescent="0.25">
      <c r="A1844" s="11">
        <f>Table1[[#This Row],[Milk Yield]]-J1840</f>
        <v>259</v>
      </c>
      <c r="B1844" t="s">
        <v>24</v>
      </c>
      <c r="C1844" s="2">
        <v>2</v>
      </c>
      <c r="D1844" s="12">
        <v>45971</v>
      </c>
      <c r="E1844" s="2">
        <v>36</v>
      </c>
      <c r="F1844" s="18">
        <v>0.66476851851851848</v>
      </c>
      <c r="G1844" s="3">
        <v>0.87135416666666665</v>
      </c>
      <c r="H1844" s="17">
        <v>0.20624999999999999</v>
      </c>
      <c r="I1844" s="5">
        <v>736</v>
      </c>
      <c r="J1844">
        <v>8502</v>
      </c>
      <c r="K1844">
        <v>148</v>
      </c>
      <c r="L1844" s="5">
        <v>230</v>
      </c>
      <c r="M1844" s="5">
        <v>735</v>
      </c>
      <c r="N1844">
        <v>29</v>
      </c>
      <c r="O1844">
        <v>706</v>
      </c>
      <c r="P1844" s="1">
        <v>0.21597222222222223</v>
      </c>
      <c r="Q1844" s="5">
        <v>1715</v>
      </c>
      <c r="R1844" s="14">
        <v>11.6</v>
      </c>
      <c r="S1844">
        <v>148</v>
      </c>
      <c r="T1844" s="5">
        <v>29</v>
      </c>
      <c r="U1844" s="5">
        <v>706</v>
      </c>
      <c r="V1844" s="5">
        <v>0</v>
      </c>
      <c r="W1844" s="5"/>
      <c r="X1844" s="5"/>
      <c r="Y1844" s="5"/>
      <c r="Z1844" s="5"/>
      <c r="AA1844" s="5"/>
      <c r="AB1844" s="5"/>
      <c r="AC1844" s="5"/>
      <c r="AD1844" s="5"/>
      <c r="AE1844" s="5"/>
      <c r="AF1844" s="5"/>
      <c r="AG1844" s="5"/>
      <c r="AH1844" s="5"/>
      <c r="AI1844" s="5"/>
      <c r="AJ1844" s="5"/>
      <c r="AK1844" s="5"/>
    </row>
    <row r="1845" spans="1:37" x14ac:dyDescent="0.25">
      <c r="A1845" s="11">
        <f>Table1[[#This Row],[Milk Yield]]-J1841</f>
        <v>-237</v>
      </c>
      <c r="B1845" t="s">
        <v>24</v>
      </c>
      <c r="C1845" s="2">
        <v>3</v>
      </c>
      <c r="D1845" s="12">
        <v>45971</v>
      </c>
      <c r="E1845" s="2">
        <v>31</v>
      </c>
      <c r="F1845" s="18">
        <v>3.7037037037037035E-4</v>
      </c>
      <c r="G1845" s="3">
        <v>0.17403935185185185</v>
      </c>
      <c r="H1845" s="17">
        <v>0.1736111111111111</v>
      </c>
      <c r="I1845" s="5">
        <v>715</v>
      </c>
      <c r="J1845">
        <v>7937</v>
      </c>
      <c r="K1845">
        <v>172</v>
      </c>
      <c r="L1845" s="5">
        <v>43</v>
      </c>
      <c r="M1845" s="5">
        <v>714</v>
      </c>
      <c r="N1845">
        <v>5</v>
      </c>
      <c r="O1845">
        <v>709</v>
      </c>
      <c r="P1845" s="1">
        <v>0.20555555555555555</v>
      </c>
      <c r="Q1845" s="5">
        <v>1904</v>
      </c>
      <c r="R1845" s="14">
        <v>11.2</v>
      </c>
      <c r="S1845">
        <v>171</v>
      </c>
      <c r="T1845" s="5">
        <v>5</v>
      </c>
      <c r="U1845" s="5">
        <v>709</v>
      </c>
      <c r="V1845" s="5">
        <v>0</v>
      </c>
      <c r="W1845" s="5"/>
      <c r="X1845" s="5"/>
      <c r="Y1845" s="5"/>
      <c r="Z1845" s="5"/>
      <c r="AA1845" s="5"/>
      <c r="AB1845" s="5"/>
      <c r="AC1845" s="5"/>
      <c r="AD1845" s="5"/>
      <c r="AE1845" s="5"/>
      <c r="AF1845" s="5"/>
      <c r="AG1845" s="5"/>
      <c r="AH1845" s="5"/>
      <c r="AI1845" s="5"/>
      <c r="AJ1845" s="5"/>
      <c r="AK1845" s="5"/>
    </row>
    <row r="1846" spans="1:37" x14ac:dyDescent="0.25">
      <c r="A1846" s="11" t="e">
        <f>Table1[[#This Row],[Milk Yield]]-J1842</f>
        <v>#VALUE!</v>
      </c>
      <c r="B1846" t="s">
        <v>0</v>
      </c>
      <c r="C1846" s="2" t="s">
        <v>1</v>
      </c>
      <c r="D1846" s="12" t="s">
        <v>2</v>
      </c>
      <c r="E1846" s="2" t="s">
        <v>3</v>
      </c>
      <c r="F1846" s="18" t="s">
        <v>4</v>
      </c>
      <c r="G1846" s="3" t="s">
        <v>5</v>
      </c>
      <c r="H1846" s="17" t="s">
        <v>6</v>
      </c>
      <c r="I1846" s="5" t="s">
        <v>8</v>
      </c>
      <c r="J1846" t="s">
        <v>9</v>
      </c>
      <c r="K1846" t="s">
        <v>10</v>
      </c>
      <c r="L1846" s="5" t="s">
        <v>11</v>
      </c>
      <c r="M1846" s="5" t="s">
        <v>12</v>
      </c>
      <c r="N1846" t="s">
        <v>13</v>
      </c>
      <c r="O1846" t="s">
        <v>20</v>
      </c>
      <c r="P1846" s="1" t="s">
        <v>7</v>
      </c>
      <c r="Q1846" s="5" t="s">
        <v>15</v>
      </c>
      <c r="R1846" s="14" t="s">
        <v>18</v>
      </c>
      <c r="S1846" t="s">
        <v>16</v>
      </c>
      <c r="T1846" s="5" t="s">
        <v>14</v>
      </c>
      <c r="U1846" s="5" t="s">
        <v>17</v>
      </c>
      <c r="V1846" s="5" t="s">
        <v>19</v>
      </c>
      <c r="W1846" s="5"/>
      <c r="X1846" s="5"/>
      <c r="Y1846" s="5"/>
      <c r="Z1846" s="5"/>
      <c r="AA1846" s="5"/>
      <c r="AB1846" s="5"/>
      <c r="AC1846" s="5"/>
      <c r="AD1846" s="5"/>
      <c r="AE1846" s="5"/>
      <c r="AF1846" s="5"/>
      <c r="AG1846" s="5"/>
      <c r="AH1846" s="5"/>
      <c r="AI1846" s="5"/>
      <c r="AJ1846" s="5"/>
      <c r="AK1846" s="5"/>
    </row>
    <row r="1847" spans="1:37" x14ac:dyDescent="0.25">
      <c r="A1847" s="11">
        <f>Table1[[#This Row],[Milk Yield]]-J1843</f>
        <v>-371</v>
      </c>
      <c r="B1847" t="s">
        <v>24</v>
      </c>
      <c r="C1847" s="2">
        <v>1</v>
      </c>
      <c r="D1847" s="12">
        <v>45972</v>
      </c>
      <c r="E1847" s="2">
        <v>31</v>
      </c>
      <c r="F1847" s="18">
        <v>0.33542824074074074</v>
      </c>
      <c r="G1847" s="3">
        <v>0.50878472222222226</v>
      </c>
      <c r="H1847" s="17">
        <v>0.17291666666666666</v>
      </c>
      <c r="I1847" s="5">
        <v>698</v>
      </c>
      <c r="J1847">
        <v>8169</v>
      </c>
      <c r="K1847">
        <v>168</v>
      </c>
      <c r="L1847" s="5">
        <v>119</v>
      </c>
      <c r="M1847" s="5">
        <v>697</v>
      </c>
      <c r="N1847">
        <v>13</v>
      </c>
      <c r="O1847">
        <v>684</v>
      </c>
      <c r="P1847" s="1">
        <v>0.2326388888888889</v>
      </c>
      <c r="Q1847" s="5">
        <v>1963</v>
      </c>
      <c r="R1847" s="14">
        <v>11.8</v>
      </c>
      <c r="S1847">
        <v>168</v>
      </c>
      <c r="T1847" s="5">
        <v>13</v>
      </c>
      <c r="U1847" s="5">
        <v>683</v>
      </c>
      <c r="V1847" s="5">
        <v>0</v>
      </c>
      <c r="W1847" s="5"/>
      <c r="X1847" s="5"/>
      <c r="Y1847" s="5"/>
      <c r="Z1847" s="5"/>
      <c r="AA1847" s="5"/>
      <c r="AB1847" s="5"/>
      <c r="AC1847" s="5"/>
      <c r="AD1847" s="5"/>
      <c r="AE1847" s="5"/>
      <c r="AF1847" s="5"/>
      <c r="AG1847" s="5"/>
      <c r="AH1847" s="5"/>
      <c r="AI1847" s="5"/>
      <c r="AJ1847" s="5"/>
      <c r="AK1847" s="5"/>
    </row>
    <row r="1848" spans="1:37" x14ac:dyDescent="0.25">
      <c r="A1848" s="11">
        <f>Table1[[#This Row],[Milk Yield]]-J1844</f>
        <v>-473</v>
      </c>
      <c r="B1848" t="s">
        <v>24</v>
      </c>
      <c r="C1848" s="2">
        <v>2</v>
      </c>
      <c r="D1848" s="12">
        <v>45972</v>
      </c>
      <c r="E1848" s="2">
        <v>34</v>
      </c>
      <c r="F1848" s="18">
        <v>0.66847222222222225</v>
      </c>
      <c r="G1848" s="3">
        <v>0.83579861111111109</v>
      </c>
      <c r="H1848" s="17">
        <v>0.16666666666666666</v>
      </c>
      <c r="I1848" s="5">
        <v>712</v>
      </c>
      <c r="J1848">
        <v>8029</v>
      </c>
      <c r="K1848">
        <v>177</v>
      </c>
      <c r="L1848" s="5">
        <v>76</v>
      </c>
      <c r="M1848" s="5">
        <v>711</v>
      </c>
      <c r="N1848">
        <v>8</v>
      </c>
      <c r="O1848">
        <v>703</v>
      </c>
      <c r="P1848" s="1">
        <v>0.20902777777777778</v>
      </c>
      <c r="Q1848" s="5">
        <v>1999</v>
      </c>
      <c r="R1848" s="14">
        <v>11.3</v>
      </c>
      <c r="S1848">
        <v>177</v>
      </c>
      <c r="T1848" s="5">
        <v>8</v>
      </c>
      <c r="U1848" s="5">
        <v>703</v>
      </c>
      <c r="V1848" s="5">
        <v>0</v>
      </c>
      <c r="W1848" s="5"/>
      <c r="X1848" s="5"/>
      <c r="Y1848" s="5"/>
      <c r="Z1848" s="5"/>
      <c r="AA1848" s="5"/>
      <c r="AB1848" s="5"/>
      <c r="AC1848" s="5"/>
      <c r="AD1848" s="5"/>
      <c r="AE1848" s="5"/>
      <c r="AF1848" s="5"/>
      <c r="AG1848" s="5"/>
      <c r="AH1848" s="5"/>
      <c r="AI1848" s="5"/>
      <c r="AJ1848" s="5"/>
      <c r="AK1848" s="5"/>
    </row>
    <row r="1849" spans="1:37" x14ac:dyDescent="0.25">
      <c r="A1849" s="11">
        <f>Table1[[#This Row],[Milk Yield]]-J1845</f>
        <v>276</v>
      </c>
      <c r="B1849" t="s">
        <v>24</v>
      </c>
      <c r="C1849" s="2">
        <v>3</v>
      </c>
      <c r="D1849" s="12">
        <v>45972</v>
      </c>
      <c r="E1849" s="2">
        <v>31</v>
      </c>
      <c r="F1849" s="18">
        <v>3.2407407407407406E-3</v>
      </c>
      <c r="G1849" s="3">
        <v>0.18430555555555556</v>
      </c>
      <c r="H1849" s="17">
        <v>0.18055555555555555</v>
      </c>
      <c r="I1849" s="5">
        <v>712</v>
      </c>
      <c r="J1849">
        <v>8213</v>
      </c>
      <c r="K1849">
        <v>164</v>
      </c>
      <c r="L1849" s="5">
        <v>32</v>
      </c>
      <c r="M1849" s="5">
        <v>711</v>
      </c>
      <c r="N1849">
        <v>4</v>
      </c>
      <c r="O1849">
        <v>707</v>
      </c>
      <c r="P1849" s="1">
        <v>0.21249999999999999</v>
      </c>
      <c r="Q1849" s="5">
        <v>1890</v>
      </c>
      <c r="R1849" s="14">
        <v>11.6</v>
      </c>
      <c r="S1849">
        <v>164</v>
      </c>
      <c r="T1849" s="5">
        <v>4</v>
      </c>
      <c r="U1849" s="5">
        <v>707</v>
      </c>
      <c r="V1849" s="5">
        <v>0</v>
      </c>
      <c r="W1849" s="5"/>
      <c r="X1849" s="5"/>
      <c r="Y1849" s="5"/>
      <c r="Z1849" s="5"/>
      <c r="AA1849" s="5"/>
      <c r="AB1849" s="5"/>
      <c r="AC1849" s="5"/>
      <c r="AD1849" s="5"/>
      <c r="AE1849" s="5"/>
      <c r="AF1849" s="5"/>
      <c r="AG1849" s="5"/>
      <c r="AH1849" s="5"/>
      <c r="AI1849" s="5"/>
      <c r="AJ1849" s="5"/>
      <c r="AK1849" s="5"/>
    </row>
    <row r="1850" spans="1:37" x14ac:dyDescent="0.25">
      <c r="A1850" s="11" t="e">
        <f>Table1[[#This Row],[Milk Yield]]-J1846</f>
        <v>#VALUE!</v>
      </c>
      <c r="B1850" t="s">
        <v>0</v>
      </c>
      <c r="C1850" s="2" t="s">
        <v>1</v>
      </c>
      <c r="D1850" s="12" t="s">
        <v>2</v>
      </c>
      <c r="E1850" s="2" t="s">
        <v>3</v>
      </c>
      <c r="F1850" s="18" t="s">
        <v>4</v>
      </c>
      <c r="G1850" s="3" t="s">
        <v>5</v>
      </c>
      <c r="H1850" s="17" t="s">
        <v>6</v>
      </c>
      <c r="I1850" s="5" t="s">
        <v>8</v>
      </c>
      <c r="J1850" t="s">
        <v>9</v>
      </c>
      <c r="K1850" t="s">
        <v>10</v>
      </c>
      <c r="L1850" s="5" t="s">
        <v>11</v>
      </c>
      <c r="M1850" s="5" t="s">
        <v>12</v>
      </c>
      <c r="N1850" t="s">
        <v>13</v>
      </c>
      <c r="O1850" t="s">
        <v>20</v>
      </c>
      <c r="P1850" s="1" t="s">
        <v>7</v>
      </c>
      <c r="Q1850" s="5" t="s">
        <v>15</v>
      </c>
      <c r="R1850" s="14" t="s">
        <v>18</v>
      </c>
      <c r="S1850" t="s">
        <v>16</v>
      </c>
      <c r="T1850" s="5" t="s">
        <v>14</v>
      </c>
      <c r="U1850" s="5" t="s">
        <v>17</v>
      </c>
      <c r="V1850" s="5" t="s">
        <v>19</v>
      </c>
      <c r="W1850" s="5"/>
      <c r="X1850" s="5"/>
      <c r="Y1850" s="5"/>
      <c r="Z1850" s="5"/>
      <c r="AA1850" s="5"/>
      <c r="AB1850" s="5"/>
      <c r="AC1850" s="5"/>
      <c r="AD1850" s="5"/>
      <c r="AE1850" s="5"/>
      <c r="AF1850" s="5"/>
      <c r="AG1850" s="5"/>
      <c r="AH1850" s="5"/>
      <c r="AI1850" s="5"/>
      <c r="AJ1850" s="5"/>
      <c r="AK1850" s="5"/>
    </row>
    <row r="1851" spans="1:37" x14ac:dyDescent="0.25">
      <c r="A1851" s="11">
        <f>Table1[[#This Row],[Milk Yield]]-J1847</f>
        <v>-332</v>
      </c>
      <c r="B1851" t="s">
        <v>24</v>
      </c>
      <c r="C1851" s="2">
        <v>1</v>
      </c>
      <c r="D1851" s="12">
        <v>45973</v>
      </c>
      <c r="E1851" s="2">
        <v>30</v>
      </c>
      <c r="F1851" s="18">
        <v>0.33292824074074073</v>
      </c>
      <c r="G1851" s="3">
        <v>0.5025694444444444</v>
      </c>
      <c r="H1851" s="17">
        <v>0.16944444444444445</v>
      </c>
      <c r="I1851" s="5">
        <v>705</v>
      </c>
      <c r="J1851">
        <v>7837</v>
      </c>
      <c r="K1851">
        <v>173</v>
      </c>
      <c r="L1851" s="5">
        <v>105</v>
      </c>
      <c r="M1851" s="5">
        <v>704</v>
      </c>
      <c r="N1851">
        <v>10</v>
      </c>
      <c r="O1851">
        <v>694</v>
      </c>
      <c r="P1851" s="1">
        <v>0.21805555555555556</v>
      </c>
      <c r="Q1851" s="5">
        <v>1925</v>
      </c>
      <c r="R1851" s="14">
        <v>11.2</v>
      </c>
      <c r="S1851">
        <v>173</v>
      </c>
      <c r="T1851" s="5">
        <v>10</v>
      </c>
      <c r="U1851" s="5">
        <v>694</v>
      </c>
      <c r="V1851" s="5">
        <v>0</v>
      </c>
      <c r="W1851" s="5"/>
      <c r="X1851" s="5"/>
      <c r="Y1851" s="5"/>
      <c r="Z1851" s="5"/>
      <c r="AA1851" s="5"/>
      <c r="AB1851" s="5"/>
      <c r="AC1851" s="5"/>
      <c r="AD1851" s="5"/>
      <c r="AE1851" s="5"/>
      <c r="AF1851" s="5"/>
      <c r="AG1851" s="5"/>
      <c r="AH1851" s="5"/>
      <c r="AI1851" s="5"/>
      <c r="AJ1851" s="5"/>
      <c r="AK1851" s="5"/>
    </row>
    <row r="1852" spans="1:37" x14ac:dyDescent="0.25">
      <c r="A1852" s="11">
        <f>Table1[[#This Row],[Milk Yield]]-J1848</f>
        <v>-80</v>
      </c>
      <c r="B1852" t="s">
        <v>24</v>
      </c>
      <c r="C1852" s="2">
        <v>2</v>
      </c>
      <c r="D1852" s="12">
        <v>45973</v>
      </c>
      <c r="E1852" s="2">
        <v>34</v>
      </c>
      <c r="F1852" s="18">
        <v>0.66503472222222226</v>
      </c>
      <c r="G1852" s="3">
        <v>0.84168981481481486</v>
      </c>
      <c r="H1852" s="17">
        <v>0.1763888888888889</v>
      </c>
      <c r="I1852" s="5">
        <v>699</v>
      </c>
      <c r="J1852">
        <v>7949</v>
      </c>
      <c r="K1852">
        <v>165</v>
      </c>
      <c r="L1852" s="5">
        <v>100</v>
      </c>
      <c r="M1852" s="5">
        <v>697</v>
      </c>
      <c r="N1852">
        <v>10</v>
      </c>
      <c r="O1852">
        <v>687</v>
      </c>
      <c r="P1852" s="1">
        <v>0.20972222222222223</v>
      </c>
      <c r="Q1852" s="5">
        <v>1875</v>
      </c>
      <c r="R1852" s="14">
        <v>11.5</v>
      </c>
      <c r="S1852">
        <v>164</v>
      </c>
      <c r="T1852" s="5">
        <v>10</v>
      </c>
      <c r="U1852" s="5">
        <v>687</v>
      </c>
      <c r="V1852" s="5">
        <v>0</v>
      </c>
      <c r="W1852" s="5"/>
      <c r="X1852" s="5"/>
      <c r="Y1852" s="5"/>
      <c r="Z1852" s="5"/>
      <c r="AA1852" s="5"/>
      <c r="AB1852" s="5"/>
      <c r="AC1852" s="5"/>
      <c r="AD1852" s="5"/>
      <c r="AE1852" s="5"/>
      <c r="AF1852" s="5"/>
      <c r="AG1852" s="5"/>
      <c r="AH1852" s="5"/>
      <c r="AI1852" s="5"/>
      <c r="AJ1852" s="5"/>
      <c r="AK1852" s="5"/>
    </row>
    <row r="1853" spans="1:37" x14ac:dyDescent="0.25">
      <c r="A1853" s="11">
        <f>Table1[[#This Row],[Milk Yield]]-J1849</f>
        <v>-559</v>
      </c>
      <c r="B1853" t="s">
        <v>24</v>
      </c>
      <c r="C1853" s="2">
        <v>3</v>
      </c>
      <c r="D1853" s="12">
        <v>45973</v>
      </c>
      <c r="E1853" s="2">
        <v>31</v>
      </c>
      <c r="F1853" s="18">
        <v>4.31712962962963E-3</v>
      </c>
      <c r="G1853" s="3">
        <v>0.17556712962962964</v>
      </c>
      <c r="H1853" s="17">
        <v>0.17083333333333334</v>
      </c>
      <c r="I1853" s="5">
        <v>700</v>
      </c>
      <c r="J1853">
        <v>7654</v>
      </c>
      <c r="K1853">
        <v>170</v>
      </c>
      <c r="L1853" s="5">
        <v>99</v>
      </c>
      <c r="M1853" s="5">
        <v>697</v>
      </c>
      <c r="N1853">
        <v>10</v>
      </c>
      <c r="O1853">
        <v>687</v>
      </c>
      <c r="P1853" s="1">
        <v>0.21388888888888888</v>
      </c>
      <c r="Q1853" s="5">
        <v>1862</v>
      </c>
      <c r="R1853" s="14">
        <v>11</v>
      </c>
      <c r="S1853">
        <v>170</v>
      </c>
      <c r="T1853" s="5">
        <v>10</v>
      </c>
      <c r="U1853" s="5">
        <v>687</v>
      </c>
      <c r="V1853" s="5">
        <v>0</v>
      </c>
      <c r="W1853" s="5"/>
      <c r="X1853" s="5"/>
      <c r="Y1853" s="5"/>
      <c r="Z1853" s="5"/>
      <c r="AA1853" s="5"/>
      <c r="AB1853" s="5"/>
      <c r="AC1853" s="5"/>
      <c r="AD1853" s="5"/>
      <c r="AE1853" s="5"/>
      <c r="AF1853" s="5"/>
      <c r="AG1853" s="5"/>
      <c r="AH1853" s="5"/>
      <c r="AI1853" s="5"/>
      <c r="AJ1853" s="5"/>
      <c r="AK1853" s="5"/>
    </row>
    <row r="1854" spans="1:37" x14ac:dyDescent="0.25">
      <c r="A1854" s="11" t="e">
        <f>Table1[[#This Row],[Milk Yield]]-J1850</f>
        <v>#VALUE!</v>
      </c>
      <c r="B1854" t="s">
        <v>0</v>
      </c>
      <c r="C1854" s="2" t="s">
        <v>1</v>
      </c>
      <c r="D1854" s="12" t="s">
        <v>2</v>
      </c>
      <c r="E1854" s="2" t="s">
        <v>3</v>
      </c>
      <c r="F1854" s="18" t="s">
        <v>4</v>
      </c>
      <c r="G1854" s="3" t="s">
        <v>5</v>
      </c>
      <c r="H1854" s="17" t="s">
        <v>6</v>
      </c>
      <c r="I1854" s="5" t="s">
        <v>8</v>
      </c>
      <c r="J1854" t="s">
        <v>9</v>
      </c>
      <c r="K1854" t="s">
        <v>10</v>
      </c>
      <c r="L1854" s="5" t="s">
        <v>11</v>
      </c>
      <c r="M1854" s="5" t="s">
        <v>12</v>
      </c>
      <c r="N1854" t="s">
        <v>13</v>
      </c>
      <c r="O1854" t="s">
        <v>20</v>
      </c>
      <c r="P1854" s="1" t="s">
        <v>7</v>
      </c>
      <c r="Q1854" s="5" t="s">
        <v>15</v>
      </c>
      <c r="R1854" s="14" t="s">
        <v>18</v>
      </c>
      <c r="S1854" t="s">
        <v>16</v>
      </c>
      <c r="T1854" s="5" t="s">
        <v>14</v>
      </c>
      <c r="U1854" s="5" t="s">
        <v>17</v>
      </c>
      <c r="V1854" s="5" t="s">
        <v>19</v>
      </c>
      <c r="W1854" s="5"/>
      <c r="X1854" s="5"/>
      <c r="Y1854" s="5"/>
      <c r="Z1854" s="5"/>
      <c r="AA1854" s="5"/>
      <c r="AB1854" s="5"/>
      <c r="AC1854" s="5"/>
      <c r="AD1854" s="5"/>
      <c r="AE1854" s="5"/>
      <c r="AF1854" s="5"/>
      <c r="AG1854" s="5"/>
      <c r="AH1854" s="5"/>
      <c r="AI1854" s="5"/>
      <c r="AJ1854" s="5"/>
      <c r="AK1854" s="5"/>
    </row>
    <row r="1855" spans="1:37" x14ac:dyDescent="0.25">
      <c r="A1855" s="11">
        <f>Table1[[#This Row],[Milk Yield]]-J1851</f>
        <v>-142</v>
      </c>
      <c r="B1855" t="s">
        <v>24</v>
      </c>
      <c r="C1855" s="2">
        <v>1</v>
      </c>
      <c r="D1855" s="12">
        <v>45974</v>
      </c>
      <c r="E1855" s="2">
        <v>30</v>
      </c>
      <c r="F1855" s="18">
        <v>0.33704861111111112</v>
      </c>
      <c r="G1855" s="3">
        <v>0.50332175925925926</v>
      </c>
      <c r="H1855" s="17">
        <v>0.16597222222222222</v>
      </c>
      <c r="I1855" s="5">
        <v>693</v>
      </c>
      <c r="J1855">
        <v>7695</v>
      </c>
      <c r="K1855">
        <v>174</v>
      </c>
      <c r="L1855" s="5">
        <v>50</v>
      </c>
      <c r="M1855" s="5">
        <v>693</v>
      </c>
      <c r="N1855">
        <v>5</v>
      </c>
      <c r="O1855">
        <v>688</v>
      </c>
      <c r="P1855" s="1">
        <v>0.21805555555555556</v>
      </c>
      <c r="Q1855" s="5">
        <v>1928</v>
      </c>
      <c r="R1855" s="14">
        <v>11.2</v>
      </c>
      <c r="S1855">
        <v>174</v>
      </c>
      <c r="T1855" s="5">
        <v>5</v>
      </c>
      <c r="U1855" s="5">
        <v>688</v>
      </c>
      <c r="V1855" s="5">
        <v>0</v>
      </c>
      <c r="W1855" s="5"/>
      <c r="X1855" s="5"/>
      <c r="Y1855" s="5"/>
      <c r="Z1855" s="5"/>
      <c r="AA1855" s="5"/>
      <c r="AB1855" s="5"/>
      <c r="AC1855" s="5"/>
      <c r="AD1855" s="5"/>
      <c r="AE1855" s="5"/>
      <c r="AF1855" s="5"/>
      <c r="AG1855" s="5"/>
      <c r="AH1855" s="5"/>
      <c r="AI1855" s="5"/>
      <c r="AJ1855" s="5"/>
      <c r="AK1855" s="5"/>
    </row>
    <row r="1856" spans="1:37" x14ac:dyDescent="0.25">
      <c r="A1856" s="11">
        <f>Table1[[#This Row],[Milk Yield]]-J1852</f>
        <v>-602</v>
      </c>
      <c r="B1856" t="s">
        <v>24</v>
      </c>
      <c r="C1856" s="2">
        <v>2</v>
      </c>
      <c r="D1856" s="12">
        <v>45974</v>
      </c>
      <c r="E1856" s="2">
        <v>32</v>
      </c>
      <c r="F1856" s="18">
        <v>0.66629629629629628</v>
      </c>
      <c r="G1856" s="3">
        <v>0.82820601851851849</v>
      </c>
      <c r="H1856" s="17">
        <v>0.16180555555555556</v>
      </c>
      <c r="I1856" s="5">
        <v>695</v>
      </c>
      <c r="J1856">
        <v>7347</v>
      </c>
      <c r="K1856">
        <v>179</v>
      </c>
      <c r="L1856" s="5">
        <v>91</v>
      </c>
      <c r="M1856" s="5">
        <v>694</v>
      </c>
      <c r="N1856">
        <v>9</v>
      </c>
      <c r="O1856">
        <v>685</v>
      </c>
      <c r="P1856" s="1">
        <v>0.21597222222222223</v>
      </c>
      <c r="Q1856" s="5">
        <v>1891</v>
      </c>
      <c r="R1856" s="14">
        <v>10.6</v>
      </c>
      <c r="S1856">
        <v>179</v>
      </c>
      <c r="T1856" s="5">
        <v>9</v>
      </c>
      <c r="U1856" s="5">
        <v>685</v>
      </c>
      <c r="V1856" s="5">
        <v>0</v>
      </c>
      <c r="W1856" s="5"/>
      <c r="X1856" s="5"/>
      <c r="Y1856" s="5"/>
      <c r="Z1856" s="5"/>
      <c r="AA1856" s="5"/>
      <c r="AB1856" s="5"/>
      <c r="AC1856" s="5"/>
      <c r="AD1856" s="5"/>
      <c r="AE1856" s="5"/>
      <c r="AF1856" s="5"/>
      <c r="AG1856" s="5"/>
      <c r="AH1856" s="5"/>
      <c r="AI1856" s="5"/>
      <c r="AJ1856" s="5"/>
      <c r="AK1856" s="5"/>
    </row>
    <row r="1857" spans="1:37" x14ac:dyDescent="0.25">
      <c r="A1857" s="11">
        <f>Table1[[#This Row],[Milk Yield]]-J1853</f>
        <v>45</v>
      </c>
      <c r="B1857" t="s">
        <v>24</v>
      </c>
      <c r="C1857" s="2">
        <v>3</v>
      </c>
      <c r="D1857" s="12">
        <v>45974</v>
      </c>
      <c r="E1857" s="2">
        <v>32</v>
      </c>
      <c r="F1857" s="18">
        <v>5.0925925925925921E-4</v>
      </c>
      <c r="G1857" s="3">
        <v>0.17491898148148149</v>
      </c>
      <c r="H1857" s="17">
        <v>0.17430555555555555</v>
      </c>
      <c r="I1857" s="5">
        <v>694</v>
      </c>
      <c r="J1857">
        <v>7699</v>
      </c>
      <c r="K1857">
        <v>166</v>
      </c>
      <c r="L1857" s="5">
        <v>83</v>
      </c>
      <c r="M1857" s="5">
        <v>693</v>
      </c>
      <c r="N1857">
        <v>8</v>
      </c>
      <c r="O1857">
        <v>685</v>
      </c>
      <c r="P1857" s="1">
        <v>0.20972222222222223</v>
      </c>
      <c r="Q1857" s="5">
        <v>1839</v>
      </c>
      <c r="R1857" s="14">
        <v>11.2</v>
      </c>
      <c r="S1857">
        <v>166</v>
      </c>
      <c r="T1857" s="5">
        <v>8</v>
      </c>
      <c r="U1857" s="5">
        <v>685</v>
      </c>
      <c r="V1857" s="5">
        <v>0</v>
      </c>
      <c r="W1857" s="5"/>
      <c r="X1857" s="5"/>
      <c r="Y1857" s="5"/>
      <c r="Z1857" s="5"/>
      <c r="AA1857" s="5"/>
      <c r="AB1857" s="5"/>
      <c r="AC1857" s="5"/>
      <c r="AD1857" s="5"/>
      <c r="AE1857" s="5"/>
      <c r="AF1857" s="5"/>
      <c r="AG1857" s="5"/>
      <c r="AH1857" s="5"/>
      <c r="AI1857" s="5"/>
      <c r="AJ1857" s="5"/>
      <c r="AK1857" s="5"/>
    </row>
    <row r="1858" spans="1:37" x14ac:dyDescent="0.25">
      <c r="A1858" s="11" t="e">
        <f>Table1[[#This Row],[Milk Yield]]-J1854</f>
        <v>#VALUE!</v>
      </c>
      <c r="B1858" t="s">
        <v>0</v>
      </c>
      <c r="C1858" s="2" t="s">
        <v>1</v>
      </c>
      <c r="D1858" s="12" t="s">
        <v>2</v>
      </c>
      <c r="E1858" s="2" t="s">
        <v>3</v>
      </c>
      <c r="F1858" s="18" t="s">
        <v>4</v>
      </c>
      <c r="G1858" s="3" t="s">
        <v>5</v>
      </c>
      <c r="H1858" s="17" t="s">
        <v>6</v>
      </c>
      <c r="I1858" s="5" t="s">
        <v>8</v>
      </c>
      <c r="J1858" t="s">
        <v>9</v>
      </c>
      <c r="K1858" t="s">
        <v>10</v>
      </c>
      <c r="L1858" s="5" t="s">
        <v>11</v>
      </c>
      <c r="M1858" s="5" t="s">
        <v>12</v>
      </c>
      <c r="N1858" t="s">
        <v>13</v>
      </c>
      <c r="O1858" t="s">
        <v>20</v>
      </c>
      <c r="P1858" s="1" t="s">
        <v>7</v>
      </c>
      <c r="Q1858" s="5" t="s">
        <v>15</v>
      </c>
      <c r="R1858" s="14" t="s">
        <v>18</v>
      </c>
      <c r="S1858" t="s">
        <v>16</v>
      </c>
      <c r="T1858" s="5" t="s">
        <v>14</v>
      </c>
      <c r="U1858" s="5" t="s">
        <v>17</v>
      </c>
      <c r="V1858" s="5" t="s">
        <v>19</v>
      </c>
      <c r="W1858" s="5"/>
      <c r="X1858" s="5"/>
      <c r="Y1858" s="5"/>
      <c r="Z1858" s="5"/>
      <c r="AA1858" s="5"/>
      <c r="AB1858" s="5"/>
      <c r="AC1858" s="5"/>
      <c r="AD1858" s="5"/>
      <c r="AE1858" s="5"/>
      <c r="AF1858" s="5"/>
      <c r="AG1858" s="5"/>
      <c r="AH1858" s="5"/>
      <c r="AI1858" s="5"/>
      <c r="AJ1858" s="5"/>
      <c r="AK1858" s="5"/>
    </row>
    <row r="1859" spans="1:37" x14ac:dyDescent="0.25">
      <c r="A1859" s="11">
        <f>Table1[[#This Row],[Milk Yield]]-J1855</f>
        <v>-290</v>
      </c>
      <c r="B1859" t="s">
        <v>24</v>
      </c>
      <c r="C1859" s="2">
        <v>1</v>
      </c>
      <c r="D1859" s="12">
        <v>45975</v>
      </c>
      <c r="E1859" s="2">
        <v>30</v>
      </c>
      <c r="F1859" s="18">
        <v>0.33804398148148146</v>
      </c>
      <c r="G1859" s="3">
        <v>0.49820601851851853</v>
      </c>
      <c r="H1859" s="17">
        <v>0.15972222222222221</v>
      </c>
      <c r="I1859" s="5">
        <v>694</v>
      </c>
      <c r="J1859">
        <v>7405</v>
      </c>
      <c r="K1859">
        <v>181</v>
      </c>
      <c r="L1859" s="5">
        <v>125</v>
      </c>
      <c r="M1859" s="5">
        <v>692</v>
      </c>
      <c r="N1859">
        <v>12</v>
      </c>
      <c r="O1859">
        <v>680</v>
      </c>
      <c r="P1859" s="1">
        <v>0.20833333333333334</v>
      </c>
      <c r="Q1859" s="5">
        <v>1926</v>
      </c>
      <c r="R1859" s="14">
        <v>10.8</v>
      </c>
      <c r="S1859">
        <v>180</v>
      </c>
      <c r="T1859" s="5">
        <v>12</v>
      </c>
      <c r="U1859" s="5">
        <v>680</v>
      </c>
      <c r="V1859" s="5">
        <v>0</v>
      </c>
      <c r="W1859" s="5"/>
      <c r="X1859" s="5"/>
      <c r="Y1859" s="5"/>
      <c r="Z1859" s="5"/>
      <c r="AA1859" s="5"/>
      <c r="AB1859" s="5"/>
      <c r="AC1859" s="5"/>
      <c r="AD1859" s="5"/>
      <c r="AE1859" s="5"/>
      <c r="AF1859" s="5"/>
      <c r="AG1859" s="5"/>
      <c r="AH1859" s="5"/>
      <c r="AI1859" s="5"/>
      <c r="AJ1859" s="5"/>
      <c r="AK1859" s="5"/>
    </row>
    <row r="1860" spans="1:37" x14ac:dyDescent="0.25">
      <c r="A1860" s="11">
        <f>Table1[[#This Row],[Milk Yield]]-J1856</f>
        <v>-74</v>
      </c>
      <c r="B1860" t="s">
        <v>24</v>
      </c>
      <c r="C1860" s="2">
        <v>2</v>
      </c>
      <c r="D1860" s="12">
        <v>45975</v>
      </c>
      <c r="E1860" s="2">
        <v>30</v>
      </c>
      <c r="F1860" s="18">
        <v>0.66628472222222224</v>
      </c>
      <c r="G1860" s="3">
        <v>0.83403935185185185</v>
      </c>
      <c r="H1860" s="17">
        <v>0.1673611111111111</v>
      </c>
      <c r="I1860" s="5">
        <v>690</v>
      </c>
      <c r="J1860">
        <v>7273</v>
      </c>
      <c r="K1860">
        <v>171</v>
      </c>
      <c r="L1860" s="5">
        <v>75</v>
      </c>
      <c r="M1860" s="5">
        <v>690</v>
      </c>
      <c r="N1860">
        <v>8</v>
      </c>
      <c r="O1860">
        <v>682</v>
      </c>
      <c r="P1860" s="1">
        <v>0.20694444444444443</v>
      </c>
      <c r="Q1860" s="5">
        <v>1806</v>
      </c>
      <c r="R1860" s="14">
        <v>10.6</v>
      </c>
      <c r="S1860">
        <v>171</v>
      </c>
      <c r="T1860" s="5">
        <v>8</v>
      </c>
      <c r="U1860" s="5">
        <v>682</v>
      </c>
      <c r="V1860" s="5">
        <v>0</v>
      </c>
      <c r="W1860" s="5"/>
      <c r="X1860" s="5"/>
      <c r="Y1860" s="5"/>
      <c r="Z1860" s="5"/>
      <c r="AA1860" s="5"/>
      <c r="AB1860" s="5"/>
      <c r="AC1860" s="5"/>
      <c r="AD1860" s="5"/>
      <c r="AE1860" s="5"/>
      <c r="AF1860" s="5"/>
      <c r="AG1860" s="5"/>
      <c r="AH1860" s="5"/>
      <c r="AI1860" s="5"/>
      <c r="AJ1860" s="5"/>
      <c r="AK1860" s="5"/>
    </row>
    <row r="1861" spans="1:37" x14ac:dyDescent="0.25">
      <c r="A1861" s="11">
        <f>Table1[[#This Row],[Milk Yield]]-J1857</f>
        <v>-475</v>
      </c>
      <c r="B1861" t="s">
        <v>24</v>
      </c>
      <c r="C1861" s="2">
        <v>3</v>
      </c>
      <c r="D1861" s="12">
        <v>45975</v>
      </c>
      <c r="E1861" s="2">
        <v>31</v>
      </c>
      <c r="F1861" s="18">
        <v>0.99964120370370368</v>
      </c>
      <c r="G1861" s="3">
        <v>0.16813657407407406</v>
      </c>
      <c r="H1861" s="17">
        <v>0.16805555555555557</v>
      </c>
      <c r="I1861" s="5">
        <v>693</v>
      </c>
      <c r="J1861">
        <v>7224</v>
      </c>
      <c r="K1861">
        <v>171</v>
      </c>
      <c r="L1861" s="5">
        <v>66</v>
      </c>
      <c r="M1861" s="5">
        <v>693</v>
      </c>
      <c r="N1861">
        <v>7</v>
      </c>
      <c r="O1861">
        <v>686</v>
      </c>
      <c r="P1861" s="1">
        <v>0.20624999999999999</v>
      </c>
      <c r="Q1861" s="5">
        <v>1786</v>
      </c>
      <c r="R1861" s="14">
        <v>10.5</v>
      </c>
      <c r="S1861">
        <v>171</v>
      </c>
      <c r="T1861" s="5">
        <v>7</v>
      </c>
      <c r="U1861" s="5">
        <v>686</v>
      </c>
      <c r="V1861" s="5">
        <v>0</v>
      </c>
      <c r="W1861" s="5"/>
      <c r="X1861" s="5"/>
      <c r="Y1861" s="5"/>
      <c r="Z1861" s="5"/>
      <c r="AA1861" s="5"/>
      <c r="AB1861" s="5"/>
      <c r="AC1861" s="5"/>
      <c r="AD1861" s="5"/>
      <c r="AE1861" s="5"/>
      <c r="AF1861" s="5"/>
      <c r="AG1861" s="5"/>
      <c r="AH1861" s="5"/>
      <c r="AI1861" s="5"/>
      <c r="AJ1861" s="5"/>
      <c r="AK1861" s="5"/>
    </row>
    <row r="1862" spans="1:37" x14ac:dyDescent="0.25">
      <c r="A1862" s="11" t="e">
        <f>Table1[[#This Row],[Milk Yield]]-J1858</f>
        <v>#VALUE!</v>
      </c>
      <c r="B1862" t="s">
        <v>0</v>
      </c>
      <c r="C1862" s="2" t="s">
        <v>1</v>
      </c>
      <c r="D1862" s="12" t="s">
        <v>2</v>
      </c>
      <c r="E1862" s="2" t="s">
        <v>3</v>
      </c>
      <c r="F1862" s="18" t="s">
        <v>4</v>
      </c>
      <c r="G1862" s="3" t="s">
        <v>5</v>
      </c>
      <c r="H1862" s="17" t="s">
        <v>6</v>
      </c>
      <c r="I1862" s="5" t="s">
        <v>8</v>
      </c>
      <c r="J1862" t="s">
        <v>9</v>
      </c>
      <c r="K1862" t="s">
        <v>10</v>
      </c>
      <c r="L1862" s="5" t="s">
        <v>11</v>
      </c>
      <c r="M1862" s="5" t="s">
        <v>12</v>
      </c>
      <c r="N1862" t="s">
        <v>13</v>
      </c>
      <c r="O1862" t="s">
        <v>20</v>
      </c>
      <c r="P1862" s="1" t="s">
        <v>7</v>
      </c>
      <c r="Q1862" s="5" t="s">
        <v>15</v>
      </c>
      <c r="R1862" s="14" t="s">
        <v>18</v>
      </c>
      <c r="S1862" t="s">
        <v>16</v>
      </c>
      <c r="T1862" s="5" t="s">
        <v>14</v>
      </c>
      <c r="U1862" s="5" t="s">
        <v>17</v>
      </c>
      <c r="V1862" s="5" t="s">
        <v>19</v>
      </c>
      <c r="W1862" s="5"/>
      <c r="X1862" s="5"/>
      <c r="Y1862" s="5"/>
      <c r="Z1862" s="5"/>
      <c r="AA1862" s="5"/>
      <c r="AB1862" s="5"/>
      <c r="AC1862" s="5"/>
      <c r="AD1862" s="5"/>
      <c r="AE1862" s="5"/>
      <c r="AF1862" s="5"/>
      <c r="AG1862" s="5"/>
      <c r="AH1862" s="5"/>
      <c r="AI1862" s="5"/>
      <c r="AJ1862" s="5"/>
      <c r="AK1862" s="5"/>
    </row>
    <row r="1863" spans="1:37" x14ac:dyDescent="0.25">
      <c r="A1863" s="11">
        <f>Table1[[#This Row],[Milk Yield]]-J1859</f>
        <v>-190</v>
      </c>
      <c r="B1863" t="s">
        <v>24</v>
      </c>
      <c r="C1863" s="2">
        <v>1</v>
      </c>
      <c r="D1863" s="12">
        <v>45976</v>
      </c>
      <c r="E1863" s="2">
        <v>33</v>
      </c>
      <c r="F1863" s="18">
        <v>0.33699074074074076</v>
      </c>
      <c r="G1863" s="3">
        <v>0.49027777777777776</v>
      </c>
      <c r="H1863" s="17">
        <v>0.15277777777777779</v>
      </c>
      <c r="I1863" s="5">
        <v>696</v>
      </c>
      <c r="J1863">
        <v>7215</v>
      </c>
      <c r="K1863">
        <v>189</v>
      </c>
      <c r="L1863" s="5">
        <v>124</v>
      </c>
      <c r="M1863" s="5">
        <v>696</v>
      </c>
      <c r="N1863">
        <v>12</v>
      </c>
      <c r="O1863">
        <v>684</v>
      </c>
      <c r="P1863" s="1">
        <v>0.20208333333333334</v>
      </c>
      <c r="Q1863" s="5">
        <v>1961</v>
      </c>
      <c r="R1863" s="14">
        <v>10.4</v>
      </c>
      <c r="S1863">
        <v>189</v>
      </c>
      <c r="T1863" s="5">
        <v>12</v>
      </c>
      <c r="U1863" s="5">
        <v>684</v>
      </c>
      <c r="V1863" s="5">
        <v>0</v>
      </c>
      <c r="W1863" s="5"/>
      <c r="X1863" s="5"/>
      <c r="Y1863" s="5"/>
      <c r="Z1863" s="5"/>
      <c r="AA1863" s="5"/>
      <c r="AB1863" s="5"/>
      <c r="AC1863" s="5"/>
      <c r="AD1863" s="5"/>
      <c r="AE1863" s="5"/>
      <c r="AF1863" s="5"/>
      <c r="AG1863" s="5"/>
      <c r="AH1863" s="5"/>
      <c r="AI1863" s="5"/>
      <c r="AJ1863" s="5"/>
      <c r="AK1863" s="5"/>
    </row>
    <row r="1864" spans="1:37" x14ac:dyDescent="0.25">
      <c r="A1864" s="11">
        <f>Table1[[#This Row],[Milk Yield]]-J1860</f>
        <v>-22</v>
      </c>
      <c r="B1864" t="s">
        <v>24</v>
      </c>
      <c r="C1864" s="2">
        <v>2</v>
      </c>
      <c r="D1864" s="12">
        <v>45976</v>
      </c>
      <c r="E1864" s="2">
        <v>32</v>
      </c>
      <c r="F1864" s="18">
        <v>0.66851851851851851</v>
      </c>
      <c r="G1864" s="3">
        <v>0.84059027777777773</v>
      </c>
      <c r="H1864" s="17">
        <v>0.17152777777777778</v>
      </c>
      <c r="I1864" s="5">
        <v>702</v>
      </c>
      <c r="J1864">
        <v>7251</v>
      </c>
      <c r="K1864">
        <v>170</v>
      </c>
      <c r="L1864" s="5">
        <v>177</v>
      </c>
      <c r="M1864" s="5">
        <v>694</v>
      </c>
      <c r="N1864">
        <v>21</v>
      </c>
      <c r="O1864">
        <v>673</v>
      </c>
      <c r="P1864" s="1">
        <v>0.21527777777777779</v>
      </c>
      <c r="Q1864" s="5">
        <v>1756</v>
      </c>
      <c r="R1864" s="14">
        <v>10.5</v>
      </c>
      <c r="S1864">
        <v>168</v>
      </c>
      <c r="T1864" s="5">
        <v>21</v>
      </c>
      <c r="U1864" s="5">
        <v>673</v>
      </c>
      <c r="V1864" s="5">
        <v>0</v>
      </c>
      <c r="W1864" s="5"/>
      <c r="X1864" s="5"/>
      <c r="Y1864" s="5"/>
      <c r="Z1864" s="5"/>
      <c r="AA1864" s="5"/>
      <c r="AB1864" s="5"/>
      <c r="AC1864" s="5"/>
      <c r="AD1864" s="5"/>
      <c r="AE1864" s="5"/>
      <c r="AF1864" s="5"/>
      <c r="AG1864" s="5"/>
      <c r="AH1864" s="5"/>
      <c r="AI1864" s="5"/>
      <c r="AJ1864" s="5"/>
      <c r="AK1864" s="5"/>
    </row>
    <row r="1865" spans="1:37" x14ac:dyDescent="0.25">
      <c r="A1865" s="11">
        <f>Table1[[#This Row],[Milk Yield]]-J1861</f>
        <v>86</v>
      </c>
      <c r="B1865" t="s">
        <v>24</v>
      </c>
      <c r="C1865" s="2">
        <v>3</v>
      </c>
      <c r="D1865" s="12">
        <v>45976</v>
      </c>
      <c r="E1865" s="2">
        <v>32</v>
      </c>
      <c r="F1865" s="18">
        <v>3.6111111111111109E-3</v>
      </c>
      <c r="G1865" s="3">
        <v>0.17973379629629629</v>
      </c>
      <c r="H1865" s="17">
        <v>0.17569444444444443</v>
      </c>
      <c r="I1865" s="5">
        <v>699</v>
      </c>
      <c r="J1865">
        <v>7310</v>
      </c>
      <c r="K1865">
        <v>165</v>
      </c>
      <c r="L1865" s="5">
        <v>124</v>
      </c>
      <c r="M1865" s="5">
        <v>698</v>
      </c>
      <c r="N1865">
        <v>12</v>
      </c>
      <c r="O1865">
        <v>686</v>
      </c>
      <c r="P1865" s="1">
        <v>0.2013888888888889</v>
      </c>
      <c r="Q1865" s="5">
        <v>1729</v>
      </c>
      <c r="R1865" s="14">
        <v>10.5</v>
      </c>
      <c r="S1865">
        <v>165</v>
      </c>
      <c r="T1865" s="5">
        <v>12</v>
      </c>
      <c r="U1865" s="5">
        <v>686</v>
      </c>
      <c r="V1865" s="5">
        <v>0</v>
      </c>
      <c r="W1865" s="5"/>
      <c r="X1865" s="5"/>
      <c r="Y1865" s="5"/>
      <c r="Z1865" s="5"/>
      <c r="AA1865" s="5"/>
      <c r="AB1865" s="5"/>
      <c r="AC1865" s="5"/>
      <c r="AD1865" s="5"/>
      <c r="AE1865" s="5"/>
      <c r="AF1865" s="5"/>
      <c r="AG1865" s="5"/>
      <c r="AH1865" s="5"/>
      <c r="AI1865" s="5"/>
      <c r="AJ1865" s="5"/>
      <c r="AK1865" s="5"/>
    </row>
    <row r="1866" spans="1:37" x14ac:dyDescent="0.25">
      <c r="A1866" s="11" t="e">
        <f>Table1[[#This Row],[Milk Yield]]-J1862</f>
        <v>#VALUE!</v>
      </c>
      <c r="B1866" t="s">
        <v>0</v>
      </c>
      <c r="C1866" s="2" t="s">
        <v>1</v>
      </c>
      <c r="D1866" s="12" t="s">
        <v>2</v>
      </c>
      <c r="E1866" s="2" t="s">
        <v>3</v>
      </c>
      <c r="F1866" s="18" t="s">
        <v>4</v>
      </c>
      <c r="G1866" s="3" t="s">
        <v>5</v>
      </c>
      <c r="H1866" s="17" t="s">
        <v>6</v>
      </c>
      <c r="I1866" s="5" t="s">
        <v>8</v>
      </c>
      <c r="J1866" t="s">
        <v>9</v>
      </c>
      <c r="K1866" t="s">
        <v>10</v>
      </c>
      <c r="L1866" s="5" t="s">
        <v>11</v>
      </c>
      <c r="M1866" s="5" t="s">
        <v>12</v>
      </c>
      <c r="N1866" t="s">
        <v>13</v>
      </c>
      <c r="O1866" t="s">
        <v>20</v>
      </c>
      <c r="P1866" s="1" t="s">
        <v>7</v>
      </c>
      <c r="Q1866" s="5" t="s">
        <v>15</v>
      </c>
      <c r="R1866" s="14" t="s">
        <v>18</v>
      </c>
      <c r="S1866" t="s">
        <v>16</v>
      </c>
      <c r="T1866" s="5" t="s">
        <v>14</v>
      </c>
      <c r="U1866" s="5" t="s">
        <v>17</v>
      </c>
      <c r="V1866" s="5" t="s">
        <v>19</v>
      </c>
      <c r="W1866" s="5"/>
      <c r="X1866" s="5"/>
      <c r="Y1866" s="5"/>
      <c r="Z1866" s="5"/>
      <c r="AA1866" s="5"/>
      <c r="AB1866" s="5"/>
      <c r="AC1866" s="5"/>
      <c r="AD1866" s="5"/>
      <c r="AE1866" s="5"/>
      <c r="AF1866" s="5"/>
      <c r="AG1866" s="5"/>
      <c r="AH1866" s="5"/>
      <c r="AI1866" s="5"/>
      <c r="AJ1866" s="5"/>
      <c r="AK1866" s="5"/>
    </row>
    <row r="1867" spans="1:37" x14ac:dyDescent="0.25">
      <c r="A1867" s="11">
        <f>Table1[[#This Row],[Milk Yield]]-J1863</f>
        <v>-416</v>
      </c>
      <c r="B1867" t="s">
        <v>24</v>
      </c>
      <c r="C1867" s="2">
        <v>1</v>
      </c>
      <c r="D1867" s="12">
        <v>45977</v>
      </c>
      <c r="E1867" s="2">
        <v>30</v>
      </c>
      <c r="F1867" s="18">
        <v>0.33306712962962964</v>
      </c>
      <c r="G1867" s="3">
        <v>0.49160879629629628</v>
      </c>
      <c r="H1867" s="17">
        <v>0.15833333333333333</v>
      </c>
      <c r="I1867" s="5">
        <v>696</v>
      </c>
      <c r="J1867">
        <v>6799</v>
      </c>
      <c r="K1867">
        <v>183</v>
      </c>
      <c r="L1867" s="5">
        <v>94</v>
      </c>
      <c r="M1867" s="5">
        <v>696</v>
      </c>
      <c r="N1867">
        <v>11</v>
      </c>
      <c r="O1867">
        <v>685</v>
      </c>
      <c r="P1867" s="1">
        <v>0.20972222222222223</v>
      </c>
      <c r="Q1867" s="5">
        <v>1787</v>
      </c>
      <c r="R1867" s="14">
        <v>9.8000000000000007</v>
      </c>
      <c r="S1867">
        <v>183</v>
      </c>
      <c r="T1867" s="5">
        <v>11</v>
      </c>
      <c r="U1867" s="5">
        <v>685</v>
      </c>
      <c r="V1867" s="5">
        <v>0</v>
      </c>
      <c r="W1867" s="5"/>
      <c r="X1867" s="5"/>
      <c r="Y1867" s="5"/>
      <c r="Z1867" s="5"/>
      <c r="AA1867" s="5"/>
      <c r="AB1867" s="5"/>
      <c r="AC1867" s="5"/>
      <c r="AD1867" s="5"/>
      <c r="AE1867" s="5"/>
      <c r="AF1867" s="5"/>
      <c r="AG1867" s="5"/>
      <c r="AH1867" s="5"/>
      <c r="AI1867" s="5"/>
      <c r="AJ1867" s="5"/>
      <c r="AK1867" s="5"/>
    </row>
    <row r="1868" spans="1:37" x14ac:dyDescent="0.25">
      <c r="A1868" s="11">
        <f>Table1[[#This Row],[Milk Yield]]-J1864</f>
        <v>-25</v>
      </c>
      <c r="B1868" t="s">
        <v>24</v>
      </c>
      <c r="C1868" s="2">
        <v>2</v>
      </c>
      <c r="D1868" s="12">
        <v>45977</v>
      </c>
      <c r="E1868" s="2">
        <v>32</v>
      </c>
      <c r="F1868" s="18">
        <v>0.66545138888888888</v>
      </c>
      <c r="G1868" s="3">
        <v>0.83313657407407404</v>
      </c>
      <c r="H1868" s="17">
        <v>0.1673611111111111</v>
      </c>
      <c r="I1868" s="5">
        <v>697</v>
      </c>
      <c r="J1868">
        <v>7226</v>
      </c>
      <c r="K1868">
        <v>173</v>
      </c>
      <c r="L1868" s="5">
        <v>64</v>
      </c>
      <c r="M1868" s="5">
        <v>695</v>
      </c>
      <c r="N1868">
        <v>9</v>
      </c>
      <c r="O1868">
        <v>686</v>
      </c>
      <c r="P1868" s="1">
        <v>0.20902777777777778</v>
      </c>
      <c r="Q1868" s="5">
        <v>1795</v>
      </c>
      <c r="R1868" s="14">
        <v>10.4</v>
      </c>
      <c r="S1868">
        <v>173</v>
      </c>
      <c r="T1868" s="5">
        <v>9</v>
      </c>
      <c r="U1868" s="5">
        <v>685</v>
      </c>
      <c r="V1868" s="5">
        <v>0</v>
      </c>
      <c r="W1868" s="5"/>
      <c r="X1868" s="5"/>
      <c r="Y1868" s="5"/>
      <c r="Z1868" s="5"/>
      <c r="AA1868" s="5"/>
      <c r="AB1868" s="5"/>
      <c r="AC1868" s="5"/>
      <c r="AD1868" s="5"/>
      <c r="AE1868" s="5"/>
      <c r="AF1868" s="5"/>
      <c r="AG1868" s="5"/>
      <c r="AH1868" s="5"/>
      <c r="AI1868" s="5"/>
      <c r="AJ1868" s="5"/>
      <c r="AK1868" s="5"/>
    </row>
    <row r="1869" spans="1:37" x14ac:dyDescent="0.25">
      <c r="A1869" s="11">
        <f>Table1[[#This Row],[Milk Yield]]-J1865</f>
        <v>71</v>
      </c>
      <c r="B1869" t="s">
        <v>24</v>
      </c>
      <c r="C1869" s="2">
        <v>3</v>
      </c>
      <c r="D1869" s="12">
        <v>45977</v>
      </c>
      <c r="E1869" s="2">
        <v>32</v>
      </c>
      <c r="F1869" s="18">
        <v>2.1296296296296298E-3</v>
      </c>
      <c r="G1869" s="3">
        <v>0.17828703703703705</v>
      </c>
      <c r="H1869" s="17">
        <v>0.17569444444444443</v>
      </c>
      <c r="I1869" s="5">
        <v>698</v>
      </c>
      <c r="J1869">
        <v>7381</v>
      </c>
      <c r="K1869">
        <v>165</v>
      </c>
      <c r="L1869" s="5">
        <v>103</v>
      </c>
      <c r="M1869" s="5">
        <v>697</v>
      </c>
      <c r="N1869">
        <v>11</v>
      </c>
      <c r="O1869">
        <v>686</v>
      </c>
      <c r="P1869" s="1">
        <v>0.21319444444444444</v>
      </c>
      <c r="Q1869" s="5">
        <v>1746</v>
      </c>
      <c r="R1869" s="14">
        <v>10.6</v>
      </c>
      <c r="S1869">
        <v>165</v>
      </c>
      <c r="T1869" s="5">
        <v>11</v>
      </c>
      <c r="U1869" s="5">
        <v>686</v>
      </c>
      <c r="V1869" s="5">
        <v>0</v>
      </c>
      <c r="W1869" s="5"/>
      <c r="X1869" s="5"/>
      <c r="Y1869" s="5"/>
      <c r="Z1869" s="5"/>
      <c r="AA1869" s="5"/>
      <c r="AB1869" s="5"/>
      <c r="AC1869" s="5"/>
      <c r="AD1869" s="5"/>
      <c r="AE1869" s="5"/>
      <c r="AF1869" s="5"/>
      <c r="AG1869" s="5"/>
      <c r="AH1869" s="5"/>
      <c r="AI1869" s="5"/>
      <c r="AJ1869" s="5"/>
      <c r="AK1869" s="5"/>
    </row>
    <row r="1870" spans="1:37" x14ac:dyDescent="0.25">
      <c r="A1870" s="11" t="e">
        <f>Table1[[#This Row],[Milk Yield]]-J1866</f>
        <v>#VALUE!</v>
      </c>
      <c r="B1870" t="s">
        <v>0</v>
      </c>
      <c r="C1870" s="2" t="s">
        <v>1</v>
      </c>
      <c r="D1870" s="12" t="s">
        <v>2</v>
      </c>
      <c r="E1870" s="2" t="s">
        <v>3</v>
      </c>
      <c r="F1870" s="18" t="s">
        <v>4</v>
      </c>
      <c r="G1870" s="3" t="s">
        <v>5</v>
      </c>
      <c r="H1870" s="17" t="s">
        <v>6</v>
      </c>
      <c r="I1870" s="5" t="s">
        <v>8</v>
      </c>
      <c r="J1870" t="s">
        <v>9</v>
      </c>
      <c r="K1870" t="s">
        <v>10</v>
      </c>
      <c r="L1870" s="5" t="s">
        <v>11</v>
      </c>
      <c r="M1870" s="5" t="s">
        <v>12</v>
      </c>
      <c r="N1870" t="s">
        <v>13</v>
      </c>
      <c r="O1870" t="s">
        <v>20</v>
      </c>
      <c r="P1870" s="1" t="s">
        <v>7</v>
      </c>
      <c r="Q1870" s="5" t="s">
        <v>15</v>
      </c>
      <c r="R1870" s="14" t="s">
        <v>18</v>
      </c>
      <c r="S1870" t="s">
        <v>16</v>
      </c>
      <c r="T1870" s="5" t="s">
        <v>14</v>
      </c>
      <c r="U1870" s="5" t="s">
        <v>17</v>
      </c>
      <c r="V1870" s="5" t="s">
        <v>19</v>
      </c>
      <c r="W1870" s="5"/>
      <c r="X1870" s="5"/>
      <c r="Y1870" s="5"/>
      <c r="Z1870" s="5"/>
      <c r="AA1870" s="5"/>
      <c r="AB1870" s="5"/>
      <c r="AC1870" s="5"/>
      <c r="AD1870" s="5"/>
      <c r="AE1870" s="5"/>
      <c r="AF1870" s="5"/>
      <c r="AG1870" s="5"/>
      <c r="AH1870" s="5"/>
      <c r="AI1870" s="5"/>
      <c r="AJ1870" s="5"/>
      <c r="AK1870" s="5"/>
    </row>
    <row r="1871" spans="1:37" x14ac:dyDescent="0.25">
      <c r="A1871" s="11">
        <f>Table1[[#This Row],[Milk Yield]]-J1867</f>
        <v>550</v>
      </c>
      <c r="B1871" t="s">
        <v>24</v>
      </c>
      <c r="C1871" s="2">
        <v>1</v>
      </c>
      <c r="D1871" s="12">
        <v>45978</v>
      </c>
      <c r="E1871" s="2">
        <v>31</v>
      </c>
      <c r="F1871" s="18">
        <v>0.33696759259259257</v>
      </c>
      <c r="G1871" s="3">
        <v>0.52026620370370369</v>
      </c>
      <c r="H1871" s="17">
        <v>0.18263888888888888</v>
      </c>
      <c r="I1871" s="5">
        <v>693</v>
      </c>
      <c r="J1871">
        <v>7349</v>
      </c>
      <c r="K1871">
        <v>158</v>
      </c>
      <c r="L1871" s="5">
        <v>102</v>
      </c>
      <c r="M1871" s="5">
        <v>693</v>
      </c>
      <c r="N1871">
        <v>11</v>
      </c>
      <c r="O1871">
        <v>682</v>
      </c>
      <c r="P1871" s="1">
        <v>0.20902777777777778</v>
      </c>
      <c r="Q1871" s="5">
        <v>1671</v>
      </c>
      <c r="R1871" s="14">
        <v>10.7</v>
      </c>
      <c r="S1871">
        <v>158</v>
      </c>
      <c r="T1871" s="5">
        <v>11</v>
      </c>
      <c r="U1871" s="5">
        <v>682</v>
      </c>
      <c r="V1871" s="5">
        <v>0</v>
      </c>
      <c r="W1871" s="5"/>
      <c r="X1871" s="5"/>
      <c r="Y1871" s="5"/>
      <c r="Z1871" s="5"/>
      <c r="AA1871" s="5"/>
      <c r="AB1871" s="5"/>
      <c r="AC1871" s="5"/>
      <c r="AD1871" s="5"/>
      <c r="AE1871" s="5"/>
      <c r="AF1871" s="5"/>
      <c r="AG1871" s="5"/>
      <c r="AH1871" s="5"/>
      <c r="AI1871" s="5"/>
      <c r="AJ1871" s="5"/>
      <c r="AK1871" s="5"/>
    </row>
    <row r="1872" spans="1:37" x14ac:dyDescent="0.25">
      <c r="A1872" s="11">
        <f>Table1[[#This Row],[Milk Yield]]-J1868</f>
        <v>56</v>
      </c>
      <c r="B1872" t="s">
        <v>24</v>
      </c>
      <c r="C1872" s="2">
        <v>2</v>
      </c>
      <c r="D1872" s="12">
        <v>45978</v>
      </c>
      <c r="E1872" s="2">
        <v>33</v>
      </c>
      <c r="F1872" s="18">
        <v>0.66591435185185188</v>
      </c>
      <c r="G1872" s="3">
        <v>0.85457175925925921</v>
      </c>
      <c r="H1872" s="17">
        <v>0.18819444444444444</v>
      </c>
      <c r="I1872" s="5">
        <v>703</v>
      </c>
      <c r="J1872">
        <v>7282</v>
      </c>
      <c r="K1872">
        <v>155</v>
      </c>
      <c r="L1872" s="5">
        <v>145</v>
      </c>
      <c r="M1872" s="5">
        <v>703</v>
      </c>
      <c r="N1872">
        <v>17</v>
      </c>
      <c r="O1872">
        <v>686</v>
      </c>
      <c r="P1872" s="1">
        <v>0.21458333333333332</v>
      </c>
      <c r="Q1872" s="5">
        <v>1608</v>
      </c>
      <c r="R1872" s="14">
        <v>10.4</v>
      </c>
      <c r="S1872">
        <v>155</v>
      </c>
      <c r="T1872" s="5">
        <v>17</v>
      </c>
      <c r="U1872" s="5">
        <v>686</v>
      </c>
      <c r="V1872" s="5">
        <v>0</v>
      </c>
      <c r="W1872" s="5"/>
      <c r="X1872" s="5"/>
      <c r="Y1872" s="5"/>
      <c r="Z1872" s="5"/>
      <c r="AA1872" s="5"/>
      <c r="AB1872" s="5"/>
      <c r="AC1872" s="5"/>
      <c r="AD1872" s="5"/>
      <c r="AE1872" s="5"/>
      <c r="AF1872" s="5"/>
      <c r="AG1872" s="5"/>
      <c r="AH1872" s="5"/>
      <c r="AI1872" s="5"/>
      <c r="AJ1872" s="5"/>
      <c r="AK1872" s="5"/>
    </row>
    <row r="1873" spans="1:37" x14ac:dyDescent="0.25">
      <c r="A1873" s="11">
        <f>Table1[[#This Row],[Milk Yield]]-J1869</f>
        <v>-364</v>
      </c>
      <c r="B1873" t="s">
        <v>24</v>
      </c>
      <c r="C1873" s="2">
        <v>3</v>
      </c>
      <c r="D1873" s="12">
        <v>45978</v>
      </c>
      <c r="E1873" s="2">
        <v>31</v>
      </c>
      <c r="F1873" s="18">
        <v>0.99988425925925928</v>
      </c>
      <c r="G1873" s="3">
        <v>0.18912037037037038</v>
      </c>
      <c r="H1873" s="17">
        <v>0.18888888888888888</v>
      </c>
      <c r="I1873" s="5">
        <v>696</v>
      </c>
      <c r="J1873">
        <v>7017</v>
      </c>
      <c r="K1873">
        <v>153</v>
      </c>
      <c r="L1873" s="5">
        <v>67</v>
      </c>
      <c r="M1873" s="5">
        <v>695</v>
      </c>
      <c r="N1873">
        <v>10</v>
      </c>
      <c r="O1873">
        <v>685</v>
      </c>
      <c r="P1873" s="1">
        <v>0.21249999999999999</v>
      </c>
      <c r="Q1873" s="5">
        <v>1545</v>
      </c>
      <c r="R1873" s="14">
        <v>10.1</v>
      </c>
      <c r="S1873">
        <v>153</v>
      </c>
      <c r="T1873" s="5">
        <v>10</v>
      </c>
      <c r="U1873" s="5">
        <v>685</v>
      </c>
      <c r="V1873" s="5">
        <v>0</v>
      </c>
      <c r="W1873" s="5"/>
      <c r="X1873" s="5"/>
      <c r="Y1873" s="5"/>
      <c r="Z1873" s="5"/>
      <c r="AA1873" s="5"/>
      <c r="AB1873" s="5"/>
      <c r="AC1873" s="5"/>
      <c r="AD1873" s="5"/>
      <c r="AE1873" s="5"/>
      <c r="AF1873" s="5"/>
      <c r="AG1873" s="5"/>
      <c r="AH1873" s="5"/>
      <c r="AI1873" s="5"/>
      <c r="AJ1873" s="5"/>
      <c r="AK1873" s="5"/>
    </row>
    <row r="1874" spans="1:37" x14ac:dyDescent="0.25">
      <c r="A1874" s="11" t="e">
        <f>Table1[[#This Row],[Milk Yield]]-J1870</f>
        <v>#VALUE!</v>
      </c>
      <c r="B1874" t="s">
        <v>0</v>
      </c>
      <c r="C1874" s="2" t="s">
        <v>1</v>
      </c>
      <c r="D1874" s="12" t="s">
        <v>2</v>
      </c>
      <c r="E1874" s="2" t="s">
        <v>3</v>
      </c>
      <c r="F1874" s="18" t="s">
        <v>4</v>
      </c>
      <c r="G1874" s="3" t="s">
        <v>5</v>
      </c>
      <c r="H1874" s="17" t="s">
        <v>6</v>
      </c>
      <c r="I1874" s="5" t="s">
        <v>8</v>
      </c>
      <c r="J1874" t="s">
        <v>9</v>
      </c>
      <c r="K1874" t="s">
        <v>10</v>
      </c>
      <c r="L1874" s="5" t="s">
        <v>11</v>
      </c>
      <c r="M1874" s="5" t="s">
        <v>12</v>
      </c>
      <c r="N1874" t="s">
        <v>13</v>
      </c>
      <c r="O1874" t="s">
        <v>20</v>
      </c>
      <c r="P1874" s="1" t="s">
        <v>7</v>
      </c>
      <c r="Q1874" s="5" t="s">
        <v>15</v>
      </c>
      <c r="R1874" s="14" t="s">
        <v>18</v>
      </c>
      <c r="S1874" t="s">
        <v>16</v>
      </c>
      <c r="T1874" s="5" t="s">
        <v>14</v>
      </c>
      <c r="U1874" s="5" t="s">
        <v>17</v>
      </c>
      <c r="V1874" s="5" t="s">
        <v>19</v>
      </c>
      <c r="W1874" s="5"/>
      <c r="X1874" s="5"/>
      <c r="Y1874" s="5"/>
      <c r="Z1874" s="5"/>
      <c r="AA1874" s="5"/>
      <c r="AB1874" s="5"/>
      <c r="AC1874" s="5"/>
      <c r="AD1874" s="5"/>
      <c r="AE1874" s="5"/>
      <c r="AF1874" s="5"/>
      <c r="AG1874" s="5"/>
      <c r="AH1874" s="5"/>
      <c r="AI1874" s="5"/>
      <c r="AJ1874" s="5"/>
      <c r="AK1874" s="5"/>
    </row>
    <row r="1875" spans="1:37" x14ac:dyDescent="0.25">
      <c r="A1875" s="11">
        <f>Table1[[#This Row],[Milk Yield]]-J1871</f>
        <v>-77</v>
      </c>
      <c r="B1875" t="s">
        <v>24</v>
      </c>
      <c r="C1875" s="2">
        <v>1</v>
      </c>
      <c r="D1875" s="12">
        <v>45979</v>
      </c>
      <c r="E1875" s="2">
        <v>32</v>
      </c>
      <c r="F1875" s="18">
        <v>0.33587962962962964</v>
      </c>
      <c r="G1875" s="3">
        <v>0.52379629629629632</v>
      </c>
      <c r="H1875" s="17">
        <v>0.1875</v>
      </c>
      <c r="I1875" s="5">
        <v>695</v>
      </c>
      <c r="J1875">
        <v>7272</v>
      </c>
      <c r="K1875">
        <v>154</v>
      </c>
      <c r="L1875" s="5">
        <v>113</v>
      </c>
      <c r="M1875" s="5">
        <v>694</v>
      </c>
      <c r="N1875">
        <v>12</v>
      </c>
      <c r="O1875">
        <v>682</v>
      </c>
      <c r="P1875" s="1">
        <v>0.21527777777777779</v>
      </c>
      <c r="Q1875" s="5">
        <v>1612</v>
      </c>
      <c r="R1875" s="14">
        <v>10.5</v>
      </c>
      <c r="S1875">
        <v>154</v>
      </c>
      <c r="T1875" s="5">
        <v>12</v>
      </c>
      <c r="U1875" s="5">
        <v>682</v>
      </c>
      <c r="V1875" s="5">
        <v>0</v>
      </c>
      <c r="W1875" s="5"/>
      <c r="X1875" s="5"/>
      <c r="Y1875" s="5"/>
      <c r="Z1875" s="5"/>
      <c r="AA1875" s="5"/>
      <c r="AB1875" s="5"/>
      <c r="AC1875" s="5"/>
      <c r="AD1875" s="5"/>
      <c r="AE1875" s="5"/>
      <c r="AF1875" s="5"/>
      <c r="AG1875" s="5"/>
      <c r="AH1875" s="5"/>
      <c r="AI1875" s="5"/>
      <c r="AJ1875" s="5"/>
      <c r="AK1875" s="5"/>
    </row>
    <row r="1876" spans="1:37" x14ac:dyDescent="0.25">
      <c r="A1876" s="11">
        <f>Table1[[#This Row],[Milk Yield]]-J1872</f>
        <v>-169</v>
      </c>
      <c r="B1876" t="s">
        <v>24</v>
      </c>
      <c r="C1876" s="2">
        <v>2</v>
      </c>
      <c r="D1876" s="12">
        <v>45979</v>
      </c>
      <c r="E1876" s="2">
        <v>33</v>
      </c>
      <c r="F1876" s="18">
        <v>0.67084490740740743</v>
      </c>
      <c r="G1876" s="3">
        <v>0.84873842592592597</v>
      </c>
      <c r="H1876" s="17">
        <v>0.17777777777777778</v>
      </c>
      <c r="I1876" s="5">
        <v>696</v>
      </c>
      <c r="J1876">
        <v>7113</v>
      </c>
      <c r="K1876">
        <v>163</v>
      </c>
      <c r="L1876" s="5">
        <v>67</v>
      </c>
      <c r="M1876" s="5">
        <v>696</v>
      </c>
      <c r="N1876">
        <v>7</v>
      </c>
      <c r="O1876">
        <v>689</v>
      </c>
      <c r="P1876" s="1">
        <v>0.22500000000000001</v>
      </c>
      <c r="Q1876" s="5">
        <v>1666</v>
      </c>
      <c r="R1876" s="14">
        <v>10.3</v>
      </c>
      <c r="S1876">
        <v>163</v>
      </c>
      <c r="T1876" s="5">
        <v>7</v>
      </c>
      <c r="U1876" s="5">
        <v>689</v>
      </c>
      <c r="V1876" s="5">
        <v>0</v>
      </c>
      <c r="W1876" s="5"/>
      <c r="X1876" s="5"/>
      <c r="Y1876" s="5"/>
      <c r="Z1876" s="5"/>
      <c r="AA1876" s="5"/>
      <c r="AB1876" s="5"/>
      <c r="AC1876" s="5"/>
      <c r="AD1876" s="5"/>
      <c r="AE1876" s="5"/>
      <c r="AF1876" s="5"/>
      <c r="AG1876" s="5"/>
      <c r="AH1876" s="5"/>
      <c r="AI1876" s="5"/>
      <c r="AJ1876" s="5"/>
      <c r="AK1876" s="5"/>
    </row>
    <row r="1877" spans="1:37" x14ac:dyDescent="0.25">
      <c r="A1877" s="11">
        <f>Table1[[#This Row],[Milk Yield]]-J1873</f>
        <v>0</v>
      </c>
      <c r="B1877" t="s">
        <v>24</v>
      </c>
      <c r="C1877" s="2">
        <v>3</v>
      </c>
      <c r="D1877" s="12">
        <v>45979</v>
      </c>
      <c r="E1877" s="2">
        <v>31</v>
      </c>
      <c r="F1877" s="18">
        <v>0.99988425925925928</v>
      </c>
      <c r="G1877" s="3">
        <v>0.18912037037037038</v>
      </c>
      <c r="H1877" s="17">
        <v>0.18888888888888888</v>
      </c>
      <c r="I1877" s="5">
        <v>696</v>
      </c>
      <c r="J1877">
        <v>7017</v>
      </c>
      <c r="K1877">
        <v>153</v>
      </c>
      <c r="L1877" s="5">
        <v>67</v>
      </c>
      <c r="M1877" s="5">
        <v>695</v>
      </c>
      <c r="N1877">
        <v>10</v>
      </c>
      <c r="O1877">
        <v>685</v>
      </c>
      <c r="P1877" s="1">
        <v>0.21249999999999999</v>
      </c>
      <c r="Q1877" s="5">
        <v>1545</v>
      </c>
      <c r="R1877" s="14">
        <v>10.1</v>
      </c>
      <c r="S1877">
        <v>153</v>
      </c>
      <c r="T1877" s="5">
        <v>10</v>
      </c>
      <c r="U1877" s="5">
        <v>685</v>
      </c>
      <c r="V1877" s="5">
        <v>0</v>
      </c>
      <c r="W1877" s="5"/>
      <c r="X1877" s="5"/>
      <c r="Y1877" s="5"/>
      <c r="Z1877" s="5"/>
      <c r="AA1877" s="5"/>
      <c r="AB1877" s="5"/>
      <c r="AC1877" s="5"/>
      <c r="AD1877" s="5"/>
      <c r="AE1877" s="5"/>
      <c r="AF1877" s="5"/>
      <c r="AG1877" s="5"/>
      <c r="AH1877" s="5"/>
      <c r="AI1877" s="5"/>
      <c r="AJ1877" s="5"/>
      <c r="AK1877" s="5"/>
    </row>
    <row r="1878" spans="1:37" x14ac:dyDescent="0.25">
      <c r="A1878" s="11" t="e">
        <f>Table1[[#This Row],[Milk Yield]]-J1874</f>
        <v>#VALUE!</v>
      </c>
      <c r="B1878" t="s">
        <v>0</v>
      </c>
      <c r="C1878" s="2" t="s">
        <v>1</v>
      </c>
      <c r="D1878" s="12" t="s">
        <v>2</v>
      </c>
      <c r="E1878" s="2" t="s">
        <v>3</v>
      </c>
      <c r="F1878" s="18" t="s">
        <v>4</v>
      </c>
      <c r="G1878" s="3" t="s">
        <v>5</v>
      </c>
      <c r="H1878" s="17" t="s">
        <v>6</v>
      </c>
      <c r="I1878" s="5" t="s">
        <v>8</v>
      </c>
      <c r="J1878" t="s">
        <v>9</v>
      </c>
      <c r="K1878" t="s">
        <v>10</v>
      </c>
      <c r="L1878" s="5" t="s">
        <v>11</v>
      </c>
      <c r="M1878" s="5" t="s">
        <v>12</v>
      </c>
      <c r="N1878" t="s">
        <v>13</v>
      </c>
      <c r="O1878" t="s">
        <v>20</v>
      </c>
      <c r="P1878" s="1" t="s">
        <v>7</v>
      </c>
      <c r="Q1878" s="5" t="s">
        <v>15</v>
      </c>
      <c r="R1878" s="14" t="s">
        <v>18</v>
      </c>
      <c r="S1878" t="s">
        <v>16</v>
      </c>
      <c r="T1878" s="5" t="s">
        <v>14</v>
      </c>
      <c r="U1878" s="5" t="s">
        <v>17</v>
      </c>
      <c r="V1878" s="5" t="s">
        <v>19</v>
      </c>
      <c r="W1878" s="5"/>
      <c r="X1878" s="5"/>
      <c r="Y1878" s="5"/>
      <c r="Z1878" s="5"/>
      <c r="AA1878" s="5"/>
      <c r="AB1878" s="5"/>
      <c r="AC1878" s="5"/>
      <c r="AD1878" s="5"/>
      <c r="AE1878" s="5"/>
      <c r="AF1878" s="5"/>
      <c r="AG1878" s="5"/>
      <c r="AH1878" s="5"/>
      <c r="AI1878" s="5"/>
      <c r="AJ1878" s="5"/>
      <c r="AK1878" s="5"/>
    </row>
    <row r="1879" spans="1:37" x14ac:dyDescent="0.25">
      <c r="A1879" s="11">
        <f>Table1[[#This Row],[Milk Yield]]-J1875</f>
        <v>-270</v>
      </c>
      <c r="B1879" t="s">
        <v>24</v>
      </c>
      <c r="C1879" s="2">
        <v>1</v>
      </c>
      <c r="D1879" s="12">
        <v>45980</v>
      </c>
      <c r="E1879" s="2">
        <v>31</v>
      </c>
      <c r="F1879" s="18">
        <v>0.34211805555555558</v>
      </c>
      <c r="G1879" s="3">
        <v>0.51693287037037039</v>
      </c>
      <c r="H1879" s="17">
        <v>0.17430555555555555</v>
      </c>
      <c r="I1879" s="5">
        <v>705</v>
      </c>
      <c r="J1879">
        <v>7002</v>
      </c>
      <c r="K1879">
        <v>168</v>
      </c>
      <c r="L1879" s="5">
        <v>139</v>
      </c>
      <c r="M1879" s="5">
        <v>705</v>
      </c>
      <c r="N1879">
        <v>38</v>
      </c>
      <c r="O1879">
        <v>667</v>
      </c>
      <c r="P1879" s="1">
        <v>0.21666666666666667</v>
      </c>
      <c r="Q1879" s="5">
        <v>1669</v>
      </c>
      <c r="R1879" s="14">
        <v>10</v>
      </c>
      <c r="S1879">
        <v>168</v>
      </c>
      <c r="T1879" s="5">
        <v>38</v>
      </c>
      <c r="U1879" s="5">
        <v>665</v>
      </c>
      <c r="V1879" s="5">
        <v>0</v>
      </c>
      <c r="W1879" s="5"/>
      <c r="X1879" s="5"/>
      <c r="Y1879" s="5"/>
      <c r="Z1879" s="5"/>
      <c r="AA1879" s="5"/>
      <c r="AB1879" s="5"/>
      <c r="AC1879" s="5"/>
      <c r="AD1879" s="5"/>
      <c r="AE1879" s="5"/>
      <c r="AF1879" s="5"/>
      <c r="AG1879" s="5"/>
      <c r="AH1879" s="5"/>
      <c r="AI1879" s="5"/>
      <c r="AJ1879" s="5"/>
      <c r="AK1879" s="5"/>
    </row>
    <row r="1880" spans="1:37" x14ac:dyDescent="0.25">
      <c r="A1880" s="11">
        <f>Table1[[#This Row],[Milk Yield]]-J1876</f>
        <v>250</v>
      </c>
      <c r="B1880" t="s">
        <v>24</v>
      </c>
      <c r="C1880" s="2">
        <v>2</v>
      </c>
      <c r="D1880" s="12">
        <v>45980</v>
      </c>
      <c r="E1880" s="2">
        <v>33</v>
      </c>
      <c r="F1880" s="18">
        <v>0.67093749999999996</v>
      </c>
      <c r="G1880" s="3">
        <v>0.85744212962962962</v>
      </c>
      <c r="H1880" s="17">
        <v>0.18611111111111112</v>
      </c>
      <c r="I1880" s="5">
        <v>707</v>
      </c>
      <c r="J1880">
        <v>7363</v>
      </c>
      <c r="K1880">
        <v>158</v>
      </c>
      <c r="L1880" s="5">
        <v>131</v>
      </c>
      <c r="M1880" s="5">
        <v>705</v>
      </c>
      <c r="N1880">
        <v>17</v>
      </c>
      <c r="O1880">
        <v>688</v>
      </c>
      <c r="P1880" s="1">
        <v>0.22013888888888888</v>
      </c>
      <c r="Q1880" s="5">
        <v>1645</v>
      </c>
      <c r="R1880" s="14">
        <v>10.5</v>
      </c>
      <c r="S1880">
        <v>157</v>
      </c>
      <c r="T1880" s="5">
        <v>17</v>
      </c>
      <c r="U1880" s="5">
        <v>689</v>
      </c>
      <c r="V1880" s="5">
        <v>1</v>
      </c>
      <c r="W1880" s="5"/>
      <c r="X1880" s="5"/>
      <c r="Y1880" s="5"/>
      <c r="Z1880" s="5"/>
      <c r="AA1880" s="5"/>
      <c r="AB1880" s="5"/>
      <c r="AC1880" s="5"/>
      <c r="AD1880" s="5"/>
      <c r="AE1880" s="5"/>
      <c r="AF1880" s="5"/>
      <c r="AG1880" s="5"/>
      <c r="AH1880" s="5"/>
      <c r="AI1880" s="5"/>
      <c r="AJ1880" s="5"/>
      <c r="AK1880" s="5"/>
    </row>
    <row r="1881" spans="1:37" x14ac:dyDescent="0.25">
      <c r="A1881" s="11">
        <f>Table1[[#This Row],[Milk Yield]]-J1877</f>
        <v>-285</v>
      </c>
      <c r="B1881" t="s">
        <v>24</v>
      </c>
      <c r="C1881" s="2">
        <v>3</v>
      </c>
      <c r="D1881" s="12">
        <v>45980</v>
      </c>
      <c r="E1881" s="2">
        <v>32</v>
      </c>
      <c r="F1881" s="18">
        <v>6.4814814814814813E-4</v>
      </c>
      <c r="G1881" s="3">
        <v>0.16640046296296296</v>
      </c>
      <c r="H1881" s="17">
        <v>0.16527777777777777</v>
      </c>
      <c r="I1881" s="5">
        <v>703</v>
      </c>
      <c r="J1881">
        <v>6732</v>
      </c>
      <c r="K1881">
        <v>177</v>
      </c>
      <c r="L1881" s="5">
        <v>136</v>
      </c>
      <c r="M1881" s="5">
        <v>702</v>
      </c>
      <c r="N1881">
        <v>17</v>
      </c>
      <c r="O1881">
        <v>685</v>
      </c>
      <c r="P1881" s="1">
        <v>0.21041666666666667</v>
      </c>
      <c r="Q1881" s="5">
        <v>1692</v>
      </c>
      <c r="R1881" s="14">
        <v>9.6</v>
      </c>
      <c r="S1881">
        <v>176</v>
      </c>
      <c r="T1881" s="5">
        <v>17</v>
      </c>
      <c r="U1881" s="5">
        <v>686</v>
      </c>
      <c r="V1881" s="5">
        <v>1</v>
      </c>
      <c r="W1881" s="5"/>
      <c r="X1881" s="5"/>
      <c r="Y1881" s="5"/>
      <c r="Z1881" s="5"/>
      <c r="AA1881" s="5"/>
      <c r="AB1881" s="5"/>
      <c r="AC1881" s="5"/>
      <c r="AD1881" s="5"/>
      <c r="AE1881" s="5"/>
      <c r="AF1881" s="5"/>
      <c r="AG1881" s="5"/>
      <c r="AH1881" s="5"/>
      <c r="AI1881" s="5"/>
      <c r="AJ1881" s="5"/>
      <c r="AK1881" s="5"/>
    </row>
    <row r="1882" spans="1:37" x14ac:dyDescent="0.25">
      <c r="A1882" s="11" t="e">
        <f>Table1[[#This Row],[Milk Yield]]-J1878</f>
        <v>#VALUE!</v>
      </c>
      <c r="B1882" t="s">
        <v>0</v>
      </c>
      <c r="C1882" s="2" t="s">
        <v>1</v>
      </c>
      <c r="D1882" s="12" t="s">
        <v>2</v>
      </c>
      <c r="E1882" s="2" t="s">
        <v>3</v>
      </c>
      <c r="F1882" s="18" t="s">
        <v>4</v>
      </c>
      <c r="G1882" s="3" t="s">
        <v>5</v>
      </c>
      <c r="H1882" s="17" t="s">
        <v>6</v>
      </c>
      <c r="I1882" s="5" t="s">
        <v>8</v>
      </c>
      <c r="J1882" t="s">
        <v>9</v>
      </c>
      <c r="K1882" t="s">
        <v>10</v>
      </c>
      <c r="L1882" s="5" t="s">
        <v>11</v>
      </c>
      <c r="M1882" s="5" t="s">
        <v>12</v>
      </c>
      <c r="N1882" t="s">
        <v>13</v>
      </c>
      <c r="O1882" t="s">
        <v>20</v>
      </c>
      <c r="P1882" s="1" t="s">
        <v>7</v>
      </c>
      <c r="Q1882" s="5" t="s">
        <v>15</v>
      </c>
      <c r="R1882" s="14" t="s">
        <v>18</v>
      </c>
      <c r="S1882" t="s">
        <v>16</v>
      </c>
      <c r="T1882" s="5" t="s">
        <v>14</v>
      </c>
      <c r="U1882" s="5" t="s">
        <v>17</v>
      </c>
      <c r="V1882" s="5" t="s">
        <v>19</v>
      </c>
      <c r="W1882" s="5"/>
      <c r="X1882" s="5"/>
      <c r="Y1882" s="5"/>
      <c r="Z1882" s="5"/>
      <c r="AA1882" s="5"/>
      <c r="AB1882" s="5"/>
      <c r="AC1882" s="5"/>
      <c r="AD1882" s="5"/>
      <c r="AE1882" s="5"/>
      <c r="AF1882" s="5"/>
      <c r="AG1882" s="5"/>
      <c r="AH1882" s="5"/>
      <c r="AI1882" s="5"/>
      <c r="AJ1882" s="5"/>
      <c r="AK1882" s="5"/>
    </row>
    <row r="1883" spans="1:37" x14ac:dyDescent="0.25">
      <c r="A1883" s="11">
        <f>Table1[[#This Row],[Milk Yield]]-J1879</f>
        <v>471</v>
      </c>
      <c r="B1883" t="s">
        <v>24</v>
      </c>
      <c r="C1883" s="2">
        <v>1</v>
      </c>
      <c r="D1883" s="12">
        <v>45981</v>
      </c>
      <c r="E1883" s="2">
        <v>32</v>
      </c>
      <c r="F1883" s="18">
        <v>0.33438657407407407</v>
      </c>
      <c r="G1883" s="3">
        <v>0.51358796296296294</v>
      </c>
      <c r="H1883" s="17">
        <v>0.17916666666666667</v>
      </c>
      <c r="I1883" s="5">
        <v>697</v>
      </c>
      <c r="J1883">
        <v>7473</v>
      </c>
      <c r="K1883">
        <v>162</v>
      </c>
      <c r="L1883" s="5">
        <v>102</v>
      </c>
      <c r="M1883" s="5">
        <v>694</v>
      </c>
      <c r="N1883">
        <v>10</v>
      </c>
      <c r="O1883">
        <v>684</v>
      </c>
      <c r="P1883" s="1">
        <v>0.21666666666666667</v>
      </c>
      <c r="Q1883" s="5">
        <v>1738</v>
      </c>
      <c r="R1883" s="14">
        <v>10.8</v>
      </c>
      <c r="S1883">
        <v>161</v>
      </c>
      <c r="T1883" s="5">
        <v>10</v>
      </c>
      <c r="U1883" s="5">
        <v>685</v>
      </c>
      <c r="V1883" s="5">
        <v>1</v>
      </c>
      <c r="W1883" s="5"/>
      <c r="X1883" s="5"/>
      <c r="Y1883" s="5"/>
      <c r="Z1883" s="5"/>
      <c r="AA1883" s="5"/>
      <c r="AB1883" s="5"/>
      <c r="AC1883" s="5"/>
      <c r="AD1883" s="5"/>
      <c r="AE1883" s="5"/>
      <c r="AF1883" s="5"/>
      <c r="AG1883" s="5"/>
      <c r="AH1883" s="5"/>
      <c r="AI1883" s="5"/>
      <c r="AJ1883" s="5"/>
      <c r="AK1883" s="5"/>
    </row>
    <row r="1884" spans="1:37" x14ac:dyDescent="0.25">
      <c r="A1884" s="11">
        <f>Table1[[#This Row],[Milk Yield]]-J1880</f>
        <v>353</v>
      </c>
      <c r="B1884" t="s">
        <v>24</v>
      </c>
      <c r="C1884" s="2">
        <v>2</v>
      </c>
      <c r="D1884" s="12">
        <v>45981</v>
      </c>
      <c r="E1884" s="2">
        <v>32</v>
      </c>
      <c r="F1884" s="18">
        <v>0.67065972222222225</v>
      </c>
      <c r="G1884" s="3">
        <v>0.86098379629629629</v>
      </c>
      <c r="H1884" s="17">
        <v>0.19027777777777777</v>
      </c>
      <c r="I1884" s="5">
        <v>699</v>
      </c>
      <c r="J1884">
        <v>7716</v>
      </c>
      <c r="K1884">
        <v>153</v>
      </c>
      <c r="L1884" s="5">
        <v>57</v>
      </c>
      <c r="M1884" s="5">
        <v>698</v>
      </c>
      <c r="N1884">
        <v>6</v>
      </c>
      <c r="O1884">
        <v>692</v>
      </c>
      <c r="P1884" s="1">
        <v>0.21736111111111112</v>
      </c>
      <c r="Q1884" s="5">
        <v>1689</v>
      </c>
      <c r="R1884" s="14">
        <v>11.1</v>
      </c>
      <c r="S1884">
        <v>153</v>
      </c>
      <c r="T1884" s="5">
        <v>6</v>
      </c>
      <c r="U1884" s="5">
        <v>693</v>
      </c>
      <c r="V1884" s="5">
        <v>1</v>
      </c>
      <c r="W1884" s="5"/>
      <c r="X1884" s="5"/>
      <c r="Y1884" s="5"/>
      <c r="Z1884" s="5"/>
      <c r="AA1884" s="5"/>
      <c r="AB1884" s="5"/>
      <c r="AC1884" s="5"/>
      <c r="AD1884" s="5"/>
      <c r="AE1884" s="5"/>
      <c r="AF1884" s="5"/>
      <c r="AG1884" s="5"/>
      <c r="AH1884" s="5"/>
      <c r="AI1884" s="5"/>
      <c r="AJ1884" s="5"/>
      <c r="AK1884" s="5"/>
    </row>
    <row r="1885" spans="1:37" x14ac:dyDescent="0.25">
      <c r="A1885" s="11">
        <f>Table1[[#This Row],[Milk Yield]]-J1881</f>
        <v>209</v>
      </c>
      <c r="B1885" t="s">
        <v>24</v>
      </c>
      <c r="C1885" s="2">
        <v>3</v>
      </c>
      <c r="D1885" s="12">
        <v>45981</v>
      </c>
      <c r="E1885" s="2">
        <v>32</v>
      </c>
      <c r="F1885" s="18">
        <v>5.9027777777777778E-4</v>
      </c>
      <c r="G1885" s="3">
        <v>0.17859953703703704</v>
      </c>
      <c r="H1885" s="17">
        <v>0.17777777777777778</v>
      </c>
      <c r="I1885" s="5">
        <v>704</v>
      </c>
      <c r="J1885">
        <v>6941</v>
      </c>
      <c r="K1885">
        <v>165</v>
      </c>
      <c r="L1885" s="5">
        <v>127</v>
      </c>
      <c r="M1885" s="5">
        <v>703</v>
      </c>
      <c r="N1885">
        <v>16</v>
      </c>
      <c r="O1885">
        <v>687</v>
      </c>
      <c r="P1885" s="1">
        <v>0.21041666666666667</v>
      </c>
      <c r="Q1885" s="5">
        <v>1625</v>
      </c>
      <c r="R1885" s="14">
        <v>9.9</v>
      </c>
      <c r="S1885">
        <v>165</v>
      </c>
      <c r="T1885" s="5">
        <v>16</v>
      </c>
      <c r="U1885" s="5">
        <v>688</v>
      </c>
      <c r="V1885" s="5">
        <v>1</v>
      </c>
      <c r="W1885" s="5"/>
      <c r="X1885" s="5"/>
      <c r="Y1885" s="5"/>
      <c r="Z1885" s="5"/>
      <c r="AA1885" s="5"/>
      <c r="AB1885" s="5"/>
      <c r="AC1885" s="5"/>
      <c r="AD1885" s="5"/>
      <c r="AE1885" s="5"/>
      <c r="AF1885" s="5"/>
      <c r="AG1885" s="5"/>
      <c r="AH1885" s="5"/>
      <c r="AI1885" s="5"/>
      <c r="AJ1885" s="5"/>
      <c r="AK1885" s="5"/>
    </row>
    <row r="1886" spans="1:37" x14ac:dyDescent="0.25">
      <c r="A1886" s="11" t="e">
        <f>Table1[[#This Row],[Milk Yield]]-J1882</f>
        <v>#VALUE!</v>
      </c>
      <c r="B1886" t="s">
        <v>0</v>
      </c>
      <c r="C1886" s="2" t="s">
        <v>1</v>
      </c>
      <c r="D1886" s="12" t="s">
        <v>2</v>
      </c>
      <c r="E1886" s="2" t="s">
        <v>3</v>
      </c>
      <c r="F1886" s="18" t="s">
        <v>4</v>
      </c>
      <c r="G1886" s="3" t="s">
        <v>5</v>
      </c>
      <c r="H1886" s="17" t="s">
        <v>6</v>
      </c>
      <c r="I1886" s="5" t="s">
        <v>8</v>
      </c>
      <c r="J1886" t="s">
        <v>9</v>
      </c>
      <c r="K1886" t="s">
        <v>10</v>
      </c>
      <c r="L1886" s="5" t="s">
        <v>11</v>
      </c>
      <c r="M1886" s="5" t="s">
        <v>12</v>
      </c>
      <c r="N1886" t="s">
        <v>13</v>
      </c>
      <c r="O1886" t="s">
        <v>20</v>
      </c>
      <c r="P1886" s="1" t="s">
        <v>7</v>
      </c>
      <c r="Q1886" s="5" t="s">
        <v>15</v>
      </c>
      <c r="R1886" s="14" t="s">
        <v>18</v>
      </c>
      <c r="S1886" t="s">
        <v>16</v>
      </c>
      <c r="T1886" s="5" t="s">
        <v>14</v>
      </c>
      <c r="U1886" s="5" t="s">
        <v>17</v>
      </c>
      <c r="V1886" s="5" t="s">
        <v>19</v>
      </c>
      <c r="W1886" s="5"/>
      <c r="X1886" s="5"/>
      <c r="Y1886" s="5"/>
      <c r="Z1886" s="5"/>
      <c r="AA1886" s="5"/>
      <c r="AB1886" s="5"/>
      <c r="AC1886" s="5"/>
      <c r="AD1886" s="5"/>
      <c r="AE1886" s="5"/>
      <c r="AF1886" s="5"/>
      <c r="AG1886" s="5"/>
      <c r="AH1886" s="5"/>
      <c r="AI1886" s="5"/>
      <c r="AJ1886" s="5"/>
      <c r="AK1886" s="5"/>
    </row>
    <row r="1887" spans="1:37" x14ac:dyDescent="0.25">
      <c r="A1887" s="11">
        <f>Table1[[#This Row],[Milk Yield]]-J1883</f>
        <v>100</v>
      </c>
      <c r="B1887" t="s">
        <v>24</v>
      </c>
      <c r="C1887" s="2">
        <v>1</v>
      </c>
      <c r="D1887" s="12">
        <v>45982</v>
      </c>
      <c r="E1887" s="2">
        <v>32</v>
      </c>
      <c r="F1887" s="18">
        <v>0.3362384259259259</v>
      </c>
      <c r="G1887" s="3">
        <v>0.52831018518518513</v>
      </c>
      <c r="H1887" s="17">
        <v>0.19166666666666668</v>
      </c>
      <c r="I1887" s="5">
        <v>699</v>
      </c>
      <c r="J1887">
        <v>7573</v>
      </c>
      <c r="K1887">
        <v>152</v>
      </c>
      <c r="L1887" s="5">
        <v>107</v>
      </c>
      <c r="M1887" s="5">
        <v>697</v>
      </c>
      <c r="N1887">
        <v>10</v>
      </c>
      <c r="O1887">
        <v>687</v>
      </c>
      <c r="P1887" s="1">
        <v>0.21527777777777779</v>
      </c>
      <c r="Q1887" s="5">
        <v>1643</v>
      </c>
      <c r="R1887" s="14">
        <v>10.9</v>
      </c>
      <c r="S1887">
        <v>151</v>
      </c>
      <c r="T1887" s="5">
        <v>10</v>
      </c>
      <c r="U1887" s="5">
        <v>688</v>
      </c>
      <c r="V1887" s="5">
        <v>1</v>
      </c>
      <c r="W1887" s="5"/>
      <c r="X1887" s="5"/>
      <c r="Y1887" s="5"/>
      <c r="Z1887" s="5"/>
      <c r="AA1887" s="5"/>
      <c r="AB1887" s="5"/>
      <c r="AC1887" s="5"/>
      <c r="AD1887" s="5"/>
      <c r="AE1887" s="5"/>
      <c r="AF1887" s="5"/>
      <c r="AG1887" s="5"/>
      <c r="AH1887" s="5"/>
      <c r="AI1887" s="5"/>
      <c r="AJ1887" s="5"/>
      <c r="AK1887" s="5"/>
    </row>
    <row r="1888" spans="1:37" x14ac:dyDescent="0.25">
      <c r="A1888" s="11">
        <f>Table1[[#This Row],[Milk Yield]]-J1884</f>
        <v>14</v>
      </c>
      <c r="B1888" t="s">
        <v>24</v>
      </c>
      <c r="C1888" s="2">
        <v>2</v>
      </c>
      <c r="D1888" s="12">
        <v>45982</v>
      </c>
      <c r="E1888" s="2">
        <v>32</v>
      </c>
      <c r="F1888" s="18">
        <v>0.66800925925925925</v>
      </c>
      <c r="G1888" s="3">
        <v>0.87023148148148144</v>
      </c>
      <c r="H1888" s="17">
        <v>0.20208333333333334</v>
      </c>
      <c r="I1888" s="5">
        <v>692</v>
      </c>
      <c r="J1888">
        <v>7730</v>
      </c>
      <c r="K1888">
        <v>143</v>
      </c>
      <c r="L1888" s="5">
        <v>78</v>
      </c>
      <c r="M1888" s="5">
        <v>692</v>
      </c>
      <c r="N1888">
        <v>9</v>
      </c>
      <c r="O1888">
        <v>683</v>
      </c>
      <c r="P1888" s="1">
        <v>0.22361111111111112</v>
      </c>
      <c r="Q1888" s="5">
        <v>1593</v>
      </c>
      <c r="R1888" s="14">
        <v>11.2</v>
      </c>
      <c r="S1888">
        <v>143</v>
      </c>
      <c r="T1888" s="5">
        <v>9</v>
      </c>
      <c r="U1888" s="5">
        <v>685</v>
      </c>
      <c r="V1888" s="5">
        <v>2</v>
      </c>
      <c r="W1888" s="5"/>
      <c r="X1888" s="5"/>
      <c r="Y1888" s="5"/>
      <c r="Z1888" s="5"/>
      <c r="AA1888" s="5"/>
      <c r="AB1888" s="5"/>
      <c r="AC1888" s="5"/>
      <c r="AD1888" s="5"/>
      <c r="AE1888" s="5"/>
      <c r="AF1888" s="5"/>
      <c r="AG1888" s="5"/>
      <c r="AH1888" s="5"/>
      <c r="AI1888" s="5"/>
      <c r="AJ1888" s="5"/>
      <c r="AK1888" s="5"/>
    </row>
    <row r="1889" spans="1:37" x14ac:dyDescent="0.25">
      <c r="A1889" s="11">
        <f>Table1[[#This Row],[Milk Yield]]-J1885</f>
        <v>270</v>
      </c>
      <c r="B1889" t="s">
        <v>24</v>
      </c>
      <c r="C1889" s="2">
        <v>3</v>
      </c>
      <c r="D1889" s="12">
        <v>45982</v>
      </c>
      <c r="E1889" s="2">
        <v>31</v>
      </c>
      <c r="F1889" s="18">
        <v>3.1597222222222222E-3</v>
      </c>
      <c r="G1889" s="3">
        <v>0.20712962962962964</v>
      </c>
      <c r="H1889" s="17">
        <v>0.20347222222222222</v>
      </c>
      <c r="I1889" s="5">
        <v>695</v>
      </c>
      <c r="J1889">
        <v>7211</v>
      </c>
      <c r="K1889">
        <v>142</v>
      </c>
      <c r="L1889" s="5">
        <v>222</v>
      </c>
      <c r="M1889" s="5">
        <v>695</v>
      </c>
      <c r="N1889">
        <v>27</v>
      </c>
      <c r="O1889">
        <v>668</v>
      </c>
      <c r="P1889" s="1">
        <v>0.22152777777777777</v>
      </c>
      <c r="Q1889" s="5">
        <v>1473</v>
      </c>
      <c r="R1889" s="14">
        <v>10.4</v>
      </c>
      <c r="S1889">
        <v>142</v>
      </c>
      <c r="T1889" s="5">
        <v>27</v>
      </c>
      <c r="U1889" s="5">
        <v>670</v>
      </c>
      <c r="V1889" s="5">
        <v>2</v>
      </c>
      <c r="W1889" s="5"/>
      <c r="X1889" s="5"/>
      <c r="Y1889" s="5"/>
      <c r="Z1889" s="5"/>
      <c r="AA1889" s="5"/>
      <c r="AB1889" s="5"/>
      <c r="AC1889" s="5"/>
      <c r="AD1889" s="5"/>
      <c r="AE1889" s="5"/>
      <c r="AF1889" s="5"/>
      <c r="AG1889" s="5"/>
      <c r="AH1889" s="5"/>
      <c r="AI1889" s="5"/>
      <c r="AJ1889" s="5"/>
      <c r="AK1889" s="5"/>
    </row>
    <row r="1890" spans="1:37" x14ac:dyDescent="0.25">
      <c r="A1890" s="11" t="e">
        <f>Table1[[#This Row],[Milk Yield]]-J1886</f>
        <v>#VALUE!</v>
      </c>
      <c r="B1890" t="s">
        <v>0</v>
      </c>
      <c r="C1890" s="2" t="s">
        <v>1</v>
      </c>
      <c r="D1890" s="12" t="s">
        <v>2</v>
      </c>
      <c r="E1890" s="2" t="s">
        <v>3</v>
      </c>
      <c r="F1890" s="18" t="s">
        <v>4</v>
      </c>
      <c r="G1890" s="3" t="s">
        <v>5</v>
      </c>
      <c r="H1890" s="17" t="s">
        <v>6</v>
      </c>
      <c r="I1890" s="5" t="s">
        <v>8</v>
      </c>
      <c r="J1890" t="s">
        <v>9</v>
      </c>
      <c r="K1890" t="s">
        <v>10</v>
      </c>
      <c r="L1890" s="5" t="s">
        <v>11</v>
      </c>
      <c r="M1890" s="5" t="s">
        <v>12</v>
      </c>
      <c r="N1890" t="s">
        <v>13</v>
      </c>
      <c r="O1890" t="s">
        <v>20</v>
      </c>
      <c r="P1890" s="1" t="s">
        <v>7</v>
      </c>
      <c r="Q1890" s="5" t="s">
        <v>15</v>
      </c>
      <c r="R1890" s="14" t="s">
        <v>18</v>
      </c>
      <c r="S1890" t="s">
        <v>16</v>
      </c>
      <c r="T1890" s="5" t="s">
        <v>14</v>
      </c>
      <c r="U1890" s="5" t="s">
        <v>17</v>
      </c>
      <c r="V1890" s="5" t="s">
        <v>19</v>
      </c>
      <c r="W1890" s="5"/>
      <c r="X1890" s="5"/>
      <c r="Y1890" s="5"/>
      <c r="Z1890" s="5"/>
      <c r="AA1890" s="5"/>
      <c r="AB1890" s="5"/>
      <c r="AC1890" s="5"/>
      <c r="AD1890" s="5"/>
      <c r="AE1890" s="5"/>
      <c r="AF1890" s="5"/>
      <c r="AG1890" s="5"/>
      <c r="AH1890" s="5"/>
      <c r="AI1890" s="5"/>
      <c r="AJ1890" s="5"/>
      <c r="AK1890" s="5"/>
    </row>
    <row r="1891" spans="1:37" x14ac:dyDescent="0.25">
      <c r="A1891" s="11">
        <f>Table1[[#This Row],[Milk Yield]]-J1887</f>
        <v>-140</v>
      </c>
      <c r="B1891" t="s">
        <v>24</v>
      </c>
      <c r="C1891" s="2">
        <v>1</v>
      </c>
      <c r="D1891" s="12">
        <v>45983</v>
      </c>
      <c r="E1891" s="2">
        <v>31</v>
      </c>
      <c r="F1891" s="18">
        <v>0.33662037037037035</v>
      </c>
      <c r="G1891" s="3">
        <v>0.52107638888888885</v>
      </c>
      <c r="H1891" s="17">
        <v>0.18402777777777779</v>
      </c>
      <c r="I1891" s="5">
        <v>694</v>
      </c>
      <c r="J1891">
        <v>7433</v>
      </c>
      <c r="K1891">
        <v>157</v>
      </c>
      <c r="L1891" s="5">
        <v>125</v>
      </c>
      <c r="M1891" s="5">
        <v>694</v>
      </c>
      <c r="N1891">
        <v>16</v>
      </c>
      <c r="O1891">
        <v>678</v>
      </c>
      <c r="P1891" s="1">
        <v>0.21875</v>
      </c>
      <c r="Q1891" s="5">
        <v>1679</v>
      </c>
      <c r="R1891" s="14">
        <v>10.8</v>
      </c>
      <c r="S1891">
        <v>157</v>
      </c>
      <c r="T1891" s="5">
        <v>16</v>
      </c>
      <c r="U1891" s="5">
        <v>680</v>
      </c>
      <c r="V1891" s="5">
        <v>2</v>
      </c>
      <c r="W1891" s="5"/>
      <c r="X1891" s="5"/>
      <c r="Y1891" s="5"/>
      <c r="Z1891" s="5"/>
      <c r="AA1891" s="5"/>
      <c r="AB1891" s="5"/>
      <c r="AC1891" s="5"/>
      <c r="AD1891" s="5"/>
      <c r="AE1891" s="5"/>
      <c r="AF1891" s="5"/>
      <c r="AG1891" s="5"/>
      <c r="AH1891" s="5"/>
      <c r="AI1891" s="5"/>
      <c r="AJ1891" s="5"/>
      <c r="AK1891" s="5"/>
    </row>
    <row r="1892" spans="1:37" x14ac:dyDescent="0.25">
      <c r="A1892" s="11">
        <f>Table1[[#This Row],[Milk Yield]]-J1888</f>
        <v>-382</v>
      </c>
      <c r="B1892" t="s">
        <v>24</v>
      </c>
      <c r="C1892" s="2">
        <v>2</v>
      </c>
      <c r="D1892" s="12">
        <v>45983</v>
      </c>
      <c r="E1892" s="2">
        <v>33</v>
      </c>
      <c r="F1892" s="18">
        <v>0.6690625</v>
      </c>
      <c r="G1892" s="3">
        <v>0.86185185185185187</v>
      </c>
      <c r="H1892" s="17">
        <v>0.19236111111111112</v>
      </c>
      <c r="I1892" s="5">
        <v>695</v>
      </c>
      <c r="J1892">
        <v>7348</v>
      </c>
      <c r="K1892">
        <v>150</v>
      </c>
      <c r="L1892" s="5">
        <v>123</v>
      </c>
      <c r="M1892" s="5">
        <v>694</v>
      </c>
      <c r="N1892">
        <v>15</v>
      </c>
      <c r="O1892">
        <v>679</v>
      </c>
      <c r="P1892" s="1">
        <v>0.21527777777777779</v>
      </c>
      <c r="Q1892" s="5">
        <v>1588</v>
      </c>
      <c r="R1892" s="14">
        <v>10.6</v>
      </c>
      <c r="S1892">
        <v>150</v>
      </c>
      <c r="T1892" s="5">
        <v>15</v>
      </c>
      <c r="U1892" s="5">
        <v>681</v>
      </c>
      <c r="V1892" s="5">
        <v>2</v>
      </c>
      <c r="W1892" s="5"/>
      <c r="X1892" s="5"/>
      <c r="Y1892" s="5"/>
      <c r="Z1892" s="5"/>
      <c r="AA1892" s="5"/>
      <c r="AB1892" s="5"/>
      <c r="AC1892" s="5"/>
      <c r="AD1892" s="5"/>
      <c r="AE1892" s="5"/>
      <c r="AF1892" s="5"/>
      <c r="AG1892" s="5"/>
      <c r="AH1892" s="5"/>
      <c r="AI1892" s="5"/>
      <c r="AJ1892" s="5"/>
      <c r="AK1892" s="5"/>
    </row>
    <row r="1893" spans="1:37" x14ac:dyDescent="0.25">
      <c r="A1893" s="11">
        <f>Table1[[#This Row],[Milk Yield]]-J1889</f>
        <v>191</v>
      </c>
      <c r="B1893" t="s">
        <v>24</v>
      </c>
      <c r="C1893" s="2">
        <v>3</v>
      </c>
      <c r="D1893" s="12">
        <v>45983</v>
      </c>
      <c r="E1893" s="2">
        <v>32</v>
      </c>
      <c r="F1893" s="18">
        <v>8.3333333333333339E-4</v>
      </c>
      <c r="G1893" s="3">
        <v>0.21331018518518519</v>
      </c>
      <c r="H1893" s="17">
        <v>0.21180555555555555</v>
      </c>
      <c r="I1893" s="5">
        <v>692</v>
      </c>
      <c r="J1893">
        <v>7402</v>
      </c>
      <c r="K1893">
        <v>136</v>
      </c>
      <c r="L1893" s="5">
        <v>135</v>
      </c>
      <c r="M1893" s="5">
        <v>692</v>
      </c>
      <c r="N1893">
        <v>17</v>
      </c>
      <c r="O1893">
        <v>675</v>
      </c>
      <c r="P1893" s="1">
        <v>0.22222222222222221</v>
      </c>
      <c r="Q1893" s="5">
        <v>1452</v>
      </c>
      <c r="R1893" s="14">
        <v>10.7</v>
      </c>
      <c r="S1893">
        <v>136</v>
      </c>
      <c r="T1893" s="5">
        <v>17</v>
      </c>
      <c r="U1893" s="5">
        <v>677</v>
      </c>
      <c r="V1893" s="5">
        <v>2</v>
      </c>
      <c r="W1893" s="5"/>
      <c r="X1893" s="5"/>
      <c r="Y1893" s="5"/>
      <c r="Z1893" s="5"/>
      <c r="AA1893" s="5"/>
      <c r="AB1893" s="5"/>
      <c r="AC1893" s="5"/>
      <c r="AD1893" s="5"/>
      <c r="AE1893" s="5"/>
      <c r="AF1893" s="5"/>
      <c r="AG1893" s="5"/>
      <c r="AH1893" s="5"/>
      <c r="AI1893" s="5"/>
      <c r="AJ1893" s="5"/>
      <c r="AK1893" s="5"/>
    </row>
    <row r="1894" spans="1:37" x14ac:dyDescent="0.25">
      <c r="A1894" s="11" t="e">
        <f>Table1[[#This Row],[Milk Yield]]-J1890</f>
        <v>#VALUE!</v>
      </c>
      <c r="B1894" t="s">
        <v>0</v>
      </c>
      <c r="C1894" s="2" t="s">
        <v>1</v>
      </c>
      <c r="D1894" s="12" t="s">
        <v>2</v>
      </c>
      <c r="E1894" s="2" t="s">
        <v>3</v>
      </c>
      <c r="F1894" s="18" t="s">
        <v>4</v>
      </c>
      <c r="G1894" s="3" t="s">
        <v>5</v>
      </c>
      <c r="H1894" s="17" t="s">
        <v>6</v>
      </c>
      <c r="I1894" s="5" t="s">
        <v>8</v>
      </c>
      <c r="J1894" t="s">
        <v>9</v>
      </c>
      <c r="K1894" t="s">
        <v>10</v>
      </c>
      <c r="L1894" s="5" t="s">
        <v>11</v>
      </c>
      <c r="M1894" s="5" t="s">
        <v>12</v>
      </c>
      <c r="N1894" t="s">
        <v>13</v>
      </c>
      <c r="O1894" t="s">
        <v>20</v>
      </c>
      <c r="P1894" s="1" t="s">
        <v>7</v>
      </c>
      <c r="Q1894" s="5" t="s">
        <v>15</v>
      </c>
      <c r="R1894" s="14" t="s">
        <v>18</v>
      </c>
      <c r="S1894" t="s">
        <v>16</v>
      </c>
      <c r="T1894" s="5" t="s">
        <v>14</v>
      </c>
      <c r="U1894" s="5" t="s">
        <v>17</v>
      </c>
      <c r="V1894" s="5" t="s">
        <v>19</v>
      </c>
      <c r="W1894" s="5"/>
      <c r="X1894" s="5"/>
      <c r="Y1894" s="5"/>
      <c r="Z1894" s="5"/>
      <c r="AA1894" s="5"/>
      <c r="AB1894" s="5"/>
      <c r="AC1894" s="5"/>
      <c r="AD1894" s="5"/>
      <c r="AE1894" s="5"/>
      <c r="AF1894" s="5"/>
      <c r="AG1894" s="5"/>
      <c r="AH1894" s="5"/>
      <c r="AI1894" s="5"/>
      <c r="AJ1894" s="5"/>
      <c r="AK1894" s="5"/>
    </row>
    <row r="1895" spans="1:37" x14ac:dyDescent="0.25">
      <c r="A1895" s="11">
        <f>Table1[[#This Row],[Milk Yield]]-J1891</f>
        <v>-302</v>
      </c>
      <c r="B1895" t="s">
        <v>24</v>
      </c>
      <c r="C1895" s="2">
        <v>1</v>
      </c>
      <c r="D1895" s="12">
        <v>45984</v>
      </c>
      <c r="E1895" s="2">
        <v>30</v>
      </c>
      <c r="F1895" s="18">
        <v>0.33354166666666668</v>
      </c>
      <c r="G1895" s="3">
        <v>0.50594907407407408</v>
      </c>
      <c r="H1895" s="17">
        <v>0.17222222222222222</v>
      </c>
      <c r="I1895" s="5">
        <v>691</v>
      </c>
      <c r="J1895">
        <v>7131</v>
      </c>
      <c r="K1895">
        <v>167</v>
      </c>
      <c r="L1895" s="5">
        <v>160</v>
      </c>
      <c r="M1895" s="5">
        <v>690</v>
      </c>
      <c r="N1895">
        <v>16</v>
      </c>
      <c r="O1895">
        <v>674</v>
      </c>
      <c r="P1895" s="1">
        <v>0.21666666666666667</v>
      </c>
      <c r="Q1895" s="5">
        <v>1723</v>
      </c>
      <c r="R1895" s="14">
        <v>10.4</v>
      </c>
      <c r="S1895">
        <v>167</v>
      </c>
      <c r="T1895" s="5">
        <v>16</v>
      </c>
      <c r="U1895" s="5">
        <v>675</v>
      </c>
      <c r="V1895" s="5">
        <v>1</v>
      </c>
      <c r="W1895" s="5"/>
      <c r="X1895" s="5"/>
      <c r="Y1895" s="5"/>
      <c r="Z1895" s="5"/>
      <c r="AA1895" s="5"/>
      <c r="AB1895" s="5"/>
      <c r="AC1895" s="5"/>
      <c r="AD1895" s="5"/>
      <c r="AE1895" s="5"/>
      <c r="AF1895" s="5"/>
      <c r="AG1895" s="5"/>
      <c r="AH1895" s="5"/>
      <c r="AI1895" s="5"/>
      <c r="AJ1895" s="5"/>
      <c r="AK1895" s="5"/>
    </row>
    <row r="1896" spans="1:37" x14ac:dyDescent="0.25">
      <c r="A1896" s="11">
        <f>Table1[[#This Row],[Milk Yield]]-J1892</f>
        <v>401</v>
      </c>
      <c r="B1896" t="s">
        <v>24</v>
      </c>
      <c r="C1896" s="2">
        <v>2</v>
      </c>
      <c r="D1896" s="12">
        <v>45984</v>
      </c>
      <c r="E1896" s="2">
        <v>32</v>
      </c>
      <c r="F1896" s="18">
        <v>0.66954861111111108</v>
      </c>
      <c r="G1896" s="3">
        <v>0.86525462962962962</v>
      </c>
      <c r="H1896" s="17">
        <v>0.19513888888888889</v>
      </c>
      <c r="I1896" s="5">
        <v>696</v>
      </c>
      <c r="J1896">
        <v>7749</v>
      </c>
      <c r="K1896">
        <v>148</v>
      </c>
      <c r="L1896" s="5">
        <v>315</v>
      </c>
      <c r="M1896" s="5">
        <v>694</v>
      </c>
      <c r="N1896">
        <v>33</v>
      </c>
      <c r="O1896">
        <v>661</v>
      </c>
      <c r="P1896" s="1">
        <v>0.22708333333333333</v>
      </c>
      <c r="Q1896" s="5">
        <v>1650</v>
      </c>
      <c r="R1896" s="14">
        <v>11.2</v>
      </c>
      <c r="S1896">
        <v>148</v>
      </c>
      <c r="T1896" s="5">
        <v>33</v>
      </c>
      <c r="U1896" s="5">
        <v>662</v>
      </c>
      <c r="V1896" s="5">
        <v>1</v>
      </c>
      <c r="W1896" s="5"/>
      <c r="X1896" s="5"/>
      <c r="Y1896" s="5"/>
      <c r="Z1896" s="5"/>
      <c r="AA1896" s="5"/>
      <c r="AB1896" s="5"/>
      <c r="AC1896" s="5"/>
      <c r="AD1896" s="5"/>
      <c r="AE1896" s="5"/>
      <c r="AF1896" s="5"/>
      <c r="AG1896" s="5"/>
      <c r="AH1896" s="5"/>
      <c r="AI1896" s="5"/>
      <c r="AJ1896" s="5"/>
      <c r="AK1896" s="5"/>
    </row>
    <row r="1897" spans="1:37" x14ac:dyDescent="0.25">
      <c r="A1897" s="11">
        <f>Table1[[#This Row],[Milk Yield]]-J1893</f>
        <v>35</v>
      </c>
      <c r="B1897" t="s">
        <v>24</v>
      </c>
      <c r="C1897" s="2">
        <v>3</v>
      </c>
      <c r="D1897" s="12">
        <v>45984</v>
      </c>
      <c r="E1897" s="2">
        <v>32</v>
      </c>
      <c r="F1897" s="18">
        <v>0.99861111111111112</v>
      </c>
      <c r="G1897" s="3">
        <v>0.19399305555555554</v>
      </c>
      <c r="H1897" s="17">
        <v>0.19513888888888889</v>
      </c>
      <c r="I1897" s="5">
        <v>693</v>
      </c>
      <c r="J1897">
        <v>7437</v>
      </c>
      <c r="K1897">
        <v>148</v>
      </c>
      <c r="L1897" s="5">
        <v>140</v>
      </c>
      <c r="M1897" s="5">
        <v>693</v>
      </c>
      <c r="N1897">
        <v>15</v>
      </c>
      <c r="O1897">
        <v>678</v>
      </c>
      <c r="P1897" s="1">
        <v>0.2298611111111111</v>
      </c>
      <c r="Q1897" s="5">
        <v>1586</v>
      </c>
      <c r="R1897" s="14">
        <v>10.8</v>
      </c>
      <c r="S1897">
        <v>148</v>
      </c>
      <c r="T1897" s="5">
        <v>15</v>
      </c>
      <c r="U1897" s="5">
        <v>679</v>
      </c>
      <c r="V1897" s="5">
        <v>1</v>
      </c>
      <c r="W1897" s="5"/>
      <c r="X1897" s="5"/>
      <c r="Y1897" s="5"/>
      <c r="Z1897" s="5"/>
      <c r="AA1897" s="5"/>
      <c r="AB1897" s="5"/>
      <c r="AC1897" s="5"/>
      <c r="AD1897" s="5"/>
      <c r="AE1897" s="5"/>
      <c r="AF1897" s="5"/>
      <c r="AG1897" s="5"/>
      <c r="AH1897" s="5"/>
      <c r="AI1897" s="5"/>
      <c r="AJ1897" s="5"/>
      <c r="AK1897" s="5"/>
    </row>
    <row r="1898" spans="1:37" x14ac:dyDescent="0.25">
      <c r="A1898" s="11" t="e">
        <f>Table1[[#This Row],[Milk Yield]]-J1894</f>
        <v>#VALUE!</v>
      </c>
      <c r="B1898" t="s">
        <v>0</v>
      </c>
      <c r="C1898" s="2" t="s">
        <v>1</v>
      </c>
      <c r="D1898" s="12" t="s">
        <v>2</v>
      </c>
      <c r="E1898" s="2" t="s">
        <v>3</v>
      </c>
      <c r="F1898" s="18" t="s">
        <v>4</v>
      </c>
      <c r="G1898" s="3" t="s">
        <v>5</v>
      </c>
      <c r="H1898" s="17" t="s">
        <v>6</v>
      </c>
      <c r="I1898" s="5" t="s">
        <v>8</v>
      </c>
      <c r="J1898" t="s">
        <v>9</v>
      </c>
      <c r="K1898" t="s">
        <v>10</v>
      </c>
      <c r="L1898" s="5" t="s">
        <v>11</v>
      </c>
      <c r="M1898" s="5" t="s">
        <v>12</v>
      </c>
      <c r="N1898" t="s">
        <v>13</v>
      </c>
      <c r="O1898" t="s">
        <v>20</v>
      </c>
      <c r="P1898" s="1" t="s">
        <v>7</v>
      </c>
      <c r="Q1898" s="5" t="s">
        <v>15</v>
      </c>
      <c r="R1898" s="14" t="s">
        <v>18</v>
      </c>
      <c r="S1898" t="s">
        <v>16</v>
      </c>
      <c r="T1898" s="5" t="s">
        <v>14</v>
      </c>
      <c r="U1898" s="5" t="s">
        <v>17</v>
      </c>
      <c r="V1898" s="5" t="s">
        <v>19</v>
      </c>
      <c r="W1898" s="5"/>
      <c r="X1898" s="5"/>
      <c r="Y1898" s="5"/>
      <c r="Z1898" s="5"/>
      <c r="AA1898" s="5"/>
      <c r="AB1898" s="5"/>
      <c r="AC1898" s="5"/>
      <c r="AD1898" s="5"/>
      <c r="AE1898" s="5"/>
      <c r="AF1898" s="5"/>
      <c r="AG1898" s="5"/>
      <c r="AH1898" s="5"/>
      <c r="AI1898" s="5"/>
      <c r="AJ1898" s="5"/>
      <c r="AK1898" s="5"/>
    </row>
    <row r="1899" spans="1:37" x14ac:dyDescent="0.25">
      <c r="A1899" s="11">
        <f>Table1[[#This Row],[Milk Yield]]-J1895</f>
        <v>385</v>
      </c>
      <c r="B1899" t="s">
        <v>24</v>
      </c>
      <c r="C1899" s="2">
        <v>1</v>
      </c>
      <c r="D1899" s="12">
        <v>45985</v>
      </c>
      <c r="E1899" s="2">
        <v>31</v>
      </c>
      <c r="F1899" s="18">
        <v>0.33327546296296295</v>
      </c>
      <c r="G1899" s="3">
        <v>0.51163194444444449</v>
      </c>
      <c r="H1899" s="17">
        <v>0.17777777777777778</v>
      </c>
      <c r="I1899" s="5">
        <v>690</v>
      </c>
      <c r="J1899">
        <v>7516</v>
      </c>
      <c r="K1899">
        <v>161</v>
      </c>
      <c r="L1899" s="5">
        <v>62</v>
      </c>
      <c r="M1899" s="5">
        <v>689</v>
      </c>
      <c r="N1899">
        <v>11</v>
      </c>
      <c r="O1899">
        <v>678</v>
      </c>
      <c r="P1899" s="1">
        <v>0.21944444444444444</v>
      </c>
      <c r="Q1899" s="5">
        <v>1756</v>
      </c>
      <c r="R1899" s="14">
        <v>11</v>
      </c>
      <c r="S1899">
        <v>161</v>
      </c>
      <c r="T1899" s="5">
        <v>11</v>
      </c>
      <c r="U1899" s="5">
        <v>679</v>
      </c>
      <c r="V1899" s="5">
        <v>1</v>
      </c>
      <c r="W1899" s="5"/>
      <c r="X1899" s="5"/>
      <c r="Y1899" s="5"/>
      <c r="Z1899" s="5"/>
      <c r="AA1899" s="5"/>
      <c r="AB1899" s="5"/>
      <c r="AC1899" s="5"/>
      <c r="AD1899" s="5"/>
      <c r="AE1899" s="5"/>
      <c r="AF1899" s="5"/>
      <c r="AG1899" s="5"/>
      <c r="AH1899" s="5"/>
      <c r="AI1899" s="5"/>
      <c r="AJ1899" s="5"/>
      <c r="AK1899" s="5"/>
    </row>
    <row r="1900" spans="1:37" x14ac:dyDescent="0.25">
      <c r="A1900" s="11">
        <f>Table1[[#This Row],[Milk Yield]]-J1896</f>
        <v>-134</v>
      </c>
      <c r="B1900" t="s">
        <v>24</v>
      </c>
      <c r="C1900" s="2">
        <v>2</v>
      </c>
      <c r="D1900" s="12">
        <v>45985</v>
      </c>
      <c r="E1900" s="2">
        <v>34</v>
      </c>
      <c r="F1900" s="18">
        <v>0.66760416666666667</v>
      </c>
      <c r="G1900" s="3">
        <v>0.85364583333333333</v>
      </c>
      <c r="H1900" s="17">
        <v>0.18541666666666667</v>
      </c>
      <c r="I1900" s="5">
        <v>706</v>
      </c>
      <c r="J1900">
        <v>7615</v>
      </c>
      <c r="K1900">
        <v>158</v>
      </c>
      <c r="L1900" s="5">
        <v>157</v>
      </c>
      <c r="M1900" s="5">
        <v>705</v>
      </c>
      <c r="N1900">
        <v>18</v>
      </c>
      <c r="O1900">
        <v>687</v>
      </c>
      <c r="P1900" s="1">
        <v>0.22152777777777777</v>
      </c>
      <c r="Q1900" s="5">
        <v>1705</v>
      </c>
      <c r="R1900" s="14">
        <v>10.9</v>
      </c>
      <c r="S1900">
        <v>158</v>
      </c>
      <c r="T1900" s="5">
        <v>18</v>
      </c>
      <c r="U1900" s="5">
        <v>688</v>
      </c>
      <c r="V1900" s="5">
        <v>1</v>
      </c>
      <c r="W1900" s="5"/>
      <c r="X1900" s="5"/>
      <c r="Y1900" s="5"/>
      <c r="Z1900" s="5"/>
      <c r="AA1900" s="5"/>
      <c r="AB1900" s="5"/>
      <c r="AC1900" s="5"/>
      <c r="AD1900" s="5"/>
      <c r="AE1900" s="5"/>
      <c r="AF1900" s="5"/>
      <c r="AG1900" s="5"/>
      <c r="AH1900" s="5"/>
      <c r="AI1900" s="5"/>
      <c r="AJ1900" s="5"/>
      <c r="AK1900" s="5"/>
    </row>
    <row r="1901" spans="1:37" x14ac:dyDescent="0.25">
      <c r="A1901" s="11">
        <f>Table1[[#This Row],[Milk Yield]]-J1897</f>
        <v>438</v>
      </c>
      <c r="B1901" t="s">
        <v>24</v>
      </c>
      <c r="C1901" s="2">
        <v>3</v>
      </c>
      <c r="D1901" s="12">
        <v>45985</v>
      </c>
      <c r="E1901" s="2">
        <v>34</v>
      </c>
      <c r="F1901" s="18">
        <v>9.2592592592592596E-4</v>
      </c>
      <c r="G1901" s="3">
        <v>0.21167824074074074</v>
      </c>
      <c r="H1901" s="17">
        <v>0.21041666666666667</v>
      </c>
      <c r="I1901" s="5">
        <v>707</v>
      </c>
      <c r="J1901">
        <v>7875</v>
      </c>
      <c r="K1901">
        <v>140</v>
      </c>
      <c r="L1901" s="5">
        <v>206</v>
      </c>
      <c r="M1901" s="5">
        <v>707</v>
      </c>
      <c r="N1901">
        <v>24</v>
      </c>
      <c r="O1901">
        <v>683</v>
      </c>
      <c r="P1901" s="1">
        <v>0.21666666666666667</v>
      </c>
      <c r="Q1901" s="5">
        <v>1557</v>
      </c>
      <c r="R1901" s="14">
        <v>11.2</v>
      </c>
      <c r="S1901">
        <v>140</v>
      </c>
      <c r="T1901" s="5">
        <v>24</v>
      </c>
      <c r="U1901" s="5">
        <v>684</v>
      </c>
      <c r="V1901" s="5">
        <v>1</v>
      </c>
      <c r="W1901" s="5"/>
      <c r="X1901" s="5"/>
      <c r="Y1901" s="5"/>
      <c r="Z1901" s="5"/>
      <c r="AA1901" s="5"/>
      <c r="AB1901" s="5"/>
      <c r="AC1901" s="5"/>
      <c r="AD1901" s="5"/>
      <c r="AE1901" s="5"/>
      <c r="AF1901" s="5"/>
      <c r="AG1901" s="5"/>
      <c r="AH1901" s="5"/>
      <c r="AI1901" s="5"/>
      <c r="AJ1901" s="5"/>
      <c r="AK1901" s="5"/>
    </row>
    <row r="1902" spans="1:37" x14ac:dyDescent="0.25">
      <c r="A1902" s="11" t="e">
        <f>Table1[[#This Row],[Milk Yield]]-J1898</f>
        <v>#VALUE!</v>
      </c>
      <c r="B1902" t="s">
        <v>0</v>
      </c>
      <c r="C1902" s="2" t="s">
        <v>1</v>
      </c>
      <c r="D1902" s="12" t="s">
        <v>2</v>
      </c>
      <c r="E1902" s="2" t="s">
        <v>3</v>
      </c>
      <c r="F1902" s="18" t="s">
        <v>4</v>
      </c>
      <c r="G1902" s="3" t="s">
        <v>5</v>
      </c>
      <c r="H1902" s="17" t="s">
        <v>6</v>
      </c>
      <c r="I1902" s="5" t="s">
        <v>8</v>
      </c>
      <c r="J1902" t="s">
        <v>9</v>
      </c>
      <c r="K1902" t="s">
        <v>10</v>
      </c>
      <c r="L1902" s="5" t="s">
        <v>11</v>
      </c>
      <c r="M1902" s="5" t="s">
        <v>12</v>
      </c>
      <c r="N1902" t="s">
        <v>13</v>
      </c>
      <c r="O1902" t="s">
        <v>20</v>
      </c>
      <c r="P1902" s="1" t="s">
        <v>7</v>
      </c>
      <c r="Q1902" s="5" t="s">
        <v>15</v>
      </c>
      <c r="R1902" s="14" t="s">
        <v>18</v>
      </c>
      <c r="S1902" t="s">
        <v>16</v>
      </c>
      <c r="T1902" s="5" t="s">
        <v>14</v>
      </c>
      <c r="U1902" s="5" t="s">
        <v>17</v>
      </c>
      <c r="V1902" s="5" t="s">
        <v>19</v>
      </c>
      <c r="W1902" s="5"/>
      <c r="X1902" s="5"/>
      <c r="Y1902" s="5"/>
      <c r="Z1902" s="5"/>
      <c r="AA1902" s="5"/>
      <c r="AB1902" s="5"/>
      <c r="AC1902" s="5"/>
      <c r="AD1902" s="5"/>
      <c r="AE1902" s="5"/>
      <c r="AF1902" s="5"/>
      <c r="AG1902" s="5"/>
      <c r="AH1902" s="5"/>
      <c r="AI1902" s="5"/>
      <c r="AJ1902" s="5"/>
      <c r="AK1902" s="5"/>
    </row>
    <row r="1903" spans="1:37" x14ac:dyDescent="0.25">
      <c r="A1903" s="11">
        <f>Table1[[#This Row],[Milk Yield]]-J1899</f>
        <v>235</v>
      </c>
      <c r="B1903" t="s">
        <v>24</v>
      </c>
      <c r="C1903" s="2">
        <v>1</v>
      </c>
      <c r="D1903" s="12">
        <v>45986</v>
      </c>
      <c r="E1903" s="2">
        <v>31</v>
      </c>
      <c r="F1903" s="18">
        <v>0.33564814814814814</v>
      </c>
      <c r="G1903" s="3">
        <v>0.52454861111111106</v>
      </c>
      <c r="H1903" s="17">
        <v>0.18888888888888888</v>
      </c>
      <c r="I1903" s="5">
        <v>700</v>
      </c>
      <c r="J1903">
        <v>7751</v>
      </c>
      <c r="K1903">
        <v>154</v>
      </c>
      <c r="L1903" s="5">
        <v>150</v>
      </c>
      <c r="M1903" s="5">
        <v>698</v>
      </c>
      <c r="N1903">
        <v>16</v>
      </c>
      <c r="O1903">
        <v>682</v>
      </c>
      <c r="P1903" s="1">
        <v>0.22361111111111112</v>
      </c>
      <c r="Q1903" s="5">
        <v>1710</v>
      </c>
      <c r="R1903" s="14">
        <v>11.2</v>
      </c>
      <c r="S1903">
        <v>154</v>
      </c>
      <c r="T1903" s="5">
        <v>16</v>
      </c>
      <c r="U1903" s="5">
        <v>682</v>
      </c>
      <c r="V1903" s="5">
        <v>1</v>
      </c>
      <c r="W1903" s="5"/>
      <c r="X1903" s="5"/>
      <c r="Y1903" s="5"/>
      <c r="Z1903" s="5"/>
      <c r="AA1903" s="5"/>
      <c r="AB1903" s="5"/>
      <c r="AC1903" s="5"/>
      <c r="AD1903" s="5"/>
      <c r="AE1903" s="5"/>
      <c r="AF1903" s="5"/>
      <c r="AG1903" s="5"/>
      <c r="AH1903" s="5"/>
      <c r="AI1903" s="5"/>
      <c r="AJ1903" s="5"/>
      <c r="AK1903" s="5"/>
    </row>
    <row r="1904" spans="1:37" x14ac:dyDescent="0.25">
      <c r="A1904" s="11">
        <f>Table1[[#This Row],[Milk Yield]]-J1900</f>
        <v>-19</v>
      </c>
      <c r="B1904" t="s">
        <v>24</v>
      </c>
      <c r="C1904" s="2">
        <v>2</v>
      </c>
      <c r="D1904" s="12">
        <v>45986</v>
      </c>
      <c r="E1904" s="2">
        <v>32</v>
      </c>
      <c r="F1904" s="18">
        <v>0.66571759259259256</v>
      </c>
      <c r="G1904" s="3">
        <v>0.85395833333333337</v>
      </c>
      <c r="H1904" s="17">
        <v>0.18819444444444444</v>
      </c>
      <c r="I1904" s="5">
        <v>701</v>
      </c>
      <c r="J1904">
        <v>7596</v>
      </c>
      <c r="K1904">
        <v>155</v>
      </c>
      <c r="L1904" s="5">
        <v>133</v>
      </c>
      <c r="M1904" s="5">
        <v>699</v>
      </c>
      <c r="N1904">
        <v>15</v>
      </c>
      <c r="O1904">
        <v>684</v>
      </c>
      <c r="P1904" s="1">
        <v>0.21875</v>
      </c>
      <c r="Q1904" s="5">
        <v>1681</v>
      </c>
      <c r="R1904" s="14">
        <v>10.9</v>
      </c>
      <c r="S1904">
        <v>155</v>
      </c>
      <c r="T1904" s="5">
        <v>15</v>
      </c>
      <c r="U1904" s="5">
        <v>685</v>
      </c>
      <c r="V1904" s="5">
        <v>1</v>
      </c>
      <c r="W1904" s="5"/>
      <c r="X1904" s="5"/>
      <c r="Y1904" s="5"/>
      <c r="Z1904" s="5"/>
      <c r="AA1904" s="5"/>
      <c r="AB1904" s="5"/>
      <c r="AC1904" s="5"/>
      <c r="AD1904" s="5"/>
      <c r="AE1904" s="5"/>
      <c r="AF1904" s="5"/>
      <c r="AG1904" s="5"/>
      <c r="AH1904" s="5"/>
      <c r="AI1904" s="5"/>
      <c r="AJ1904" s="5"/>
      <c r="AK1904" s="5"/>
    </row>
    <row r="1905" spans="1:37" x14ac:dyDescent="0.25">
      <c r="A1905" s="11">
        <f>Table1[[#This Row],[Milk Yield]]-J1901</f>
        <v>145</v>
      </c>
      <c r="B1905" t="s">
        <v>24</v>
      </c>
      <c r="C1905" s="2">
        <v>3</v>
      </c>
      <c r="D1905" s="12">
        <v>45986</v>
      </c>
      <c r="E1905" s="2">
        <v>32</v>
      </c>
      <c r="F1905" s="18">
        <v>3.0671296296296297E-3</v>
      </c>
      <c r="G1905" s="3">
        <v>0.19663194444444446</v>
      </c>
      <c r="H1905" s="17">
        <v>0.19305555555555556</v>
      </c>
      <c r="I1905" s="5">
        <v>703</v>
      </c>
      <c r="J1905">
        <v>8020</v>
      </c>
      <c r="K1905">
        <v>151</v>
      </c>
      <c r="L1905" s="5">
        <v>154</v>
      </c>
      <c r="M1905" s="5">
        <v>702</v>
      </c>
      <c r="N1905">
        <v>17</v>
      </c>
      <c r="O1905">
        <v>685</v>
      </c>
      <c r="P1905" s="1">
        <v>0.21736111111111112</v>
      </c>
      <c r="Q1905" s="5">
        <v>1726</v>
      </c>
      <c r="R1905" s="14">
        <v>11.5</v>
      </c>
      <c r="S1905">
        <v>151</v>
      </c>
      <c r="T1905" s="5">
        <v>17</v>
      </c>
      <c r="U1905" s="5">
        <v>686</v>
      </c>
      <c r="V1905" s="5">
        <v>1</v>
      </c>
      <c r="W1905" s="5"/>
      <c r="X1905" s="5"/>
      <c r="Y1905" s="5"/>
      <c r="Z1905" s="5"/>
      <c r="AA1905" s="5"/>
      <c r="AB1905" s="5"/>
      <c r="AC1905" s="5"/>
      <c r="AD1905" s="5"/>
      <c r="AE1905" s="5"/>
      <c r="AF1905" s="5"/>
      <c r="AG1905" s="5"/>
      <c r="AH1905" s="5"/>
      <c r="AI1905" s="5"/>
      <c r="AJ1905" s="5"/>
      <c r="AK1905" s="5"/>
    </row>
    <row r="1906" spans="1:37" x14ac:dyDescent="0.25">
      <c r="A1906" s="11" t="e">
        <f>Table1[[#This Row],[Milk Yield]]-J1902</f>
        <v>#VALUE!</v>
      </c>
      <c r="B1906" t="s">
        <v>0</v>
      </c>
      <c r="C1906" s="2" t="s">
        <v>1</v>
      </c>
      <c r="D1906" s="12" t="s">
        <v>2</v>
      </c>
      <c r="E1906" s="2" t="s">
        <v>3</v>
      </c>
      <c r="F1906" s="18" t="s">
        <v>4</v>
      </c>
      <c r="G1906" s="3" t="s">
        <v>5</v>
      </c>
      <c r="H1906" s="17" t="s">
        <v>6</v>
      </c>
      <c r="I1906" s="5" t="s">
        <v>8</v>
      </c>
      <c r="J1906" t="s">
        <v>9</v>
      </c>
      <c r="K1906" t="s">
        <v>10</v>
      </c>
      <c r="L1906" s="5" t="s">
        <v>11</v>
      </c>
      <c r="M1906" s="5" t="s">
        <v>12</v>
      </c>
      <c r="N1906" t="s">
        <v>13</v>
      </c>
      <c r="O1906" t="s">
        <v>20</v>
      </c>
      <c r="P1906" s="1" t="s">
        <v>7</v>
      </c>
      <c r="Q1906" s="5" t="s">
        <v>15</v>
      </c>
      <c r="R1906" s="14" t="s">
        <v>18</v>
      </c>
      <c r="S1906" t="s">
        <v>16</v>
      </c>
      <c r="T1906" s="5" t="s">
        <v>14</v>
      </c>
      <c r="U1906" s="5" t="s">
        <v>17</v>
      </c>
      <c r="V1906" s="5" t="s">
        <v>19</v>
      </c>
      <c r="W1906" s="5"/>
      <c r="X1906" s="5"/>
      <c r="Y1906" s="5"/>
      <c r="Z1906" s="5"/>
      <c r="AA1906" s="5"/>
      <c r="AB1906" s="5"/>
      <c r="AC1906" s="5"/>
      <c r="AD1906" s="5"/>
      <c r="AE1906" s="5"/>
      <c r="AF1906" s="5"/>
      <c r="AG1906" s="5"/>
      <c r="AH1906" s="5"/>
      <c r="AI1906" s="5"/>
      <c r="AJ1906" s="5"/>
      <c r="AK1906" s="5"/>
    </row>
    <row r="1907" spans="1:37" x14ac:dyDescent="0.25">
      <c r="A1907" s="11">
        <f>Table1[[#This Row],[Milk Yield]]-J1903</f>
        <v>-188</v>
      </c>
      <c r="B1907" t="s">
        <v>24</v>
      </c>
      <c r="C1907" s="2">
        <v>1</v>
      </c>
      <c r="D1907" s="12">
        <v>45987</v>
      </c>
      <c r="E1907" s="2">
        <v>32</v>
      </c>
      <c r="F1907" s="18">
        <v>0.33348379629629632</v>
      </c>
      <c r="G1907" s="3">
        <v>0.50918981481481485</v>
      </c>
      <c r="H1907" s="17">
        <v>0.17569444444444443</v>
      </c>
      <c r="I1907" s="5">
        <v>693</v>
      </c>
      <c r="J1907">
        <v>7563</v>
      </c>
      <c r="K1907">
        <v>164</v>
      </c>
      <c r="L1907" s="5">
        <v>132</v>
      </c>
      <c r="M1907" s="5">
        <v>693</v>
      </c>
      <c r="N1907">
        <v>13</v>
      </c>
      <c r="O1907">
        <v>680</v>
      </c>
      <c r="P1907" s="1">
        <v>0.21736111111111112</v>
      </c>
      <c r="Q1907" s="5">
        <v>1793</v>
      </c>
      <c r="R1907" s="14">
        <v>11</v>
      </c>
      <c r="S1907">
        <v>164</v>
      </c>
      <c r="T1907" s="5">
        <v>13</v>
      </c>
      <c r="U1907" s="5">
        <v>681</v>
      </c>
      <c r="V1907" s="5">
        <v>1</v>
      </c>
      <c r="W1907" s="5"/>
      <c r="X1907" s="5"/>
      <c r="Y1907" s="5"/>
      <c r="Z1907" s="5"/>
      <c r="AA1907" s="5"/>
      <c r="AB1907" s="5"/>
      <c r="AC1907" s="5"/>
      <c r="AD1907" s="5"/>
      <c r="AE1907" s="5"/>
      <c r="AF1907" s="5"/>
      <c r="AG1907" s="5"/>
      <c r="AH1907" s="5"/>
      <c r="AI1907" s="5"/>
      <c r="AJ1907" s="5"/>
      <c r="AK1907" s="5"/>
    </row>
    <row r="1908" spans="1:37" x14ac:dyDescent="0.25">
      <c r="A1908" s="11">
        <f>Table1[[#This Row],[Milk Yield]]-J1904</f>
        <v>577</v>
      </c>
      <c r="B1908" t="s">
        <v>24</v>
      </c>
      <c r="C1908" s="2">
        <v>2</v>
      </c>
      <c r="D1908" s="12">
        <v>45987</v>
      </c>
      <c r="E1908" s="2">
        <v>33</v>
      </c>
      <c r="F1908" s="18">
        <v>0.66537037037037039</v>
      </c>
      <c r="G1908" s="3">
        <v>0.86807870370370366</v>
      </c>
      <c r="H1908" s="17">
        <v>0.20208333333333334</v>
      </c>
      <c r="I1908" s="5">
        <v>700</v>
      </c>
      <c r="J1908">
        <v>8173</v>
      </c>
      <c r="K1908">
        <v>144</v>
      </c>
      <c r="L1908" s="5">
        <v>112</v>
      </c>
      <c r="M1908" s="5">
        <v>698</v>
      </c>
      <c r="N1908">
        <v>11</v>
      </c>
      <c r="O1908">
        <v>687</v>
      </c>
      <c r="P1908" s="1">
        <v>0.22430555555555556</v>
      </c>
      <c r="Q1908" s="5">
        <v>1680</v>
      </c>
      <c r="R1908" s="14">
        <v>11.8</v>
      </c>
      <c r="S1908">
        <v>143</v>
      </c>
      <c r="T1908" s="5">
        <v>11</v>
      </c>
      <c r="U1908" s="5">
        <v>689</v>
      </c>
      <c r="V1908" s="5">
        <v>2</v>
      </c>
      <c r="W1908" s="5"/>
      <c r="X1908" s="5"/>
      <c r="Y1908" s="5"/>
      <c r="Z1908" s="5"/>
      <c r="AA1908" s="5"/>
      <c r="AB1908" s="5"/>
      <c r="AC1908" s="5"/>
      <c r="AD1908" s="5"/>
      <c r="AE1908" s="5"/>
      <c r="AF1908" s="5"/>
      <c r="AG1908" s="5"/>
      <c r="AH1908" s="5"/>
      <c r="AI1908" s="5"/>
      <c r="AJ1908" s="5"/>
      <c r="AK1908" s="5"/>
    </row>
    <row r="1909" spans="1:37" x14ac:dyDescent="0.25">
      <c r="A1909" s="11">
        <f>Table1[[#This Row],[Milk Yield]]-J1905</f>
        <v>-187</v>
      </c>
      <c r="B1909" t="s">
        <v>24</v>
      </c>
      <c r="C1909" s="2">
        <v>3</v>
      </c>
      <c r="D1909" s="12">
        <v>45987</v>
      </c>
      <c r="E1909" s="2">
        <v>32</v>
      </c>
      <c r="F1909" s="18">
        <v>0.99902777777777774</v>
      </c>
      <c r="G1909" s="3">
        <v>0.18687500000000001</v>
      </c>
      <c r="H1909" s="17">
        <v>0.1875</v>
      </c>
      <c r="I1909" s="5">
        <v>698</v>
      </c>
      <c r="J1909">
        <v>7833</v>
      </c>
      <c r="K1909">
        <v>155</v>
      </c>
      <c r="L1909" s="5">
        <v>143</v>
      </c>
      <c r="M1909" s="5">
        <v>697</v>
      </c>
      <c r="N1909">
        <v>15</v>
      </c>
      <c r="O1909">
        <v>682</v>
      </c>
      <c r="P1909" s="1">
        <v>0.22500000000000001</v>
      </c>
      <c r="Q1909" s="5">
        <v>1737</v>
      </c>
      <c r="R1909" s="14">
        <v>11.3</v>
      </c>
      <c r="S1909">
        <v>155</v>
      </c>
      <c r="T1909" s="5">
        <v>15</v>
      </c>
      <c r="U1909" s="5">
        <v>684</v>
      </c>
      <c r="V1909" s="5">
        <v>2</v>
      </c>
      <c r="W1909" s="5"/>
      <c r="X1909" s="5"/>
      <c r="Y1909" s="5"/>
      <c r="Z1909" s="5"/>
      <c r="AA1909" s="5"/>
      <c r="AB1909" s="5"/>
      <c r="AC1909" s="5"/>
      <c r="AD1909" s="5"/>
      <c r="AE1909" s="5"/>
      <c r="AF1909" s="5"/>
      <c r="AG1909" s="5"/>
      <c r="AH1909" s="5"/>
      <c r="AI1909" s="5"/>
      <c r="AJ1909" s="5"/>
      <c r="AK1909" s="5"/>
    </row>
    <row r="1910" spans="1:37" x14ac:dyDescent="0.25">
      <c r="A1910" s="11" t="e">
        <f>Table1[[#This Row],[Milk Yield]]-J1906</f>
        <v>#VALUE!</v>
      </c>
      <c r="B1910" t="s">
        <v>0</v>
      </c>
      <c r="C1910" s="2" t="s">
        <v>1</v>
      </c>
      <c r="D1910" s="12" t="s">
        <v>2</v>
      </c>
      <c r="E1910" s="2" t="s">
        <v>3</v>
      </c>
      <c r="F1910" s="18" t="s">
        <v>4</v>
      </c>
      <c r="G1910" s="3" t="s">
        <v>5</v>
      </c>
      <c r="H1910" s="17" t="s">
        <v>6</v>
      </c>
      <c r="I1910" s="5" t="s">
        <v>8</v>
      </c>
      <c r="J1910" t="s">
        <v>9</v>
      </c>
      <c r="K1910" t="s">
        <v>10</v>
      </c>
      <c r="L1910" s="5" t="s">
        <v>11</v>
      </c>
      <c r="M1910" s="5" t="s">
        <v>12</v>
      </c>
      <c r="N1910" t="s">
        <v>13</v>
      </c>
      <c r="O1910" t="s">
        <v>20</v>
      </c>
      <c r="P1910" s="1" t="s">
        <v>7</v>
      </c>
      <c r="Q1910" s="5" t="s">
        <v>15</v>
      </c>
      <c r="R1910" s="14" t="s">
        <v>18</v>
      </c>
      <c r="S1910" t="s">
        <v>16</v>
      </c>
      <c r="T1910" s="5" t="s">
        <v>14</v>
      </c>
      <c r="U1910" s="5" t="s">
        <v>17</v>
      </c>
      <c r="V1910" s="5" t="s">
        <v>19</v>
      </c>
      <c r="W1910" s="5"/>
      <c r="X1910" s="5"/>
      <c r="Y1910" s="5"/>
      <c r="Z1910" s="5"/>
      <c r="AA1910" s="5"/>
      <c r="AB1910" s="5"/>
      <c r="AC1910" s="5"/>
      <c r="AD1910" s="5"/>
      <c r="AE1910" s="5"/>
      <c r="AF1910" s="5"/>
      <c r="AG1910" s="5"/>
      <c r="AH1910" s="5"/>
      <c r="AI1910" s="5"/>
      <c r="AJ1910" s="5"/>
      <c r="AK1910" s="5"/>
    </row>
    <row r="1911" spans="1:37" x14ac:dyDescent="0.25">
      <c r="A1911" s="11">
        <f>Table1[[#This Row],[Milk Yield]]-J1907</f>
        <v>215</v>
      </c>
      <c r="B1911" t="s">
        <v>24</v>
      </c>
      <c r="C1911" s="2">
        <v>1</v>
      </c>
      <c r="D1911" s="12">
        <v>45988</v>
      </c>
      <c r="E1911" s="2">
        <v>30</v>
      </c>
      <c r="F1911" s="18">
        <v>0.3354050925925926</v>
      </c>
      <c r="G1911" s="3">
        <v>0.51436342592592588</v>
      </c>
      <c r="H1911" s="17">
        <v>0.17847222222222223</v>
      </c>
      <c r="I1911" s="5">
        <v>696</v>
      </c>
      <c r="J1911">
        <v>7778</v>
      </c>
      <c r="K1911">
        <v>162</v>
      </c>
      <c r="L1911" s="5">
        <v>105</v>
      </c>
      <c r="M1911" s="5">
        <v>693</v>
      </c>
      <c r="N1911">
        <v>10</v>
      </c>
      <c r="O1911">
        <v>683</v>
      </c>
      <c r="P1911" s="1">
        <v>0.22500000000000001</v>
      </c>
      <c r="Q1911" s="5">
        <v>1811</v>
      </c>
      <c r="R1911" s="14">
        <v>11.3</v>
      </c>
      <c r="S1911">
        <v>161</v>
      </c>
      <c r="T1911" s="5">
        <v>10</v>
      </c>
      <c r="U1911" s="5">
        <v>685</v>
      </c>
      <c r="V1911" s="5">
        <v>2</v>
      </c>
      <c r="W1911" s="5"/>
      <c r="X1911" s="5"/>
      <c r="Y1911" s="5"/>
      <c r="Z1911" s="5"/>
      <c r="AA1911" s="5"/>
      <c r="AB1911" s="5"/>
      <c r="AC1911" s="5"/>
      <c r="AD1911" s="5"/>
      <c r="AE1911" s="5"/>
      <c r="AF1911" s="5"/>
      <c r="AG1911" s="5"/>
      <c r="AH1911" s="5"/>
      <c r="AI1911" s="5"/>
      <c r="AJ1911" s="5"/>
      <c r="AK1911" s="5"/>
    </row>
    <row r="1912" spans="1:37" x14ac:dyDescent="0.25">
      <c r="A1912" s="11">
        <f>Table1[[#This Row],[Milk Yield]]-J1908</f>
        <v>-183</v>
      </c>
      <c r="B1912" t="s">
        <v>24</v>
      </c>
      <c r="C1912" s="2">
        <v>2</v>
      </c>
      <c r="D1912" s="12">
        <v>45988</v>
      </c>
      <c r="E1912" s="2">
        <v>33</v>
      </c>
      <c r="F1912" s="18">
        <v>0.66715277777777782</v>
      </c>
      <c r="G1912" s="3">
        <v>0.86033564814814811</v>
      </c>
      <c r="H1912" s="17">
        <v>0.19305555555555556</v>
      </c>
      <c r="I1912" s="5">
        <v>707</v>
      </c>
      <c r="J1912">
        <v>7990</v>
      </c>
      <c r="K1912">
        <v>152</v>
      </c>
      <c r="L1912" s="5">
        <v>325</v>
      </c>
      <c r="M1912" s="5">
        <v>706</v>
      </c>
      <c r="N1912">
        <v>34</v>
      </c>
      <c r="O1912">
        <v>672</v>
      </c>
      <c r="P1912" s="1">
        <v>0.22569444444444445</v>
      </c>
      <c r="Q1912" s="5">
        <v>1723</v>
      </c>
      <c r="R1912" s="14">
        <v>11.4</v>
      </c>
      <c r="S1912">
        <v>152</v>
      </c>
      <c r="T1912" s="5">
        <v>34</v>
      </c>
      <c r="U1912" s="5">
        <v>675</v>
      </c>
      <c r="V1912" s="5">
        <v>3</v>
      </c>
      <c r="W1912" s="5"/>
      <c r="X1912" s="5"/>
      <c r="Y1912" s="5"/>
      <c r="Z1912" s="5"/>
      <c r="AA1912" s="5"/>
      <c r="AB1912" s="5"/>
      <c r="AC1912" s="5"/>
      <c r="AD1912" s="5"/>
      <c r="AE1912" s="5"/>
      <c r="AF1912" s="5"/>
      <c r="AG1912" s="5"/>
      <c r="AH1912" s="5"/>
      <c r="AI1912" s="5"/>
      <c r="AJ1912" s="5"/>
      <c r="AK1912" s="5"/>
    </row>
    <row r="1913" spans="1:37" x14ac:dyDescent="0.25">
      <c r="A1913" s="11">
        <f>Table1[[#This Row],[Milk Yield]]-J1909</f>
        <v>79</v>
      </c>
      <c r="B1913" t="s">
        <v>24</v>
      </c>
      <c r="C1913" s="2">
        <v>3</v>
      </c>
      <c r="D1913" s="12">
        <v>45988</v>
      </c>
      <c r="E1913" s="2">
        <v>31</v>
      </c>
      <c r="F1913" s="18">
        <v>3.0092592592592593E-3</v>
      </c>
      <c r="G1913" s="3">
        <v>0.18873842592592593</v>
      </c>
      <c r="H1913" s="17">
        <v>0.18541666666666667</v>
      </c>
      <c r="I1913" s="5">
        <v>701</v>
      </c>
      <c r="J1913">
        <v>7912</v>
      </c>
      <c r="K1913">
        <v>157</v>
      </c>
      <c r="L1913" s="5">
        <v>165</v>
      </c>
      <c r="M1913" s="5">
        <v>701</v>
      </c>
      <c r="N1913">
        <v>16</v>
      </c>
      <c r="O1913">
        <v>685</v>
      </c>
      <c r="P1913" s="1">
        <v>0.21736111111111112</v>
      </c>
      <c r="Q1913" s="5">
        <v>1775</v>
      </c>
      <c r="R1913" s="14">
        <v>11.3</v>
      </c>
      <c r="S1913">
        <v>157</v>
      </c>
      <c r="T1913" s="5">
        <v>16</v>
      </c>
      <c r="U1913" s="5">
        <v>688</v>
      </c>
      <c r="V1913" s="5">
        <v>3</v>
      </c>
      <c r="W1913" s="5"/>
      <c r="X1913" s="5"/>
      <c r="Y1913" s="5"/>
      <c r="Z1913" s="5"/>
      <c r="AA1913" s="5"/>
      <c r="AB1913" s="5"/>
      <c r="AC1913" s="5"/>
      <c r="AD1913" s="5"/>
      <c r="AE1913" s="5"/>
      <c r="AF1913" s="5"/>
      <c r="AG1913" s="5"/>
      <c r="AH1913" s="5"/>
      <c r="AI1913" s="5"/>
      <c r="AJ1913" s="5"/>
      <c r="AK1913" s="5"/>
    </row>
    <row r="1914" spans="1:37" x14ac:dyDescent="0.25">
      <c r="A1914" s="11" t="e">
        <f>Table1[[#This Row],[Milk Yield]]-J1910</f>
        <v>#VALUE!</v>
      </c>
      <c r="B1914" t="s">
        <v>0</v>
      </c>
      <c r="C1914" s="2" t="s">
        <v>1</v>
      </c>
      <c r="D1914" s="12" t="s">
        <v>2</v>
      </c>
      <c r="E1914" s="2" t="s">
        <v>3</v>
      </c>
      <c r="F1914" s="18" t="s">
        <v>4</v>
      </c>
      <c r="G1914" s="3" t="s">
        <v>5</v>
      </c>
      <c r="H1914" s="17" t="s">
        <v>6</v>
      </c>
      <c r="I1914" s="5" t="s">
        <v>8</v>
      </c>
      <c r="J1914" t="s">
        <v>9</v>
      </c>
      <c r="K1914" t="s">
        <v>10</v>
      </c>
      <c r="L1914" s="5" t="s">
        <v>11</v>
      </c>
      <c r="M1914" s="5" t="s">
        <v>12</v>
      </c>
      <c r="N1914" t="s">
        <v>13</v>
      </c>
      <c r="O1914" t="s">
        <v>20</v>
      </c>
      <c r="P1914" s="1" t="s">
        <v>7</v>
      </c>
      <c r="Q1914" s="5" t="s">
        <v>15</v>
      </c>
      <c r="R1914" s="14" t="s">
        <v>18</v>
      </c>
      <c r="S1914" t="s">
        <v>16</v>
      </c>
      <c r="T1914" s="5" t="s">
        <v>14</v>
      </c>
      <c r="U1914" s="5" t="s">
        <v>17</v>
      </c>
      <c r="V1914" s="5" t="s">
        <v>19</v>
      </c>
      <c r="W1914" s="5"/>
      <c r="X1914" s="5"/>
      <c r="Y1914" s="5"/>
      <c r="Z1914" s="5"/>
      <c r="AA1914" s="5"/>
      <c r="AB1914" s="5"/>
      <c r="AC1914" s="5"/>
      <c r="AD1914" s="5"/>
      <c r="AE1914" s="5"/>
      <c r="AF1914" s="5"/>
      <c r="AG1914" s="5"/>
      <c r="AH1914" s="5"/>
      <c r="AI1914" s="5"/>
      <c r="AJ1914" s="5"/>
      <c r="AK1914" s="5"/>
    </row>
    <row r="1915" spans="1:37" x14ac:dyDescent="0.25">
      <c r="A1915" s="11">
        <f>Table1[[#This Row],[Milk Yield]]-J1911</f>
        <v>-119</v>
      </c>
      <c r="B1915" t="s">
        <v>24</v>
      </c>
      <c r="C1915" s="2">
        <v>1</v>
      </c>
      <c r="D1915" s="12">
        <v>45989</v>
      </c>
      <c r="E1915" s="2">
        <v>31</v>
      </c>
      <c r="F1915" s="18">
        <v>0.33641203703703704</v>
      </c>
      <c r="G1915" s="3">
        <v>0.51910879629629625</v>
      </c>
      <c r="H1915" s="17">
        <v>0.18263888888888888</v>
      </c>
      <c r="I1915" s="5">
        <v>724</v>
      </c>
      <c r="J1915">
        <v>7659</v>
      </c>
      <c r="K1915">
        <v>165</v>
      </c>
      <c r="L1915" s="5">
        <v>95</v>
      </c>
      <c r="M1915" s="5">
        <v>723</v>
      </c>
      <c r="N1915">
        <v>37</v>
      </c>
      <c r="O1915">
        <v>686</v>
      </c>
      <c r="P1915" s="1">
        <v>0.22777777777777777</v>
      </c>
      <c r="Q1915" s="5">
        <v>1747</v>
      </c>
      <c r="R1915" s="14">
        <v>10.6</v>
      </c>
      <c r="S1915">
        <v>165</v>
      </c>
      <c r="T1915" s="5">
        <v>37</v>
      </c>
      <c r="U1915" s="5">
        <v>689</v>
      </c>
      <c r="V1915" s="5">
        <v>3</v>
      </c>
      <c r="W1915" s="5"/>
      <c r="X1915" s="5"/>
      <c r="Y1915" s="5"/>
      <c r="Z1915" s="5"/>
      <c r="AA1915" s="5"/>
      <c r="AB1915" s="5"/>
      <c r="AC1915" s="5"/>
      <c r="AD1915" s="5"/>
      <c r="AE1915" s="5"/>
      <c r="AF1915" s="5"/>
      <c r="AG1915" s="5"/>
      <c r="AH1915" s="5"/>
      <c r="AI1915" s="5"/>
      <c r="AJ1915" s="5"/>
      <c r="AK1915" s="5"/>
    </row>
    <row r="1916" spans="1:37" x14ac:dyDescent="0.25">
      <c r="A1916" s="11">
        <f>Table1[[#This Row],[Milk Yield]]-J1912</f>
        <v>455</v>
      </c>
      <c r="B1916" t="s">
        <v>24</v>
      </c>
      <c r="C1916" s="2">
        <v>2</v>
      </c>
      <c r="D1916" s="12">
        <v>45989</v>
      </c>
      <c r="E1916" s="2">
        <v>35</v>
      </c>
      <c r="F1916" s="18">
        <v>0.66773148148148154</v>
      </c>
      <c r="G1916" s="3">
        <v>0.87300925925925921</v>
      </c>
      <c r="H1916" s="17">
        <v>0.2048611111111111</v>
      </c>
      <c r="I1916" s="5">
        <v>692</v>
      </c>
      <c r="J1916">
        <v>8445</v>
      </c>
      <c r="K1916">
        <v>140</v>
      </c>
      <c r="L1916" s="5">
        <v>115</v>
      </c>
      <c r="M1916" s="5">
        <v>692</v>
      </c>
      <c r="N1916">
        <v>13</v>
      </c>
      <c r="O1916">
        <v>679</v>
      </c>
      <c r="P1916" s="1">
        <v>0.23333333333333334</v>
      </c>
      <c r="Q1916" s="5">
        <v>1714</v>
      </c>
      <c r="R1916" s="14">
        <v>12.3</v>
      </c>
      <c r="S1916">
        <v>140</v>
      </c>
      <c r="T1916" s="5">
        <v>13</v>
      </c>
      <c r="U1916" s="5">
        <v>681</v>
      </c>
      <c r="V1916" s="5">
        <v>2</v>
      </c>
      <c r="W1916" s="5"/>
      <c r="X1916" s="5"/>
      <c r="Y1916" s="5"/>
      <c r="Z1916" s="5"/>
      <c r="AA1916" s="5"/>
      <c r="AB1916" s="5"/>
      <c r="AC1916" s="5"/>
      <c r="AD1916" s="5"/>
      <c r="AE1916" s="5"/>
      <c r="AF1916" s="5"/>
      <c r="AG1916" s="5"/>
      <c r="AH1916" s="5"/>
      <c r="AI1916" s="5"/>
      <c r="AJ1916" s="5"/>
      <c r="AK1916" s="5"/>
    </row>
    <row r="1917" spans="1:37" x14ac:dyDescent="0.25">
      <c r="A1917" s="11">
        <f>Table1[[#This Row],[Milk Yield]]-J1913</f>
        <v>-577</v>
      </c>
      <c r="B1917" t="s">
        <v>24</v>
      </c>
      <c r="C1917" s="2">
        <v>3</v>
      </c>
      <c r="D1917" s="12">
        <v>45989</v>
      </c>
      <c r="E1917" s="2">
        <v>31</v>
      </c>
      <c r="F1917" s="18">
        <v>1.5856481481481481E-3</v>
      </c>
      <c r="G1917" s="3">
        <v>0.18342592592592594</v>
      </c>
      <c r="H1917" s="17">
        <v>0.18124999999999999</v>
      </c>
      <c r="I1917" s="5">
        <v>687</v>
      </c>
      <c r="J1917">
        <v>7335</v>
      </c>
      <c r="K1917">
        <v>157</v>
      </c>
      <c r="L1917" s="5">
        <v>100</v>
      </c>
      <c r="M1917" s="5">
        <v>686</v>
      </c>
      <c r="N1917">
        <v>29</v>
      </c>
      <c r="O1917">
        <v>657</v>
      </c>
      <c r="P1917" s="1">
        <v>0.22222222222222221</v>
      </c>
      <c r="Q1917" s="5">
        <v>1681</v>
      </c>
      <c r="R1917" s="14">
        <v>10.7</v>
      </c>
      <c r="S1917">
        <v>157</v>
      </c>
      <c r="T1917" s="5">
        <v>29</v>
      </c>
      <c r="U1917" s="5">
        <v>659</v>
      </c>
      <c r="V1917" s="5">
        <v>2</v>
      </c>
      <c r="W1917" s="5"/>
      <c r="X1917" s="5"/>
      <c r="Y1917" s="5"/>
      <c r="Z1917" s="5"/>
      <c r="AA1917" s="5"/>
      <c r="AB1917" s="5"/>
      <c r="AC1917" s="5"/>
      <c r="AD1917" s="5"/>
      <c r="AE1917" s="5"/>
      <c r="AF1917" s="5"/>
      <c r="AG1917" s="5"/>
      <c r="AH1917" s="5"/>
      <c r="AI1917" s="5"/>
      <c r="AJ1917" s="5"/>
      <c r="AK1917" s="5"/>
    </row>
    <row r="1918" spans="1:37" x14ac:dyDescent="0.25">
      <c r="A1918" s="11" t="e">
        <f>Table1[[#This Row],[Milk Yield]]-J1914</f>
        <v>#VALUE!</v>
      </c>
      <c r="B1918" t="s">
        <v>0</v>
      </c>
      <c r="C1918" s="2" t="s">
        <v>1</v>
      </c>
      <c r="D1918" s="12" t="s">
        <v>2</v>
      </c>
      <c r="E1918" s="2" t="s">
        <v>3</v>
      </c>
      <c r="F1918" s="18" t="s">
        <v>4</v>
      </c>
      <c r="G1918" s="3" t="s">
        <v>5</v>
      </c>
      <c r="H1918" s="17" t="s">
        <v>6</v>
      </c>
      <c r="I1918" s="5" t="s">
        <v>8</v>
      </c>
      <c r="J1918" t="s">
        <v>9</v>
      </c>
      <c r="K1918" t="s">
        <v>10</v>
      </c>
      <c r="L1918" s="5" t="s">
        <v>11</v>
      </c>
      <c r="M1918" s="5" t="s">
        <v>12</v>
      </c>
      <c r="N1918" t="s">
        <v>13</v>
      </c>
      <c r="O1918" t="s">
        <v>20</v>
      </c>
      <c r="P1918" s="1" t="s">
        <v>7</v>
      </c>
      <c r="Q1918" s="5" t="s">
        <v>15</v>
      </c>
      <c r="R1918" s="14" t="s">
        <v>18</v>
      </c>
      <c r="S1918" t="s">
        <v>16</v>
      </c>
      <c r="T1918" s="5" t="s">
        <v>14</v>
      </c>
      <c r="U1918" s="5" t="s">
        <v>17</v>
      </c>
      <c r="V1918" s="5" t="s">
        <v>19</v>
      </c>
      <c r="W1918" s="5"/>
      <c r="X1918" s="5"/>
      <c r="Y1918" s="5"/>
      <c r="Z1918" s="5"/>
      <c r="AA1918" s="5"/>
      <c r="AB1918" s="5"/>
      <c r="AC1918" s="5"/>
      <c r="AD1918" s="5"/>
      <c r="AE1918" s="5"/>
      <c r="AF1918" s="5"/>
      <c r="AG1918" s="5"/>
      <c r="AH1918" s="5"/>
      <c r="AI1918" s="5"/>
      <c r="AJ1918" s="5"/>
      <c r="AK1918" s="5"/>
    </row>
    <row r="1919" spans="1:37" x14ac:dyDescent="0.25">
      <c r="A1919" s="11">
        <f>Table1[[#This Row],[Milk Yield]]-J1915</f>
        <v>261</v>
      </c>
      <c r="B1919" t="s">
        <v>24</v>
      </c>
      <c r="C1919" s="2">
        <v>1</v>
      </c>
      <c r="D1919" s="12">
        <v>45990</v>
      </c>
      <c r="E1919" s="2">
        <v>32</v>
      </c>
      <c r="F1919" s="18">
        <v>0.33859953703703705</v>
      </c>
      <c r="G1919" s="3">
        <v>0.51239583333333338</v>
      </c>
      <c r="H1919" s="17">
        <v>0.1736111111111111</v>
      </c>
      <c r="I1919" s="5">
        <v>688</v>
      </c>
      <c r="J1919">
        <v>7920</v>
      </c>
      <c r="K1919">
        <v>165</v>
      </c>
      <c r="L1919" s="5">
        <v>106</v>
      </c>
      <c r="M1919" s="5">
        <v>687</v>
      </c>
      <c r="N1919">
        <v>10</v>
      </c>
      <c r="O1919">
        <v>677</v>
      </c>
      <c r="P1919" s="1">
        <v>0.22152777777777777</v>
      </c>
      <c r="Q1919" s="5">
        <v>1899</v>
      </c>
      <c r="R1919" s="14">
        <v>11.6</v>
      </c>
      <c r="S1919">
        <v>165</v>
      </c>
      <c r="T1919" s="5">
        <v>10</v>
      </c>
      <c r="U1919" s="5">
        <v>679</v>
      </c>
      <c r="V1919" s="5">
        <v>2</v>
      </c>
      <c r="W1919" s="5"/>
      <c r="X1919" s="5"/>
      <c r="Y1919" s="5"/>
      <c r="Z1919" s="5"/>
      <c r="AA1919" s="5"/>
      <c r="AB1919" s="5"/>
      <c r="AC1919" s="5"/>
      <c r="AD1919" s="5"/>
      <c r="AE1919" s="5"/>
      <c r="AF1919" s="5"/>
      <c r="AG1919" s="5"/>
      <c r="AH1919" s="5"/>
      <c r="AI1919" s="5"/>
      <c r="AJ1919" s="5"/>
      <c r="AK1919" s="5"/>
    </row>
    <row r="1920" spans="1:37" x14ac:dyDescent="0.25">
      <c r="A1920" s="11">
        <f>Table1[[#This Row],[Milk Yield]]-J1916</f>
        <v>-354</v>
      </c>
      <c r="B1920" t="s">
        <v>24</v>
      </c>
      <c r="C1920" s="2">
        <v>2</v>
      </c>
      <c r="D1920" s="12">
        <v>45990</v>
      </c>
      <c r="E1920" s="2">
        <v>33</v>
      </c>
      <c r="F1920" s="18">
        <v>0.66986111111111113</v>
      </c>
      <c r="G1920" s="3">
        <v>0.87711805555555555</v>
      </c>
      <c r="H1920" s="17">
        <v>0.20694444444444443</v>
      </c>
      <c r="I1920" s="5">
        <v>702</v>
      </c>
      <c r="J1920">
        <v>8091</v>
      </c>
      <c r="K1920">
        <v>141</v>
      </c>
      <c r="L1920" s="5">
        <v>327</v>
      </c>
      <c r="M1920" s="5">
        <v>700</v>
      </c>
      <c r="N1920">
        <v>27</v>
      </c>
      <c r="O1920">
        <v>673</v>
      </c>
      <c r="P1920" s="1">
        <v>0.2326388888888889</v>
      </c>
      <c r="Q1920" s="5">
        <v>1627</v>
      </c>
      <c r="R1920" s="14">
        <v>11.6</v>
      </c>
      <c r="S1920">
        <v>141</v>
      </c>
      <c r="T1920" s="5">
        <v>27</v>
      </c>
      <c r="U1920" s="5">
        <v>675</v>
      </c>
      <c r="V1920" s="5">
        <v>2</v>
      </c>
      <c r="W1920" s="5"/>
      <c r="X1920" s="5"/>
      <c r="Y1920" s="5"/>
      <c r="Z1920" s="5"/>
      <c r="AA1920" s="5"/>
      <c r="AB1920" s="5"/>
      <c r="AC1920" s="5"/>
      <c r="AD1920" s="5"/>
      <c r="AE1920" s="5"/>
      <c r="AF1920" s="5"/>
      <c r="AG1920" s="5"/>
      <c r="AH1920" s="5"/>
      <c r="AI1920" s="5"/>
      <c r="AJ1920" s="5"/>
      <c r="AK1920" s="5"/>
    </row>
    <row r="1921" spans="1:37" x14ac:dyDescent="0.25">
      <c r="A1921" s="11">
        <f>Table1[[#This Row],[Milk Yield]]-J1917</f>
        <v>676</v>
      </c>
      <c r="B1921" t="s">
        <v>24</v>
      </c>
      <c r="C1921" s="2">
        <v>3</v>
      </c>
      <c r="D1921" s="12">
        <v>45990</v>
      </c>
      <c r="E1921" s="2">
        <v>33</v>
      </c>
      <c r="F1921" s="18">
        <v>0.01</v>
      </c>
      <c r="G1921" s="3">
        <v>0.20438657407407407</v>
      </c>
      <c r="H1921" s="17">
        <v>0.19375000000000001</v>
      </c>
      <c r="I1921" s="5">
        <v>700</v>
      </c>
      <c r="J1921">
        <v>8011</v>
      </c>
      <c r="K1921">
        <v>150</v>
      </c>
      <c r="L1921" s="5">
        <v>428</v>
      </c>
      <c r="M1921" s="5">
        <v>698</v>
      </c>
      <c r="N1921">
        <v>38</v>
      </c>
      <c r="O1921">
        <v>660</v>
      </c>
      <c r="P1921" s="1">
        <v>0.2298611111111111</v>
      </c>
      <c r="Q1921" s="5">
        <v>1717</v>
      </c>
      <c r="R1921" s="14">
        <v>11.5</v>
      </c>
      <c r="S1921">
        <v>150</v>
      </c>
      <c r="T1921" s="5">
        <v>38</v>
      </c>
      <c r="U1921" s="5">
        <v>662</v>
      </c>
      <c r="V1921" s="5">
        <v>2</v>
      </c>
      <c r="W1921" s="5"/>
      <c r="X1921" s="5"/>
      <c r="Y1921" s="5"/>
      <c r="Z1921" s="5"/>
      <c r="AA1921" s="5"/>
      <c r="AB1921" s="5"/>
      <c r="AC1921" s="5"/>
      <c r="AD1921" s="5"/>
      <c r="AE1921" s="5"/>
      <c r="AF1921" s="5"/>
      <c r="AG1921" s="5"/>
      <c r="AH1921" s="5"/>
      <c r="AI1921" s="5"/>
      <c r="AJ1921" s="5"/>
      <c r="AK1921" s="5"/>
    </row>
    <row r="1922" spans="1:37" x14ac:dyDescent="0.25">
      <c r="A1922" s="11" t="e">
        <f>Table1[[#This Row],[Milk Yield]]-J1918</f>
        <v>#VALUE!</v>
      </c>
      <c r="B1922" t="s">
        <v>0</v>
      </c>
      <c r="C1922" s="2" t="s">
        <v>1</v>
      </c>
      <c r="D1922" s="12" t="s">
        <v>2</v>
      </c>
      <c r="E1922" s="2" t="s">
        <v>3</v>
      </c>
      <c r="F1922" s="18" t="s">
        <v>4</v>
      </c>
      <c r="G1922" s="3" t="s">
        <v>5</v>
      </c>
      <c r="H1922" s="17" t="s">
        <v>6</v>
      </c>
      <c r="I1922" s="5" t="s">
        <v>8</v>
      </c>
      <c r="J1922" t="s">
        <v>9</v>
      </c>
      <c r="K1922" t="s">
        <v>10</v>
      </c>
      <c r="L1922" s="5" t="s">
        <v>11</v>
      </c>
      <c r="M1922" s="5" t="s">
        <v>12</v>
      </c>
      <c r="N1922" t="s">
        <v>13</v>
      </c>
      <c r="O1922" t="s">
        <v>20</v>
      </c>
      <c r="P1922" s="1" t="s">
        <v>7</v>
      </c>
      <c r="Q1922" s="5" t="s">
        <v>15</v>
      </c>
      <c r="R1922" s="14" t="s">
        <v>18</v>
      </c>
      <c r="S1922" t="s">
        <v>16</v>
      </c>
      <c r="T1922" s="5" t="s">
        <v>14</v>
      </c>
      <c r="U1922" s="5" t="s">
        <v>17</v>
      </c>
      <c r="V1922" s="5" t="s">
        <v>19</v>
      </c>
      <c r="W1922" s="5"/>
      <c r="X1922" s="5"/>
      <c r="Y1922" s="5"/>
      <c r="Z1922" s="5"/>
      <c r="AA1922" s="5"/>
      <c r="AB1922" s="5"/>
      <c r="AC1922" s="5"/>
      <c r="AD1922" s="5"/>
      <c r="AE1922" s="5"/>
      <c r="AF1922" s="5"/>
      <c r="AG1922" s="5"/>
      <c r="AH1922" s="5"/>
      <c r="AI1922" s="5"/>
      <c r="AJ1922" s="5"/>
      <c r="AK1922" s="5"/>
    </row>
    <row r="1923" spans="1:37" x14ac:dyDescent="0.25">
      <c r="A1923" s="11">
        <f>Table1[[#This Row],[Milk Yield]]-J1919</f>
        <v>-296</v>
      </c>
      <c r="B1923" t="s">
        <v>24</v>
      </c>
      <c r="C1923" s="2">
        <v>1</v>
      </c>
      <c r="D1923" s="12">
        <v>45991</v>
      </c>
      <c r="E1923" s="2">
        <v>30</v>
      </c>
      <c r="F1923" s="18">
        <v>0.33667824074074076</v>
      </c>
      <c r="G1923" s="3">
        <v>0.52112268518518523</v>
      </c>
      <c r="H1923" s="17">
        <v>0.18402777777777779</v>
      </c>
      <c r="I1923" s="5">
        <v>687</v>
      </c>
      <c r="J1923">
        <v>7624</v>
      </c>
      <c r="K1923">
        <v>155</v>
      </c>
      <c r="L1923" s="5">
        <v>74</v>
      </c>
      <c r="M1923" s="5">
        <v>686</v>
      </c>
      <c r="N1923">
        <v>19</v>
      </c>
      <c r="O1923">
        <v>667</v>
      </c>
      <c r="P1923" s="1">
        <v>0.23055555555555557</v>
      </c>
      <c r="Q1923" s="5">
        <v>1722</v>
      </c>
      <c r="R1923" s="14">
        <v>11.2</v>
      </c>
      <c r="S1923">
        <v>155</v>
      </c>
      <c r="T1923" s="5">
        <v>19</v>
      </c>
      <c r="U1923" s="5">
        <v>669</v>
      </c>
      <c r="V1923" s="5">
        <v>2</v>
      </c>
      <c r="W1923" s="5"/>
      <c r="X1923" s="5"/>
      <c r="Y1923" s="5"/>
      <c r="Z1923" s="5"/>
      <c r="AA1923" s="5"/>
      <c r="AB1923" s="5"/>
      <c r="AC1923" s="5"/>
      <c r="AD1923" s="5"/>
      <c r="AE1923" s="5"/>
      <c r="AF1923" s="5"/>
      <c r="AG1923" s="5"/>
      <c r="AH1923" s="5"/>
      <c r="AI1923" s="5"/>
      <c r="AJ1923" s="5"/>
      <c r="AK1923" s="5"/>
    </row>
    <row r="1924" spans="1:37" x14ac:dyDescent="0.25">
      <c r="A1924" s="11">
        <f>Table1[[#This Row],[Milk Yield]]-J1920</f>
        <v>256</v>
      </c>
      <c r="B1924" t="s">
        <v>24</v>
      </c>
      <c r="C1924" s="2">
        <v>2</v>
      </c>
      <c r="D1924" s="12">
        <v>45991</v>
      </c>
      <c r="E1924" s="2">
        <v>33</v>
      </c>
      <c r="F1924" s="18">
        <v>0.66606481481481483</v>
      </c>
      <c r="G1924" s="3">
        <v>0.88677083333333329</v>
      </c>
      <c r="H1924" s="17">
        <v>0.22013888888888888</v>
      </c>
      <c r="I1924" s="5">
        <v>690</v>
      </c>
      <c r="J1924">
        <v>8347</v>
      </c>
      <c r="K1924">
        <v>130</v>
      </c>
      <c r="L1924" s="5">
        <v>88</v>
      </c>
      <c r="M1924" s="5">
        <v>690</v>
      </c>
      <c r="N1924">
        <v>9</v>
      </c>
      <c r="O1924">
        <v>681</v>
      </c>
      <c r="P1924" s="1">
        <v>0.22916666666666666</v>
      </c>
      <c r="Q1924" s="5">
        <v>1576</v>
      </c>
      <c r="R1924" s="14">
        <v>12.1</v>
      </c>
      <c r="S1924">
        <v>130</v>
      </c>
      <c r="T1924" s="5">
        <v>9</v>
      </c>
      <c r="U1924" s="5">
        <v>683</v>
      </c>
      <c r="V1924" s="5">
        <v>2</v>
      </c>
      <c r="W1924" s="5"/>
      <c r="X1924" s="5"/>
      <c r="Y1924" s="5"/>
      <c r="Z1924" s="5"/>
      <c r="AA1924" s="5"/>
      <c r="AB1924" s="5"/>
      <c r="AC1924" s="5"/>
      <c r="AD1924" s="5"/>
      <c r="AE1924" s="5"/>
      <c r="AF1924" s="5"/>
      <c r="AG1924" s="5"/>
      <c r="AH1924" s="5"/>
      <c r="AI1924" s="5"/>
      <c r="AJ1924" s="5"/>
      <c r="AK1924" s="5"/>
    </row>
    <row r="1925" spans="1:37" x14ac:dyDescent="0.25">
      <c r="A1925" s="11">
        <f>Table1[[#This Row],[Milk Yield]]-J1921</f>
        <v>-543</v>
      </c>
      <c r="B1925" t="s">
        <v>24</v>
      </c>
      <c r="C1925" s="2">
        <v>3</v>
      </c>
      <c r="D1925" s="12">
        <v>45991</v>
      </c>
      <c r="E1925" s="2">
        <v>33</v>
      </c>
      <c r="F1925" s="18">
        <v>0.99725694444444446</v>
      </c>
      <c r="G1925" s="3">
        <v>0.18457175925925925</v>
      </c>
      <c r="H1925" s="17">
        <v>0.18680555555555556</v>
      </c>
      <c r="I1925" s="5">
        <v>688</v>
      </c>
      <c r="J1925">
        <v>7468</v>
      </c>
      <c r="K1925">
        <v>153</v>
      </c>
      <c r="L1925" s="5">
        <v>77</v>
      </c>
      <c r="M1925" s="5">
        <v>688</v>
      </c>
      <c r="N1925">
        <v>8</v>
      </c>
      <c r="O1925">
        <v>680</v>
      </c>
      <c r="P1925" s="1">
        <v>0.21875</v>
      </c>
      <c r="Q1925" s="5">
        <v>1661</v>
      </c>
      <c r="R1925" s="14">
        <v>10.9</v>
      </c>
      <c r="S1925">
        <v>153</v>
      </c>
      <c r="T1925" s="5">
        <v>8</v>
      </c>
      <c r="U1925" s="5">
        <v>682</v>
      </c>
      <c r="V1925" s="5">
        <v>2</v>
      </c>
      <c r="W1925" s="5"/>
      <c r="X1925" s="5"/>
      <c r="Y1925" s="5"/>
      <c r="Z1925" s="5"/>
      <c r="AA1925" s="5"/>
      <c r="AB1925" s="5"/>
      <c r="AC1925" s="5"/>
      <c r="AD1925" s="5"/>
      <c r="AE1925" s="5"/>
      <c r="AF1925" s="5"/>
      <c r="AG1925" s="5"/>
      <c r="AH1925" s="5"/>
      <c r="AI1925" s="5"/>
      <c r="AJ1925" s="5"/>
      <c r="AK1925" s="5"/>
    </row>
    <row r="1926" spans="1:37" x14ac:dyDescent="0.25">
      <c r="A1926" s="11" t="e">
        <f>Table1[[#This Row],[Milk Yield]]-J1922</f>
        <v>#VALUE!</v>
      </c>
      <c r="B1926" t="s">
        <v>0</v>
      </c>
      <c r="C1926" s="2" t="s">
        <v>1</v>
      </c>
      <c r="D1926" s="12" t="s">
        <v>2</v>
      </c>
      <c r="E1926" s="2" t="s">
        <v>3</v>
      </c>
      <c r="F1926" s="18" t="s">
        <v>4</v>
      </c>
      <c r="G1926" s="3" t="s">
        <v>5</v>
      </c>
      <c r="H1926" s="17" t="s">
        <v>6</v>
      </c>
      <c r="I1926" s="5" t="s">
        <v>8</v>
      </c>
      <c r="J1926" t="s">
        <v>9</v>
      </c>
      <c r="K1926" t="s">
        <v>10</v>
      </c>
      <c r="L1926" s="5" t="s">
        <v>11</v>
      </c>
      <c r="M1926" s="5" t="s">
        <v>12</v>
      </c>
      <c r="N1926" t="s">
        <v>13</v>
      </c>
      <c r="O1926" t="s">
        <v>20</v>
      </c>
      <c r="P1926" s="1" t="s">
        <v>7</v>
      </c>
      <c r="Q1926" s="5" t="s">
        <v>15</v>
      </c>
      <c r="R1926" s="14" t="s">
        <v>18</v>
      </c>
      <c r="S1926" t="s">
        <v>16</v>
      </c>
      <c r="T1926" s="5" t="s">
        <v>14</v>
      </c>
      <c r="U1926" s="5" t="s">
        <v>17</v>
      </c>
      <c r="V1926" s="5" t="s">
        <v>19</v>
      </c>
      <c r="W1926" s="5"/>
      <c r="X1926" s="5"/>
      <c r="Y1926" s="5"/>
      <c r="Z1926" s="5"/>
      <c r="AA1926" s="5"/>
      <c r="AB1926" s="5"/>
      <c r="AC1926" s="5"/>
      <c r="AD1926" s="5"/>
      <c r="AE1926" s="5"/>
      <c r="AF1926" s="5"/>
      <c r="AG1926" s="5"/>
      <c r="AH1926" s="5"/>
      <c r="AI1926" s="5"/>
      <c r="AJ1926" s="5"/>
      <c r="AK1926" s="5"/>
    </row>
    <row r="1927" spans="1:37" x14ac:dyDescent="0.25">
      <c r="A1927" s="11">
        <f>Table1[[#This Row],[Milk Yield]]-J1923</f>
        <v>230</v>
      </c>
      <c r="B1927" t="s">
        <v>24</v>
      </c>
      <c r="C1927" s="2">
        <v>1</v>
      </c>
      <c r="D1927" s="12">
        <v>45992</v>
      </c>
      <c r="E1927" s="2">
        <v>30</v>
      </c>
      <c r="F1927" s="18">
        <v>0.33469907407407407</v>
      </c>
      <c r="G1927" s="3">
        <v>0.51908564814814817</v>
      </c>
      <c r="H1927" s="17">
        <v>0.18402777777777779</v>
      </c>
      <c r="I1927" s="5">
        <v>683</v>
      </c>
      <c r="J1927">
        <v>7854</v>
      </c>
      <c r="K1927">
        <v>154</v>
      </c>
      <c r="L1927" s="5">
        <v>111</v>
      </c>
      <c r="M1927" s="5">
        <v>683</v>
      </c>
      <c r="N1927">
        <v>10</v>
      </c>
      <c r="O1927">
        <v>673</v>
      </c>
      <c r="P1927" s="1">
        <v>0.22430555555555556</v>
      </c>
      <c r="Q1927" s="5">
        <v>1775</v>
      </c>
      <c r="R1927" s="14">
        <v>11.5</v>
      </c>
      <c r="S1927">
        <v>154</v>
      </c>
      <c r="T1927" s="5">
        <v>10</v>
      </c>
      <c r="U1927" s="5">
        <v>675</v>
      </c>
      <c r="V1927" s="5">
        <v>2</v>
      </c>
      <c r="W1927" s="5"/>
      <c r="X1927" s="5"/>
      <c r="Y1927" s="5"/>
      <c r="Z1927" s="5"/>
      <c r="AA1927" s="5"/>
      <c r="AB1927" s="5"/>
      <c r="AC1927" s="5"/>
      <c r="AD1927" s="5"/>
      <c r="AE1927" s="5"/>
      <c r="AF1927" s="5"/>
      <c r="AG1927" s="5"/>
      <c r="AH1927" s="5"/>
      <c r="AI1927" s="5"/>
      <c r="AJ1927" s="5"/>
      <c r="AK1927" s="5"/>
    </row>
    <row r="1928" spans="1:37" x14ac:dyDescent="0.25">
      <c r="A1928" s="11">
        <f>Table1[[#This Row],[Milk Yield]]-J1924</f>
        <v>-166</v>
      </c>
      <c r="B1928" t="s">
        <v>24</v>
      </c>
      <c r="C1928" s="2">
        <v>2</v>
      </c>
      <c r="D1928" s="12">
        <v>45992</v>
      </c>
      <c r="E1928" s="2">
        <v>33</v>
      </c>
      <c r="F1928" s="18">
        <v>0.66156250000000005</v>
      </c>
      <c r="G1928" s="3">
        <v>0.85530092592592588</v>
      </c>
      <c r="H1928" s="17">
        <v>0.19305555555555556</v>
      </c>
      <c r="I1928" s="5">
        <v>691</v>
      </c>
      <c r="J1928">
        <v>8181</v>
      </c>
      <c r="K1928">
        <v>149</v>
      </c>
      <c r="L1928" s="5">
        <v>104</v>
      </c>
      <c r="M1928" s="5">
        <v>690</v>
      </c>
      <c r="N1928">
        <v>11</v>
      </c>
      <c r="O1928">
        <v>679</v>
      </c>
      <c r="P1928" s="1">
        <v>0.23125000000000001</v>
      </c>
      <c r="Q1928" s="5">
        <v>1759</v>
      </c>
      <c r="R1928" s="14">
        <v>11.9</v>
      </c>
      <c r="S1928">
        <v>148</v>
      </c>
      <c r="T1928" s="5">
        <v>11</v>
      </c>
      <c r="U1928" s="5">
        <v>681</v>
      </c>
      <c r="V1928" s="5">
        <v>2</v>
      </c>
      <c r="W1928" s="5"/>
      <c r="X1928" s="5"/>
      <c r="Y1928" s="5"/>
      <c r="Z1928" s="5"/>
      <c r="AA1928" s="5"/>
      <c r="AB1928" s="5"/>
      <c r="AC1928" s="5"/>
      <c r="AD1928" s="5"/>
      <c r="AE1928" s="5"/>
      <c r="AF1928" s="5"/>
      <c r="AG1928" s="5"/>
      <c r="AH1928" s="5"/>
      <c r="AI1928" s="5"/>
      <c r="AJ1928" s="5"/>
      <c r="AK1928" s="5"/>
    </row>
    <row r="1929" spans="1:37" x14ac:dyDescent="0.25">
      <c r="A1929" s="11">
        <f>Table1[[#This Row],[Milk Yield]]-J1925</f>
        <v>-3</v>
      </c>
      <c r="B1929" t="s">
        <v>24</v>
      </c>
      <c r="C1929" s="2">
        <v>3</v>
      </c>
      <c r="D1929" s="12">
        <v>45992</v>
      </c>
      <c r="E1929" s="2">
        <v>30</v>
      </c>
      <c r="F1929" s="18">
        <v>1.5972222222222223E-3</v>
      </c>
      <c r="G1929" s="3">
        <v>0.16796296296296295</v>
      </c>
      <c r="H1929" s="17">
        <v>0.16597222222222222</v>
      </c>
      <c r="I1929" s="5">
        <v>690</v>
      </c>
      <c r="J1929">
        <v>7465</v>
      </c>
      <c r="K1929">
        <v>173</v>
      </c>
      <c r="L1929" s="5">
        <v>70</v>
      </c>
      <c r="M1929" s="5">
        <v>689</v>
      </c>
      <c r="N1929">
        <v>7</v>
      </c>
      <c r="O1929">
        <v>682</v>
      </c>
      <c r="P1929" s="1">
        <v>0.20972222222222223</v>
      </c>
      <c r="Q1929" s="5">
        <v>1870</v>
      </c>
      <c r="R1929" s="14">
        <v>10.9</v>
      </c>
      <c r="S1929">
        <v>173</v>
      </c>
      <c r="T1929" s="5">
        <v>7</v>
      </c>
      <c r="U1929" s="5">
        <v>684</v>
      </c>
      <c r="V1929" s="5">
        <v>2</v>
      </c>
      <c r="W1929" s="5"/>
      <c r="X1929" s="5"/>
      <c r="Y1929" s="5"/>
      <c r="Z1929" s="5"/>
      <c r="AA1929" s="5"/>
      <c r="AB1929" s="5"/>
      <c r="AC1929" s="5"/>
      <c r="AD1929" s="5"/>
      <c r="AE1929" s="5"/>
      <c r="AF1929" s="5"/>
      <c r="AG1929" s="5"/>
      <c r="AH1929" s="5"/>
      <c r="AI1929" s="5"/>
      <c r="AJ1929" s="5"/>
      <c r="AK1929" s="5"/>
    </row>
    <row r="1930" spans="1:37" x14ac:dyDescent="0.25">
      <c r="A1930" s="11" t="e">
        <f>Table1[[#This Row],[Milk Yield]]-J1926</f>
        <v>#VALUE!</v>
      </c>
      <c r="B1930" t="s">
        <v>0</v>
      </c>
      <c r="C1930" s="2" t="s">
        <v>1</v>
      </c>
      <c r="D1930" s="12" t="s">
        <v>2</v>
      </c>
      <c r="E1930" s="2" t="s">
        <v>3</v>
      </c>
      <c r="F1930" s="18" t="s">
        <v>4</v>
      </c>
      <c r="G1930" s="3" t="s">
        <v>5</v>
      </c>
      <c r="H1930" s="17" t="s">
        <v>6</v>
      </c>
      <c r="I1930" s="5" t="s">
        <v>8</v>
      </c>
      <c r="J1930" t="s">
        <v>9</v>
      </c>
      <c r="K1930" t="s">
        <v>10</v>
      </c>
      <c r="L1930" s="5" t="s">
        <v>11</v>
      </c>
      <c r="M1930" s="5" t="s">
        <v>12</v>
      </c>
      <c r="N1930" t="s">
        <v>13</v>
      </c>
      <c r="O1930" t="s">
        <v>20</v>
      </c>
      <c r="P1930" s="1" t="s">
        <v>7</v>
      </c>
      <c r="Q1930" s="5" t="s">
        <v>15</v>
      </c>
      <c r="R1930" s="14" t="s">
        <v>18</v>
      </c>
      <c r="S1930" t="s">
        <v>16</v>
      </c>
      <c r="T1930" s="5" t="s">
        <v>14</v>
      </c>
      <c r="U1930" s="5" t="s">
        <v>17</v>
      </c>
      <c r="V1930" s="5" t="s">
        <v>19</v>
      </c>
      <c r="W1930" s="5"/>
      <c r="X1930" s="5"/>
      <c r="Y1930" s="5"/>
      <c r="Z1930" s="5"/>
      <c r="AA1930" s="5"/>
      <c r="AB1930" s="5"/>
      <c r="AC1930" s="5"/>
      <c r="AD1930" s="5"/>
      <c r="AE1930" s="5"/>
      <c r="AF1930" s="5"/>
      <c r="AG1930" s="5"/>
      <c r="AH1930" s="5"/>
      <c r="AI1930" s="5"/>
      <c r="AJ1930" s="5"/>
      <c r="AK1930" s="5"/>
    </row>
    <row r="1931" spans="1:37" x14ac:dyDescent="0.25">
      <c r="A1931" s="11">
        <f>Table1[[#This Row],[Milk Yield]]-J1927</f>
        <v>568</v>
      </c>
      <c r="B1931" t="s">
        <v>24</v>
      </c>
      <c r="C1931" s="2">
        <v>1</v>
      </c>
      <c r="D1931" s="12">
        <v>45993</v>
      </c>
      <c r="E1931" s="2">
        <v>31</v>
      </c>
      <c r="F1931" s="18">
        <v>0.33468750000000003</v>
      </c>
      <c r="G1931" s="3">
        <v>0.50935185185185183</v>
      </c>
      <c r="H1931" s="17">
        <v>0.17430555555555555</v>
      </c>
      <c r="I1931" s="5">
        <v>699</v>
      </c>
      <c r="J1931">
        <v>8422</v>
      </c>
      <c r="K1931">
        <v>167</v>
      </c>
      <c r="L1931" s="5">
        <v>51</v>
      </c>
      <c r="M1931" s="5">
        <v>699</v>
      </c>
      <c r="N1931">
        <v>14</v>
      </c>
      <c r="O1931">
        <v>685</v>
      </c>
      <c r="P1931" s="1">
        <v>0.22569444444444445</v>
      </c>
      <c r="Q1931" s="5">
        <v>2009</v>
      </c>
      <c r="R1931" s="14">
        <v>12.1</v>
      </c>
      <c r="S1931">
        <v>167</v>
      </c>
      <c r="T1931" s="5">
        <v>14</v>
      </c>
      <c r="U1931" s="5">
        <v>686</v>
      </c>
      <c r="V1931" s="5">
        <v>2</v>
      </c>
      <c r="W1931" s="5"/>
      <c r="X1931" s="5"/>
      <c r="Y1931" s="5"/>
      <c r="Z1931" s="5"/>
      <c r="AA1931" s="5"/>
      <c r="AB1931" s="5"/>
      <c r="AC1931" s="5"/>
      <c r="AD1931" s="5"/>
      <c r="AE1931" s="5"/>
      <c r="AF1931" s="5"/>
      <c r="AG1931" s="5"/>
      <c r="AH1931" s="5"/>
      <c r="AI1931" s="5"/>
      <c r="AJ1931" s="5"/>
      <c r="AK1931" s="5"/>
    </row>
    <row r="1932" spans="1:37" x14ac:dyDescent="0.25">
      <c r="A1932" s="11">
        <f>Table1[[#This Row],[Milk Yield]]-J1928</f>
        <v>369</v>
      </c>
      <c r="B1932" t="s">
        <v>24</v>
      </c>
      <c r="C1932" s="2">
        <v>2</v>
      </c>
      <c r="D1932" s="12">
        <v>45993</v>
      </c>
      <c r="E1932" s="2">
        <v>33</v>
      </c>
      <c r="F1932" s="18">
        <v>0.66857638888888893</v>
      </c>
      <c r="G1932" s="3">
        <v>0.88407407407407412</v>
      </c>
      <c r="H1932" s="17">
        <v>0.21527777777777779</v>
      </c>
      <c r="I1932" s="5">
        <v>691</v>
      </c>
      <c r="J1932">
        <v>8550</v>
      </c>
      <c r="K1932">
        <v>134</v>
      </c>
      <c r="L1932" s="5">
        <v>110</v>
      </c>
      <c r="M1932" s="5">
        <v>690</v>
      </c>
      <c r="N1932">
        <v>11</v>
      </c>
      <c r="O1932">
        <v>679</v>
      </c>
      <c r="P1932" s="1">
        <v>0.22916666666666666</v>
      </c>
      <c r="Q1932" s="5">
        <v>1653</v>
      </c>
      <c r="R1932" s="14">
        <v>12.4</v>
      </c>
      <c r="S1932">
        <v>133</v>
      </c>
      <c r="T1932" s="5">
        <v>11</v>
      </c>
      <c r="U1932" s="5">
        <v>681</v>
      </c>
      <c r="V1932" s="5">
        <v>2</v>
      </c>
      <c r="W1932" s="5"/>
      <c r="X1932" s="5"/>
      <c r="Y1932" s="5"/>
      <c r="Z1932" s="5"/>
      <c r="AA1932" s="5"/>
      <c r="AB1932" s="5"/>
      <c r="AC1932" s="5"/>
      <c r="AD1932" s="5"/>
      <c r="AE1932" s="5"/>
      <c r="AF1932" s="5"/>
      <c r="AG1932" s="5"/>
      <c r="AH1932" s="5"/>
      <c r="AI1932" s="5"/>
      <c r="AJ1932" s="5"/>
      <c r="AK1932" s="5"/>
    </row>
    <row r="1933" spans="1:37" x14ac:dyDescent="0.25">
      <c r="A1933" s="11">
        <f>Table1[[#This Row],[Milk Yield]]-J1929</f>
        <v>-592</v>
      </c>
      <c r="B1933" t="s">
        <v>24</v>
      </c>
      <c r="C1933" s="2">
        <v>3</v>
      </c>
      <c r="D1933" s="12">
        <v>45993</v>
      </c>
      <c r="E1933" s="2">
        <v>30</v>
      </c>
      <c r="F1933" s="18">
        <v>1.3888888888888889E-3</v>
      </c>
      <c r="G1933" s="3">
        <v>0.16787037037037036</v>
      </c>
      <c r="H1933" s="17">
        <v>0.16597222222222222</v>
      </c>
      <c r="I1933" s="5">
        <v>689</v>
      </c>
      <c r="J1933">
        <v>6873</v>
      </c>
      <c r="K1933">
        <v>172</v>
      </c>
      <c r="L1933" s="5">
        <v>77</v>
      </c>
      <c r="M1933" s="5">
        <v>689</v>
      </c>
      <c r="N1933">
        <v>9</v>
      </c>
      <c r="O1933">
        <v>680</v>
      </c>
      <c r="P1933" s="1">
        <v>0.20277777777777778</v>
      </c>
      <c r="Q1933" s="5">
        <v>1720</v>
      </c>
      <c r="R1933" s="14">
        <v>10</v>
      </c>
      <c r="S1933">
        <v>172</v>
      </c>
      <c r="T1933" s="5">
        <v>9</v>
      </c>
      <c r="U1933" s="5">
        <v>682</v>
      </c>
      <c r="V1933" s="5">
        <v>2</v>
      </c>
      <c r="W1933" s="5"/>
      <c r="X1933" s="5"/>
      <c r="Y1933" s="5"/>
      <c r="Z1933" s="5"/>
      <c r="AA1933" s="5"/>
      <c r="AB1933" s="5"/>
      <c r="AC1933" s="5"/>
      <c r="AD1933" s="5"/>
      <c r="AE1933" s="5"/>
      <c r="AF1933" s="5"/>
      <c r="AG1933" s="5"/>
      <c r="AH1933" s="5"/>
      <c r="AI1933" s="5"/>
      <c r="AJ1933" s="5"/>
      <c r="AK1933" s="5"/>
    </row>
    <row r="1934" spans="1:37" x14ac:dyDescent="0.25">
      <c r="A1934" s="11" t="e">
        <f>Table1[[#This Row],[Milk Yield]]-J1930</f>
        <v>#VALUE!</v>
      </c>
      <c r="B1934" t="s">
        <v>0</v>
      </c>
      <c r="C1934" s="2" t="s">
        <v>1</v>
      </c>
      <c r="D1934" s="12" t="s">
        <v>2</v>
      </c>
      <c r="E1934" s="2" t="s">
        <v>3</v>
      </c>
      <c r="F1934" s="18" t="s">
        <v>4</v>
      </c>
      <c r="G1934" s="3" t="s">
        <v>5</v>
      </c>
      <c r="H1934" s="17" t="s">
        <v>6</v>
      </c>
      <c r="I1934" s="5" t="s">
        <v>8</v>
      </c>
      <c r="J1934" t="s">
        <v>9</v>
      </c>
      <c r="K1934" t="s">
        <v>10</v>
      </c>
      <c r="L1934" s="5" t="s">
        <v>11</v>
      </c>
      <c r="M1934" s="5" t="s">
        <v>12</v>
      </c>
      <c r="N1934" t="s">
        <v>13</v>
      </c>
      <c r="O1934" t="s">
        <v>20</v>
      </c>
      <c r="P1934" s="1" t="s">
        <v>7</v>
      </c>
      <c r="Q1934" s="5" t="s">
        <v>15</v>
      </c>
      <c r="R1934" s="14" t="s">
        <v>18</v>
      </c>
      <c r="S1934" t="s">
        <v>16</v>
      </c>
      <c r="T1934" s="5" t="s">
        <v>14</v>
      </c>
      <c r="U1934" s="5" t="s">
        <v>17</v>
      </c>
      <c r="V1934" s="5" t="s">
        <v>19</v>
      </c>
      <c r="W1934" s="5"/>
      <c r="X1934" s="5"/>
      <c r="Y1934" s="5"/>
      <c r="Z1934" s="5"/>
      <c r="AA1934" s="5"/>
      <c r="AB1934" s="5"/>
      <c r="AC1934" s="5"/>
      <c r="AD1934" s="5"/>
      <c r="AE1934" s="5"/>
      <c r="AF1934" s="5"/>
      <c r="AG1934" s="5"/>
      <c r="AH1934" s="5"/>
      <c r="AI1934" s="5"/>
      <c r="AJ1934" s="5"/>
      <c r="AK1934" s="5"/>
    </row>
    <row r="1935" spans="1:37" x14ac:dyDescent="0.25">
      <c r="A1935" s="11">
        <f>Table1[[#This Row],[Milk Yield]]-J1931</f>
        <v>114</v>
      </c>
      <c r="B1935" t="s">
        <v>24</v>
      </c>
      <c r="C1935" s="2">
        <v>1</v>
      </c>
      <c r="D1935" s="12">
        <v>45994</v>
      </c>
      <c r="E1935" s="2">
        <v>31</v>
      </c>
      <c r="F1935" s="18">
        <v>0.33303240740740742</v>
      </c>
      <c r="G1935" s="3">
        <v>0.52076388888888892</v>
      </c>
      <c r="H1935" s="17">
        <v>0.1875</v>
      </c>
      <c r="I1935" s="5">
        <v>692</v>
      </c>
      <c r="J1935">
        <v>8536</v>
      </c>
      <c r="K1935">
        <v>154</v>
      </c>
      <c r="L1935" s="5">
        <v>68</v>
      </c>
      <c r="M1935" s="5">
        <v>691</v>
      </c>
      <c r="N1935">
        <v>11</v>
      </c>
      <c r="O1935">
        <v>680</v>
      </c>
      <c r="P1935" s="1">
        <v>0.2326388888888889</v>
      </c>
      <c r="Q1935" s="5">
        <v>1895</v>
      </c>
      <c r="R1935" s="14">
        <v>12.4</v>
      </c>
      <c r="S1935">
        <v>153</v>
      </c>
      <c r="T1935" s="5">
        <v>11</v>
      </c>
      <c r="U1935" s="5">
        <v>682</v>
      </c>
      <c r="V1935" s="5">
        <v>2</v>
      </c>
      <c r="W1935" s="5"/>
      <c r="X1935" s="5"/>
      <c r="Y1935" s="5"/>
      <c r="Z1935" s="5"/>
      <c r="AA1935" s="5"/>
      <c r="AB1935" s="5"/>
      <c r="AC1935" s="5"/>
      <c r="AD1935" s="5"/>
      <c r="AE1935" s="5"/>
      <c r="AF1935" s="5"/>
      <c r="AG1935" s="5"/>
      <c r="AH1935" s="5"/>
      <c r="AI1935" s="5"/>
      <c r="AJ1935" s="5"/>
      <c r="AK1935" s="5"/>
    </row>
    <row r="1936" spans="1:37" x14ac:dyDescent="0.25">
      <c r="A1936" s="11">
        <f>Table1[[#This Row],[Milk Yield]]-J1932</f>
        <v>-611</v>
      </c>
      <c r="B1936" t="s">
        <v>24</v>
      </c>
      <c r="C1936" s="2">
        <v>2</v>
      </c>
      <c r="D1936" s="12">
        <v>45994</v>
      </c>
      <c r="E1936" s="2">
        <v>31</v>
      </c>
      <c r="F1936" s="18">
        <v>0.66478009259259263</v>
      </c>
      <c r="G1936" s="3">
        <v>0.8561805555555555</v>
      </c>
      <c r="H1936" s="17">
        <v>0.19097222222222221</v>
      </c>
      <c r="I1936" s="5">
        <v>692</v>
      </c>
      <c r="J1936">
        <v>7939</v>
      </c>
      <c r="K1936">
        <v>151</v>
      </c>
      <c r="L1936" s="5">
        <v>100</v>
      </c>
      <c r="M1936" s="5">
        <v>692</v>
      </c>
      <c r="N1936">
        <v>11</v>
      </c>
      <c r="O1936">
        <v>681</v>
      </c>
      <c r="P1936" s="1">
        <v>0.21666666666666667</v>
      </c>
      <c r="Q1936" s="5">
        <v>1728</v>
      </c>
      <c r="R1936" s="14">
        <v>11.5</v>
      </c>
      <c r="S1936">
        <v>151</v>
      </c>
      <c r="T1936" s="5">
        <v>11</v>
      </c>
      <c r="U1936" s="5">
        <v>684</v>
      </c>
      <c r="V1936" s="5">
        <v>3</v>
      </c>
      <c r="W1936" s="5"/>
      <c r="X1936" s="5"/>
      <c r="Y1936" s="5"/>
      <c r="Z1936" s="5"/>
      <c r="AA1936" s="5"/>
      <c r="AB1936" s="5"/>
      <c r="AC1936" s="5"/>
      <c r="AD1936" s="5"/>
      <c r="AE1936" s="5"/>
      <c r="AF1936" s="5"/>
      <c r="AG1936" s="5"/>
      <c r="AH1936" s="5"/>
      <c r="AI1936" s="5"/>
      <c r="AJ1936" s="5"/>
      <c r="AK1936" s="5"/>
    </row>
    <row r="1937" spans="1:37" x14ac:dyDescent="0.25">
      <c r="A1937" s="11">
        <f>Table1[[#This Row],[Milk Yield]]-J1933</f>
        <v>598</v>
      </c>
      <c r="B1937" t="s">
        <v>24</v>
      </c>
      <c r="C1937" s="2">
        <v>3</v>
      </c>
      <c r="D1937" s="12">
        <v>45994</v>
      </c>
      <c r="E1937" s="2">
        <v>30</v>
      </c>
      <c r="F1937" s="18">
        <v>2.5115740740740741E-3</v>
      </c>
      <c r="G1937" s="3">
        <v>0.16750000000000001</v>
      </c>
      <c r="H1937" s="17">
        <v>0.16458333333333333</v>
      </c>
      <c r="I1937" s="5">
        <v>694</v>
      </c>
      <c r="J1937">
        <v>7471</v>
      </c>
      <c r="K1937">
        <v>175</v>
      </c>
      <c r="L1937" s="5">
        <v>196</v>
      </c>
      <c r="M1937" s="5">
        <v>691</v>
      </c>
      <c r="N1937">
        <v>17</v>
      </c>
      <c r="O1937">
        <v>674</v>
      </c>
      <c r="P1937" s="1">
        <v>0.20972222222222223</v>
      </c>
      <c r="Q1937" s="5">
        <v>1887</v>
      </c>
      <c r="R1937" s="14">
        <v>10.9</v>
      </c>
      <c r="S1937">
        <v>174</v>
      </c>
      <c r="T1937" s="5">
        <v>17</v>
      </c>
      <c r="U1937" s="5">
        <v>677</v>
      </c>
      <c r="V1937" s="5">
        <v>3</v>
      </c>
      <c r="W1937" s="5"/>
      <c r="X1937" s="5"/>
      <c r="Y1937" s="5"/>
      <c r="Z1937" s="5"/>
      <c r="AA1937" s="5"/>
      <c r="AB1937" s="5"/>
      <c r="AC1937" s="5"/>
      <c r="AD1937" s="5"/>
      <c r="AE1937" s="5"/>
      <c r="AF1937" s="5"/>
      <c r="AG1937" s="5"/>
      <c r="AH1937" s="5"/>
      <c r="AI1937" s="5"/>
      <c r="AJ1937" s="5"/>
      <c r="AK1937" s="5"/>
    </row>
    <row r="1938" spans="1:37" x14ac:dyDescent="0.25">
      <c r="A1938" s="11" t="e">
        <f>Table1[[#This Row],[Milk Yield]]-J1934</f>
        <v>#VALUE!</v>
      </c>
      <c r="B1938" t="s">
        <v>0</v>
      </c>
      <c r="C1938" s="2" t="s">
        <v>1</v>
      </c>
      <c r="D1938" s="12" t="s">
        <v>2</v>
      </c>
      <c r="E1938" s="2" t="s">
        <v>3</v>
      </c>
      <c r="F1938" s="18" t="s">
        <v>4</v>
      </c>
      <c r="G1938" s="3" t="s">
        <v>5</v>
      </c>
      <c r="H1938" s="17" t="s">
        <v>6</v>
      </c>
      <c r="I1938" s="5" t="s">
        <v>8</v>
      </c>
      <c r="J1938" t="s">
        <v>9</v>
      </c>
      <c r="K1938" t="s">
        <v>10</v>
      </c>
      <c r="L1938" s="5" t="s">
        <v>11</v>
      </c>
      <c r="M1938" s="5" t="s">
        <v>12</v>
      </c>
      <c r="N1938" t="s">
        <v>13</v>
      </c>
      <c r="O1938" t="s">
        <v>20</v>
      </c>
      <c r="P1938" s="1" t="s">
        <v>7</v>
      </c>
      <c r="Q1938" s="5" t="s">
        <v>15</v>
      </c>
      <c r="R1938" s="14" t="s">
        <v>18</v>
      </c>
      <c r="S1938" t="s">
        <v>16</v>
      </c>
      <c r="T1938" s="5" t="s">
        <v>14</v>
      </c>
      <c r="U1938" s="5" t="s">
        <v>17</v>
      </c>
      <c r="V1938" s="5" t="s">
        <v>19</v>
      </c>
      <c r="W1938" s="5"/>
      <c r="X1938" s="5"/>
      <c r="Y1938" s="5"/>
      <c r="Z1938" s="5"/>
      <c r="AA1938" s="5"/>
      <c r="AB1938" s="5"/>
      <c r="AC1938" s="5"/>
      <c r="AD1938" s="5"/>
      <c r="AE1938" s="5"/>
      <c r="AF1938" s="5"/>
      <c r="AG1938" s="5"/>
      <c r="AH1938" s="5"/>
      <c r="AI1938" s="5"/>
      <c r="AJ1938" s="5"/>
      <c r="AK1938" s="5"/>
    </row>
    <row r="1939" spans="1:37" x14ac:dyDescent="0.25">
      <c r="A1939" s="11">
        <f>Table1[[#This Row],[Milk Yield]]-J1935</f>
        <v>-171</v>
      </c>
      <c r="B1939" t="s">
        <v>24</v>
      </c>
      <c r="C1939" s="2">
        <v>1</v>
      </c>
      <c r="D1939" s="12">
        <v>45995</v>
      </c>
      <c r="E1939" s="2">
        <v>31</v>
      </c>
      <c r="F1939" s="18">
        <v>0.33560185185185187</v>
      </c>
      <c r="G1939" s="3">
        <v>0.51300925925925922</v>
      </c>
      <c r="H1939" s="17">
        <v>0.17708333333333334</v>
      </c>
      <c r="I1939" s="5">
        <v>695</v>
      </c>
      <c r="J1939">
        <v>8365</v>
      </c>
      <c r="K1939">
        <v>163</v>
      </c>
      <c r="L1939" s="5">
        <v>123</v>
      </c>
      <c r="M1939" s="5">
        <v>693</v>
      </c>
      <c r="N1939">
        <v>11</v>
      </c>
      <c r="O1939">
        <v>682</v>
      </c>
      <c r="P1939" s="1">
        <v>0.22777777777777777</v>
      </c>
      <c r="Q1939" s="5">
        <v>1965</v>
      </c>
      <c r="R1939" s="14">
        <v>12.1</v>
      </c>
      <c r="S1939">
        <v>163</v>
      </c>
      <c r="T1939" s="5">
        <v>11</v>
      </c>
      <c r="U1939" s="5">
        <v>685</v>
      </c>
      <c r="V1939" s="5">
        <v>4</v>
      </c>
      <c r="W1939" s="5"/>
      <c r="X1939" s="5"/>
      <c r="Y1939" s="5"/>
      <c r="Z1939" s="5"/>
      <c r="AA1939" s="5"/>
      <c r="AB1939" s="5"/>
      <c r="AC1939" s="5"/>
      <c r="AD1939" s="5"/>
      <c r="AE1939" s="5"/>
      <c r="AF1939" s="5"/>
      <c r="AG1939" s="5"/>
      <c r="AH1939" s="5"/>
      <c r="AI1939" s="5"/>
      <c r="AJ1939" s="5"/>
      <c r="AK1939" s="5"/>
    </row>
    <row r="1940" spans="1:37" x14ac:dyDescent="0.25">
      <c r="A1940" s="11">
        <f>Table1[[#This Row],[Milk Yield]]-J1936</f>
        <v>94</v>
      </c>
      <c r="B1940" t="s">
        <v>24</v>
      </c>
      <c r="C1940" s="2">
        <v>2</v>
      </c>
      <c r="D1940" s="12">
        <v>45995</v>
      </c>
      <c r="E1940" s="2">
        <v>33</v>
      </c>
      <c r="F1940" s="18">
        <v>0.66339120370370375</v>
      </c>
      <c r="G1940" s="3">
        <v>0.84692129629629631</v>
      </c>
      <c r="H1940" s="17">
        <v>0.18333333333333332</v>
      </c>
      <c r="I1940" s="5">
        <v>701</v>
      </c>
      <c r="J1940">
        <v>8033</v>
      </c>
      <c r="K1940">
        <v>159</v>
      </c>
      <c r="L1940" s="5">
        <v>116</v>
      </c>
      <c r="M1940" s="5">
        <v>699</v>
      </c>
      <c r="N1940">
        <v>11</v>
      </c>
      <c r="O1940">
        <v>688</v>
      </c>
      <c r="P1940" s="1">
        <v>0.22430555555555556</v>
      </c>
      <c r="Q1940" s="5">
        <v>1824</v>
      </c>
      <c r="R1940" s="14">
        <v>11.5</v>
      </c>
      <c r="S1940">
        <v>159</v>
      </c>
      <c r="T1940" s="5">
        <v>11</v>
      </c>
      <c r="U1940" s="5">
        <v>689</v>
      </c>
      <c r="V1940" s="5">
        <v>1</v>
      </c>
      <c r="W1940" s="5"/>
      <c r="X1940" s="5"/>
      <c r="Y1940" s="5"/>
      <c r="Z1940" s="5"/>
      <c r="AA1940" s="5"/>
      <c r="AB1940" s="5"/>
      <c r="AC1940" s="5"/>
      <c r="AD1940" s="5"/>
      <c r="AE1940" s="5"/>
      <c r="AF1940" s="5"/>
      <c r="AG1940" s="5"/>
      <c r="AH1940" s="5"/>
      <c r="AI1940" s="5"/>
      <c r="AJ1940" s="5"/>
      <c r="AK1940" s="5"/>
    </row>
    <row r="1941" spans="1:37" x14ac:dyDescent="0.25">
      <c r="A1941" s="11">
        <f>Table1[[#This Row],[Milk Yield]]-J1937</f>
        <v>-86</v>
      </c>
      <c r="B1941" t="s">
        <v>24</v>
      </c>
      <c r="C1941" s="2">
        <v>3</v>
      </c>
      <c r="D1941" s="12">
        <v>45995</v>
      </c>
      <c r="E1941" s="2">
        <v>30</v>
      </c>
      <c r="F1941" s="18">
        <v>5.0810185185185186E-3</v>
      </c>
      <c r="G1941" s="3">
        <v>0.15642361111111111</v>
      </c>
      <c r="H1941" s="17">
        <v>0.15069444444444444</v>
      </c>
      <c r="I1941" s="5">
        <v>696</v>
      </c>
      <c r="J1941">
        <v>7385</v>
      </c>
      <c r="K1941">
        <v>192</v>
      </c>
      <c r="L1941" s="5">
        <v>168</v>
      </c>
      <c r="M1941" s="5">
        <v>695</v>
      </c>
      <c r="N1941">
        <v>18</v>
      </c>
      <c r="O1941">
        <v>677</v>
      </c>
      <c r="P1941" s="1">
        <v>0.21249999999999999</v>
      </c>
      <c r="Q1941" s="5">
        <v>2033</v>
      </c>
      <c r="R1941" s="14">
        <v>10.7</v>
      </c>
      <c r="S1941">
        <v>191</v>
      </c>
      <c r="T1941" s="5">
        <v>18</v>
      </c>
      <c r="U1941" s="5">
        <v>678</v>
      </c>
      <c r="V1941" s="5">
        <v>1</v>
      </c>
      <c r="W1941" s="5"/>
      <c r="X1941" s="5"/>
      <c r="Y1941" s="5"/>
      <c r="Z1941" s="5"/>
      <c r="AA1941" s="5"/>
      <c r="AB1941" s="5"/>
      <c r="AC1941" s="5"/>
      <c r="AD1941" s="5"/>
      <c r="AE1941" s="5"/>
      <c r="AF1941" s="5"/>
      <c r="AG1941" s="5"/>
      <c r="AH1941" s="5"/>
      <c r="AI1941" s="5"/>
      <c r="AJ1941" s="5"/>
      <c r="AK1941" s="5"/>
    </row>
    <row r="1942" spans="1:37" x14ac:dyDescent="0.25">
      <c r="A1942" s="11" t="e">
        <f>Table1[[#This Row],[Milk Yield]]-J1938</f>
        <v>#VALUE!</v>
      </c>
      <c r="B1942" t="s">
        <v>0</v>
      </c>
      <c r="C1942" s="2" t="s">
        <v>1</v>
      </c>
      <c r="D1942" s="12" t="s">
        <v>2</v>
      </c>
      <c r="E1942" s="2" t="s">
        <v>3</v>
      </c>
      <c r="F1942" s="18" t="s">
        <v>4</v>
      </c>
      <c r="G1942" s="3" t="s">
        <v>5</v>
      </c>
      <c r="H1942" s="17" t="s">
        <v>6</v>
      </c>
      <c r="I1942" s="5" t="s">
        <v>8</v>
      </c>
      <c r="J1942" t="s">
        <v>9</v>
      </c>
      <c r="K1942" t="s">
        <v>10</v>
      </c>
      <c r="L1942" s="5" t="s">
        <v>11</v>
      </c>
      <c r="M1942" s="5" t="s">
        <v>12</v>
      </c>
      <c r="N1942" t="s">
        <v>13</v>
      </c>
      <c r="O1942" t="s">
        <v>20</v>
      </c>
      <c r="P1942" s="1" t="s">
        <v>7</v>
      </c>
      <c r="Q1942" s="5" t="s">
        <v>15</v>
      </c>
      <c r="R1942" s="14" t="s">
        <v>18</v>
      </c>
      <c r="S1942" t="s">
        <v>16</v>
      </c>
      <c r="T1942" s="5" t="s">
        <v>14</v>
      </c>
      <c r="U1942" s="5" t="s">
        <v>17</v>
      </c>
      <c r="V1942" s="5" t="s">
        <v>19</v>
      </c>
      <c r="W1942" s="5"/>
      <c r="X1942" s="5"/>
      <c r="Y1942" s="5"/>
      <c r="Z1942" s="5"/>
      <c r="AA1942" s="5"/>
      <c r="AB1942" s="5"/>
      <c r="AC1942" s="5"/>
      <c r="AD1942" s="5"/>
      <c r="AE1942" s="5"/>
      <c r="AF1942" s="5"/>
      <c r="AG1942" s="5"/>
      <c r="AH1942" s="5"/>
      <c r="AI1942" s="5"/>
      <c r="AJ1942" s="5"/>
      <c r="AK1942" s="5"/>
    </row>
    <row r="1943" spans="1:37" x14ac:dyDescent="0.25">
      <c r="A1943" s="11">
        <f>Table1[[#This Row],[Milk Yield]]-J1939</f>
        <v>234</v>
      </c>
      <c r="B1943" t="s">
        <v>24</v>
      </c>
      <c r="C1943" s="2">
        <v>1</v>
      </c>
      <c r="D1943" s="12">
        <v>45996</v>
      </c>
      <c r="E1943" s="2">
        <v>32</v>
      </c>
      <c r="F1943" s="18">
        <v>0.33770833333333333</v>
      </c>
      <c r="G1943" s="3">
        <v>0.53818287037037038</v>
      </c>
      <c r="H1943" s="17">
        <v>0.2</v>
      </c>
      <c r="I1943" s="5">
        <v>697</v>
      </c>
      <c r="J1943">
        <v>8599</v>
      </c>
      <c r="K1943">
        <v>145</v>
      </c>
      <c r="L1943" s="5">
        <v>102</v>
      </c>
      <c r="M1943" s="5">
        <v>696</v>
      </c>
      <c r="N1943">
        <v>9</v>
      </c>
      <c r="O1943">
        <v>687</v>
      </c>
      <c r="P1943" s="1">
        <v>0.23958333333333334</v>
      </c>
      <c r="Q1943" s="5">
        <v>1787</v>
      </c>
      <c r="R1943" s="14">
        <v>12.4</v>
      </c>
      <c r="S1943">
        <v>145</v>
      </c>
      <c r="T1943" s="5">
        <v>9</v>
      </c>
      <c r="U1943" s="5">
        <v>688</v>
      </c>
      <c r="V1943" s="5">
        <v>1</v>
      </c>
      <c r="W1943" s="5"/>
      <c r="X1943" s="5"/>
      <c r="Y1943" s="5"/>
      <c r="Z1943" s="5"/>
      <c r="AA1943" s="5"/>
      <c r="AB1943" s="5"/>
      <c r="AC1943" s="5"/>
      <c r="AD1943" s="5"/>
      <c r="AE1943" s="5"/>
      <c r="AF1943" s="5"/>
      <c r="AG1943" s="5"/>
      <c r="AH1943" s="5"/>
      <c r="AI1943" s="5"/>
      <c r="AJ1943" s="5"/>
      <c r="AK1943" s="5"/>
    </row>
    <row r="1944" spans="1:37" x14ac:dyDescent="0.25">
      <c r="A1944" s="11">
        <f>Table1[[#This Row],[Milk Yield]]-J1940</f>
        <v>59</v>
      </c>
      <c r="B1944" t="s">
        <v>24</v>
      </c>
      <c r="C1944" s="2">
        <v>2</v>
      </c>
      <c r="D1944" s="12">
        <v>45996</v>
      </c>
      <c r="E1944" s="2">
        <v>32</v>
      </c>
      <c r="F1944" s="18">
        <v>0.66740740740740745</v>
      </c>
      <c r="G1944" s="3">
        <v>0.85239583333333335</v>
      </c>
      <c r="H1944" s="17">
        <v>0.18472222222222223</v>
      </c>
      <c r="I1944" s="5">
        <v>688</v>
      </c>
      <c r="J1944">
        <v>8092</v>
      </c>
      <c r="K1944">
        <v>155</v>
      </c>
      <c r="L1944" s="5">
        <v>127</v>
      </c>
      <c r="M1944" s="5">
        <v>687</v>
      </c>
      <c r="N1944">
        <v>12</v>
      </c>
      <c r="O1944">
        <v>675</v>
      </c>
      <c r="P1944" s="1">
        <v>0.21527777777777779</v>
      </c>
      <c r="Q1944" s="5">
        <v>1823</v>
      </c>
      <c r="R1944" s="14">
        <v>11.8</v>
      </c>
      <c r="S1944">
        <v>155</v>
      </c>
      <c r="T1944" s="5">
        <v>12</v>
      </c>
      <c r="U1944" s="5">
        <v>677</v>
      </c>
      <c r="V1944" s="5">
        <v>2</v>
      </c>
      <c r="W1944" s="5"/>
      <c r="X1944" s="5"/>
      <c r="Y1944" s="5"/>
      <c r="Z1944" s="5"/>
      <c r="AA1944" s="5"/>
      <c r="AB1944" s="5"/>
      <c r="AC1944" s="5"/>
      <c r="AD1944" s="5"/>
      <c r="AE1944" s="5"/>
      <c r="AF1944" s="5"/>
      <c r="AG1944" s="5"/>
      <c r="AH1944" s="5"/>
      <c r="AI1944" s="5"/>
      <c r="AJ1944" s="5"/>
      <c r="AK1944" s="5"/>
    </row>
    <row r="1945" spans="1:37" x14ac:dyDescent="0.25">
      <c r="A1945" s="11">
        <f>Table1[[#This Row],[Milk Yield]]-J1941</f>
        <v>-215</v>
      </c>
      <c r="B1945" t="s">
        <v>24</v>
      </c>
      <c r="C1945" s="2">
        <v>3</v>
      </c>
      <c r="D1945" s="12">
        <v>45996</v>
      </c>
      <c r="E1945" s="2">
        <v>30</v>
      </c>
      <c r="F1945" s="18">
        <v>4.5949074074074078E-3</v>
      </c>
      <c r="G1945" s="3">
        <v>0.15628472222222223</v>
      </c>
      <c r="H1945" s="17">
        <v>0.15138888888888888</v>
      </c>
      <c r="I1945" s="5">
        <v>689</v>
      </c>
      <c r="J1945">
        <v>7170</v>
      </c>
      <c r="K1945">
        <v>189</v>
      </c>
      <c r="L1945" s="5">
        <v>59</v>
      </c>
      <c r="M1945" s="5">
        <v>689</v>
      </c>
      <c r="N1945">
        <v>12</v>
      </c>
      <c r="O1945">
        <v>677</v>
      </c>
      <c r="P1945" s="1">
        <v>0.2048611111111111</v>
      </c>
      <c r="Q1945" s="5">
        <v>1969</v>
      </c>
      <c r="R1945" s="14">
        <v>10.5</v>
      </c>
      <c r="S1945">
        <v>189</v>
      </c>
      <c r="T1945" s="5">
        <v>12</v>
      </c>
      <c r="U1945" s="5">
        <v>679</v>
      </c>
      <c r="V1945" s="5">
        <v>2</v>
      </c>
      <c r="W1945" s="5"/>
      <c r="X1945" s="5"/>
      <c r="Y1945" s="5"/>
      <c r="Z1945" s="5"/>
      <c r="AA1945" s="5"/>
      <c r="AB1945" s="5"/>
      <c r="AC1945" s="5"/>
      <c r="AD1945" s="5"/>
      <c r="AE1945" s="5"/>
      <c r="AF1945" s="5"/>
      <c r="AG1945" s="5"/>
      <c r="AH1945" s="5"/>
      <c r="AI1945" s="5"/>
      <c r="AJ1945" s="5"/>
      <c r="AK1945" s="5"/>
    </row>
    <row r="1946" spans="1:37" x14ac:dyDescent="0.25">
      <c r="A1946" s="11" t="e">
        <f>Table1[[#This Row],[Milk Yield]]-J1942</f>
        <v>#VALUE!</v>
      </c>
      <c r="B1946" t="s">
        <v>0</v>
      </c>
      <c r="C1946" s="2" t="s">
        <v>1</v>
      </c>
      <c r="D1946" s="12" t="s">
        <v>2</v>
      </c>
      <c r="E1946" s="2" t="s">
        <v>3</v>
      </c>
      <c r="F1946" s="18" t="s">
        <v>4</v>
      </c>
      <c r="G1946" s="3" t="s">
        <v>5</v>
      </c>
      <c r="H1946" s="17" t="s">
        <v>6</v>
      </c>
      <c r="I1946" s="5" t="s">
        <v>8</v>
      </c>
      <c r="J1946" t="s">
        <v>9</v>
      </c>
      <c r="K1946" t="s">
        <v>10</v>
      </c>
      <c r="L1946" s="5" t="s">
        <v>11</v>
      </c>
      <c r="M1946" s="5" t="s">
        <v>12</v>
      </c>
      <c r="N1946" t="s">
        <v>13</v>
      </c>
      <c r="O1946" t="s">
        <v>20</v>
      </c>
      <c r="P1946" s="1" t="s">
        <v>7</v>
      </c>
      <c r="Q1946" s="5" t="s">
        <v>15</v>
      </c>
      <c r="R1946" s="14" t="s">
        <v>18</v>
      </c>
      <c r="S1946" t="s">
        <v>16</v>
      </c>
      <c r="T1946" s="5" t="s">
        <v>14</v>
      </c>
      <c r="U1946" s="5" t="s">
        <v>17</v>
      </c>
      <c r="V1946" s="5" t="s">
        <v>19</v>
      </c>
      <c r="W1946" s="5"/>
      <c r="X1946" s="5"/>
      <c r="Y1946" s="5"/>
      <c r="Z1946" s="5"/>
      <c r="AA1946" s="5"/>
      <c r="AB1946" s="5"/>
      <c r="AC1946" s="5"/>
      <c r="AD1946" s="5"/>
      <c r="AE1946" s="5"/>
      <c r="AF1946" s="5"/>
      <c r="AG1946" s="5"/>
      <c r="AH1946" s="5"/>
      <c r="AI1946" s="5"/>
      <c r="AJ1946" s="5"/>
      <c r="AK1946" s="5"/>
    </row>
    <row r="1947" spans="1:37" x14ac:dyDescent="0.25">
      <c r="A1947" s="11">
        <f>Table1[[#This Row],[Milk Yield]]-J1943</f>
        <v>-277</v>
      </c>
      <c r="B1947" t="s">
        <v>24</v>
      </c>
      <c r="C1947" s="2">
        <v>1</v>
      </c>
      <c r="D1947" s="12">
        <v>45997</v>
      </c>
      <c r="E1947" s="2">
        <v>30</v>
      </c>
      <c r="F1947" s="18">
        <v>0.33461805555555557</v>
      </c>
      <c r="G1947" s="3">
        <v>0.50467592592592592</v>
      </c>
      <c r="H1947" s="17">
        <v>0.16944444444444445</v>
      </c>
      <c r="I1947" s="5">
        <v>687</v>
      </c>
      <c r="J1947">
        <v>8322</v>
      </c>
      <c r="K1947">
        <v>168</v>
      </c>
      <c r="L1947" s="5">
        <v>84</v>
      </c>
      <c r="M1947" s="5">
        <v>686</v>
      </c>
      <c r="N1947">
        <v>9</v>
      </c>
      <c r="O1947">
        <v>677</v>
      </c>
      <c r="P1947" s="1">
        <v>0.22500000000000001</v>
      </c>
      <c r="Q1947" s="5">
        <v>2039</v>
      </c>
      <c r="R1947" s="14">
        <v>12.2</v>
      </c>
      <c r="S1947">
        <v>168</v>
      </c>
      <c r="T1947" s="5">
        <v>9</v>
      </c>
      <c r="U1947" s="5">
        <v>679</v>
      </c>
      <c r="V1947" s="5">
        <v>2</v>
      </c>
      <c r="W1947" s="5"/>
      <c r="X1947" s="5"/>
      <c r="Y1947" s="5"/>
      <c r="Z1947" s="5"/>
      <c r="AA1947" s="5"/>
      <c r="AB1947" s="5"/>
      <c r="AC1947" s="5"/>
      <c r="AD1947" s="5"/>
      <c r="AE1947" s="5"/>
      <c r="AF1947" s="5"/>
      <c r="AG1947" s="5"/>
      <c r="AH1947" s="5"/>
      <c r="AI1947" s="5"/>
      <c r="AJ1947" s="5"/>
      <c r="AK1947" s="5"/>
    </row>
    <row r="1948" spans="1:37" x14ac:dyDescent="0.25">
      <c r="A1948" s="11">
        <f>Table1[[#This Row],[Milk Yield]]-J1944</f>
        <v>271</v>
      </c>
      <c r="B1948" t="s">
        <v>24</v>
      </c>
      <c r="C1948" s="2">
        <v>2</v>
      </c>
      <c r="D1948" s="12">
        <v>45997</v>
      </c>
      <c r="E1948" s="2">
        <v>34</v>
      </c>
      <c r="F1948" s="18">
        <v>0.66760416666666667</v>
      </c>
      <c r="G1948" s="3">
        <v>0.8575694444444445</v>
      </c>
      <c r="H1948" s="17">
        <v>0.18958333333333333</v>
      </c>
      <c r="I1948" s="5">
        <v>689</v>
      </c>
      <c r="J1948">
        <v>8363</v>
      </c>
      <c r="K1948">
        <v>151</v>
      </c>
      <c r="L1948" s="5">
        <v>112</v>
      </c>
      <c r="M1948" s="5">
        <v>686</v>
      </c>
      <c r="N1948">
        <v>11</v>
      </c>
      <c r="O1948">
        <v>675</v>
      </c>
      <c r="P1948" s="1">
        <v>0.21597222222222223</v>
      </c>
      <c r="Q1948" s="5">
        <v>1834</v>
      </c>
      <c r="R1948" s="14">
        <v>12.2</v>
      </c>
      <c r="S1948">
        <v>150</v>
      </c>
      <c r="T1948" s="5">
        <v>11</v>
      </c>
      <c r="U1948" s="5">
        <v>677</v>
      </c>
      <c r="V1948" s="5">
        <v>2</v>
      </c>
      <c r="W1948" s="5"/>
      <c r="X1948" s="5"/>
      <c r="Y1948" s="5"/>
      <c r="Z1948" s="5"/>
      <c r="AA1948" s="5"/>
      <c r="AB1948" s="5"/>
      <c r="AC1948" s="5"/>
      <c r="AD1948" s="5"/>
      <c r="AE1948" s="5"/>
      <c r="AF1948" s="5"/>
      <c r="AG1948" s="5"/>
      <c r="AH1948" s="5"/>
      <c r="AI1948" s="5"/>
      <c r="AJ1948" s="5"/>
      <c r="AK1948" s="5"/>
    </row>
    <row r="1949" spans="1:37" x14ac:dyDescent="0.25">
      <c r="A1949" s="11">
        <f>Table1[[#This Row],[Milk Yield]]-J1945</f>
        <v>23</v>
      </c>
      <c r="B1949" t="s">
        <v>24</v>
      </c>
      <c r="C1949" s="2">
        <v>3</v>
      </c>
      <c r="D1949" s="12">
        <v>45997</v>
      </c>
      <c r="E1949" s="2">
        <v>30</v>
      </c>
      <c r="F1949" s="18">
        <v>2.3495370370370371E-3</v>
      </c>
      <c r="G1949" s="3">
        <v>0.15930555555555556</v>
      </c>
      <c r="H1949" s="17">
        <v>0.15694444444444444</v>
      </c>
      <c r="I1949" s="5">
        <v>684</v>
      </c>
      <c r="J1949">
        <v>7193</v>
      </c>
      <c r="K1949">
        <v>182</v>
      </c>
      <c r="L1949" s="5">
        <v>62</v>
      </c>
      <c r="M1949" s="5">
        <v>683</v>
      </c>
      <c r="N1949">
        <v>7</v>
      </c>
      <c r="O1949">
        <v>676</v>
      </c>
      <c r="P1949" s="1">
        <v>0.2076388888888889</v>
      </c>
      <c r="Q1949" s="5">
        <v>1910</v>
      </c>
      <c r="R1949" s="14">
        <v>10.6</v>
      </c>
      <c r="S1949">
        <v>181</v>
      </c>
      <c r="T1949" s="5">
        <v>7</v>
      </c>
      <c r="U1949" s="5">
        <v>678</v>
      </c>
      <c r="V1949" s="5">
        <v>2</v>
      </c>
      <c r="W1949" s="5"/>
      <c r="X1949" s="5"/>
      <c r="Y1949" s="5"/>
      <c r="Z1949" s="5"/>
      <c r="AA1949" s="5"/>
      <c r="AB1949" s="5"/>
      <c r="AC1949" s="5"/>
      <c r="AD1949" s="5"/>
      <c r="AE1949" s="5"/>
      <c r="AF1949" s="5"/>
      <c r="AG1949" s="5"/>
      <c r="AH1949" s="5"/>
      <c r="AI1949" s="5"/>
      <c r="AJ1949" s="5"/>
      <c r="AK1949" s="5"/>
    </row>
    <row r="1950" spans="1:37" x14ac:dyDescent="0.25">
      <c r="A1950" s="11" t="e">
        <f>Table1[[#This Row],[Milk Yield]]-J1946</f>
        <v>#VALUE!</v>
      </c>
      <c r="B1950" t="s">
        <v>0</v>
      </c>
      <c r="C1950" s="2" t="s">
        <v>1</v>
      </c>
      <c r="D1950" s="12" t="s">
        <v>2</v>
      </c>
      <c r="E1950" s="2" t="s">
        <v>3</v>
      </c>
      <c r="F1950" s="18" t="s">
        <v>4</v>
      </c>
      <c r="G1950" s="3" t="s">
        <v>5</v>
      </c>
      <c r="H1950" s="17" t="s">
        <v>6</v>
      </c>
      <c r="I1950" s="5" t="s">
        <v>8</v>
      </c>
      <c r="J1950" t="s">
        <v>9</v>
      </c>
      <c r="K1950" t="s">
        <v>10</v>
      </c>
      <c r="L1950" s="5" t="s">
        <v>11</v>
      </c>
      <c r="M1950" s="5" t="s">
        <v>12</v>
      </c>
      <c r="N1950" t="s">
        <v>13</v>
      </c>
      <c r="O1950" t="s">
        <v>20</v>
      </c>
      <c r="P1950" s="1" t="s">
        <v>7</v>
      </c>
      <c r="Q1950" s="5" t="s">
        <v>15</v>
      </c>
      <c r="R1950" s="14" t="s">
        <v>18</v>
      </c>
      <c r="S1950" t="s">
        <v>16</v>
      </c>
      <c r="T1950" s="5" t="s">
        <v>14</v>
      </c>
      <c r="U1950" s="5" t="s">
        <v>17</v>
      </c>
      <c r="V1950" s="5" t="s">
        <v>19</v>
      </c>
      <c r="W1950" s="5"/>
      <c r="X1950" s="5"/>
      <c r="Y1950" s="5"/>
      <c r="Z1950" s="5"/>
      <c r="AA1950" s="5"/>
      <c r="AB1950" s="5"/>
      <c r="AC1950" s="5"/>
      <c r="AD1950" s="5"/>
      <c r="AE1950" s="5"/>
      <c r="AF1950" s="5"/>
      <c r="AG1950" s="5"/>
      <c r="AH1950" s="5"/>
      <c r="AI1950" s="5"/>
      <c r="AJ1950" s="5"/>
      <c r="AK1950" s="5"/>
    </row>
    <row r="1951" spans="1:37" x14ac:dyDescent="0.25">
      <c r="A1951" s="11">
        <f>Table1[[#This Row],[Milk Yield]]-J1947</f>
        <v>-230</v>
      </c>
      <c r="B1951" t="s">
        <v>24</v>
      </c>
      <c r="C1951" s="2">
        <v>1</v>
      </c>
      <c r="D1951" s="12">
        <v>45998</v>
      </c>
      <c r="E1951" s="2">
        <v>32</v>
      </c>
      <c r="F1951" s="18">
        <v>0.33386574074074077</v>
      </c>
      <c r="G1951" s="3">
        <v>0.49622685185185184</v>
      </c>
      <c r="H1951" s="17">
        <v>0.16180555555555556</v>
      </c>
      <c r="I1951" s="5">
        <v>683</v>
      </c>
      <c r="J1951">
        <v>8092</v>
      </c>
      <c r="K1951">
        <v>175</v>
      </c>
      <c r="L1951" s="5">
        <v>74</v>
      </c>
      <c r="M1951" s="5">
        <v>681</v>
      </c>
      <c r="N1951">
        <v>7</v>
      </c>
      <c r="O1951">
        <v>674</v>
      </c>
      <c r="P1951" s="1">
        <v>0.22083333333333333</v>
      </c>
      <c r="Q1951" s="5">
        <v>2076</v>
      </c>
      <c r="R1951" s="14">
        <v>11.9</v>
      </c>
      <c r="S1951">
        <v>175</v>
      </c>
      <c r="T1951" s="5">
        <v>7</v>
      </c>
      <c r="U1951" s="5">
        <v>676</v>
      </c>
      <c r="V1951" s="5">
        <v>2</v>
      </c>
      <c r="W1951" s="5"/>
      <c r="X1951" s="5"/>
      <c r="Y1951" s="5"/>
      <c r="Z1951" s="5"/>
      <c r="AA1951" s="5"/>
      <c r="AB1951" s="5"/>
      <c r="AC1951" s="5"/>
      <c r="AD1951" s="5"/>
      <c r="AE1951" s="5"/>
      <c r="AF1951" s="5"/>
      <c r="AG1951" s="5"/>
      <c r="AH1951" s="5"/>
      <c r="AI1951" s="5"/>
      <c r="AJ1951" s="5"/>
      <c r="AK1951" s="5"/>
    </row>
    <row r="1952" spans="1:37" x14ac:dyDescent="0.25">
      <c r="A1952" s="11">
        <f>Table1[[#This Row],[Milk Yield]]-J1948</f>
        <v>51</v>
      </c>
      <c r="B1952" t="s">
        <v>24</v>
      </c>
      <c r="C1952" s="2">
        <v>2</v>
      </c>
      <c r="D1952" s="12">
        <v>45998</v>
      </c>
      <c r="E1952" s="2">
        <v>34</v>
      </c>
      <c r="F1952" s="18">
        <v>0.66556712962962961</v>
      </c>
      <c r="G1952" s="3">
        <v>0.8606597222222222</v>
      </c>
      <c r="H1952" s="17">
        <v>0.19444444444444445</v>
      </c>
      <c r="I1952" s="5">
        <v>684</v>
      </c>
      <c r="J1952">
        <v>8414</v>
      </c>
      <c r="K1952">
        <v>146</v>
      </c>
      <c r="L1952" s="5">
        <v>155</v>
      </c>
      <c r="M1952" s="5">
        <v>683</v>
      </c>
      <c r="N1952">
        <v>16</v>
      </c>
      <c r="O1952">
        <v>667</v>
      </c>
      <c r="P1952" s="1">
        <v>0.23194444444444445</v>
      </c>
      <c r="Q1952" s="5">
        <v>1797</v>
      </c>
      <c r="R1952" s="14">
        <v>12.4</v>
      </c>
      <c r="S1952">
        <v>146</v>
      </c>
      <c r="T1952" s="5">
        <v>16</v>
      </c>
      <c r="U1952" s="5">
        <v>669</v>
      </c>
      <c r="V1952" s="5">
        <v>2</v>
      </c>
      <c r="W1952" s="5"/>
      <c r="X1952" s="5"/>
      <c r="Y1952" s="5"/>
      <c r="Z1952" s="5"/>
      <c r="AA1952" s="5"/>
      <c r="AB1952" s="5"/>
      <c r="AC1952" s="5"/>
      <c r="AD1952" s="5"/>
      <c r="AE1952" s="5"/>
      <c r="AF1952" s="5"/>
      <c r="AG1952" s="5"/>
      <c r="AH1952" s="5"/>
      <c r="AI1952" s="5"/>
      <c r="AJ1952" s="5"/>
      <c r="AK1952" s="5"/>
    </row>
    <row r="1953" spans="1:37" x14ac:dyDescent="0.25">
      <c r="A1953" s="11">
        <f>Table1[[#This Row],[Milk Yield]]-J1949</f>
        <v>239</v>
      </c>
      <c r="B1953" t="s">
        <v>24</v>
      </c>
      <c r="C1953" s="2">
        <v>3</v>
      </c>
      <c r="D1953" s="12">
        <v>45998</v>
      </c>
      <c r="E1953" s="2">
        <v>30</v>
      </c>
      <c r="F1953" s="18">
        <v>2.7199074074074074E-3</v>
      </c>
      <c r="G1953" s="3">
        <v>0.17314814814814813</v>
      </c>
      <c r="H1953" s="17">
        <v>0.1701388888888889</v>
      </c>
      <c r="I1953" s="5">
        <v>682</v>
      </c>
      <c r="J1953">
        <v>7432</v>
      </c>
      <c r="K1953">
        <v>167</v>
      </c>
      <c r="L1953" s="5">
        <v>49</v>
      </c>
      <c r="M1953" s="5">
        <v>680</v>
      </c>
      <c r="N1953">
        <v>5</v>
      </c>
      <c r="O1953">
        <v>675</v>
      </c>
      <c r="P1953" s="1">
        <v>0.22083333333333333</v>
      </c>
      <c r="Q1953" s="5">
        <v>1817</v>
      </c>
      <c r="R1953" s="14">
        <v>11</v>
      </c>
      <c r="S1953">
        <v>166</v>
      </c>
      <c r="T1953" s="5">
        <v>5</v>
      </c>
      <c r="U1953" s="5">
        <v>677</v>
      </c>
      <c r="V1953" s="5">
        <v>2</v>
      </c>
      <c r="W1953" s="5"/>
      <c r="X1953" s="5"/>
      <c r="Y1953" s="5"/>
      <c r="Z1953" s="5"/>
      <c r="AA1953" s="5"/>
      <c r="AB1953" s="5"/>
      <c r="AC1953" s="5"/>
      <c r="AD1953" s="5"/>
      <c r="AE1953" s="5"/>
      <c r="AF1953" s="5"/>
      <c r="AG1953" s="5"/>
      <c r="AH1953" s="5"/>
      <c r="AI1953" s="5"/>
      <c r="AJ1953" s="5"/>
      <c r="AK1953" s="5"/>
    </row>
    <row r="1954" spans="1:37" x14ac:dyDescent="0.25">
      <c r="A1954" s="11" t="e">
        <f>Table1[[#This Row],[Milk Yield]]-J1950</f>
        <v>#VALUE!</v>
      </c>
      <c r="B1954" t="s">
        <v>0</v>
      </c>
      <c r="C1954" s="2" t="s">
        <v>1</v>
      </c>
      <c r="D1954" s="12" t="s">
        <v>2</v>
      </c>
      <c r="E1954" s="2" t="s">
        <v>3</v>
      </c>
      <c r="F1954" s="18" t="s">
        <v>4</v>
      </c>
      <c r="G1954" s="3" t="s">
        <v>5</v>
      </c>
      <c r="H1954" s="17" t="s">
        <v>6</v>
      </c>
      <c r="I1954" s="5" t="s">
        <v>8</v>
      </c>
      <c r="J1954" t="s">
        <v>9</v>
      </c>
      <c r="K1954" t="s">
        <v>10</v>
      </c>
      <c r="L1954" s="5" t="s">
        <v>11</v>
      </c>
      <c r="M1954" s="5" t="s">
        <v>12</v>
      </c>
      <c r="N1954" t="s">
        <v>13</v>
      </c>
      <c r="O1954" t="s">
        <v>20</v>
      </c>
      <c r="P1954" s="1" t="s">
        <v>7</v>
      </c>
      <c r="Q1954" s="5" t="s">
        <v>15</v>
      </c>
      <c r="R1954" s="14" t="s">
        <v>18</v>
      </c>
      <c r="S1954" t="s">
        <v>16</v>
      </c>
      <c r="T1954" s="5" t="s">
        <v>14</v>
      </c>
      <c r="U1954" s="5" t="s">
        <v>17</v>
      </c>
      <c r="V1954" s="5" t="s">
        <v>19</v>
      </c>
      <c r="W1954" s="5"/>
      <c r="X1954" s="5"/>
      <c r="Y1954" s="5"/>
      <c r="Z1954" s="5"/>
      <c r="AA1954" s="5"/>
      <c r="AB1954" s="5"/>
      <c r="AC1954" s="5"/>
      <c r="AD1954" s="5"/>
      <c r="AE1954" s="5"/>
      <c r="AF1954" s="5"/>
      <c r="AG1954" s="5"/>
      <c r="AH1954" s="5"/>
      <c r="AI1954" s="5"/>
      <c r="AJ1954" s="5"/>
      <c r="AK1954" s="5"/>
    </row>
    <row r="1955" spans="1:37" x14ac:dyDescent="0.25">
      <c r="A1955" s="11">
        <f>Table1[[#This Row],[Milk Yield]]-J1951</f>
        <v>150</v>
      </c>
      <c r="B1955" t="s">
        <v>24</v>
      </c>
      <c r="C1955" s="2">
        <v>1</v>
      </c>
      <c r="D1955" s="12">
        <v>45999</v>
      </c>
      <c r="E1955" s="2">
        <v>31</v>
      </c>
      <c r="F1955" s="18">
        <v>0.33369212962962963</v>
      </c>
      <c r="G1955" s="3">
        <v>0.52445601851851853</v>
      </c>
      <c r="H1955" s="17">
        <v>0.19027777777777777</v>
      </c>
      <c r="I1955" s="5">
        <v>681</v>
      </c>
      <c r="J1955">
        <v>8242</v>
      </c>
      <c r="K1955">
        <v>149</v>
      </c>
      <c r="L1955" s="5">
        <v>56</v>
      </c>
      <c r="M1955" s="5">
        <v>681</v>
      </c>
      <c r="N1955">
        <v>6</v>
      </c>
      <c r="O1955">
        <v>675</v>
      </c>
      <c r="P1955" s="1">
        <v>0.21805555555555556</v>
      </c>
      <c r="Q1955" s="5">
        <v>1800</v>
      </c>
      <c r="R1955" s="14">
        <v>12.2</v>
      </c>
      <c r="S1955">
        <v>149</v>
      </c>
      <c r="T1955" s="5">
        <v>6</v>
      </c>
      <c r="U1955" s="5">
        <v>677</v>
      </c>
      <c r="V1955" s="5">
        <v>2</v>
      </c>
      <c r="W1955" s="5"/>
      <c r="X1955" s="5"/>
      <c r="Y1955" s="5"/>
      <c r="Z1955" s="5"/>
      <c r="AA1955" s="5"/>
      <c r="AB1955" s="5"/>
      <c r="AC1955" s="5"/>
      <c r="AD1955" s="5"/>
      <c r="AE1955" s="5"/>
      <c r="AF1955" s="5"/>
      <c r="AG1955" s="5"/>
      <c r="AH1955" s="5"/>
      <c r="AI1955" s="5"/>
      <c r="AJ1955" s="5"/>
      <c r="AK1955" s="5"/>
    </row>
    <row r="1956" spans="1:37" x14ac:dyDescent="0.25">
      <c r="A1956" s="11">
        <f>Table1[[#This Row],[Milk Yield]]-J1952</f>
        <v>-180</v>
      </c>
      <c r="B1956" t="s">
        <v>24</v>
      </c>
      <c r="C1956" s="2">
        <v>2</v>
      </c>
      <c r="D1956" s="12">
        <v>45999</v>
      </c>
      <c r="E1956" s="2">
        <v>31</v>
      </c>
      <c r="F1956" s="18">
        <v>0.66828703703703707</v>
      </c>
      <c r="G1956" s="3">
        <v>0.86616898148148147</v>
      </c>
      <c r="H1956" s="17">
        <v>0.19722222222222222</v>
      </c>
      <c r="I1956" s="5">
        <v>677</v>
      </c>
      <c r="J1956">
        <v>8234</v>
      </c>
      <c r="K1956">
        <v>143</v>
      </c>
      <c r="L1956" s="5">
        <v>59</v>
      </c>
      <c r="M1956" s="5">
        <v>677</v>
      </c>
      <c r="N1956">
        <v>6</v>
      </c>
      <c r="O1956">
        <v>671</v>
      </c>
      <c r="P1956" s="1">
        <v>0.21875</v>
      </c>
      <c r="Q1956" s="5">
        <v>1734</v>
      </c>
      <c r="R1956" s="14">
        <v>12.2</v>
      </c>
      <c r="S1956">
        <v>143</v>
      </c>
      <c r="T1956" s="5">
        <v>6</v>
      </c>
      <c r="U1956" s="5">
        <v>672</v>
      </c>
      <c r="V1956" s="5">
        <v>1</v>
      </c>
      <c r="W1956" s="5"/>
      <c r="X1956" s="5"/>
      <c r="Y1956" s="5"/>
      <c r="Z1956" s="5"/>
      <c r="AA1956" s="5"/>
      <c r="AB1956" s="5"/>
      <c r="AC1956" s="5"/>
      <c r="AD1956" s="5"/>
      <c r="AE1956" s="5"/>
      <c r="AF1956" s="5"/>
      <c r="AG1956" s="5"/>
      <c r="AH1956" s="5"/>
      <c r="AI1956" s="5"/>
      <c r="AJ1956" s="5"/>
      <c r="AK1956" s="5"/>
    </row>
    <row r="1957" spans="1:37" x14ac:dyDescent="0.25">
      <c r="A1957" s="11">
        <f>Table1[[#This Row],[Milk Yield]]-J1953</f>
        <v>-594</v>
      </c>
      <c r="B1957" t="s">
        <v>24</v>
      </c>
      <c r="C1957" s="2">
        <v>3</v>
      </c>
      <c r="D1957" s="12">
        <v>45999</v>
      </c>
      <c r="E1957" s="2">
        <v>30</v>
      </c>
      <c r="F1957" s="18">
        <v>6.018518518518519E-4</v>
      </c>
      <c r="G1957" s="3">
        <v>0.15578703703703703</v>
      </c>
      <c r="H1957" s="17">
        <v>0.15486111111111112</v>
      </c>
      <c r="I1957" s="5">
        <v>676</v>
      </c>
      <c r="J1957">
        <v>6838</v>
      </c>
      <c r="K1957">
        <v>182</v>
      </c>
      <c r="L1957" s="5">
        <v>24</v>
      </c>
      <c r="M1957" s="5">
        <v>676</v>
      </c>
      <c r="N1957">
        <v>2</v>
      </c>
      <c r="O1957">
        <v>674</v>
      </c>
      <c r="P1957" s="1">
        <v>0.20277777777777778</v>
      </c>
      <c r="Q1957" s="5">
        <v>1836</v>
      </c>
      <c r="R1957" s="14">
        <v>10.199999999999999</v>
      </c>
      <c r="S1957">
        <v>182</v>
      </c>
      <c r="T1957" s="5">
        <v>2</v>
      </c>
      <c r="U1957" s="5">
        <v>675</v>
      </c>
      <c r="V1957" s="5">
        <v>1</v>
      </c>
      <c r="W1957" s="5"/>
      <c r="X1957" s="5"/>
      <c r="Y1957" s="5"/>
      <c r="Z1957" s="5"/>
      <c r="AA1957" s="5"/>
      <c r="AB1957" s="5"/>
      <c r="AC1957" s="5"/>
      <c r="AD1957" s="5"/>
      <c r="AE1957" s="5"/>
      <c r="AF1957" s="5"/>
      <c r="AG1957" s="5"/>
      <c r="AH1957" s="5"/>
      <c r="AI1957" s="5"/>
      <c r="AJ1957" s="5"/>
      <c r="AK1957" s="5"/>
    </row>
    <row r="1958" spans="1:37" x14ac:dyDescent="0.25">
      <c r="A1958" s="11" t="e">
        <f>Table1[[#This Row],[Milk Yield]]-J1954</f>
        <v>#VALUE!</v>
      </c>
      <c r="B1958" t="s">
        <v>0</v>
      </c>
      <c r="C1958" s="2" t="s">
        <v>1</v>
      </c>
      <c r="D1958" s="12" t="s">
        <v>2</v>
      </c>
      <c r="E1958" s="2" t="s">
        <v>3</v>
      </c>
      <c r="F1958" s="18" t="s">
        <v>4</v>
      </c>
      <c r="G1958" s="3" t="s">
        <v>5</v>
      </c>
      <c r="H1958" s="17" t="s">
        <v>6</v>
      </c>
      <c r="I1958" s="5" t="s">
        <v>8</v>
      </c>
      <c r="J1958" t="s">
        <v>9</v>
      </c>
      <c r="K1958" t="s">
        <v>10</v>
      </c>
      <c r="L1958" s="5" t="s">
        <v>11</v>
      </c>
      <c r="M1958" s="5" t="s">
        <v>12</v>
      </c>
      <c r="N1958" t="s">
        <v>13</v>
      </c>
      <c r="O1958" t="s">
        <v>20</v>
      </c>
      <c r="P1958" s="1" t="s">
        <v>7</v>
      </c>
      <c r="Q1958" s="5" t="s">
        <v>15</v>
      </c>
      <c r="R1958" s="14" t="s">
        <v>18</v>
      </c>
      <c r="S1958" t="s">
        <v>16</v>
      </c>
      <c r="T1958" s="5" t="s">
        <v>14</v>
      </c>
      <c r="U1958" s="5" t="s">
        <v>17</v>
      </c>
      <c r="V1958" s="5" t="s">
        <v>19</v>
      </c>
      <c r="W1958" s="5"/>
      <c r="X1958" s="5"/>
      <c r="Y1958" s="5"/>
      <c r="Z1958" s="5"/>
      <c r="AA1958" s="5"/>
      <c r="AB1958" s="5"/>
      <c r="AC1958" s="5"/>
      <c r="AD1958" s="5"/>
      <c r="AE1958" s="5"/>
      <c r="AF1958" s="5"/>
      <c r="AG1958" s="5"/>
      <c r="AH1958" s="5"/>
      <c r="AI1958" s="5"/>
      <c r="AJ1958" s="5"/>
      <c r="AK1958" s="5"/>
    </row>
    <row r="1959" spans="1:37" x14ac:dyDescent="0.25">
      <c r="A1959" s="11">
        <f>Table1[[#This Row],[Milk Yield]]-J1955</f>
        <v>301</v>
      </c>
      <c r="B1959" t="s">
        <v>24</v>
      </c>
      <c r="C1959" s="2">
        <v>1</v>
      </c>
      <c r="D1959" s="12">
        <v>46000</v>
      </c>
      <c r="E1959" s="2">
        <v>31</v>
      </c>
      <c r="F1959" s="18">
        <v>0.3366898148148148</v>
      </c>
      <c r="G1959" s="3">
        <v>0.51275462962962959</v>
      </c>
      <c r="H1959" s="17">
        <v>0.17569444444444443</v>
      </c>
      <c r="I1959" s="5">
        <v>678</v>
      </c>
      <c r="J1959">
        <v>8543</v>
      </c>
      <c r="K1959">
        <v>160</v>
      </c>
      <c r="L1959" s="5">
        <v>192</v>
      </c>
      <c r="M1959" s="5">
        <v>677</v>
      </c>
      <c r="N1959">
        <v>16</v>
      </c>
      <c r="O1959">
        <v>661</v>
      </c>
      <c r="P1959" s="1">
        <v>0.22777777777777777</v>
      </c>
      <c r="Q1959" s="5">
        <v>2022</v>
      </c>
      <c r="R1959" s="14">
        <v>12.7</v>
      </c>
      <c r="S1959">
        <v>160</v>
      </c>
      <c r="T1959" s="5">
        <v>16</v>
      </c>
      <c r="U1959" s="5">
        <v>661</v>
      </c>
      <c r="V1959" s="5">
        <v>0</v>
      </c>
      <c r="W1959" s="5"/>
      <c r="X1959" s="5"/>
      <c r="Y1959" s="5"/>
      <c r="Z1959" s="5"/>
      <c r="AA1959" s="5"/>
      <c r="AB1959" s="5"/>
      <c r="AC1959" s="5"/>
      <c r="AD1959" s="5"/>
      <c r="AE1959" s="5"/>
      <c r="AF1959" s="5"/>
      <c r="AG1959" s="5"/>
      <c r="AH1959" s="5"/>
      <c r="AI1959" s="5"/>
      <c r="AJ1959" s="5"/>
      <c r="AK1959" s="5"/>
    </row>
    <row r="1960" spans="1:37" x14ac:dyDescent="0.25">
      <c r="A1960" s="11">
        <f>Table1[[#This Row],[Milk Yield]]-J1956</f>
        <v>-237</v>
      </c>
      <c r="B1960" t="s">
        <v>24</v>
      </c>
      <c r="C1960" s="2">
        <v>2</v>
      </c>
      <c r="D1960" s="12">
        <v>46000</v>
      </c>
      <c r="E1960" s="2">
        <v>32</v>
      </c>
      <c r="F1960" s="18">
        <v>0.66714120370370367</v>
      </c>
      <c r="G1960" s="3">
        <v>0.8523263888888889</v>
      </c>
      <c r="H1960" s="17">
        <v>0.18472222222222223</v>
      </c>
      <c r="I1960" s="5">
        <v>688</v>
      </c>
      <c r="J1960">
        <v>7997</v>
      </c>
      <c r="K1960">
        <v>155</v>
      </c>
      <c r="L1960" s="5">
        <v>95</v>
      </c>
      <c r="M1960" s="5">
        <v>688</v>
      </c>
      <c r="N1960">
        <v>13</v>
      </c>
      <c r="O1960">
        <v>675</v>
      </c>
      <c r="P1960" s="1">
        <v>0.21736111111111112</v>
      </c>
      <c r="Q1960" s="5">
        <v>1799</v>
      </c>
      <c r="R1960" s="14">
        <v>11.7</v>
      </c>
      <c r="S1960">
        <v>155</v>
      </c>
      <c r="T1960" s="5">
        <v>13</v>
      </c>
      <c r="U1960" s="5">
        <v>676</v>
      </c>
      <c r="V1960" s="5">
        <v>1</v>
      </c>
      <c r="W1960" s="5"/>
      <c r="X1960" s="5"/>
      <c r="Y1960" s="5"/>
      <c r="Z1960" s="5"/>
      <c r="AA1960" s="5"/>
      <c r="AB1960" s="5"/>
      <c r="AC1960" s="5"/>
      <c r="AD1960" s="5"/>
      <c r="AE1960" s="5"/>
      <c r="AF1960" s="5"/>
      <c r="AG1960" s="5"/>
      <c r="AH1960" s="5"/>
      <c r="AI1960" s="5"/>
      <c r="AJ1960" s="5"/>
      <c r="AK1960" s="5"/>
    </row>
    <row r="1961" spans="1:37" x14ac:dyDescent="0.25">
      <c r="A1961" s="11">
        <f>Table1[[#This Row],[Milk Yield]]-J1957</f>
        <v>239</v>
      </c>
      <c r="B1961" t="s">
        <v>24</v>
      </c>
      <c r="C1961" s="2">
        <v>3</v>
      </c>
      <c r="D1961" s="12">
        <v>46000</v>
      </c>
      <c r="E1961" s="2">
        <v>30</v>
      </c>
      <c r="F1961" s="18">
        <v>0.99635416666666665</v>
      </c>
      <c r="G1961" s="3">
        <v>0.1590625</v>
      </c>
      <c r="H1961" s="17">
        <v>0.16250000000000001</v>
      </c>
      <c r="I1961" s="5">
        <v>685</v>
      </c>
      <c r="J1961">
        <v>7077</v>
      </c>
      <c r="K1961">
        <v>175</v>
      </c>
      <c r="L1961" s="5">
        <v>158</v>
      </c>
      <c r="M1961" s="5">
        <v>678</v>
      </c>
      <c r="N1961">
        <v>15</v>
      </c>
      <c r="O1961">
        <v>663</v>
      </c>
      <c r="P1961" s="1">
        <v>0.21527777777777779</v>
      </c>
      <c r="Q1961" s="5">
        <v>1812</v>
      </c>
      <c r="R1961" s="14">
        <v>10.5</v>
      </c>
      <c r="S1961">
        <v>174</v>
      </c>
      <c r="T1961" s="5">
        <v>15</v>
      </c>
      <c r="U1961" s="5">
        <v>664</v>
      </c>
      <c r="V1961" s="5">
        <v>1</v>
      </c>
      <c r="W1961" s="5"/>
      <c r="X1961" s="5"/>
      <c r="Y1961" s="5"/>
      <c r="Z1961" s="5"/>
      <c r="AA1961" s="5"/>
      <c r="AB1961" s="5"/>
      <c r="AC1961" s="5"/>
      <c r="AD1961" s="5"/>
      <c r="AE1961" s="5"/>
      <c r="AF1961" s="5"/>
      <c r="AG1961" s="5"/>
      <c r="AH1961" s="5"/>
      <c r="AI1961" s="5"/>
      <c r="AJ1961" s="5"/>
      <c r="AK1961" s="5"/>
    </row>
    <row r="1962" spans="1:37" x14ac:dyDescent="0.25">
      <c r="A1962" s="11" t="e">
        <f>Table1[[#This Row],[Milk Yield]]-J1958</f>
        <v>#VALUE!</v>
      </c>
      <c r="B1962" t="s">
        <v>0</v>
      </c>
      <c r="C1962" s="2" t="s">
        <v>1</v>
      </c>
      <c r="D1962" s="12" t="s">
        <v>2</v>
      </c>
      <c r="E1962" s="2" t="s">
        <v>3</v>
      </c>
      <c r="F1962" s="18" t="s">
        <v>4</v>
      </c>
      <c r="G1962" s="3" t="s">
        <v>5</v>
      </c>
      <c r="H1962" s="17" t="s">
        <v>6</v>
      </c>
      <c r="I1962" s="5" t="s">
        <v>8</v>
      </c>
      <c r="J1962" t="s">
        <v>9</v>
      </c>
      <c r="K1962" t="s">
        <v>10</v>
      </c>
      <c r="L1962" s="5" t="s">
        <v>11</v>
      </c>
      <c r="M1962" s="5" t="s">
        <v>12</v>
      </c>
      <c r="N1962" t="s">
        <v>13</v>
      </c>
      <c r="O1962" t="s">
        <v>20</v>
      </c>
      <c r="P1962" s="1" t="s">
        <v>7</v>
      </c>
      <c r="Q1962" s="5" t="s">
        <v>15</v>
      </c>
      <c r="R1962" s="14" t="s">
        <v>18</v>
      </c>
      <c r="S1962" t="s">
        <v>16</v>
      </c>
      <c r="T1962" s="5" t="s">
        <v>14</v>
      </c>
      <c r="U1962" s="5" t="s">
        <v>17</v>
      </c>
      <c r="V1962" s="5" t="s">
        <v>19</v>
      </c>
      <c r="W1962" s="5"/>
      <c r="X1962" s="5"/>
      <c r="Y1962" s="5"/>
      <c r="Z1962" s="5"/>
      <c r="AA1962" s="5"/>
      <c r="AB1962" s="5"/>
      <c r="AC1962" s="5"/>
      <c r="AD1962" s="5"/>
      <c r="AE1962" s="5"/>
      <c r="AF1962" s="5"/>
      <c r="AG1962" s="5"/>
      <c r="AH1962" s="5"/>
      <c r="AI1962" s="5"/>
      <c r="AJ1962" s="5"/>
      <c r="AK1962" s="5"/>
    </row>
    <row r="1963" spans="1:37" x14ac:dyDescent="0.25">
      <c r="A1963" s="11">
        <f>Table1[[#This Row],[Milk Yield]]-J1959</f>
        <v>115</v>
      </c>
      <c r="B1963" t="s">
        <v>24</v>
      </c>
      <c r="C1963" s="2">
        <v>1</v>
      </c>
      <c r="D1963" s="12">
        <v>46001</v>
      </c>
      <c r="E1963" s="2">
        <v>32</v>
      </c>
      <c r="F1963" s="18">
        <v>0.3329050925925926</v>
      </c>
      <c r="G1963" s="3">
        <v>0.52378472222222228</v>
      </c>
      <c r="H1963" s="17">
        <v>0.19027777777777777</v>
      </c>
      <c r="I1963" s="5">
        <v>684</v>
      </c>
      <c r="J1963">
        <v>8658</v>
      </c>
      <c r="K1963">
        <v>149</v>
      </c>
      <c r="L1963" s="5">
        <v>67</v>
      </c>
      <c r="M1963" s="5">
        <v>684</v>
      </c>
      <c r="N1963">
        <v>7</v>
      </c>
      <c r="O1963">
        <v>677</v>
      </c>
      <c r="P1963" s="1">
        <v>0.2361111111111111</v>
      </c>
      <c r="Q1963" s="5">
        <v>1890</v>
      </c>
      <c r="R1963" s="14">
        <v>12.7</v>
      </c>
      <c r="S1963">
        <v>149</v>
      </c>
      <c r="T1963" s="5">
        <v>7</v>
      </c>
      <c r="U1963" s="5">
        <v>678</v>
      </c>
      <c r="V1963" s="5">
        <v>1</v>
      </c>
      <c r="W1963" s="5"/>
      <c r="X1963" s="5"/>
      <c r="Y1963" s="5"/>
      <c r="Z1963" s="5"/>
      <c r="AA1963" s="5"/>
      <c r="AB1963" s="5"/>
      <c r="AC1963" s="5"/>
      <c r="AD1963" s="5"/>
      <c r="AE1963" s="5"/>
      <c r="AF1963" s="5"/>
      <c r="AG1963" s="5"/>
      <c r="AH1963" s="5"/>
      <c r="AI1963" s="5"/>
      <c r="AJ1963" s="5"/>
      <c r="AK1963" s="5"/>
    </row>
    <row r="1964" spans="1:37" x14ac:dyDescent="0.25">
      <c r="A1964" s="11">
        <f>Table1[[#This Row],[Milk Yield]]-J1960</f>
        <v>-231</v>
      </c>
      <c r="B1964" t="s">
        <v>24</v>
      </c>
      <c r="C1964" s="2">
        <v>2</v>
      </c>
      <c r="D1964" s="12">
        <v>46001</v>
      </c>
      <c r="E1964" s="2">
        <v>33</v>
      </c>
      <c r="F1964" s="18">
        <v>0.66932870370370368</v>
      </c>
      <c r="G1964" s="3">
        <v>0.83621527777777782</v>
      </c>
      <c r="H1964" s="17">
        <v>0.16666666666666666</v>
      </c>
      <c r="I1964" s="5">
        <v>690</v>
      </c>
      <c r="J1964">
        <v>7766</v>
      </c>
      <c r="K1964">
        <v>172</v>
      </c>
      <c r="L1964" s="5">
        <v>135</v>
      </c>
      <c r="M1964" s="5">
        <v>690</v>
      </c>
      <c r="N1964">
        <v>14</v>
      </c>
      <c r="O1964">
        <v>676</v>
      </c>
      <c r="P1964" s="1">
        <v>0.21875</v>
      </c>
      <c r="Q1964" s="5">
        <v>1939</v>
      </c>
      <c r="R1964" s="14">
        <v>11.3</v>
      </c>
      <c r="S1964">
        <v>172</v>
      </c>
      <c r="T1964" s="5">
        <v>14</v>
      </c>
      <c r="U1964" s="5">
        <v>677</v>
      </c>
      <c r="V1964" s="5">
        <v>1</v>
      </c>
      <c r="W1964" s="5"/>
      <c r="X1964" s="5"/>
      <c r="Y1964" s="5"/>
      <c r="Z1964" s="5"/>
      <c r="AA1964" s="5"/>
      <c r="AB1964" s="5"/>
      <c r="AC1964" s="5"/>
      <c r="AD1964" s="5"/>
      <c r="AE1964" s="5"/>
      <c r="AF1964" s="5"/>
      <c r="AG1964" s="5"/>
      <c r="AH1964" s="5"/>
      <c r="AI1964" s="5"/>
      <c r="AJ1964" s="5"/>
      <c r="AK1964" s="5"/>
    </row>
    <row r="1965" spans="1:37" x14ac:dyDescent="0.25">
      <c r="A1965" s="11">
        <f>Table1[[#This Row],[Milk Yield]]-J1961</f>
        <v>496</v>
      </c>
      <c r="B1965" t="s">
        <v>24</v>
      </c>
      <c r="C1965" s="2">
        <v>3</v>
      </c>
      <c r="D1965" s="12">
        <v>46001</v>
      </c>
      <c r="E1965" s="2">
        <v>30</v>
      </c>
      <c r="F1965" s="18">
        <v>0.99811342592592589</v>
      </c>
      <c r="G1965" s="3">
        <v>0.15965277777777778</v>
      </c>
      <c r="H1965" s="17">
        <v>0.16111111111111112</v>
      </c>
      <c r="I1965" s="5">
        <v>687</v>
      </c>
      <c r="J1965">
        <v>7573</v>
      </c>
      <c r="K1965">
        <v>177</v>
      </c>
      <c r="L1965" s="5">
        <v>55</v>
      </c>
      <c r="M1965" s="5">
        <v>686</v>
      </c>
      <c r="N1965">
        <v>6</v>
      </c>
      <c r="O1965">
        <v>680</v>
      </c>
      <c r="P1965" s="1">
        <v>0.21041666666666667</v>
      </c>
      <c r="Q1965" s="5">
        <v>1953</v>
      </c>
      <c r="R1965" s="14">
        <v>11.1</v>
      </c>
      <c r="S1965">
        <v>177</v>
      </c>
      <c r="T1965" s="5">
        <v>6</v>
      </c>
      <c r="U1965" s="5">
        <v>681</v>
      </c>
      <c r="V1965" s="5">
        <v>1</v>
      </c>
      <c r="W1965" s="5"/>
      <c r="X1965" s="5"/>
      <c r="Y1965" s="5"/>
      <c r="Z1965" s="5"/>
      <c r="AA1965" s="5"/>
      <c r="AB1965" s="5"/>
      <c r="AC1965" s="5"/>
      <c r="AD1965" s="5"/>
      <c r="AE1965" s="5"/>
      <c r="AF1965" s="5"/>
      <c r="AG1965" s="5"/>
      <c r="AH1965" s="5"/>
      <c r="AI1965" s="5"/>
      <c r="AJ1965" s="5"/>
      <c r="AK1965" s="5"/>
    </row>
    <row r="1966" spans="1:37" x14ac:dyDescent="0.25">
      <c r="A1966" s="11" t="e">
        <f>Table1[[#This Row],[Milk Yield]]-J1962</f>
        <v>#VALUE!</v>
      </c>
      <c r="B1966" t="s">
        <v>0</v>
      </c>
      <c r="C1966" s="2" t="s">
        <v>1</v>
      </c>
      <c r="D1966" s="12" t="s">
        <v>2</v>
      </c>
      <c r="E1966" s="2" t="s">
        <v>3</v>
      </c>
      <c r="F1966" s="18" t="s">
        <v>4</v>
      </c>
      <c r="G1966" s="3" t="s">
        <v>5</v>
      </c>
      <c r="H1966" s="17" t="s">
        <v>6</v>
      </c>
      <c r="I1966" s="5" t="s">
        <v>8</v>
      </c>
      <c r="J1966" t="s">
        <v>9</v>
      </c>
      <c r="K1966" t="s">
        <v>10</v>
      </c>
      <c r="L1966" s="5" t="s">
        <v>11</v>
      </c>
      <c r="M1966" s="5" t="s">
        <v>12</v>
      </c>
      <c r="N1966" t="s">
        <v>13</v>
      </c>
      <c r="O1966" t="s">
        <v>20</v>
      </c>
      <c r="P1966" s="1" t="s">
        <v>7</v>
      </c>
      <c r="Q1966" s="5" t="s">
        <v>15</v>
      </c>
      <c r="R1966" s="14" t="s">
        <v>18</v>
      </c>
      <c r="S1966" t="s">
        <v>16</v>
      </c>
      <c r="T1966" s="5" t="s">
        <v>14</v>
      </c>
      <c r="U1966" s="5" t="s">
        <v>17</v>
      </c>
      <c r="V1966" s="5" t="s">
        <v>19</v>
      </c>
      <c r="W1966" s="5"/>
      <c r="X1966" s="5"/>
      <c r="Y1966" s="5"/>
      <c r="Z1966" s="5"/>
      <c r="AA1966" s="5"/>
      <c r="AB1966" s="5"/>
      <c r="AC1966" s="5"/>
      <c r="AD1966" s="5"/>
      <c r="AE1966" s="5"/>
      <c r="AF1966" s="5"/>
      <c r="AG1966" s="5"/>
      <c r="AH1966" s="5"/>
      <c r="AI1966" s="5"/>
      <c r="AJ1966" s="5"/>
      <c r="AK1966" s="5"/>
    </row>
    <row r="1967" spans="1:37" x14ac:dyDescent="0.25">
      <c r="A1967" s="11">
        <f>Table1[[#This Row],[Milk Yield]]-J1963</f>
        <v>-317</v>
      </c>
      <c r="B1967" t="s">
        <v>24</v>
      </c>
      <c r="C1967" s="2">
        <v>1</v>
      </c>
      <c r="D1967" s="12">
        <v>46002</v>
      </c>
      <c r="E1967" s="2">
        <v>31</v>
      </c>
      <c r="F1967" s="18">
        <v>0.33398148148148149</v>
      </c>
      <c r="G1967" s="3">
        <v>0.50188657407407411</v>
      </c>
      <c r="H1967" s="17">
        <v>0.1673611111111111</v>
      </c>
      <c r="I1967" s="5">
        <v>690</v>
      </c>
      <c r="J1967">
        <v>8341</v>
      </c>
      <c r="K1967">
        <v>171</v>
      </c>
      <c r="L1967" s="5">
        <v>168</v>
      </c>
      <c r="M1967" s="5">
        <v>689</v>
      </c>
      <c r="N1967">
        <v>14</v>
      </c>
      <c r="O1967">
        <v>675</v>
      </c>
      <c r="P1967" s="1">
        <v>0.22083333333333333</v>
      </c>
      <c r="Q1967" s="5">
        <v>2070</v>
      </c>
      <c r="R1967" s="14">
        <v>12.2</v>
      </c>
      <c r="S1967">
        <v>171</v>
      </c>
      <c r="T1967" s="5">
        <v>14</v>
      </c>
      <c r="U1967" s="5">
        <v>676</v>
      </c>
      <c r="V1967" s="5">
        <v>1</v>
      </c>
      <c r="W1967" s="5"/>
      <c r="X1967" s="5"/>
      <c r="Y1967" s="5"/>
      <c r="Z1967" s="5"/>
      <c r="AA1967" s="5"/>
      <c r="AB1967" s="5"/>
      <c r="AC1967" s="5"/>
      <c r="AD1967" s="5"/>
      <c r="AE1967" s="5"/>
      <c r="AF1967" s="5"/>
      <c r="AG1967" s="5"/>
      <c r="AH1967" s="5"/>
      <c r="AI1967" s="5"/>
      <c r="AJ1967" s="5"/>
      <c r="AK1967" s="5"/>
    </row>
    <row r="1968" spans="1:37" x14ac:dyDescent="0.25">
      <c r="A1968" s="11">
        <f>Table1[[#This Row],[Milk Yield]]-J1964</f>
        <v>472</v>
      </c>
      <c r="B1968" t="s">
        <v>24</v>
      </c>
      <c r="C1968" s="2">
        <v>2</v>
      </c>
      <c r="D1968" s="12">
        <v>46002</v>
      </c>
      <c r="E1968" s="2">
        <v>33</v>
      </c>
      <c r="F1968" s="18">
        <v>0.66769675925925931</v>
      </c>
      <c r="G1968" s="3">
        <v>0.84732638888888889</v>
      </c>
      <c r="H1968" s="17">
        <v>0.17916666666666667</v>
      </c>
      <c r="I1968" s="5">
        <v>686</v>
      </c>
      <c r="J1968">
        <v>8238</v>
      </c>
      <c r="K1968">
        <v>159</v>
      </c>
      <c r="L1968" s="5">
        <v>115</v>
      </c>
      <c r="M1968" s="5">
        <v>685</v>
      </c>
      <c r="N1968">
        <v>10</v>
      </c>
      <c r="O1968">
        <v>675</v>
      </c>
      <c r="P1968" s="1">
        <v>0.22638888888888889</v>
      </c>
      <c r="Q1968" s="5">
        <v>1911</v>
      </c>
      <c r="R1968" s="14">
        <v>12.1</v>
      </c>
      <c r="S1968">
        <v>159</v>
      </c>
      <c r="T1968" s="5">
        <v>10</v>
      </c>
      <c r="U1968" s="5">
        <v>676</v>
      </c>
      <c r="V1968" s="5">
        <v>1</v>
      </c>
      <c r="W1968" s="5"/>
      <c r="X1968" s="5"/>
      <c r="Y1968" s="5"/>
      <c r="Z1968" s="5"/>
      <c r="AA1968" s="5"/>
      <c r="AB1968" s="5"/>
      <c r="AC1968" s="5"/>
      <c r="AD1968" s="5"/>
      <c r="AE1968" s="5"/>
      <c r="AF1968" s="5"/>
      <c r="AG1968" s="5"/>
      <c r="AH1968" s="5"/>
      <c r="AI1968" s="5"/>
      <c r="AJ1968" s="5"/>
      <c r="AK1968" s="5"/>
    </row>
    <row r="1969" spans="1:37" x14ac:dyDescent="0.25">
      <c r="A1969" s="11">
        <f>Table1[[#This Row],[Milk Yield]]-J1965</f>
        <v>-591</v>
      </c>
      <c r="B1969" t="s">
        <v>24</v>
      </c>
      <c r="C1969" s="2">
        <v>3</v>
      </c>
      <c r="D1969" s="12">
        <v>46002</v>
      </c>
      <c r="E1969" s="2">
        <v>30</v>
      </c>
      <c r="F1969" s="18">
        <v>3.2407407407407406E-4</v>
      </c>
      <c r="G1969" s="3">
        <v>0.15491898148148148</v>
      </c>
      <c r="H1969" s="17">
        <v>0.15416666666666667</v>
      </c>
      <c r="I1969" s="5">
        <v>684</v>
      </c>
      <c r="J1969">
        <v>6982</v>
      </c>
      <c r="K1969">
        <v>184</v>
      </c>
      <c r="L1969" s="5">
        <v>86</v>
      </c>
      <c r="M1969" s="5">
        <v>683</v>
      </c>
      <c r="N1969">
        <v>28</v>
      </c>
      <c r="O1969">
        <v>655</v>
      </c>
      <c r="P1969" s="1">
        <v>0.21041666666666667</v>
      </c>
      <c r="Q1969" s="5">
        <v>1882</v>
      </c>
      <c r="R1969" s="14">
        <v>10.3</v>
      </c>
      <c r="S1969">
        <v>184</v>
      </c>
      <c r="T1969" s="5">
        <v>28</v>
      </c>
      <c r="U1969" s="5">
        <v>656</v>
      </c>
      <c r="V1969" s="5">
        <v>1</v>
      </c>
      <c r="W1969" s="5"/>
      <c r="X1969" s="5"/>
      <c r="Y1969" s="5"/>
      <c r="Z1969" s="5"/>
      <c r="AA1969" s="5"/>
      <c r="AB1969" s="5"/>
      <c r="AC1969" s="5"/>
      <c r="AD1969" s="5"/>
      <c r="AE1969" s="5"/>
      <c r="AF1969" s="5"/>
      <c r="AG1969" s="5"/>
      <c r="AH1969" s="5"/>
      <c r="AI1969" s="5"/>
      <c r="AJ1969" s="5"/>
      <c r="AK1969" s="5"/>
    </row>
    <row r="1970" spans="1:37" x14ac:dyDescent="0.25">
      <c r="A1970" s="11" t="e">
        <f>Table1[[#This Row],[Milk Yield]]-J1966</f>
        <v>#VALUE!</v>
      </c>
      <c r="B1970" t="s">
        <v>0</v>
      </c>
      <c r="C1970" s="2" t="s">
        <v>1</v>
      </c>
      <c r="D1970" s="12" t="s">
        <v>2</v>
      </c>
      <c r="E1970" s="2" t="s">
        <v>3</v>
      </c>
      <c r="F1970" s="18" t="s">
        <v>4</v>
      </c>
      <c r="G1970" s="3" t="s">
        <v>5</v>
      </c>
      <c r="H1970" s="17" t="s">
        <v>6</v>
      </c>
      <c r="I1970" s="5" t="s">
        <v>8</v>
      </c>
      <c r="J1970" t="s">
        <v>9</v>
      </c>
      <c r="K1970" t="s">
        <v>10</v>
      </c>
      <c r="L1970" s="5" t="s">
        <v>11</v>
      </c>
      <c r="M1970" s="5" t="s">
        <v>12</v>
      </c>
      <c r="N1970" t="s">
        <v>13</v>
      </c>
      <c r="O1970" t="s">
        <v>20</v>
      </c>
      <c r="P1970" s="1" t="s">
        <v>7</v>
      </c>
      <c r="Q1970" s="5" t="s">
        <v>15</v>
      </c>
      <c r="R1970" s="14" t="s">
        <v>18</v>
      </c>
      <c r="S1970" t="s">
        <v>16</v>
      </c>
      <c r="T1970" s="5" t="s">
        <v>14</v>
      </c>
      <c r="U1970" s="5" t="s">
        <v>17</v>
      </c>
      <c r="V1970" s="5" t="s">
        <v>19</v>
      </c>
      <c r="W1970" s="5"/>
      <c r="X1970" s="5"/>
      <c r="Y1970" s="5"/>
      <c r="Z1970" s="5"/>
      <c r="AA1970" s="5"/>
      <c r="AB1970" s="5"/>
      <c r="AC1970" s="5"/>
      <c r="AD1970" s="5"/>
      <c r="AE1970" s="5"/>
      <c r="AF1970" s="5"/>
      <c r="AG1970" s="5"/>
      <c r="AH1970" s="5"/>
      <c r="AI1970" s="5"/>
      <c r="AJ1970" s="5"/>
      <c r="AK1970" s="5"/>
    </row>
    <row r="1971" spans="1:37" x14ac:dyDescent="0.25">
      <c r="A1971" s="11">
        <f>Table1[[#This Row],[Milk Yield]]-J1967</f>
        <v>107</v>
      </c>
      <c r="B1971" t="s">
        <v>24</v>
      </c>
      <c r="C1971" s="2">
        <v>1</v>
      </c>
      <c r="D1971" s="12">
        <v>46003</v>
      </c>
      <c r="E1971" s="2">
        <v>33</v>
      </c>
      <c r="F1971" s="18">
        <v>0.33543981481481483</v>
      </c>
      <c r="G1971" s="3">
        <v>0.52461805555555552</v>
      </c>
      <c r="H1971" s="17">
        <v>0.18888888888888888</v>
      </c>
      <c r="I1971" s="5">
        <v>683</v>
      </c>
      <c r="J1971">
        <v>8448</v>
      </c>
      <c r="K1971">
        <v>150</v>
      </c>
      <c r="L1971" s="5">
        <v>88</v>
      </c>
      <c r="M1971" s="5">
        <v>683</v>
      </c>
      <c r="N1971">
        <v>9</v>
      </c>
      <c r="O1971">
        <v>674</v>
      </c>
      <c r="P1971" s="1">
        <v>0.23402777777777778</v>
      </c>
      <c r="Q1971" s="5">
        <v>1861</v>
      </c>
      <c r="R1971" s="14">
        <v>12.4</v>
      </c>
      <c r="S1971">
        <v>150</v>
      </c>
      <c r="T1971" s="5">
        <v>9</v>
      </c>
      <c r="U1971" s="5">
        <v>675</v>
      </c>
      <c r="V1971" s="5">
        <v>1</v>
      </c>
      <c r="W1971" s="5"/>
      <c r="X1971" s="5"/>
      <c r="Y1971" s="5"/>
      <c r="Z1971" s="5"/>
      <c r="AA1971" s="5"/>
      <c r="AB1971" s="5"/>
      <c r="AC1971" s="5"/>
      <c r="AD1971" s="5"/>
      <c r="AE1971" s="5"/>
      <c r="AF1971" s="5"/>
      <c r="AG1971" s="5"/>
      <c r="AH1971" s="5"/>
      <c r="AI1971" s="5"/>
      <c r="AJ1971" s="5"/>
      <c r="AK1971" s="5"/>
    </row>
    <row r="1972" spans="1:37" x14ac:dyDescent="0.25">
      <c r="A1972" s="11">
        <f>Table1[[#This Row],[Milk Yield]]-J1968</f>
        <v>-534</v>
      </c>
      <c r="B1972" t="s">
        <v>24</v>
      </c>
      <c r="C1972" s="2">
        <v>2</v>
      </c>
      <c r="D1972" s="12">
        <v>46003</v>
      </c>
      <c r="E1972" s="2">
        <v>31</v>
      </c>
      <c r="F1972" s="18">
        <v>0.66684027777777777</v>
      </c>
      <c r="G1972" s="3">
        <v>0.83236111111111111</v>
      </c>
      <c r="H1972" s="17">
        <v>0.16527777777777777</v>
      </c>
      <c r="I1972" s="5">
        <v>667</v>
      </c>
      <c r="J1972">
        <v>7704</v>
      </c>
      <c r="K1972">
        <v>168</v>
      </c>
      <c r="L1972" s="5">
        <v>81</v>
      </c>
      <c r="M1972" s="5">
        <v>666</v>
      </c>
      <c r="N1972">
        <v>9</v>
      </c>
      <c r="O1972">
        <v>657</v>
      </c>
      <c r="P1972" s="1">
        <v>0.22083333333333333</v>
      </c>
      <c r="Q1972" s="5">
        <v>1939</v>
      </c>
      <c r="R1972" s="14">
        <v>11.6</v>
      </c>
      <c r="S1972">
        <v>168</v>
      </c>
      <c r="T1972" s="5">
        <v>9</v>
      </c>
      <c r="U1972" s="5">
        <v>658</v>
      </c>
      <c r="V1972" s="5">
        <v>1</v>
      </c>
      <c r="W1972" s="5"/>
      <c r="X1972" s="5"/>
      <c r="Y1972" s="5"/>
      <c r="Z1972" s="5"/>
      <c r="AA1972" s="5"/>
      <c r="AB1972" s="5"/>
      <c r="AC1972" s="5"/>
      <c r="AD1972" s="5"/>
      <c r="AE1972" s="5"/>
      <c r="AF1972" s="5"/>
      <c r="AG1972" s="5"/>
      <c r="AH1972" s="5"/>
      <c r="AI1972" s="5"/>
      <c r="AJ1972" s="5"/>
      <c r="AK1972" s="5"/>
    </row>
    <row r="1973" spans="1:37" x14ac:dyDescent="0.25">
      <c r="A1973" s="11">
        <f>Table1[[#This Row],[Milk Yield]]-J1969</f>
        <v>75</v>
      </c>
      <c r="B1973" t="s">
        <v>24</v>
      </c>
      <c r="C1973" s="2">
        <v>3</v>
      </c>
      <c r="D1973" s="12">
        <v>46003</v>
      </c>
      <c r="E1973" s="2">
        <v>30</v>
      </c>
      <c r="F1973" s="18">
        <v>1.238425925925926E-3</v>
      </c>
      <c r="G1973" s="3">
        <v>0.14723379629629629</v>
      </c>
      <c r="H1973" s="17">
        <v>0.14583333333333334</v>
      </c>
      <c r="I1973" s="5">
        <v>668</v>
      </c>
      <c r="J1973">
        <v>7057</v>
      </c>
      <c r="K1973">
        <v>191</v>
      </c>
      <c r="L1973" s="5">
        <v>59</v>
      </c>
      <c r="M1973" s="5">
        <v>666</v>
      </c>
      <c r="N1973">
        <v>8</v>
      </c>
      <c r="O1973">
        <v>658</v>
      </c>
      <c r="P1973" s="1">
        <v>0.21249999999999999</v>
      </c>
      <c r="Q1973" s="5">
        <v>2014</v>
      </c>
      <c r="R1973" s="14">
        <v>10.6</v>
      </c>
      <c r="S1973">
        <v>190</v>
      </c>
      <c r="T1973" s="5">
        <v>8</v>
      </c>
      <c r="U1973" s="5">
        <v>659</v>
      </c>
      <c r="V1973" s="5">
        <v>1</v>
      </c>
      <c r="W1973" s="5"/>
      <c r="X1973" s="5"/>
      <c r="Y1973" s="5"/>
      <c r="Z1973" s="5"/>
      <c r="AA1973" s="5"/>
      <c r="AB1973" s="5"/>
      <c r="AC1973" s="5"/>
      <c r="AD1973" s="5"/>
      <c r="AE1973" s="5"/>
      <c r="AF1973" s="5"/>
      <c r="AG1973" s="5"/>
      <c r="AH1973" s="5"/>
      <c r="AI1973" s="5"/>
      <c r="AJ1973" s="5"/>
      <c r="AK1973" s="5"/>
    </row>
    <row r="1974" spans="1:37" x14ac:dyDescent="0.25">
      <c r="A1974" s="11" t="e">
        <f>Table1[[#This Row],[Milk Yield]]-J1970</f>
        <v>#VALUE!</v>
      </c>
      <c r="B1974" t="s">
        <v>0</v>
      </c>
      <c r="C1974" s="2" t="s">
        <v>1</v>
      </c>
      <c r="D1974" s="12" t="s">
        <v>2</v>
      </c>
      <c r="E1974" s="2" t="s">
        <v>3</v>
      </c>
      <c r="F1974" s="18" t="s">
        <v>4</v>
      </c>
      <c r="G1974" s="3" t="s">
        <v>5</v>
      </c>
      <c r="H1974" s="17" t="s">
        <v>6</v>
      </c>
      <c r="I1974" s="5" t="s">
        <v>8</v>
      </c>
      <c r="J1974" t="s">
        <v>9</v>
      </c>
      <c r="K1974" t="s">
        <v>10</v>
      </c>
      <c r="L1974" s="5" t="s">
        <v>11</v>
      </c>
      <c r="M1974" s="5" t="s">
        <v>12</v>
      </c>
      <c r="N1974" t="s">
        <v>13</v>
      </c>
      <c r="O1974" t="s">
        <v>20</v>
      </c>
      <c r="P1974" s="1" t="s">
        <v>7</v>
      </c>
      <c r="Q1974" s="5" t="s">
        <v>15</v>
      </c>
      <c r="R1974" s="14" t="s">
        <v>18</v>
      </c>
      <c r="S1974" t="s">
        <v>16</v>
      </c>
      <c r="T1974" s="5" t="s">
        <v>14</v>
      </c>
      <c r="U1974" s="5" t="s">
        <v>17</v>
      </c>
      <c r="V1974" s="5" t="s">
        <v>19</v>
      </c>
      <c r="W1974" s="5"/>
      <c r="X1974" s="5"/>
      <c r="Y1974" s="5"/>
      <c r="Z1974" s="5"/>
      <c r="AA1974" s="5"/>
      <c r="AB1974" s="5"/>
      <c r="AC1974" s="5"/>
      <c r="AD1974" s="5"/>
      <c r="AE1974" s="5"/>
      <c r="AF1974" s="5"/>
      <c r="AG1974" s="5"/>
      <c r="AH1974" s="5"/>
      <c r="AI1974" s="5"/>
      <c r="AJ1974" s="5"/>
      <c r="AK1974" s="5"/>
    </row>
    <row r="1975" spans="1:37" x14ac:dyDescent="0.25">
      <c r="A1975" s="11">
        <f>Table1[[#This Row],[Milk Yield]]-J1971</f>
        <v>-61</v>
      </c>
      <c r="B1975" t="s">
        <v>24</v>
      </c>
      <c r="C1975" s="2">
        <v>1</v>
      </c>
      <c r="D1975" s="12">
        <v>46004</v>
      </c>
      <c r="E1975" s="2">
        <v>31</v>
      </c>
      <c r="F1975" s="18">
        <v>0.3341898148148148</v>
      </c>
      <c r="G1975" s="3">
        <v>0.51206018518518515</v>
      </c>
      <c r="H1975" s="17">
        <v>0.17777777777777778</v>
      </c>
      <c r="I1975" s="5">
        <v>668</v>
      </c>
      <c r="J1975">
        <v>8387</v>
      </c>
      <c r="K1975">
        <v>156</v>
      </c>
      <c r="L1975" s="5">
        <v>126</v>
      </c>
      <c r="M1975" s="5">
        <v>666</v>
      </c>
      <c r="N1975">
        <v>14</v>
      </c>
      <c r="O1975">
        <v>652</v>
      </c>
      <c r="P1975" s="1">
        <v>0.2298611111111111</v>
      </c>
      <c r="Q1975" s="5">
        <v>1965</v>
      </c>
      <c r="R1975" s="14">
        <v>12.6</v>
      </c>
      <c r="S1975">
        <v>156</v>
      </c>
      <c r="T1975" s="5">
        <v>14</v>
      </c>
      <c r="U1975" s="5">
        <v>653</v>
      </c>
      <c r="V1975" s="5">
        <v>1</v>
      </c>
      <c r="W1975" s="5"/>
      <c r="X1975" s="5"/>
      <c r="Y1975" s="5"/>
      <c r="Z1975" s="5"/>
      <c r="AA1975" s="5"/>
      <c r="AB1975" s="5"/>
      <c r="AC1975" s="5"/>
      <c r="AD1975" s="5"/>
      <c r="AE1975" s="5"/>
      <c r="AF1975" s="5"/>
      <c r="AG1975" s="5"/>
      <c r="AH1975" s="5"/>
      <c r="AI1975" s="5"/>
      <c r="AJ1975" s="5"/>
      <c r="AK1975" s="5"/>
    </row>
    <row r="1976" spans="1:37" x14ac:dyDescent="0.25">
      <c r="A1976" s="11">
        <f>Table1[[#This Row],[Milk Yield]]-J1972</f>
        <v>4</v>
      </c>
      <c r="B1976" t="s">
        <v>24</v>
      </c>
      <c r="C1976" s="2">
        <v>2</v>
      </c>
      <c r="D1976" s="12">
        <v>46004</v>
      </c>
      <c r="E1976" s="2">
        <v>34</v>
      </c>
      <c r="F1976" s="18">
        <v>0.66876157407407411</v>
      </c>
      <c r="G1976" s="3">
        <v>0.83918981481481481</v>
      </c>
      <c r="H1976" s="17">
        <v>0.1701388888888889</v>
      </c>
      <c r="I1976" s="5">
        <v>672</v>
      </c>
      <c r="J1976">
        <v>7708</v>
      </c>
      <c r="K1976">
        <v>164</v>
      </c>
      <c r="L1976" s="5">
        <v>130</v>
      </c>
      <c r="M1976" s="5">
        <v>672</v>
      </c>
      <c r="N1976">
        <v>15</v>
      </c>
      <c r="O1976">
        <v>657</v>
      </c>
      <c r="P1976" s="1">
        <v>0.22083333333333333</v>
      </c>
      <c r="Q1976" s="5">
        <v>1884</v>
      </c>
      <c r="R1976" s="14">
        <v>11.5</v>
      </c>
      <c r="S1976">
        <v>164</v>
      </c>
      <c r="T1976" s="5">
        <v>15</v>
      </c>
      <c r="U1976" s="5">
        <v>658</v>
      </c>
      <c r="V1976" s="5">
        <v>1</v>
      </c>
      <c r="W1976" s="5"/>
      <c r="X1976" s="5"/>
      <c r="Y1976" s="5"/>
      <c r="Z1976" s="5"/>
      <c r="AA1976" s="5"/>
      <c r="AB1976" s="5"/>
      <c r="AC1976" s="5"/>
      <c r="AD1976" s="5"/>
      <c r="AE1976" s="5"/>
      <c r="AF1976" s="5"/>
      <c r="AG1976" s="5"/>
      <c r="AH1976" s="5"/>
      <c r="AI1976" s="5"/>
      <c r="AJ1976" s="5"/>
      <c r="AK1976" s="5"/>
    </row>
    <row r="1977" spans="1:37" x14ac:dyDescent="0.25">
      <c r="A1977" s="11">
        <f>Table1[[#This Row],[Milk Yield]]-J1973</f>
        <v>157</v>
      </c>
      <c r="B1977" t="s">
        <v>24</v>
      </c>
      <c r="C1977" s="2">
        <v>3</v>
      </c>
      <c r="D1977" s="12">
        <v>46004</v>
      </c>
      <c r="E1977" s="2">
        <v>29</v>
      </c>
      <c r="F1977" s="18">
        <v>3.7731481481481483E-3</v>
      </c>
      <c r="G1977" s="3">
        <v>0.16</v>
      </c>
      <c r="H1977" s="17">
        <v>0.15555555555555556</v>
      </c>
      <c r="I1977" s="5">
        <v>667</v>
      </c>
      <c r="J1977">
        <v>7214</v>
      </c>
      <c r="K1977">
        <v>178</v>
      </c>
      <c r="L1977" s="5">
        <v>63</v>
      </c>
      <c r="M1977" s="5">
        <v>667</v>
      </c>
      <c r="N1977">
        <v>6</v>
      </c>
      <c r="O1977">
        <v>661</v>
      </c>
      <c r="P1977" s="1">
        <v>0.21527777777777779</v>
      </c>
      <c r="Q1977" s="5">
        <v>1924</v>
      </c>
      <c r="R1977" s="14">
        <v>10.9</v>
      </c>
      <c r="S1977">
        <v>178</v>
      </c>
      <c r="T1977" s="5">
        <v>6</v>
      </c>
      <c r="U1977" s="5">
        <v>662</v>
      </c>
      <c r="V1977" s="5">
        <v>1</v>
      </c>
      <c r="W1977" s="5"/>
      <c r="X1977" s="5"/>
      <c r="Y1977" s="5"/>
      <c r="Z1977" s="5"/>
      <c r="AA1977" s="5"/>
      <c r="AB1977" s="5"/>
      <c r="AC1977" s="5"/>
      <c r="AD1977" s="5"/>
      <c r="AE1977" s="5"/>
      <c r="AF1977" s="5"/>
      <c r="AG1977" s="5"/>
      <c r="AH1977" s="5"/>
      <c r="AI1977" s="5"/>
      <c r="AJ1977" s="5"/>
      <c r="AK1977" s="5"/>
    </row>
    <row r="1978" spans="1:37" x14ac:dyDescent="0.25">
      <c r="A1978" s="11" t="e">
        <f>Table1[[#This Row],[Milk Yield]]-J1974</f>
        <v>#VALUE!</v>
      </c>
      <c r="B1978" t="s">
        <v>0</v>
      </c>
      <c r="C1978" s="2" t="s">
        <v>1</v>
      </c>
      <c r="D1978" s="12" t="s">
        <v>2</v>
      </c>
      <c r="E1978" s="2" t="s">
        <v>3</v>
      </c>
      <c r="F1978" s="18" t="s">
        <v>4</v>
      </c>
      <c r="G1978" s="3" t="s">
        <v>5</v>
      </c>
      <c r="H1978" s="17" t="s">
        <v>6</v>
      </c>
      <c r="I1978" s="5" t="s">
        <v>8</v>
      </c>
      <c r="J1978" t="s">
        <v>9</v>
      </c>
      <c r="K1978" t="s">
        <v>10</v>
      </c>
      <c r="L1978" s="5" t="s">
        <v>11</v>
      </c>
      <c r="M1978" s="5" t="s">
        <v>12</v>
      </c>
      <c r="N1978" t="s">
        <v>13</v>
      </c>
      <c r="O1978" t="s">
        <v>20</v>
      </c>
      <c r="P1978" s="1" t="s">
        <v>7</v>
      </c>
      <c r="Q1978" s="5" t="s">
        <v>15</v>
      </c>
      <c r="R1978" s="14" t="s">
        <v>18</v>
      </c>
      <c r="S1978" t="s">
        <v>16</v>
      </c>
      <c r="T1978" s="5" t="s">
        <v>14</v>
      </c>
      <c r="U1978" s="5" t="s">
        <v>17</v>
      </c>
      <c r="V1978" s="5" t="s">
        <v>19</v>
      </c>
      <c r="W1978" s="5"/>
      <c r="X1978" s="5"/>
      <c r="Y1978" s="5"/>
      <c r="Z1978" s="5"/>
      <c r="AA1978" s="5"/>
      <c r="AB1978" s="5"/>
      <c r="AC1978" s="5"/>
      <c r="AD1978" s="5"/>
      <c r="AE1978" s="5"/>
      <c r="AF1978" s="5"/>
      <c r="AG1978" s="5"/>
      <c r="AH1978" s="5"/>
      <c r="AI1978" s="5"/>
      <c r="AJ1978" s="5"/>
      <c r="AK1978" s="5"/>
    </row>
    <row r="1979" spans="1:37" x14ac:dyDescent="0.25">
      <c r="A1979" s="11">
        <f>Table1[[#This Row],[Milk Yield]]-J1975</f>
        <v>-328</v>
      </c>
      <c r="B1979" t="s">
        <v>24</v>
      </c>
      <c r="C1979" s="2">
        <v>1</v>
      </c>
      <c r="D1979" s="12">
        <v>46005</v>
      </c>
      <c r="E1979" s="2">
        <v>31</v>
      </c>
      <c r="F1979" s="18">
        <v>0.33488425925925924</v>
      </c>
      <c r="G1979" s="3">
        <v>0.49820601851851853</v>
      </c>
      <c r="H1979" s="17">
        <v>0.16319444444444445</v>
      </c>
      <c r="I1979" s="5">
        <v>670</v>
      </c>
      <c r="J1979">
        <v>8059</v>
      </c>
      <c r="K1979">
        <v>171</v>
      </c>
      <c r="L1979" s="5">
        <v>128</v>
      </c>
      <c r="M1979" s="5">
        <v>668</v>
      </c>
      <c r="N1979">
        <v>12</v>
      </c>
      <c r="O1979">
        <v>656</v>
      </c>
      <c r="P1979" s="1">
        <v>0.22152777777777777</v>
      </c>
      <c r="Q1979" s="5">
        <v>2056</v>
      </c>
      <c r="R1979" s="14">
        <v>12.1</v>
      </c>
      <c r="S1979">
        <v>170</v>
      </c>
      <c r="T1979" s="5">
        <v>12</v>
      </c>
      <c r="U1979" s="5">
        <v>657</v>
      </c>
      <c r="V1979" s="5">
        <v>1</v>
      </c>
      <c r="W1979" s="5"/>
      <c r="X1979" s="5"/>
      <c r="Y1979" s="5"/>
      <c r="Z1979" s="5"/>
      <c r="AA1979" s="5"/>
      <c r="AB1979" s="5"/>
      <c r="AC1979" s="5"/>
      <c r="AD1979" s="5"/>
      <c r="AE1979" s="5"/>
      <c r="AF1979" s="5"/>
      <c r="AG1979" s="5"/>
      <c r="AH1979" s="5"/>
      <c r="AI1979" s="5"/>
      <c r="AJ1979" s="5"/>
      <c r="AK1979" s="5"/>
    </row>
    <row r="1980" spans="1:37" x14ac:dyDescent="0.25">
      <c r="A1980" s="11">
        <f>Table1[[#This Row],[Milk Yield]]-J1976</f>
        <v>-147</v>
      </c>
      <c r="B1980" t="s">
        <v>24</v>
      </c>
      <c r="C1980" s="2">
        <v>2</v>
      </c>
      <c r="D1980" s="12">
        <v>46005</v>
      </c>
      <c r="E1980" s="2">
        <v>31</v>
      </c>
      <c r="F1980" s="18">
        <v>0.66407407407407404</v>
      </c>
      <c r="G1980" s="3">
        <v>0.83040509259259254</v>
      </c>
      <c r="H1980" s="17">
        <v>0.16597222222222222</v>
      </c>
      <c r="I1980" s="5">
        <v>672</v>
      </c>
      <c r="J1980">
        <v>7561</v>
      </c>
      <c r="K1980">
        <v>168</v>
      </c>
      <c r="L1980" s="5">
        <v>139</v>
      </c>
      <c r="M1980" s="5">
        <v>671</v>
      </c>
      <c r="N1980">
        <v>14</v>
      </c>
      <c r="O1980">
        <v>657</v>
      </c>
      <c r="P1980" s="1">
        <v>0.22083333333333333</v>
      </c>
      <c r="Q1980" s="5">
        <v>1894</v>
      </c>
      <c r="R1980" s="14">
        <v>11.3</v>
      </c>
      <c r="S1980">
        <v>168</v>
      </c>
      <c r="T1980" s="5">
        <v>14</v>
      </c>
      <c r="U1980" s="5">
        <v>658</v>
      </c>
      <c r="V1980" s="5">
        <v>1</v>
      </c>
      <c r="W1980" s="5"/>
      <c r="X1980" s="5"/>
      <c r="Y1980" s="5"/>
      <c r="Z1980" s="5"/>
      <c r="AA1980" s="5"/>
      <c r="AB1980" s="5"/>
      <c r="AC1980" s="5"/>
      <c r="AD1980" s="5"/>
      <c r="AE1980" s="5"/>
      <c r="AF1980" s="5"/>
      <c r="AG1980" s="5"/>
      <c r="AH1980" s="5"/>
      <c r="AI1980" s="5"/>
      <c r="AJ1980" s="5"/>
      <c r="AK1980" s="5"/>
    </row>
    <row r="1981" spans="1:37" x14ac:dyDescent="0.25">
      <c r="A1981" s="11">
        <f>Table1[[#This Row],[Milk Yield]]-J1977</f>
        <v>367</v>
      </c>
      <c r="B1981" t="s">
        <v>24</v>
      </c>
      <c r="C1981" s="2">
        <v>3</v>
      </c>
      <c r="D1981" s="12">
        <v>46005</v>
      </c>
      <c r="E1981" s="2">
        <v>29</v>
      </c>
      <c r="F1981" s="18">
        <v>1.2268518518518518E-3</v>
      </c>
      <c r="G1981" s="3">
        <v>0.15481481481481482</v>
      </c>
      <c r="H1981" s="17">
        <v>0.15347222222222223</v>
      </c>
      <c r="I1981" s="5">
        <v>667</v>
      </c>
      <c r="J1981">
        <v>7581</v>
      </c>
      <c r="K1981">
        <v>181</v>
      </c>
      <c r="L1981" s="5">
        <v>91</v>
      </c>
      <c r="M1981" s="5">
        <v>666</v>
      </c>
      <c r="N1981">
        <v>8</v>
      </c>
      <c r="O1981">
        <v>658</v>
      </c>
      <c r="P1981" s="1">
        <v>0.21666666666666667</v>
      </c>
      <c r="Q1981" s="5">
        <v>2057</v>
      </c>
      <c r="R1981" s="14">
        <v>11.4</v>
      </c>
      <c r="S1981">
        <v>181</v>
      </c>
      <c r="T1981" s="5">
        <v>8</v>
      </c>
      <c r="U1981" s="5">
        <v>659</v>
      </c>
      <c r="V1981" s="5">
        <v>1</v>
      </c>
      <c r="W1981" s="5"/>
      <c r="X1981" s="5"/>
      <c r="Y1981" s="5"/>
      <c r="Z1981" s="5"/>
      <c r="AA1981" s="5"/>
      <c r="AB1981" s="5"/>
      <c r="AC1981" s="5"/>
      <c r="AD1981" s="5"/>
      <c r="AE1981" s="5"/>
      <c r="AF1981" s="5"/>
      <c r="AG1981" s="5"/>
      <c r="AH1981" s="5"/>
      <c r="AI1981" s="5"/>
      <c r="AJ1981" s="5"/>
      <c r="AK1981" s="5"/>
    </row>
    <row r="1982" spans="1:37" x14ac:dyDescent="0.25">
      <c r="A1982" s="11" t="e">
        <f>Table1[[#This Row],[Milk Yield]]-J1978</f>
        <v>#VALUE!</v>
      </c>
      <c r="B1982" t="s">
        <v>0</v>
      </c>
      <c r="C1982" s="2" t="s">
        <v>1</v>
      </c>
      <c r="D1982" s="12" t="s">
        <v>2</v>
      </c>
      <c r="E1982" s="2" t="s">
        <v>3</v>
      </c>
      <c r="F1982" s="18" t="s">
        <v>4</v>
      </c>
      <c r="G1982" s="3" t="s">
        <v>5</v>
      </c>
      <c r="H1982" s="17" t="s">
        <v>6</v>
      </c>
      <c r="I1982" s="5" t="s">
        <v>8</v>
      </c>
      <c r="J1982" t="s">
        <v>9</v>
      </c>
      <c r="K1982" t="s">
        <v>10</v>
      </c>
      <c r="L1982" s="5" t="s">
        <v>11</v>
      </c>
      <c r="M1982" s="5" t="s">
        <v>12</v>
      </c>
      <c r="N1982" t="s">
        <v>13</v>
      </c>
      <c r="O1982" t="s">
        <v>20</v>
      </c>
      <c r="P1982" s="1" t="s">
        <v>7</v>
      </c>
      <c r="Q1982" s="5" t="s">
        <v>15</v>
      </c>
      <c r="R1982" s="14" t="s">
        <v>18</v>
      </c>
      <c r="S1982" t="s">
        <v>16</v>
      </c>
      <c r="T1982" s="5" t="s">
        <v>14</v>
      </c>
      <c r="U1982" s="5" t="s">
        <v>17</v>
      </c>
      <c r="V1982" s="5" t="s">
        <v>19</v>
      </c>
      <c r="W1982" s="5"/>
      <c r="X1982" s="5"/>
      <c r="Y1982" s="5"/>
      <c r="Z1982" s="5"/>
      <c r="AA1982" s="5"/>
      <c r="AB1982" s="5"/>
      <c r="AC1982" s="5"/>
      <c r="AD1982" s="5"/>
      <c r="AE1982" s="5"/>
      <c r="AF1982" s="5"/>
      <c r="AG1982" s="5"/>
      <c r="AH1982" s="5"/>
      <c r="AI1982" s="5"/>
      <c r="AJ1982" s="5"/>
      <c r="AK1982" s="5"/>
    </row>
    <row r="1983" spans="1:37" x14ac:dyDescent="0.25">
      <c r="A1983" s="11">
        <f>Table1[[#This Row],[Milk Yield]]-J1979</f>
        <v>-78</v>
      </c>
      <c r="B1983" t="s">
        <v>24</v>
      </c>
      <c r="C1983" s="2">
        <v>1</v>
      </c>
      <c r="D1983" s="12">
        <v>46006</v>
      </c>
      <c r="E1983" s="2">
        <v>30</v>
      </c>
      <c r="F1983" s="18">
        <v>0.33269675925925923</v>
      </c>
      <c r="G1983" s="3">
        <v>0.49364583333333334</v>
      </c>
      <c r="H1983" s="17">
        <v>0.16041666666666668</v>
      </c>
      <c r="I1983" s="5">
        <v>669</v>
      </c>
      <c r="J1983">
        <v>7981</v>
      </c>
      <c r="K1983">
        <v>173</v>
      </c>
      <c r="L1983" s="5">
        <v>107</v>
      </c>
      <c r="M1983" s="5">
        <v>669</v>
      </c>
      <c r="N1983">
        <v>11</v>
      </c>
      <c r="O1983">
        <v>658</v>
      </c>
      <c r="P1983" s="1">
        <v>0.21597222222222223</v>
      </c>
      <c r="Q1983" s="5">
        <v>2066</v>
      </c>
      <c r="R1983" s="14">
        <v>12</v>
      </c>
      <c r="S1983">
        <v>173</v>
      </c>
      <c r="T1983" s="5">
        <v>11</v>
      </c>
      <c r="U1983" s="5">
        <v>659</v>
      </c>
      <c r="V1983" s="5">
        <v>1</v>
      </c>
      <c r="W1983" s="5"/>
      <c r="X1983" s="5"/>
      <c r="Y1983" s="5"/>
      <c r="Z1983" s="5"/>
      <c r="AA1983" s="5"/>
      <c r="AB1983" s="5"/>
      <c r="AC1983" s="5"/>
      <c r="AD1983" s="5"/>
      <c r="AE1983" s="5"/>
      <c r="AF1983" s="5"/>
      <c r="AG1983" s="5"/>
      <c r="AH1983" s="5"/>
      <c r="AI1983" s="5"/>
      <c r="AJ1983" s="5"/>
      <c r="AK1983" s="5"/>
    </row>
    <row r="1984" spans="1:37" x14ac:dyDescent="0.25">
      <c r="A1984" s="11">
        <f>Table1[[#This Row],[Milk Yield]]-J1980</f>
        <v>343</v>
      </c>
      <c r="B1984" t="s">
        <v>24</v>
      </c>
      <c r="C1984" s="2">
        <v>2</v>
      </c>
      <c r="D1984" s="12">
        <v>46006</v>
      </c>
      <c r="E1984" s="2">
        <v>34</v>
      </c>
      <c r="F1984" s="18">
        <v>0.66737268518518522</v>
      </c>
      <c r="G1984" s="3">
        <v>0.84259259259259256</v>
      </c>
      <c r="H1984" s="17">
        <v>0.17499999999999999</v>
      </c>
      <c r="I1984" s="5">
        <v>677</v>
      </c>
      <c r="J1984">
        <v>7904</v>
      </c>
      <c r="K1984">
        <v>161</v>
      </c>
      <c r="L1984" s="5">
        <v>108</v>
      </c>
      <c r="M1984" s="5">
        <v>676</v>
      </c>
      <c r="N1984">
        <v>10</v>
      </c>
      <c r="O1984">
        <v>666</v>
      </c>
      <c r="P1984" s="1">
        <v>0.22222222222222221</v>
      </c>
      <c r="Q1984" s="5">
        <v>1880</v>
      </c>
      <c r="R1984" s="14">
        <v>11.7</v>
      </c>
      <c r="S1984">
        <v>161</v>
      </c>
      <c r="T1984" s="5">
        <v>10</v>
      </c>
      <c r="U1984" s="5">
        <v>667</v>
      </c>
      <c r="V1984" s="5">
        <v>1</v>
      </c>
      <c r="W1984" s="5"/>
      <c r="X1984" s="5"/>
      <c r="Y1984" s="5"/>
      <c r="Z1984" s="5"/>
      <c r="AA1984" s="5"/>
      <c r="AB1984" s="5"/>
      <c r="AC1984" s="5"/>
      <c r="AD1984" s="5"/>
      <c r="AE1984" s="5"/>
      <c r="AF1984" s="5"/>
      <c r="AG1984" s="5"/>
      <c r="AH1984" s="5"/>
      <c r="AI1984" s="5"/>
      <c r="AJ1984" s="5"/>
      <c r="AK1984" s="5"/>
    </row>
    <row r="1985" spans="1:37" x14ac:dyDescent="0.25">
      <c r="A1985" s="11">
        <f>Table1[[#This Row],[Milk Yield]]-J1981</f>
        <v>-324</v>
      </c>
      <c r="B1985" t="s">
        <v>24</v>
      </c>
      <c r="C1985" s="2">
        <v>3</v>
      </c>
      <c r="D1985" s="12">
        <v>46006</v>
      </c>
      <c r="E1985" s="2">
        <v>29</v>
      </c>
      <c r="F1985" s="18">
        <v>1.4467592592592592E-3</v>
      </c>
      <c r="G1985" s="3">
        <v>0.16706018518518517</v>
      </c>
      <c r="H1985" s="17">
        <v>0.16527777777777777</v>
      </c>
      <c r="I1985" s="5">
        <v>671</v>
      </c>
      <c r="J1985">
        <v>7257</v>
      </c>
      <c r="K1985">
        <v>169</v>
      </c>
      <c r="L1985" s="5">
        <v>191</v>
      </c>
      <c r="M1985" s="5">
        <v>671</v>
      </c>
      <c r="N1985">
        <v>18</v>
      </c>
      <c r="O1985">
        <v>653</v>
      </c>
      <c r="P1985" s="1">
        <v>0.21180555555555555</v>
      </c>
      <c r="Q1985" s="5">
        <v>1826</v>
      </c>
      <c r="R1985" s="14">
        <v>10.9</v>
      </c>
      <c r="S1985">
        <v>169</v>
      </c>
      <c r="T1985" s="5">
        <v>18</v>
      </c>
      <c r="U1985" s="5">
        <v>654</v>
      </c>
      <c r="V1985" s="5">
        <v>1</v>
      </c>
      <c r="W1985" s="5"/>
      <c r="X1985" s="5"/>
      <c r="Y1985" s="5"/>
      <c r="Z1985" s="5"/>
      <c r="AA1985" s="5"/>
      <c r="AB1985" s="5"/>
      <c r="AC1985" s="5"/>
      <c r="AD1985" s="5"/>
      <c r="AE1985" s="5"/>
      <c r="AF1985" s="5"/>
      <c r="AG1985" s="5"/>
      <c r="AH1985" s="5"/>
      <c r="AI1985" s="5"/>
      <c r="AJ1985" s="5"/>
      <c r="AK1985" s="5"/>
    </row>
    <row r="1986" spans="1:37" x14ac:dyDescent="0.25">
      <c r="A1986" s="11" t="e">
        <f>Table1[[#This Row],[Milk Yield]]-J1982</f>
        <v>#VALUE!</v>
      </c>
      <c r="B1986" t="s">
        <v>0</v>
      </c>
      <c r="C1986" s="2" t="s">
        <v>1</v>
      </c>
      <c r="D1986" s="12" t="s">
        <v>2</v>
      </c>
      <c r="E1986" s="2" t="s">
        <v>3</v>
      </c>
      <c r="F1986" s="18" t="s">
        <v>4</v>
      </c>
      <c r="G1986" s="3" t="s">
        <v>5</v>
      </c>
      <c r="H1986" s="17" t="s">
        <v>6</v>
      </c>
      <c r="I1986" s="5" t="s">
        <v>8</v>
      </c>
      <c r="J1986" t="s">
        <v>9</v>
      </c>
      <c r="K1986" t="s">
        <v>10</v>
      </c>
      <c r="L1986" s="5" t="s">
        <v>11</v>
      </c>
      <c r="M1986" s="5" t="s">
        <v>12</v>
      </c>
      <c r="N1986" t="s">
        <v>13</v>
      </c>
      <c r="O1986" t="s">
        <v>20</v>
      </c>
      <c r="P1986" s="1" t="s">
        <v>7</v>
      </c>
      <c r="Q1986" s="5" t="s">
        <v>15</v>
      </c>
      <c r="R1986" s="14" t="s">
        <v>18</v>
      </c>
      <c r="S1986" t="s">
        <v>16</v>
      </c>
      <c r="T1986" s="5" t="s">
        <v>14</v>
      </c>
      <c r="U1986" s="5" t="s">
        <v>17</v>
      </c>
      <c r="V1986" s="5" t="s">
        <v>19</v>
      </c>
      <c r="W1986" s="5"/>
      <c r="X1986" s="5"/>
      <c r="Y1986" s="5"/>
      <c r="Z1986" s="5"/>
      <c r="AA1986" s="5"/>
      <c r="AB1986" s="5"/>
      <c r="AC1986" s="5"/>
      <c r="AD1986" s="5"/>
      <c r="AE1986" s="5"/>
      <c r="AF1986" s="5"/>
      <c r="AG1986" s="5"/>
      <c r="AH1986" s="5"/>
      <c r="AI1986" s="5"/>
      <c r="AJ1986" s="5"/>
      <c r="AK1986" s="5"/>
    </row>
    <row r="1987" spans="1:37" x14ac:dyDescent="0.25">
      <c r="A1987" s="11">
        <f>Table1[[#This Row],[Milk Yield]]-J1983</f>
        <v>191</v>
      </c>
      <c r="B1987" t="s">
        <v>24</v>
      </c>
      <c r="C1987" s="2">
        <v>1</v>
      </c>
      <c r="D1987" s="12">
        <v>46007</v>
      </c>
      <c r="E1987" s="2">
        <v>30</v>
      </c>
      <c r="F1987" s="18">
        <v>0.33688657407407407</v>
      </c>
      <c r="G1987" s="3">
        <v>0.50517361111111114</v>
      </c>
      <c r="H1987" s="17">
        <v>0.16805555555555557</v>
      </c>
      <c r="I1987" s="5">
        <v>673</v>
      </c>
      <c r="J1987">
        <v>8172</v>
      </c>
      <c r="K1987">
        <v>167</v>
      </c>
      <c r="L1987" s="5">
        <v>171</v>
      </c>
      <c r="M1987" s="5">
        <v>672</v>
      </c>
      <c r="N1987">
        <v>19</v>
      </c>
      <c r="O1987">
        <v>653</v>
      </c>
      <c r="P1987" s="1">
        <v>0.22430555555555556</v>
      </c>
      <c r="Q1987" s="5">
        <v>2023</v>
      </c>
      <c r="R1987" s="14">
        <v>12.2</v>
      </c>
      <c r="S1987">
        <v>166</v>
      </c>
      <c r="T1987" s="5">
        <v>19</v>
      </c>
      <c r="U1987" s="5">
        <v>654</v>
      </c>
      <c r="V1987" s="5">
        <v>1</v>
      </c>
      <c r="W1987" s="5"/>
      <c r="X1987" s="5"/>
      <c r="Y1987" s="5"/>
      <c r="Z1987" s="5"/>
      <c r="AA1987" s="5"/>
      <c r="AB1987" s="5"/>
      <c r="AC1987" s="5"/>
      <c r="AD1987" s="5"/>
      <c r="AE1987" s="5"/>
      <c r="AF1987" s="5"/>
      <c r="AG1987" s="5"/>
      <c r="AH1987" s="5"/>
      <c r="AI1987" s="5"/>
      <c r="AJ1987" s="5"/>
      <c r="AK1987" s="5"/>
    </row>
    <row r="1988" spans="1:37" x14ac:dyDescent="0.25">
      <c r="A1988" s="11">
        <f>Table1[[#This Row],[Milk Yield]]-J1984</f>
        <v>-91</v>
      </c>
      <c r="B1988" t="s">
        <v>24</v>
      </c>
      <c r="C1988" s="2">
        <v>2</v>
      </c>
      <c r="D1988" s="12">
        <v>46007</v>
      </c>
      <c r="E1988" s="2">
        <v>35</v>
      </c>
      <c r="F1988" s="18">
        <v>0.66357638888888892</v>
      </c>
      <c r="G1988" s="3">
        <v>0.8425231481481481</v>
      </c>
      <c r="H1988" s="17">
        <v>0.17847222222222223</v>
      </c>
      <c r="I1988" s="5">
        <v>679</v>
      </c>
      <c r="J1988">
        <v>7813</v>
      </c>
      <c r="K1988">
        <v>158</v>
      </c>
      <c r="L1988" s="5">
        <v>173</v>
      </c>
      <c r="M1988" s="5">
        <v>679</v>
      </c>
      <c r="N1988">
        <v>17</v>
      </c>
      <c r="O1988">
        <v>662</v>
      </c>
      <c r="P1988" s="1">
        <v>0.21944444444444444</v>
      </c>
      <c r="Q1988" s="5">
        <v>1819</v>
      </c>
      <c r="R1988" s="14">
        <v>11.6</v>
      </c>
      <c r="S1988">
        <v>158</v>
      </c>
      <c r="T1988" s="5">
        <v>17</v>
      </c>
      <c r="U1988" s="5">
        <v>663</v>
      </c>
      <c r="V1988" s="5">
        <v>1</v>
      </c>
      <c r="W1988" s="5"/>
      <c r="X1988" s="5"/>
      <c r="Y1988" s="5"/>
      <c r="Z1988" s="5"/>
      <c r="AA1988" s="5"/>
      <c r="AB1988" s="5"/>
      <c r="AC1988" s="5"/>
      <c r="AD1988" s="5"/>
      <c r="AE1988" s="5"/>
      <c r="AF1988" s="5"/>
      <c r="AG1988" s="5"/>
      <c r="AH1988" s="5"/>
      <c r="AI1988" s="5"/>
      <c r="AJ1988" s="5"/>
      <c r="AK1988" s="5"/>
    </row>
    <row r="1989" spans="1:37" x14ac:dyDescent="0.25">
      <c r="A1989" s="11">
        <f>Table1[[#This Row],[Milk Yield]]-J1985</f>
        <v>189</v>
      </c>
      <c r="B1989" t="s">
        <v>24</v>
      </c>
      <c r="C1989" s="2">
        <v>3</v>
      </c>
      <c r="D1989" s="12">
        <v>46007</v>
      </c>
      <c r="E1989" s="2">
        <v>30</v>
      </c>
      <c r="F1989" s="18">
        <v>3.8194444444444446E-4</v>
      </c>
      <c r="G1989" s="3">
        <v>0.15888888888888889</v>
      </c>
      <c r="H1989" s="17">
        <v>0.15833333333333333</v>
      </c>
      <c r="I1989" s="5">
        <v>675</v>
      </c>
      <c r="J1989">
        <v>7446</v>
      </c>
      <c r="K1989">
        <v>177</v>
      </c>
      <c r="L1989" s="5">
        <v>94</v>
      </c>
      <c r="M1989" s="5">
        <v>675</v>
      </c>
      <c r="N1989">
        <v>8</v>
      </c>
      <c r="O1989">
        <v>667</v>
      </c>
      <c r="P1989" s="1">
        <v>0.21041666666666667</v>
      </c>
      <c r="Q1989" s="5">
        <v>1957</v>
      </c>
      <c r="R1989" s="14">
        <v>11.1</v>
      </c>
      <c r="S1989">
        <v>177</v>
      </c>
      <c r="T1989" s="5">
        <v>8</v>
      </c>
      <c r="U1989" s="5">
        <v>668</v>
      </c>
      <c r="V1989" s="5">
        <v>1</v>
      </c>
      <c r="W1989" s="5"/>
      <c r="X1989" s="5"/>
      <c r="Y1989" s="5"/>
      <c r="Z1989" s="5"/>
      <c r="AA1989" s="5"/>
      <c r="AB1989" s="5"/>
      <c r="AC1989" s="5"/>
      <c r="AD1989" s="5"/>
      <c r="AE1989" s="5"/>
      <c r="AF1989" s="5"/>
      <c r="AG1989" s="5"/>
      <c r="AH1989" s="5"/>
      <c r="AI1989" s="5"/>
      <c r="AJ1989" s="5"/>
      <c r="AK1989" s="5"/>
    </row>
    <row r="1990" spans="1:37" x14ac:dyDescent="0.25">
      <c r="A1990" s="11" t="e">
        <f>Table1[[#This Row],[Milk Yield]]-J1986</f>
        <v>#VALUE!</v>
      </c>
      <c r="B1990" t="s">
        <v>0</v>
      </c>
      <c r="C1990" s="2" t="s">
        <v>1</v>
      </c>
      <c r="D1990" s="12" t="s">
        <v>2</v>
      </c>
      <c r="E1990" s="2" t="s">
        <v>3</v>
      </c>
      <c r="F1990" s="18" t="s">
        <v>4</v>
      </c>
      <c r="G1990" s="3" t="s">
        <v>5</v>
      </c>
      <c r="H1990" s="17" t="s">
        <v>6</v>
      </c>
      <c r="I1990" s="5" t="s">
        <v>8</v>
      </c>
      <c r="J1990" t="s">
        <v>9</v>
      </c>
      <c r="K1990" t="s">
        <v>10</v>
      </c>
      <c r="L1990" s="5" t="s">
        <v>11</v>
      </c>
      <c r="M1990" s="5" t="s">
        <v>12</v>
      </c>
      <c r="N1990" t="s">
        <v>13</v>
      </c>
      <c r="O1990" t="s">
        <v>20</v>
      </c>
      <c r="P1990" s="1" t="s">
        <v>7</v>
      </c>
      <c r="Q1990" s="5" t="s">
        <v>15</v>
      </c>
      <c r="R1990" s="14" t="s">
        <v>18</v>
      </c>
      <c r="S1990" t="s">
        <v>16</v>
      </c>
      <c r="T1990" s="5" t="s">
        <v>14</v>
      </c>
      <c r="U1990" s="5" t="s">
        <v>17</v>
      </c>
      <c r="V1990" s="5" t="s">
        <v>19</v>
      </c>
      <c r="W1990" s="5"/>
      <c r="X1990" s="5"/>
      <c r="Y1990" s="5"/>
      <c r="Z1990" s="5"/>
      <c r="AA1990" s="5"/>
      <c r="AB1990" s="5"/>
      <c r="AC1990" s="5"/>
      <c r="AD1990" s="5"/>
      <c r="AE1990" s="5"/>
      <c r="AF1990" s="5"/>
      <c r="AG1990" s="5"/>
      <c r="AH1990" s="5"/>
      <c r="AI1990" s="5"/>
      <c r="AJ1990" s="5"/>
      <c r="AK1990" s="5"/>
    </row>
    <row r="1991" spans="1:37" x14ac:dyDescent="0.25">
      <c r="A1991" s="11">
        <f>Table1[[#This Row],[Milk Yield]]-J1987</f>
        <v>-46</v>
      </c>
      <c r="B1991" t="s">
        <v>24</v>
      </c>
      <c r="C1991" s="2">
        <v>1</v>
      </c>
      <c r="D1991" s="12">
        <v>46008</v>
      </c>
      <c r="E1991" s="2">
        <v>31</v>
      </c>
      <c r="F1991" s="18">
        <v>0.33531250000000001</v>
      </c>
      <c r="G1991" s="3">
        <v>0.51303240740740741</v>
      </c>
      <c r="H1991" s="17">
        <v>0.17708333333333334</v>
      </c>
      <c r="I1991" s="5">
        <v>678</v>
      </c>
      <c r="J1991">
        <v>8126</v>
      </c>
      <c r="K1991">
        <v>159</v>
      </c>
      <c r="L1991" s="5">
        <v>167</v>
      </c>
      <c r="M1991" s="5">
        <v>676</v>
      </c>
      <c r="N1991">
        <v>15</v>
      </c>
      <c r="O1991">
        <v>661</v>
      </c>
      <c r="P1991" s="1">
        <v>0.22361111111111112</v>
      </c>
      <c r="Q1991" s="5">
        <v>1905</v>
      </c>
      <c r="R1991" s="14">
        <v>12.1</v>
      </c>
      <c r="S1991">
        <v>158</v>
      </c>
      <c r="T1991" s="5">
        <v>15</v>
      </c>
      <c r="U1991" s="5">
        <v>662</v>
      </c>
      <c r="V1991" s="5">
        <v>1</v>
      </c>
      <c r="W1991" s="5"/>
      <c r="X1991" s="5"/>
      <c r="Y1991" s="5"/>
      <c r="Z1991" s="5"/>
      <c r="AA1991" s="5"/>
      <c r="AB1991" s="5"/>
      <c r="AC1991" s="5"/>
      <c r="AD1991" s="5"/>
      <c r="AE1991" s="5"/>
      <c r="AF1991" s="5"/>
      <c r="AG1991" s="5"/>
      <c r="AH1991" s="5"/>
      <c r="AI1991" s="5"/>
      <c r="AJ1991" s="5"/>
      <c r="AK1991" s="5"/>
    </row>
    <row r="1992" spans="1:37" x14ac:dyDescent="0.25">
      <c r="A1992" s="11">
        <f>Table1[[#This Row],[Milk Yield]]-J1988</f>
        <v>171</v>
      </c>
      <c r="B1992" t="s">
        <v>24</v>
      </c>
      <c r="C1992" s="2">
        <v>2</v>
      </c>
      <c r="D1992" s="12">
        <v>46008</v>
      </c>
      <c r="E1992" s="2">
        <v>33</v>
      </c>
      <c r="F1992" s="18">
        <v>0.66686342592592596</v>
      </c>
      <c r="G1992" s="3">
        <v>0.85253472222222226</v>
      </c>
      <c r="H1992" s="17">
        <v>0.18541666666666667</v>
      </c>
      <c r="I1992" s="5">
        <v>690</v>
      </c>
      <c r="J1992">
        <v>7984</v>
      </c>
      <c r="K1992">
        <v>155</v>
      </c>
      <c r="L1992" s="5">
        <v>235</v>
      </c>
      <c r="M1992" s="5">
        <v>685</v>
      </c>
      <c r="N1992">
        <v>27</v>
      </c>
      <c r="O1992">
        <v>658</v>
      </c>
      <c r="P1992" s="1">
        <v>0.21736111111111112</v>
      </c>
      <c r="Q1992" s="5">
        <v>1792</v>
      </c>
      <c r="R1992" s="14">
        <v>11.7</v>
      </c>
      <c r="S1992">
        <v>154</v>
      </c>
      <c r="T1992" s="5">
        <v>27</v>
      </c>
      <c r="U1992" s="5">
        <v>659</v>
      </c>
      <c r="V1992" s="5">
        <v>1</v>
      </c>
      <c r="W1992" s="5"/>
      <c r="X1992" s="5"/>
      <c r="Y1992" s="5"/>
      <c r="Z1992" s="5"/>
      <c r="AA1992" s="5"/>
      <c r="AB1992" s="5"/>
      <c r="AC1992" s="5"/>
      <c r="AD1992" s="5"/>
      <c r="AE1992" s="5"/>
      <c r="AF1992" s="5"/>
      <c r="AG1992" s="5"/>
      <c r="AH1992" s="5"/>
      <c r="AI1992" s="5"/>
      <c r="AJ1992" s="5"/>
      <c r="AK1992" s="5"/>
    </row>
    <row r="1993" spans="1:37" x14ac:dyDescent="0.25">
      <c r="A1993" s="11">
        <f>Table1[[#This Row],[Milk Yield]]-J1989</f>
        <v>-415</v>
      </c>
      <c r="B1993" t="s">
        <v>24</v>
      </c>
      <c r="C1993" s="2">
        <v>3</v>
      </c>
      <c r="D1993" s="12">
        <v>46008</v>
      </c>
      <c r="E1993" s="2">
        <v>30</v>
      </c>
      <c r="F1993" s="18">
        <v>0.99966435185185187</v>
      </c>
      <c r="G1993" s="3">
        <v>0.14853009259259259</v>
      </c>
      <c r="H1993" s="17">
        <v>0.14861111111111111</v>
      </c>
      <c r="I1993" s="5">
        <v>675</v>
      </c>
      <c r="J1993">
        <v>7031</v>
      </c>
      <c r="K1993">
        <v>189</v>
      </c>
      <c r="L1993" s="5">
        <v>136</v>
      </c>
      <c r="M1993" s="5">
        <v>672</v>
      </c>
      <c r="N1993">
        <v>13</v>
      </c>
      <c r="O1993">
        <v>659</v>
      </c>
      <c r="P1993" s="1">
        <v>0.2013888888888889</v>
      </c>
      <c r="Q1993" s="5">
        <v>1968</v>
      </c>
      <c r="R1993" s="14">
        <v>10.5</v>
      </c>
      <c r="S1993">
        <v>188</v>
      </c>
      <c r="T1993" s="5">
        <v>13</v>
      </c>
      <c r="U1993" s="5">
        <v>660</v>
      </c>
      <c r="V1993" s="5">
        <v>1</v>
      </c>
      <c r="W1993" s="5"/>
      <c r="X1993" s="5"/>
      <c r="Y1993" s="5"/>
      <c r="Z1993" s="5"/>
      <c r="AA1993" s="5"/>
      <c r="AB1993" s="5"/>
      <c r="AC1993" s="5"/>
      <c r="AD1993" s="5"/>
      <c r="AE1993" s="5"/>
      <c r="AF1993" s="5"/>
      <c r="AG1993" s="5"/>
      <c r="AH1993" s="5"/>
      <c r="AI1993" s="5"/>
      <c r="AJ1993" s="5"/>
      <c r="AK1993" s="5"/>
    </row>
    <row r="1994" spans="1:37" x14ac:dyDescent="0.25">
      <c r="A1994" s="11" t="e">
        <f>Table1[[#This Row],[Milk Yield]]-J1990</f>
        <v>#VALUE!</v>
      </c>
      <c r="B1994" t="s">
        <v>0</v>
      </c>
      <c r="C1994" s="2" t="s">
        <v>1</v>
      </c>
      <c r="D1994" s="12" t="s">
        <v>2</v>
      </c>
      <c r="E1994" s="2" t="s">
        <v>3</v>
      </c>
      <c r="F1994" s="18" t="s">
        <v>4</v>
      </c>
      <c r="G1994" s="3" t="s">
        <v>5</v>
      </c>
      <c r="H1994" s="17" t="s">
        <v>6</v>
      </c>
      <c r="I1994" s="5" t="s">
        <v>8</v>
      </c>
      <c r="J1994" t="s">
        <v>9</v>
      </c>
      <c r="K1994" t="s">
        <v>10</v>
      </c>
      <c r="L1994" s="5" t="s">
        <v>11</v>
      </c>
      <c r="M1994" s="5" t="s">
        <v>12</v>
      </c>
      <c r="N1994" t="s">
        <v>13</v>
      </c>
      <c r="O1994" t="s">
        <v>20</v>
      </c>
      <c r="P1994" s="1" t="s">
        <v>7</v>
      </c>
      <c r="Q1994" s="5" t="s">
        <v>15</v>
      </c>
      <c r="R1994" s="14" t="s">
        <v>18</v>
      </c>
      <c r="S1994" t="s">
        <v>16</v>
      </c>
      <c r="T1994" s="5" t="s">
        <v>14</v>
      </c>
      <c r="U1994" s="5" t="s">
        <v>17</v>
      </c>
      <c r="V1994" s="5" t="s">
        <v>19</v>
      </c>
      <c r="W1994" s="5"/>
      <c r="X1994" s="5"/>
      <c r="Y1994" s="5"/>
      <c r="Z1994" s="5"/>
      <c r="AA1994" s="5"/>
      <c r="AB1994" s="5"/>
      <c r="AC1994" s="5"/>
      <c r="AD1994" s="5"/>
      <c r="AE1994" s="5"/>
      <c r="AF1994" s="5"/>
      <c r="AG1994" s="5"/>
      <c r="AH1994" s="5"/>
      <c r="AI1994" s="5"/>
      <c r="AJ1994" s="5"/>
      <c r="AK1994" s="5"/>
    </row>
    <row r="1995" spans="1:37" x14ac:dyDescent="0.25">
      <c r="A1995" s="11">
        <f>Table1[[#This Row],[Milk Yield]]-J1991</f>
        <v>16</v>
      </c>
      <c r="B1995" t="s">
        <v>24</v>
      </c>
      <c r="C1995" s="2">
        <v>1</v>
      </c>
      <c r="D1995" s="12">
        <v>46009</v>
      </c>
      <c r="E1995" s="2">
        <v>35</v>
      </c>
      <c r="F1995" s="18">
        <v>0.33872685185185186</v>
      </c>
      <c r="G1995" s="3">
        <v>0.84630787037037036</v>
      </c>
      <c r="H1995" s="17">
        <v>0.50694444444444442</v>
      </c>
      <c r="I1995" s="5">
        <v>678</v>
      </c>
      <c r="J1995">
        <v>8142</v>
      </c>
      <c r="K1995">
        <v>107</v>
      </c>
      <c r="L1995" s="5">
        <v>272</v>
      </c>
      <c r="M1995" s="5">
        <v>673</v>
      </c>
      <c r="N1995">
        <v>33</v>
      </c>
      <c r="O1995" s="5">
        <v>1272</v>
      </c>
      <c r="P1995" s="1">
        <v>0.22708333333333333</v>
      </c>
      <c r="Q1995" s="5">
        <v>1252</v>
      </c>
      <c r="R1995" s="14">
        <v>11.7</v>
      </c>
      <c r="S1995">
        <v>107</v>
      </c>
      <c r="T1995" s="5">
        <v>33</v>
      </c>
      <c r="U1995" s="5">
        <v>1273</v>
      </c>
      <c r="V1995" s="5">
        <v>1</v>
      </c>
      <c r="W1995" s="5"/>
      <c r="X1995" s="5"/>
      <c r="Y1995" s="5"/>
      <c r="Z1995" s="5"/>
      <c r="AA1995" s="5"/>
      <c r="AB1995" s="5"/>
      <c r="AC1995" s="5"/>
      <c r="AD1995" s="5"/>
      <c r="AE1995" s="5"/>
      <c r="AF1995" s="5"/>
      <c r="AG1995" s="5"/>
      <c r="AH1995" s="5"/>
      <c r="AI1995" s="5"/>
      <c r="AJ1995" s="5"/>
      <c r="AK1995" s="5"/>
    </row>
    <row r="1996" spans="1:37" x14ac:dyDescent="0.25">
      <c r="A1996" s="11">
        <f>Table1[[#This Row],[Milk Yield]]-J1992</f>
        <v>-32</v>
      </c>
      <c r="B1996" t="s">
        <v>24</v>
      </c>
      <c r="C1996" s="2">
        <v>2</v>
      </c>
      <c r="D1996" s="12">
        <v>46009</v>
      </c>
      <c r="E1996" s="2">
        <v>1</v>
      </c>
      <c r="F1996" s="18">
        <v>0.85920138888888886</v>
      </c>
      <c r="G1996" s="3">
        <v>0.86011574074074071</v>
      </c>
      <c r="H1996" s="17">
        <v>6.9444444444444447E-4</v>
      </c>
      <c r="I1996" s="5">
        <v>675</v>
      </c>
      <c r="J1996">
        <v>7952</v>
      </c>
      <c r="K1996">
        <v>90</v>
      </c>
      <c r="L1996" s="5">
        <v>9</v>
      </c>
      <c r="M1996" s="5">
        <v>675</v>
      </c>
      <c r="N1996">
        <v>1</v>
      </c>
      <c r="O1996">
        <v>0</v>
      </c>
      <c r="P1996" s="1">
        <v>5.5555555555555552E-2</v>
      </c>
      <c r="Q1996" s="5">
        <v>408</v>
      </c>
      <c r="R1996" s="14">
        <v>11.7</v>
      </c>
      <c r="S1996">
        <v>45</v>
      </c>
      <c r="T1996" s="5">
        <v>1</v>
      </c>
      <c r="U1996" s="5">
        <v>0</v>
      </c>
      <c r="V1996" s="5">
        <v>0</v>
      </c>
      <c r="W1996" s="5"/>
      <c r="X1996" s="5"/>
      <c r="Y1996" s="5"/>
      <c r="Z1996" s="5"/>
      <c r="AA1996" s="5"/>
      <c r="AB1996" s="5"/>
      <c r="AC1996" s="5"/>
      <c r="AD1996" s="5"/>
      <c r="AE1996" s="5"/>
      <c r="AF1996" s="5"/>
      <c r="AG1996" s="5"/>
      <c r="AH1996" s="5"/>
      <c r="AI1996" s="5"/>
      <c r="AJ1996" s="5"/>
      <c r="AK1996" s="5"/>
    </row>
    <row r="1997" spans="1:37" x14ac:dyDescent="0.25">
      <c r="A1997" s="11">
        <f>Table1[[#This Row],[Milk Yield]]-J1993</f>
        <v>138</v>
      </c>
      <c r="B1997" t="s">
        <v>24</v>
      </c>
      <c r="C1997" s="2">
        <v>3</v>
      </c>
      <c r="D1997" s="12">
        <v>46009</v>
      </c>
      <c r="E1997" s="2">
        <v>26</v>
      </c>
      <c r="F1997" s="18">
        <v>1.4930555555555556E-3</v>
      </c>
      <c r="G1997" s="3">
        <v>0.15697916666666667</v>
      </c>
      <c r="H1997" s="17">
        <v>0.15486111111111112</v>
      </c>
      <c r="I1997" s="5">
        <v>673</v>
      </c>
      <c r="J1997">
        <v>7169</v>
      </c>
      <c r="K1997">
        <v>180</v>
      </c>
      <c r="L1997" s="5">
        <v>37</v>
      </c>
      <c r="M1997" s="5">
        <v>672</v>
      </c>
      <c r="N1997">
        <v>4</v>
      </c>
      <c r="O1997">
        <v>668</v>
      </c>
      <c r="P1997" s="1">
        <v>0.21527777777777779</v>
      </c>
      <c r="Q1997" s="5">
        <v>2146</v>
      </c>
      <c r="R1997" s="14">
        <v>10.6</v>
      </c>
      <c r="S1997">
        <v>180</v>
      </c>
      <c r="T1997" s="5">
        <v>4</v>
      </c>
      <c r="U1997" s="5">
        <v>668</v>
      </c>
      <c r="V1997" s="5">
        <v>0</v>
      </c>
      <c r="W1997" s="5"/>
      <c r="X1997" s="5"/>
      <c r="Y1997" s="5"/>
      <c r="Z1997" s="5"/>
      <c r="AA1997" s="5"/>
      <c r="AB1997" s="5"/>
      <c r="AC1997" s="5"/>
      <c r="AD1997" s="5"/>
      <c r="AE1997" s="5"/>
      <c r="AF1997" s="5"/>
      <c r="AG1997" s="5"/>
      <c r="AH1997" s="5"/>
      <c r="AI1997" s="5"/>
      <c r="AJ1997" s="5"/>
      <c r="AK1997" s="5"/>
    </row>
    <row r="1998" spans="1:37" x14ac:dyDescent="0.25">
      <c r="A1998" s="11" t="e">
        <f>Table1[[#This Row],[Milk Yield]]-J1994</f>
        <v>#VALUE!</v>
      </c>
      <c r="B1998" t="s">
        <v>0</v>
      </c>
      <c r="C1998" s="2" t="s">
        <v>1</v>
      </c>
      <c r="D1998" s="12" t="s">
        <v>2</v>
      </c>
      <c r="E1998" s="2" t="s">
        <v>3</v>
      </c>
      <c r="F1998" s="18" t="s">
        <v>4</v>
      </c>
      <c r="G1998" s="3" t="s">
        <v>5</v>
      </c>
      <c r="H1998" s="17" t="s">
        <v>6</v>
      </c>
      <c r="I1998" s="5" t="s">
        <v>8</v>
      </c>
      <c r="J1998" t="s">
        <v>9</v>
      </c>
      <c r="K1998" t="s">
        <v>10</v>
      </c>
      <c r="L1998" s="5" t="s">
        <v>11</v>
      </c>
      <c r="M1998" s="5" t="s">
        <v>12</v>
      </c>
      <c r="N1998" t="s">
        <v>13</v>
      </c>
      <c r="O1998" t="s">
        <v>20</v>
      </c>
      <c r="P1998" s="1" t="s">
        <v>7</v>
      </c>
      <c r="Q1998" s="5" t="s">
        <v>15</v>
      </c>
      <c r="R1998" s="14" t="s">
        <v>18</v>
      </c>
      <c r="S1998" t="s">
        <v>16</v>
      </c>
      <c r="T1998" s="5" t="s">
        <v>14</v>
      </c>
      <c r="U1998" s="5" t="s">
        <v>17</v>
      </c>
      <c r="V1998" s="5" t="s">
        <v>19</v>
      </c>
      <c r="W1998" s="5"/>
      <c r="X1998" s="5"/>
      <c r="Y1998" s="5"/>
      <c r="Z1998" s="5"/>
      <c r="AA1998" s="5"/>
      <c r="AB1998" s="5"/>
      <c r="AC1998" s="5"/>
      <c r="AD1998" s="5"/>
      <c r="AE1998" s="5"/>
      <c r="AF1998" s="5"/>
      <c r="AG1998" s="5"/>
      <c r="AH1998" s="5"/>
      <c r="AI1998" s="5"/>
      <c r="AJ1998" s="5"/>
      <c r="AK1998" s="5"/>
    </row>
    <row r="1999" spans="1:37" x14ac:dyDescent="0.25">
      <c r="A1999" s="11">
        <f>Table1[[#This Row],[Milk Yield]]-J1995</f>
        <v>-272</v>
      </c>
      <c r="B1999" t="s">
        <v>24</v>
      </c>
      <c r="C1999" s="2">
        <v>1</v>
      </c>
      <c r="D1999" s="12">
        <v>46010</v>
      </c>
      <c r="E1999" s="2">
        <v>32</v>
      </c>
      <c r="F1999" s="18">
        <v>0.33346064814814813</v>
      </c>
      <c r="G1999" s="3">
        <v>0.51854166666666668</v>
      </c>
      <c r="H1999" s="17">
        <v>0.18472222222222223</v>
      </c>
      <c r="I1999" s="5">
        <v>673</v>
      </c>
      <c r="J1999">
        <v>7870</v>
      </c>
      <c r="K1999">
        <v>152</v>
      </c>
      <c r="L1999" s="5">
        <v>78</v>
      </c>
      <c r="M1999" s="5">
        <v>673</v>
      </c>
      <c r="N1999">
        <v>6</v>
      </c>
      <c r="O1999">
        <v>667</v>
      </c>
      <c r="P1999" s="1">
        <v>0.22638888888888889</v>
      </c>
      <c r="Q1999" s="5">
        <v>1772</v>
      </c>
      <c r="R1999" s="14">
        <v>11.7</v>
      </c>
      <c r="S1999">
        <v>152</v>
      </c>
      <c r="T1999" s="5">
        <v>6</v>
      </c>
      <c r="U1999" s="5">
        <v>667</v>
      </c>
      <c r="V1999" s="5">
        <v>0</v>
      </c>
      <c r="W1999" s="5"/>
      <c r="X1999" s="5"/>
      <c r="Y1999" s="5"/>
      <c r="Z1999" s="5"/>
      <c r="AA1999" s="5"/>
      <c r="AB1999" s="5"/>
      <c r="AC1999" s="5"/>
      <c r="AD1999" s="5"/>
      <c r="AE1999" s="5"/>
      <c r="AF1999" s="5"/>
      <c r="AG1999" s="5"/>
      <c r="AH1999" s="5"/>
      <c r="AI1999" s="5"/>
      <c r="AJ1999" s="5"/>
      <c r="AK1999" s="5"/>
    </row>
    <row r="2000" spans="1:37" x14ac:dyDescent="0.25">
      <c r="A2000" s="11">
        <f>Table1[[#This Row],[Milk Yield]]-J1996</f>
        <v>-389</v>
      </c>
      <c r="B2000" t="s">
        <v>24</v>
      </c>
      <c r="C2000" s="2">
        <v>2</v>
      </c>
      <c r="D2000" s="12">
        <v>46010</v>
      </c>
      <c r="E2000" s="2">
        <v>33</v>
      </c>
      <c r="F2000" s="18">
        <v>0.66648148148148145</v>
      </c>
      <c r="G2000" s="3">
        <v>0.85174768518518518</v>
      </c>
      <c r="H2000" s="17">
        <v>0.18472222222222223</v>
      </c>
      <c r="I2000" s="5">
        <v>669</v>
      </c>
      <c r="J2000">
        <v>7563</v>
      </c>
      <c r="K2000">
        <v>150</v>
      </c>
      <c r="L2000" s="5">
        <v>65</v>
      </c>
      <c r="M2000" s="5">
        <v>668</v>
      </c>
      <c r="N2000">
        <v>7</v>
      </c>
      <c r="O2000">
        <v>661</v>
      </c>
      <c r="P2000" s="1">
        <v>0.22291666666666668</v>
      </c>
      <c r="Q2000" s="5">
        <v>1701</v>
      </c>
      <c r="R2000" s="14">
        <v>11.4</v>
      </c>
      <c r="S2000">
        <v>150</v>
      </c>
      <c r="T2000" s="5">
        <v>7</v>
      </c>
      <c r="U2000" s="5">
        <v>662</v>
      </c>
      <c r="V2000" s="5">
        <v>1</v>
      </c>
      <c r="W2000" s="5"/>
      <c r="X2000" s="5"/>
      <c r="Y2000" s="5"/>
      <c r="Z2000" s="5"/>
      <c r="AA2000" s="5"/>
      <c r="AB2000" s="5"/>
      <c r="AC2000" s="5"/>
      <c r="AD2000" s="5"/>
      <c r="AE2000" s="5"/>
      <c r="AF2000" s="5"/>
      <c r="AG2000" s="5"/>
      <c r="AH2000" s="5"/>
      <c r="AI2000" s="5"/>
      <c r="AJ2000" s="5"/>
      <c r="AK2000" s="5"/>
    </row>
    <row r="2001" spans="1:37" x14ac:dyDescent="0.25">
      <c r="A2001" s="11">
        <f>Table1[[#This Row],[Milk Yield]]-J1997</f>
        <v>-43</v>
      </c>
      <c r="B2001" t="s">
        <v>24</v>
      </c>
      <c r="C2001" s="2">
        <v>3</v>
      </c>
      <c r="D2001" s="12">
        <v>46010</v>
      </c>
      <c r="E2001" s="2">
        <v>31</v>
      </c>
      <c r="F2001" s="18">
        <v>1.2037037037037038E-3</v>
      </c>
      <c r="G2001" s="3">
        <v>0.17394675925925926</v>
      </c>
      <c r="H2001" s="17">
        <v>0.17222222222222222</v>
      </c>
      <c r="I2001" s="5">
        <v>668</v>
      </c>
      <c r="J2001">
        <v>7126</v>
      </c>
      <c r="K2001">
        <v>161</v>
      </c>
      <c r="L2001" s="5">
        <v>58</v>
      </c>
      <c r="M2001" s="5">
        <v>668</v>
      </c>
      <c r="N2001">
        <v>5</v>
      </c>
      <c r="O2001">
        <v>663</v>
      </c>
      <c r="P2001" s="1">
        <v>0.21111111111111111</v>
      </c>
      <c r="Q2001" s="5">
        <v>1719</v>
      </c>
      <c r="R2001" s="14">
        <v>10.7</v>
      </c>
      <c r="S2001">
        <v>161</v>
      </c>
      <c r="T2001" s="5">
        <v>5</v>
      </c>
      <c r="U2001" s="5">
        <v>664</v>
      </c>
      <c r="V2001" s="5">
        <v>1</v>
      </c>
      <c r="W2001" s="5"/>
      <c r="X2001" s="5"/>
      <c r="Y2001" s="5"/>
      <c r="Z2001" s="5"/>
      <c r="AA2001" s="5"/>
      <c r="AB2001" s="5"/>
      <c r="AC2001" s="5"/>
      <c r="AD2001" s="5"/>
      <c r="AE2001" s="5"/>
      <c r="AF2001" s="5"/>
      <c r="AG2001" s="5"/>
      <c r="AH2001" s="5"/>
      <c r="AI2001" s="5"/>
      <c r="AJ2001" s="5"/>
      <c r="AK2001" s="5"/>
    </row>
    <row r="2002" spans="1:37" x14ac:dyDescent="0.25">
      <c r="A2002" s="11" t="e">
        <f>Table1[[#This Row],[Milk Yield]]-J1998</f>
        <v>#VALUE!</v>
      </c>
      <c r="B2002" t="s">
        <v>0</v>
      </c>
      <c r="C2002" s="2" t="s">
        <v>1</v>
      </c>
      <c r="D2002" s="12" t="s">
        <v>2</v>
      </c>
      <c r="E2002" s="2" t="s">
        <v>3</v>
      </c>
      <c r="F2002" s="18" t="s">
        <v>4</v>
      </c>
      <c r="G2002" s="3" t="s">
        <v>5</v>
      </c>
      <c r="H2002" s="17" t="s">
        <v>6</v>
      </c>
      <c r="I2002" s="5" t="s">
        <v>8</v>
      </c>
      <c r="J2002" t="s">
        <v>9</v>
      </c>
      <c r="K2002" t="s">
        <v>10</v>
      </c>
      <c r="L2002" s="5" t="s">
        <v>11</v>
      </c>
      <c r="M2002" s="5" t="s">
        <v>12</v>
      </c>
      <c r="N2002" t="s">
        <v>13</v>
      </c>
      <c r="O2002" t="s">
        <v>20</v>
      </c>
      <c r="P2002" s="1" t="s">
        <v>7</v>
      </c>
      <c r="Q2002" s="5" t="s">
        <v>15</v>
      </c>
      <c r="R2002" s="14" t="s">
        <v>18</v>
      </c>
      <c r="S2002" t="s">
        <v>16</v>
      </c>
      <c r="T2002" s="5" t="s">
        <v>14</v>
      </c>
      <c r="U2002" s="5" t="s">
        <v>17</v>
      </c>
      <c r="V2002" s="5" t="s">
        <v>19</v>
      </c>
      <c r="W2002" s="5"/>
      <c r="X2002" s="5"/>
      <c r="Y2002" s="5"/>
      <c r="Z2002" s="5"/>
      <c r="AA2002" s="5"/>
      <c r="AB2002" s="5"/>
      <c r="AC2002" s="5"/>
      <c r="AD2002" s="5"/>
      <c r="AE2002" s="5"/>
      <c r="AF2002" s="5"/>
      <c r="AG2002" s="5"/>
      <c r="AH2002" s="5"/>
      <c r="AI2002" s="5"/>
      <c r="AJ2002" s="5"/>
      <c r="AK2002" s="5"/>
    </row>
    <row r="2003" spans="1:37" x14ac:dyDescent="0.25">
      <c r="A2003" s="11">
        <f>Table1[[#This Row],[Milk Yield]]-J1999</f>
        <v>169</v>
      </c>
      <c r="B2003" t="s">
        <v>24</v>
      </c>
      <c r="C2003" s="2">
        <v>1</v>
      </c>
      <c r="D2003" s="12">
        <v>46011</v>
      </c>
      <c r="E2003" s="2">
        <v>30</v>
      </c>
      <c r="F2003" s="18">
        <v>0.33501157407407406</v>
      </c>
      <c r="G2003" s="3">
        <v>0.50878472222222226</v>
      </c>
      <c r="H2003" s="17">
        <v>0.1736111111111111</v>
      </c>
      <c r="I2003" s="5">
        <v>667</v>
      </c>
      <c r="J2003">
        <v>8039</v>
      </c>
      <c r="K2003">
        <v>160</v>
      </c>
      <c r="L2003" s="5">
        <v>33</v>
      </c>
      <c r="M2003" s="5">
        <v>666</v>
      </c>
      <c r="N2003">
        <v>3</v>
      </c>
      <c r="O2003">
        <v>663</v>
      </c>
      <c r="P2003" s="1">
        <v>0.22777777777777777</v>
      </c>
      <c r="Q2003" s="5">
        <v>1927</v>
      </c>
      <c r="R2003" s="14">
        <v>12.1</v>
      </c>
      <c r="S2003">
        <v>160</v>
      </c>
      <c r="T2003" s="5">
        <v>3</v>
      </c>
      <c r="U2003" s="5">
        <v>664</v>
      </c>
      <c r="V2003" s="5">
        <v>1</v>
      </c>
      <c r="W2003" s="5"/>
      <c r="X2003" s="5"/>
      <c r="Y2003" s="5"/>
      <c r="Z2003" s="5"/>
      <c r="AA2003" s="5"/>
      <c r="AB2003" s="5"/>
      <c r="AC2003" s="5"/>
      <c r="AD2003" s="5"/>
      <c r="AE2003" s="5"/>
      <c r="AF2003" s="5"/>
      <c r="AG2003" s="5"/>
      <c r="AH2003" s="5"/>
      <c r="AI2003" s="5"/>
      <c r="AJ2003" s="5"/>
      <c r="AK2003" s="5"/>
    </row>
    <row r="2004" spans="1:37" x14ac:dyDescent="0.25">
      <c r="A2004" s="11">
        <f>Table1[[#This Row],[Milk Yield]]-J2000</f>
        <v>226</v>
      </c>
      <c r="B2004" t="s">
        <v>24</v>
      </c>
      <c r="C2004" s="2">
        <v>2</v>
      </c>
      <c r="D2004" s="12">
        <v>46011</v>
      </c>
      <c r="E2004" s="2">
        <v>34</v>
      </c>
      <c r="F2004" s="18">
        <v>0.66881944444444441</v>
      </c>
      <c r="G2004" s="3">
        <v>0.86019675925925931</v>
      </c>
      <c r="H2004" s="17">
        <v>0.19097222222222221</v>
      </c>
      <c r="I2004" s="5">
        <v>668</v>
      </c>
      <c r="J2004">
        <v>7789</v>
      </c>
      <c r="K2004">
        <v>145</v>
      </c>
      <c r="L2004" s="5">
        <v>140</v>
      </c>
      <c r="M2004" s="5">
        <v>667</v>
      </c>
      <c r="N2004">
        <v>18</v>
      </c>
      <c r="O2004">
        <v>649</v>
      </c>
      <c r="P2004" s="1">
        <v>0.22847222222222222</v>
      </c>
      <c r="Q2004" s="5">
        <v>1696</v>
      </c>
      <c r="R2004" s="14">
        <v>11.7</v>
      </c>
      <c r="S2004">
        <v>145</v>
      </c>
      <c r="T2004" s="5">
        <v>18</v>
      </c>
      <c r="U2004" s="5">
        <v>650</v>
      </c>
      <c r="V2004" s="5">
        <v>1</v>
      </c>
      <c r="W2004" s="5"/>
      <c r="X2004" s="5"/>
      <c r="Y2004" s="5"/>
      <c r="Z2004" s="5"/>
      <c r="AA2004" s="5"/>
      <c r="AB2004" s="5"/>
      <c r="AC2004" s="5"/>
      <c r="AD2004" s="5"/>
      <c r="AE2004" s="5"/>
      <c r="AF2004" s="5"/>
      <c r="AG2004" s="5"/>
      <c r="AH2004" s="5"/>
      <c r="AI2004" s="5"/>
      <c r="AJ2004" s="5"/>
      <c r="AK2004" s="5"/>
    </row>
    <row r="2005" spans="1:37" x14ac:dyDescent="0.25">
      <c r="A2005" s="11">
        <f>Table1[[#This Row],[Milk Yield]]-J2001</f>
        <v>-284</v>
      </c>
      <c r="B2005" t="s">
        <v>24</v>
      </c>
      <c r="C2005" s="2">
        <v>3</v>
      </c>
      <c r="D2005" s="12">
        <v>46011</v>
      </c>
      <c r="E2005" s="2">
        <v>30</v>
      </c>
      <c r="F2005" s="18">
        <v>0.98881944444444447</v>
      </c>
      <c r="G2005" s="3">
        <v>0.15248842592592593</v>
      </c>
      <c r="H2005" s="17">
        <v>0.16319444444444445</v>
      </c>
      <c r="I2005" s="5">
        <v>662</v>
      </c>
      <c r="J2005">
        <v>6842</v>
      </c>
      <c r="K2005">
        <v>169</v>
      </c>
      <c r="L2005" s="5">
        <v>110</v>
      </c>
      <c r="M2005" s="5">
        <v>662</v>
      </c>
      <c r="N2005">
        <v>13</v>
      </c>
      <c r="O2005">
        <v>649</v>
      </c>
      <c r="P2005" s="1">
        <v>0.20624999999999999</v>
      </c>
      <c r="Q2005" s="5">
        <v>1742</v>
      </c>
      <c r="R2005" s="14">
        <v>10.4</v>
      </c>
      <c r="S2005">
        <v>169</v>
      </c>
      <c r="T2005" s="5">
        <v>13</v>
      </c>
      <c r="U2005" s="5">
        <v>650</v>
      </c>
      <c r="V2005" s="5">
        <v>1</v>
      </c>
      <c r="W2005" s="5"/>
      <c r="X2005" s="5"/>
      <c r="Y2005" s="5"/>
      <c r="Z2005" s="5"/>
      <c r="AA2005" s="5"/>
      <c r="AB2005" s="5"/>
      <c r="AC2005" s="5"/>
      <c r="AD2005" s="5"/>
      <c r="AE2005" s="5"/>
      <c r="AF2005" s="5"/>
      <c r="AG2005" s="5"/>
      <c r="AH2005" s="5"/>
      <c r="AI2005" s="5"/>
      <c r="AJ2005" s="5"/>
      <c r="AK2005" s="5"/>
    </row>
    <row r="2006" spans="1:37" x14ac:dyDescent="0.25">
      <c r="A2006" s="11" t="e">
        <f>Table1[[#This Row],[Milk Yield]]-J2002</f>
        <v>#VALUE!</v>
      </c>
      <c r="B2006" t="s">
        <v>0</v>
      </c>
      <c r="C2006" s="2" t="s">
        <v>1</v>
      </c>
      <c r="D2006" s="12" t="s">
        <v>2</v>
      </c>
      <c r="E2006" s="2" t="s">
        <v>3</v>
      </c>
      <c r="F2006" s="18" t="s">
        <v>4</v>
      </c>
      <c r="G2006" s="3" t="s">
        <v>5</v>
      </c>
      <c r="H2006" s="17" t="s">
        <v>6</v>
      </c>
      <c r="I2006" s="5" t="s">
        <v>8</v>
      </c>
      <c r="J2006" t="s">
        <v>9</v>
      </c>
      <c r="K2006" t="s">
        <v>10</v>
      </c>
      <c r="L2006" s="5" t="s">
        <v>11</v>
      </c>
      <c r="M2006" s="5" t="s">
        <v>12</v>
      </c>
      <c r="N2006" t="s">
        <v>13</v>
      </c>
      <c r="O2006" t="s">
        <v>20</v>
      </c>
      <c r="P2006" s="1" t="s">
        <v>7</v>
      </c>
      <c r="Q2006" s="5" t="s">
        <v>15</v>
      </c>
      <c r="R2006" s="14" t="s">
        <v>18</v>
      </c>
      <c r="S2006" t="s">
        <v>16</v>
      </c>
      <c r="T2006" s="5" t="s">
        <v>14</v>
      </c>
      <c r="U2006" s="5" t="s">
        <v>17</v>
      </c>
      <c r="V2006" s="5" t="s">
        <v>19</v>
      </c>
      <c r="W2006" s="5"/>
      <c r="X2006" s="5"/>
      <c r="Y2006" s="5"/>
      <c r="Z2006" s="5"/>
      <c r="AA2006" s="5"/>
      <c r="AB2006" s="5"/>
      <c r="AC2006" s="5"/>
      <c r="AD2006" s="5"/>
      <c r="AE2006" s="5"/>
      <c r="AF2006" s="5"/>
      <c r="AG2006" s="5"/>
      <c r="AH2006" s="5"/>
      <c r="AI2006" s="5"/>
      <c r="AJ2006" s="5"/>
      <c r="AK2006" s="5"/>
    </row>
    <row r="2007" spans="1:37" x14ac:dyDescent="0.25">
      <c r="A2007" s="11">
        <f>Table1[[#This Row],[Milk Yield]]-J2003</f>
        <v>61</v>
      </c>
      <c r="B2007" t="s">
        <v>24</v>
      </c>
      <c r="C2007" s="2">
        <v>1</v>
      </c>
      <c r="D2007" s="12">
        <v>46012</v>
      </c>
      <c r="E2007" s="2">
        <v>31</v>
      </c>
      <c r="F2007" s="18">
        <v>0.33649305555555553</v>
      </c>
      <c r="G2007" s="3">
        <v>0.50329861111111107</v>
      </c>
      <c r="H2007" s="17">
        <v>0.16666666666666666</v>
      </c>
      <c r="I2007" s="5">
        <v>663</v>
      </c>
      <c r="J2007">
        <v>8100</v>
      </c>
      <c r="K2007">
        <v>166</v>
      </c>
      <c r="L2007" s="5">
        <v>121</v>
      </c>
      <c r="M2007" s="5">
        <v>663</v>
      </c>
      <c r="N2007">
        <v>13</v>
      </c>
      <c r="O2007">
        <v>650</v>
      </c>
      <c r="P2007" s="1">
        <v>0.2298611111111111</v>
      </c>
      <c r="Q2007" s="5">
        <v>2023</v>
      </c>
      <c r="R2007" s="14">
        <v>12.3</v>
      </c>
      <c r="S2007">
        <v>166</v>
      </c>
      <c r="T2007" s="5">
        <v>13</v>
      </c>
      <c r="U2007" s="5">
        <v>651</v>
      </c>
      <c r="V2007" s="5">
        <v>1</v>
      </c>
      <c r="W2007" s="5"/>
      <c r="X2007" s="5"/>
      <c r="Y2007" s="5"/>
      <c r="Z2007" s="5"/>
      <c r="AA2007" s="5"/>
      <c r="AB2007" s="5"/>
      <c r="AC2007" s="5"/>
      <c r="AD2007" s="5"/>
      <c r="AE2007" s="5"/>
      <c r="AF2007" s="5"/>
      <c r="AG2007" s="5"/>
      <c r="AH2007" s="5"/>
      <c r="AI2007" s="5"/>
      <c r="AJ2007" s="5"/>
      <c r="AK2007" s="5"/>
    </row>
    <row r="2008" spans="1:37" x14ac:dyDescent="0.25">
      <c r="A2008" s="11">
        <f>Table1[[#This Row],[Milk Yield]]-J2004</f>
        <v>-9</v>
      </c>
      <c r="B2008" t="s">
        <v>24</v>
      </c>
      <c r="C2008" s="2">
        <v>2</v>
      </c>
      <c r="D2008" s="12">
        <v>46012</v>
      </c>
      <c r="E2008" s="2">
        <v>33</v>
      </c>
      <c r="F2008" s="18">
        <v>0.66273148148148153</v>
      </c>
      <c r="G2008" s="3">
        <v>0.85645833333333332</v>
      </c>
      <c r="H2008" s="17">
        <v>0.19305555555555556</v>
      </c>
      <c r="I2008" s="5">
        <v>666</v>
      </c>
      <c r="J2008">
        <v>7780</v>
      </c>
      <c r="K2008">
        <v>143</v>
      </c>
      <c r="L2008" s="5">
        <v>101</v>
      </c>
      <c r="M2008" s="5">
        <v>665</v>
      </c>
      <c r="N2008">
        <v>11</v>
      </c>
      <c r="O2008">
        <v>654</v>
      </c>
      <c r="P2008" s="1">
        <v>0.2326388888888889</v>
      </c>
      <c r="Q2008" s="5">
        <v>1673</v>
      </c>
      <c r="R2008" s="14">
        <v>11.7</v>
      </c>
      <c r="S2008">
        <v>143</v>
      </c>
      <c r="T2008" s="5">
        <v>11</v>
      </c>
      <c r="U2008" s="5">
        <v>655</v>
      </c>
      <c r="V2008" s="5">
        <v>1</v>
      </c>
      <c r="W2008" s="5"/>
      <c r="X2008" s="5"/>
      <c r="Y2008" s="5"/>
      <c r="Z2008" s="5"/>
      <c r="AA2008" s="5"/>
      <c r="AB2008" s="5"/>
      <c r="AC2008" s="5"/>
      <c r="AD2008" s="5"/>
      <c r="AE2008" s="5"/>
      <c r="AF2008" s="5"/>
      <c r="AG2008" s="5"/>
      <c r="AH2008" s="5"/>
      <c r="AI2008" s="5"/>
      <c r="AJ2008" s="5"/>
      <c r="AK2008" s="5"/>
    </row>
    <row r="2009" spans="1:37" x14ac:dyDescent="0.25">
      <c r="A2009" s="11">
        <f>Table1[[#This Row],[Milk Yield]]-J2005</f>
        <v>60</v>
      </c>
      <c r="B2009" t="s">
        <v>24</v>
      </c>
      <c r="C2009" s="2">
        <v>3</v>
      </c>
      <c r="D2009" s="12">
        <v>46012</v>
      </c>
      <c r="E2009" s="2">
        <v>30</v>
      </c>
      <c r="F2009" s="18">
        <v>0.99640046296296292</v>
      </c>
      <c r="G2009" s="3">
        <v>0.15199074074074073</v>
      </c>
      <c r="H2009" s="17">
        <v>0.15555555555555556</v>
      </c>
      <c r="I2009" s="5">
        <v>661</v>
      </c>
      <c r="J2009">
        <v>6902</v>
      </c>
      <c r="K2009">
        <v>177</v>
      </c>
      <c r="L2009" s="5">
        <v>77</v>
      </c>
      <c r="M2009" s="5">
        <v>660</v>
      </c>
      <c r="N2009">
        <v>8</v>
      </c>
      <c r="O2009">
        <v>652</v>
      </c>
      <c r="P2009" s="1">
        <v>0.2076388888888889</v>
      </c>
      <c r="Q2009" s="5">
        <v>1848</v>
      </c>
      <c r="R2009" s="14">
        <v>10.5</v>
      </c>
      <c r="S2009">
        <v>177</v>
      </c>
      <c r="T2009" s="5">
        <v>8</v>
      </c>
      <c r="U2009" s="5">
        <v>653</v>
      </c>
      <c r="V2009" s="5">
        <v>1</v>
      </c>
      <c r="W2009" s="5"/>
      <c r="X2009" s="5"/>
      <c r="Y2009" s="5"/>
      <c r="Z2009" s="5"/>
      <c r="AA2009" s="5"/>
      <c r="AB2009" s="5"/>
      <c r="AC2009" s="5"/>
      <c r="AD2009" s="5"/>
      <c r="AE2009" s="5"/>
      <c r="AF2009" s="5"/>
      <c r="AG2009" s="5"/>
      <c r="AH2009" s="5"/>
      <c r="AI2009" s="5"/>
      <c r="AJ2009" s="5"/>
      <c r="AK2009" s="5"/>
    </row>
    <row r="2010" spans="1:37" x14ac:dyDescent="0.25">
      <c r="A2010" s="11" t="e">
        <f>Table1[[#This Row],[Milk Yield]]-J2006</f>
        <v>#VALUE!</v>
      </c>
      <c r="B2010" t="s">
        <v>0</v>
      </c>
      <c r="C2010" s="2" t="s">
        <v>1</v>
      </c>
      <c r="D2010" s="12" t="s">
        <v>2</v>
      </c>
      <c r="E2010" s="2" t="s">
        <v>3</v>
      </c>
      <c r="F2010" s="18" t="s">
        <v>4</v>
      </c>
      <c r="G2010" s="3" t="s">
        <v>5</v>
      </c>
      <c r="H2010" s="17" t="s">
        <v>6</v>
      </c>
      <c r="I2010" s="5" t="s">
        <v>8</v>
      </c>
      <c r="J2010" t="s">
        <v>9</v>
      </c>
      <c r="K2010" t="s">
        <v>10</v>
      </c>
      <c r="L2010" s="5" t="s">
        <v>11</v>
      </c>
      <c r="M2010" s="5" t="s">
        <v>12</v>
      </c>
      <c r="N2010" t="s">
        <v>13</v>
      </c>
      <c r="O2010" t="s">
        <v>20</v>
      </c>
      <c r="P2010" s="1" t="s">
        <v>7</v>
      </c>
      <c r="Q2010" s="5" t="s">
        <v>15</v>
      </c>
      <c r="R2010" s="14" t="s">
        <v>18</v>
      </c>
      <c r="S2010" t="s">
        <v>16</v>
      </c>
      <c r="T2010" s="5" t="s">
        <v>14</v>
      </c>
      <c r="U2010" s="5" t="s">
        <v>17</v>
      </c>
      <c r="V2010" s="5" t="s">
        <v>19</v>
      </c>
      <c r="W2010" s="5"/>
      <c r="X2010" s="5"/>
      <c r="Y2010" s="5"/>
      <c r="Z2010" s="5"/>
      <c r="AA2010" s="5"/>
      <c r="AB2010" s="5"/>
      <c r="AC2010" s="5"/>
      <c r="AD2010" s="5"/>
      <c r="AE2010" s="5"/>
      <c r="AF2010" s="5"/>
      <c r="AG2010" s="5"/>
      <c r="AH2010" s="5"/>
      <c r="AI2010" s="5"/>
      <c r="AJ2010" s="5"/>
      <c r="AK2010" s="5"/>
    </row>
    <row r="2011" spans="1:37" x14ac:dyDescent="0.25">
      <c r="A2011" s="11">
        <f>Table1[[#This Row],[Milk Yield]]-J2007</f>
        <v>64</v>
      </c>
      <c r="B2011" t="s">
        <v>24</v>
      </c>
      <c r="C2011" s="2">
        <v>1</v>
      </c>
      <c r="D2011" s="12">
        <v>46013</v>
      </c>
      <c r="E2011" s="2">
        <v>30</v>
      </c>
      <c r="F2011" s="18">
        <v>0.33436342592592594</v>
      </c>
      <c r="G2011" s="3">
        <v>0.51184027777777774</v>
      </c>
      <c r="H2011" s="17">
        <v>0.17708333333333334</v>
      </c>
      <c r="I2011" s="5">
        <v>659</v>
      </c>
      <c r="J2011">
        <v>8164</v>
      </c>
      <c r="K2011">
        <v>155</v>
      </c>
      <c r="L2011" s="5">
        <v>66</v>
      </c>
      <c r="M2011" s="5">
        <v>659</v>
      </c>
      <c r="N2011">
        <v>7</v>
      </c>
      <c r="O2011">
        <v>652</v>
      </c>
      <c r="P2011" s="1">
        <v>0.2361111111111111</v>
      </c>
      <c r="Q2011" s="5">
        <v>1917</v>
      </c>
      <c r="R2011" s="14">
        <v>12.4</v>
      </c>
      <c r="S2011">
        <v>155</v>
      </c>
      <c r="T2011" s="5">
        <v>7</v>
      </c>
      <c r="U2011" s="5">
        <v>653</v>
      </c>
      <c r="V2011" s="5">
        <v>1</v>
      </c>
      <c r="W2011" s="5"/>
      <c r="X2011" s="5"/>
      <c r="Y2011" s="5"/>
      <c r="Z2011" s="5"/>
      <c r="AA2011" s="5"/>
      <c r="AB2011" s="5"/>
      <c r="AC2011" s="5"/>
      <c r="AD2011" s="5"/>
      <c r="AE2011" s="5"/>
      <c r="AF2011" s="5"/>
      <c r="AG2011" s="5"/>
      <c r="AH2011" s="5"/>
      <c r="AI2011" s="5"/>
      <c r="AJ2011" s="5"/>
      <c r="AK2011" s="5"/>
    </row>
    <row r="2012" spans="1:37" x14ac:dyDescent="0.25">
      <c r="A2012" s="11">
        <f>Table1[[#This Row],[Milk Yield]]-J2008</f>
        <v>-161</v>
      </c>
      <c r="B2012" t="s">
        <v>24</v>
      </c>
      <c r="C2012" s="2">
        <v>2</v>
      </c>
      <c r="D2012" s="12">
        <v>46013</v>
      </c>
      <c r="E2012" s="2">
        <v>31</v>
      </c>
      <c r="F2012" s="18">
        <v>0.6678587962962963</v>
      </c>
      <c r="G2012" s="3">
        <v>0.84652777777777777</v>
      </c>
      <c r="H2012" s="17">
        <v>0.17847222222222223</v>
      </c>
      <c r="I2012" s="5">
        <v>661</v>
      </c>
      <c r="J2012">
        <v>7619</v>
      </c>
      <c r="K2012">
        <v>154</v>
      </c>
      <c r="L2012" s="5">
        <v>102</v>
      </c>
      <c r="M2012" s="5">
        <v>660</v>
      </c>
      <c r="N2012">
        <v>13</v>
      </c>
      <c r="O2012">
        <v>647</v>
      </c>
      <c r="P2012" s="1">
        <v>0.22291666666666668</v>
      </c>
      <c r="Q2012" s="5">
        <v>1777</v>
      </c>
      <c r="R2012" s="14">
        <v>11.6</v>
      </c>
      <c r="S2012">
        <v>154</v>
      </c>
      <c r="T2012" s="5">
        <v>13</v>
      </c>
      <c r="U2012" s="5">
        <v>647</v>
      </c>
      <c r="V2012" s="5">
        <v>0</v>
      </c>
      <c r="W2012" s="5"/>
      <c r="X2012" s="5"/>
      <c r="Y2012" s="5"/>
      <c r="Z2012" s="5"/>
      <c r="AA2012" s="5"/>
      <c r="AB2012" s="5"/>
      <c r="AC2012" s="5"/>
      <c r="AD2012" s="5"/>
      <c r="AE2012" s="5"/>
      <c r="AF2012" s="5"/>
      <c r="AG2012" s="5"/>
      <c r="AH2012" s="5"/>
      <c r="AI2012" s="5"/>
      <c r="AJ2012" s="5"/>
      <c r="AK2012" s="5"/>
    </row>
    <row r="2013" spans="1:37" x14ac:dyDescent="0.25">
      <c r="A2013" s="11">
        <f>Table1[[#This Row],[Milk Yield]]-J2009</f>
        <v>70</v>
      </c>
      <c r="B2013" t="s">
        <v>24</v>
      </c>
      <c r="C2013" s="2">
        <v>3</v>
      </c>
      <c r="D2013" s="12">
        <v>46013</v>
      </c>
      <c r="E2013" s="2">
        <v>30</v>
      </c>
      <c r="F2013" s="18">
        <v>0.99655092592592598</v>
      </c>
      <c r="G2013" s="3">
        <v>0.15226851851851853</v>
      </c>
      <c r="H2013" s="17">
        <v>0.15555555555555556</v>
      </c>
      <c r="I2013" s="5">
        <v>658</v>
      </c>
      <c r="J2013">
        <v>6972</v>
      </c>
      <c r="K2013">
        <v>176</v>
      </c>
      <c r="L2013" s="5">
        <v>199</v>
      </c>
      <c r="M2013" s="5">
        <v>657</v>
      </c>
      <c r="N2013">
        <v>19</v>
      </c>
      <c r="O2013">
        <v>638</v>
      </c>
      <c r="P2013" s="1">
        <v>0.21597222222222223</v>
      </c>
      <c r="Q2013" s="5">
        <v>1865</v>
      </c>
      <c r="R2013" s="14">
        <v>10.7</v>
      </c>
      <c r="S2013">
        <v>176</v>
      </c>
      <c r="T2013" s="5">
        <v>19</v>
      </c>
      <c r="U2013" s="5">
        <v>639</v>
      </c>
      <c r="V2013" s="5">
        <v>1</v>
      </c>
      <c r="W2013" s="5"/>
      <c r="X2013" s="5"/>
      <c r="Y2013" s="5"/>
      <c r="Z2013" s="5"/>
      <c r="AA2013" s="5"/>
      <c r="AB2013" s="5"/>
      <c r="AC2013" s="5"/>
      <c r="AD2013" s="5"/>
      <c r="AE2013" s="5"/>
      <c r="AF2013" s="5"/>
      <c r="AG2013" s="5"/>
      <c r="AH2013" s="5"/>
      <c r="AI2013" s="5"/>
      <c r="AJ2013" s="5"/>
      <c r="AK2013" s="5"/>
    </row>
    <row r="2014" spans="1:37" x14ac:dyDescent="0.25">
      <c r="A2014" s="11" t="e">
        <f>Table1[[#This Row],[Milk Yield]]-J2010</f>
        <v>#VALUE!</v>
      </c>
      <c r="B2014" t="s">
        <v>0</v>
      </c>
      <c r="C2014" s="2" t="s">
        <v>1</v>
      </c>
      <c r="D2014" s="12" t="s">
        <v>2</v>
      </c>
      <c r="E2014" s="2" t="s">
        <v>3</v>
      </c>
      <c r="F2014" s="18" t="s">
        <v>4</v>
      </c>
      <c r="G2014" s="3" t="s">
        <v>5</v>
      </c>
      <c r="H2014" s="17" t="s">
        <v>6</v>
      </c>
      <c r="I2014" s="5" t="s">
        <v>8</v>
      </c>
      <c r="J2014" t="s">
        <v>9</v>
      </c>
      <c r="K2014" t="s">
        <v>10</v>
      </c>
      <c r="L2014" s="5" t="s">
        <v>11</v>
      </c>
      <c r="M2014" s="5" t="s">
        <v>12</v>
      </c>
      <c r="N2014" t="s">
        <v>13</v>
      </c>
      <c r="O2014" t="s">
        <v>20</v>
      </c>
      <c r="P2014" s="1" t="s">
        <v>7</v>
      </c>
      <c r="Q2014" s="5" t="s">
        <v>15</v>
      </c>
      <c r="R2014" s="14" t="s">
        <v>18</v>
      </c>
      <c r="S2014" t="s">
        <v>16</v>
      </c>
      <c r="T2014" s="5" t="s">
        <v>14</v>
      </c>
      <c r="U2014" s="5" t="s">
        <v>17</v>
      </c>
      <c r="V2014" s="5" t="s">
        <v>19</v>
      </c>
      <c r="W2014" s="5"/>
      <c r="X2014" s="5"/>
      <c r="Y2014" s="5"/>
      <c r="Z2014" s="5"/>
      <c r="AA2014" s="5"/>
      <c r="AB2014" s="5"/>
      <c r="AC2014" s="5"/>
      <c r="AD2014" s="5"/>
      <c r="AE2014" s="5"/>
      <c r="AF2014" s="5"/>
      <c r="AG2014" s="5"/>
      <c r="AH2014" s="5"/>
      <c r="AI2014" s="5"/>
      <c r="AJ2014" s="5"/>
      <c r="AK2014" s="5"/>
    </row>
    <row r="2015" spans="1:37" x14ac:dyDescent="0.25">
      <c r="A2015" s="11">
        <f>Table1[[#This Row],[Milk Yield]]-J2011</f>
        <v>33</v>
      </c>
      <c r="B2015" t="s">
        <v>24</v>
      </c>
      <c r="C2015" s="2">
        <v>1</v>
      </c>
      <c r="D2015" s="12">
        <v>46014</v>
      </c>
      <c r="E2015" s="2">
        <v>31</v>
      </c>
      <c r="F2015" s="18">
        <v>0.33626157407407409</v>
      </c>
      <c r="G2015" s="3">
        <v>0.50045138888888885</v>
      </c>
      <c r="H2015" s="17">
        <v>0.16388888888888889</v>
      </c>
      <c r="I2015" s="5">
        <v>661</v>
      </c>
      <c r="J2015">
        <v>8197</v>
      </c>
      <c r="K2015">
        <v>168</v>
      </c>
      <c r="L2015" s="5">
        <v>109</v>
      </c>
      <c r="M2015" s="5">
        <v>660</v>
      </c>
      <c r="N2015">
        <v>11</v>
      </c>
      <c r="O2015">
        <v>649</v>
      </c>
      <c r="P2015" s="1">
        <v>0.23125000000000001</v>
      </c>
      <c r="Q2015" s="5">
        <v>2080</v>
      </c>
      <c r="R2015" s="14">
        <v>12.5</v>
      </c>
      <c r="S2015">
        <v>167</v>
      </c>
      <c r="T2015" s="5">
        <v>11</v>
      </c>
      <c r="U2015" s="5">
        <v>650</v>
      </c>
      <c r="V2015" s="5">
        <v>1</v>
      </c>
      <c r="W2015" s="5"/>
      <c r="X2015" s="5"/>
      <c r="Y2015" s="5"/>
      <c r="Z2015" s="5"/>
      <c r="AA2015" s="5"/>
      <c r="AB2015" s="5"/>
      <c r="AC2015" s="5"/>
      <c r="AD2015" s="5"/>
      <c r="AE2015" s="5"/>
      <c r="AF2015" s="5"/>
      <c r="AG2015" s="5"/>
      <c r="AH2015" s="5"/>
      <c r="AI2015" s="5"/>
      <c r="AJ2015" s="5"/>
      <c r="AK2015" s="5"/>
    </row>
    <row r="2016" spans="1:37" x14ac:dyDescent="0.25">
      <c r="A2016" s="11">
        <f>Table1[[#This Row],[Milk Yield]]-J2012</f>
        <v>460</v>
      </c>
      <c r="B2016" t="s">
        <v>24</v>
      </c>
      <c r="C2016" s="2">
        <v>2</v>
      </c>
      <c r="D2016" s="12">
        <v>46014</v>
      </c>
      <c r="E2016" s="2">
        <v>31</v>
      </c>
      <c r="F2016" s="18">
        <v>0.66871527777777773</v>
      </c>
      <c r="G2016" s="3">
        <v>0.86086805555555557</v>
      </c>
      <c r="H2016" s="17">
        <v>0.19166666666666668</v>
      </c>
      <c r="I2016" s="5">
        <v>663</v>
      </c>
      <c r="J2016">
        <v>8079</v>
      </c>
      <c r="K2016">
        <v>144</v>
      </c>
      <c r="L2016" s="5">
        <v>81</v>
      </c>
      <c r="M2016" s="5">
        <v>662</v>
      </c>
      <c r="N2016">
        <v>8</v>
      </c>
      <c r="O2016">
        <v>654</v>
      </c>
      <c r="P2016" s="1">
        <v>0.22500000000000001</v>
      </c>
      <c r="Q2016" s="5">
        <v>1752</v>
      </c>
      <c r="R2016" s="14">
        <v>12.3</v>
      </c>
      <c r="S2016">
        <v>144</v>
      </c>
      <c r="T2016" s="5">
        <v>8</v>
      </c>
      <c r="U2016" s="5">
        <v>655</v>
      </c>
      <c r="V2016" s="5">
        <v>1</v>
      </c>
      <c r="W2016" s="5"/>
      <c r="X2016" s="5"/>
      <c r="Y2016" s="5"/>
      <c r="Z2016" s="5"/>
      <c r="AA2016" s="5"/>
      <c r="AB2016" s="5"/>
      <c r="AC2016" s="5"/>
      <c r="AD2016" s="5"/>
      <c r="AE2016" s="5"/>
      <c r="AF2016" s="5"/>
      <c r="AG2016" s="5"/>
      <c r="AH2016" s="5"/>
      <c r="AI2016" s="5"/>
      <c r="AJ2016" s="5"/>
      <c r="AK2016" s="5"/>
    </row>
    <row r="2017" spans="1:37" x14ac:dyDescent="0.25">
      <c r="A2017" s="11">
        <f>Table1[[#This Row],[Milk Yield]]-J2013</f>
        <v>18</v>
      </c>
      <c r="B2017" t="s">
        <v>24</v>
      </c>
      <c r="C2017" s="2">
        <v>3</v>
      </c>
      <c r="D2017" s="12">
        <v>46014</v>
      </c>
      <c r="E2017" s="2">
        <v>30</v>
      </c>
      <c r="F2017" s="18">
        <v>6.7129629629629625E-4</v>
      </c>
      <c r="G2017" s="3">
        <v>0.15947916666666667</v>
      </c>
      <c r="H2017" s="17">
        <v>0.15833333333333333</v>
      </c>
      <c r="I2017" s="5">
        <v>660</v>
      </c>
      <c r="J2017">
        <v>6990</v>
      </c>
      <c r="K2017">
        <v>173</v>
      </c>
      <c r="L2017" s="5">
        <v>52</v>
      </c>
      <c r="M2017" s="5">
        <v>660</v>
      </c>
      <c r="N2017">
        <v>5</v>
      </c>
      <c r="O2017">
        <v>655</v>
      </c>
      <c r="P2017" s="1">
        <v>0.21319444444444444</v>
      </c>
      <c r="Q2017" s="5">
        <v>1834</v>
      </c>
      <c r="R2017" s="14">
        <v>10.6</v>
      </c>
      <c r="S2017">
        <v>173</v>
      </c>
      <c r="T2017" s="5">
        <v>5</v>
      </c>
      <c r="U2017" s="5">
        <v>656</v>
      </c>
      <c r="V2017" s="5">
        <v>1</v>
      </c>
      <c r="W2017" s="5"/>
      <c r="X2017" s="5"/>
      <c r="Y2017" s="5"/>
      <c r="Z2017" s="5"/>
      <c r="AA2017" s="5"/>
      <c r="AB2017" s="5"/>
      <c r="AC2017" s="5"/>
      <c r="AD2017" s="5"/>
      <c r="AE2017" s="5"/>
      <c r="AF2017" s="5"/>
      <c r="AG2017" s="5"/>
      <c r="AH2017" s="5"/>
      <c r="AI2017" s="5"/>
      <c r="AJ2017" s="5"/>
      <c r="AK2017" s="5"/>
    </row>
    <row r="2018" spans="1:37" x14ac:dyDescent="0.25">
      <c r="A2018" s="11" t="e">
        <f>Table1[[#This Row],[Milk Yield]]-J2014</f>
        <v>#VALUE!</v>
      </c>
      <c r="B2018" t="s">
        <v>0</v>
      </c>
      <c r="C2018" s="2" t="s">
        <v>1</v>
      </c>
      <c r="D2018" s="12" t="s">
        <v>2</v>
      </c>
      <c r="E2018" s="2" t="s">
        <v>3</v>
      </c>
      <c r="F2018" s="18" t="s">
        <v>4</v>
      </c>
      <c r="G2018" s="3" t="s">
        <v>5</v>
      </c>
      <c r="H2018" s="17" t="s">
        <v>6</v>
      </c>
      <c r="I2018" s="5" t="s">
        <v>8</v>
      </c>
      <c r="J2018" t="s">
        <v>9</v>
      </c>
      <c r="K2018" t="s">
        <v>10</v>
      </c>
      <c r="L2018" s="5" t="s">
        <v>11</v>
      </c>
      <c r="M2018" s="5" t="s">
        <v>12</v>
      </c>
      <c r="N2018" t="s">
        <v>13</v>
      </c>
      <c r="O2018" t="s">
        <v>20</v>
      </c>
      <c r="P2018" s="1" t="s">
        <v>7</v>
      </c>
      <c r="Q2018" s="5" t="s">
        <v>15</v>
      </c>
      <c r="R2018" s="14" t="s">
        <v>18</v>
      </c>
      <c r="S2018" t="s">
        <v>16</v>
      </c>
      <c r="T2018" s="5" t="s">
        <v>14</v>
      </c>
      <c r="U2018" s="5" t="s">
        <v>17</v>
      </c>
      <c r="V2018" s="5" t="s">
        <v>19</v>
      </c>
      <c r="W2018" s="5"/>
      <c r="X2018" s="5"/>
      <c r="Y2018" s="5"/>
      <c r="Z2018" s="5"/>
      <c r="AA2018" s="5"/>
      <c r="AB2018" s="5"/>
      <c r="AC2018" s="5"/>
      <c r="AD2018" s="5"/>
      <c r="AE2018" s="5"/>
      <c r="AF2018" s="5"/>
      <c r="AG2018" s="5"/>
      <c r="AH2018" s="5"/>
      <c r="AI2018" s="5"/>
      <c r="AJ2018" s="5"/>
      <c r="AK2018" s="5"/>
    </row>
    <row r="2019" spans="1:37" x14ac:dyDescent="0.25">
      <c r="A2019" s="11">
        <f>Table1[[#This Row],[Milk Yield]]-J2015</f>
        <v>-147</v>
      </c>
      <c r="B2019" t="s">
        <v>24</v>
      </c>
      <c r="C2019" s="2">
        <v>1</v>
      </c>
      <c r="D2019" s="12">
        <v>46015</v>
      </c>
      <c r="E2019" s="2">
        <v>30</v>
      </c>
      <c r="F2019" s="18">
        <v>0.33502314814814815</v>
      </c>
      <c r="G2019" s="3">
        <v>0.50982638888888887</v>
      </c>
      <c r="H2019" s="17">
        <v>0.17430555555555555</v>
      </c>
      <c r="I2019" s="5">
        <v>662</v>
      </c>
      <c r="J2019">
        <v>8050</v>
      </c>
      <c r="K2019">
        <v>158</v>
      </c>
      <c r="L2019" s="5">
        <v>88</v>
      </c>
      <c r="M2019" s="5">
        <v>661</v>
      </c>
      <c r="N2019">
        <v>8</v>
      </c>
      <c r="O2019">
        <v>653</v>
      </c>
      <c r="P2019" s="1">
        <v>0.23541666666666666</v>
      </c>
      <c r="Q2019" s="5">
        <v>1919</v>
      </c>
      <c r="R2019" s="14">
        <v>12.2</v>
      </c>
      <c r="S2019">
        <v>158</v>
      </c>
      <c r="T2019" s="5">
        <v>8</v>
      </c>
      <c r="U2019" s="5">
        <v>654</v>
      </c>
      <c r="V2019" s="5">
        <v>1</v>
      </c>
      <c r="W2019" s="5"/>
      <c r="X2019" s="5"/>
      <c r="Y2019" s="5"/>
      <c r="Z2019" s="5"/>
      <c r="AA2019" s="5"/>
      <c r="AB2019" s="5"/>
      <c r="AC2019" s="5"/>
      <c r="AD2019" s="5"/>
      <c r="AE2019" s="5"/>
      <c r="AF2019" s="5"/>
      <c r="AG2019" s="5"/>
      <c r="AH2019" s="5"/>
      <c r="AI2019" s="5"/>
      <c r="AJ2019" s="5"/>
      <c r="AK2019" s="5"/>
    </row>
    <row r="2020" spans="1:37" x14ac:dyDescent="0.25">
      <c r="A2020" s="11">
        <f>Table1[[#This Row],[Milk Yield]]-J2016</f>
        <v>-166</v>
      </c>
      <c r="B2020" t="s">
        <v>24</v>
      </c>
      <c r="C2020" s="2">
        <v>2</v>
      </c>
      <c r="D2020" s="12">
        <v>46015</v>
      </c>
      <c r="E2020" s="2">
        <v>32</v>
      </c>
      <c r="F2020" s="18">
        <v>0.66541666666666666</v>
      </c>
      <c r="G2020" s="3">
        <v>0.85223379629629625</v>
      </c>
      <c r="H2020" s="17">
        <v>0.18680555555555556</v>
      </c>
      <c r="I2020" s="5">
        <v>659</v>
      </c>
      <c r="J2020">
        <v>7913</v>
      </c>
      <c r="K2020">
        <v>147</v>
      </c>
      <c r="L2020" s="5">
        <v>75</v>
      </c>
      <c r="M2020" s="5">
        <v>659</v>
      </c>
      <c r="N2020">
        <v>8</v>
      </c>
      <c r="O2020">
        <v>651</v>
      </c>
      <c r="P2020" s="1">
        <v>0.22013888888888888</v>
      </c>
      <c r="Q2020" s="5">
        <v>1765</v>
      </c>
      <c r="R2020" s="14">
        <v>12.1</v>
      </c>
      <c r="S2020">
        <v>147</v>
      </c>
      <c r="T2020" s="5">
        <v>8</v>
      </c>
      <c r="U2020" s="5">
        <v>652</v>
      </c>
      <c r="V2020" s="5">
        <v>1</v>
      </c>
      <c r="W2020" s="5"/>
      <c r="X2020" s="5"/>
      <c r="Y2020" s="5"/>
      <c r="Z2020" s="5"/>
      <c r="AA2020" s="5"/>
      <c r="AB2020" s="5"/>
      <c r="AC2020" s="5"/>
      <c r="AD2020" s="5"/>
      <c r="AE2020" s="5"/>
      <c r="AF2020" s="5"/>
      <c r="AG2020" s="5"/>
      <c r="AH2020" s="5"/>
      <c r="AI2020" s="5"/>
      <c r="AJ2020" s="5"/>
      <c r="AK2020" s="5"/>
    </row>
    <row r="2021" spans="1:37" x14ac:dyDescent="0.25">
      <c r="A2021" s="11">
        <f>Table1[[#This Row],[Milk Yield]]-J2017</f>
        <v>-80</v>
      </c>
      <c r="B2021" t="s">
        <v>24</v>
      </c>
      <c r="C2021" s="2">
        <v>3</v>
      </c>
      <c r="D2021" s="12">
        <v>46015</v>
      </c>
      <c r="E2021" s="2">
        <v>29</v>
      </c>
      <c r="F2021" s="18">
        <v>2.3958333333333331E-3</v>
      </c>
      <c r="G2021" s="3">
        <v>0.16318287037037038</v>
      </c>
      <c r="H2021" s="17">
        <v>0.16041666666666668</v>
      </c>
      <c r="I2021" s="5">
        <v>658</v>
      </c>
      <c r="J2021">
        <v>6910</v>
      </c>
      <c r="K2021">
        <v>171</v>
      </c>
      <c r="L2021" s="5">
        <v>57</v>
      </c>
      <c r="M2021" s="5">
        <v>657</v>
      </c>
      <c r="N2021">
        <v>5</v>
      </c>
      <c r="O2021">
        <v>652</v>
      </c>
      <c r="P2021" s="1">
        <v>0.21041666666666667</v>
      </c>
      <c r="Q2021" s="5">
        <v>1791</v>
      </c>
      <c r="R2021" s="14">
        <v>10.6</v>
      </c>
      <c r="S2021">
        <v>170</v>
      </c>
      <c r="T2021" s="5">
        <v>5</v>
      </c>
      <c r="U2021" s="5">
        <v>653</v>
      </c>
      <c r="V2021" s="5">
        <v>1</v>
      </c>
      <c r="W2021" s="5"/>
      <c r="X2021" s="5"/>
      <c r="Y2021" s="5"/>
      <c r="Z2021" s="5"/>
      <c r="AA2021" s="5"/>
      <c r="AB2021" s="5"/>
      <c r="AC2021" s="5"/>
      <c r="AD2021" s="5"/>
      <c r="AE2021" s="5"/>
      <c r="AF2021" s="5"/>
      <c r="AG2021" s="5"/>
      <c r="AH2021" s="5"/>
      <c r="AI2021" s="5"/>
      <c r="AJ2021" s="5"/>
      <c r="AK2021" s="5"/>
    </row>
    <row r="2022" spans="1:37" x14ac:dyDescent="0.25">
      <c r="A2022" s="11" t="e">
        <f>Table1[[#This Row],[Milk Yield]]-J2018</f>
        <v>#VALUE!</v>
      </c>
      <c r="B2022" t="s">
        <v>0</v>
      </c>
      <c r="C2022" s="2" t="s">
        <v>1</v>
      </c>
      <c r="D2022" s="12" t="s">
        <v>2</v>
      </c>
      <c r="E2022" s="2" t="s">
        <v>3</v>
      </c>
      <c r="F2022" s="18" t="s">
        <v>4</v>
      </c>
      <c r="G2022" s="3" t="s">
        <v>5</v>
      </c>
      <c r="H2022" s="17" t="s">
        <v>6</v>
      </c>
      <c r="I2022" s="5" t="s">
        <v>8</v>
      </c>
      <c r="J2022" t="s">
        <v>9</v>
      </c>
      <c r="K2022" t="s">
        <v>10</v>
      </c>
      <c r="L2022" s="5" t="s">
        <v>11</v>
      </c>
      <c r="M2022" s="5" t="s">
        <v>12</v>
      </c>
      <c r="N2022" t="s">
        <v>13</v>
      </c>
      <c r="O2022" t="s">
        <v>20</v>
      </c>
      <c r="P2022" s="1" t="s">
        <v>7</v>
      </c>
      <c r="Q2022" s="5" t="s">
        <v>15</v>
      </c>
      <c r="R2022" s="14" t="s">
        <v>18</v>
      </c>
      <c r="S2022" t="s">
        <v>16</v>
      </c>
      <c r="T2022" s="5" t="s">
        <v>14</v>
      </c>
      <c r="U2022" s="5" t="s">
        <v>17</v>
      </c>
      <c r="V2022" s="5" t="s">
        <v>19</v>
      </c>
      <c r="W2022" s="5"/>
      <c r="X2022" s="5"/>
      <c r="Y2022" s="5"/>
      <c r="Z2022" s="5"/>
      <c r="AA2022" s="5"/>
      <c r="AB2022" s="5"/>
      <c r="AC2022" s="5"/>
      <c r="AD2022" s="5"/>
      <c r="AE2022" s="5"/>
      <c r="AF2022" s="5"/>
      <c r="AG2022" s="5"/>
      <c r="AH2022" s="5"/>
      <c r="AI2022" s="5"/>
      <c r="AJ2022" s="5"/>
      <c r="AK2022" s="5"/>
    </row>
    <row r="2023" spans="1:37" x14ac:dyDescent="0.25">
      <c r="A2023" s="11">
        <f>Table1[[#This Row],[Milk Yield]]-J2019</f>
        <v>-454</v>
      </c>
      <c r="B2023" t="s">
        <v>24</v>
      </c>
      <c r="C2023" s="2">
        <v>1</v>
      </c>
      <c r="D2023" s="12">
        <v>46016</v>
      </c>
      <c r="E2023" s="2">
        <v>31</v>
      </c>
      <c r="F2023" s="18">
        <v>0.33479166666666665</v>
      </c>
      <c r="G2023" s="3">
        <v>0.50481481481481483</v>
      </c>
      <c r="H2023" s="17">
        <v>0.16944444444444445</v>
      </c>
      <c r="I2023" s="5">
        <v>659</v>
      </c>
      <c r="J2023">
        <v>7596</v>
      </c>
      <c r="K2023">
        <v>161</v>
      </c>
      <c r="L2023" s="5">
        <v>112</v>
      </c>
      <c r="M2023" s="5">
        <v>659</v>
      </c>
      <c r="N2023">
        <v>10</v>
      </c>
      <c r="O2023">
        <v>649</v>
      </c>
      <c r="P2023" s="1">
        <v>0.22708333333333333</v>
      </c>
      <c r="Q2023" s="5">
        <v>1861</v>
      </c>
      <c r="R2023" s="14">
        <v>11.6</v>
      </c>
      <c r="S2023">
        <v>161</v>
      </c>
      <c r="T2023" s="5">
        <v>10</v>
      </c>
      <c r="U2023" s="5">
        <v>650</v>
      </c>
      <c r="V2023" s="5">
        <v>1</v>
      </c>
      <c r="W2023" s="5"/>
      <c r="X2023" s="5"/>
      <c r="Y2023" s="5"/>
      <c r="Z2023" s="5"/>
      <c r="AA2023" s="5"/>
      <c r="AB2023" s="5"/>
      <c r="AC2023" s="5"/>
      <c r="AD2023" s="5"/>
      <c r="AE2023" s="5"/>
      <c r="AF2023" s="5"/>
      <c r="AG2023" s="5"/>
      <c r="AH2023" s="5"/>
      <c r="AI2023" s="5"/>
      <c r="AJ2023" s="5"/>
      <c r="AK2023" s="5"/>
    </row>
    <row r="2024" spans="1:37" x14ac:dyDescent="0.25">
      <c r="A2024" s="11">
        <f>Table1[[#This Row],[Milk Yield]]-J2020</f>
        <v>-242</v>
      </c>
      <c r="B2024" t="s">
        <v>24</v>
      </c>
      <c r="C2024" s="2">
        <v>2</v>
      </c>
      <c r="D2024" s="12">
        <v>46016</v>
      </c>
      <c r="E2024" s="2">
        <v>33</v>
      </c>
      <c r="F2024" s="18">
        <v>0.66708333333333336</v>
      </c>
      <c r="G2024" s="3">
        <v>0.8549768518518519</v>
      </c>
      <c r="H2024" s="17">
        <v>0.1875</v>
      </c>
      <c r="I2024" s="5">
        <v>663</v>
      </c>
      <c r="J2024">
        <v>7671</v>
      </c>
      <c r="K2024">
        <v>147</v>
      </c>
      <c r="L2024" s="5">
        <v>109</v>
      </c>
      <c r="M2024" s="5">
        <v>661</v>
      </c>
      <c r="N2024">
        <v>11</v>
      </c>
      <c r="O2024">
        <v>650</v>
      </c>
      <c r="P2024" s="1">
        <v>0.22083333333333333</v>
      </c>
      <c r="Q2024" s="5">
        <v>1701</v>
      </c>
      <c r="R2024" s="14">
        <v>11.7</v>
      </c>
      <c r="S2024">
        <v>147</v>
      </c>
      <c r="T2024" s="5">
        <v>11</v>
      </c>
      <c r="U2024" s="5">
        <v>651</v>
      </c>
      <c r="V2024" s="5">
        <v>1</v>
      </c>
      <c r="W2024" s="5"/>
      <c r="X2024" s="5"/>
      <c r="Y2024" s="5"/>
      <c r="Z2024" s="5"/>
      <c r="AA2024" s="5"/>
      <c r="AB2024" s="5"/>
      <c r="AC2024" s="5"/>
      <c r="AD2024" s="5"/>
      <c r="AE2024" s="5"/>
      <c r="AF2024" s="5"/>
      <c r="AG2024" s="5"/>
      <c r="AH2024" s="5"/>
      <c r="AI2024" s="5"/>
      <c r="AJ2024" s="5"/>
      <c r="AK2024" s="5"/>
    </row>
    <row r="2025" spans="1:37" x14ac:dyDescent="0.25">
      <c r="A2025" s="11">
        <f>Table1[[#This Row],[Milk Yield]]-J2021</f>
        <v>-238</v>
      </c>
      <c r="B2025" t="s">
        <v>24</v>
      </c>
      <c r="C2025" s="2">
        <v>3</v>
      </c>
      <c r="D2025" s="12">
        <v>46016</v>
      </c>
      <c r="E2025" s="2">
        <v>30</v>
      </c>
      <c r="F2025" s="18">
        <v>4.7453703703703704E-4</v>
      </c>
      <c r="G2025" s="3">
        <v>0.15387731481481481</v>
      </c>
      <c r="H2025" s="17">
        <v>0.15277777777777779</v>
      </c>
      <c r="I2025" s="5">
        <v>659</v>
      </c>
      <c r="J2025">
        <v>6672</v>
      </c>
      <c r="K2025">
        <v>179</v>
      </c>
      <c r="L2025" s="5">
        <v>65</v>
      </c>
      <c r="M2025" s="5">
        <v>658</v>
      </c>
      <c r="N2025">
        <v>6</v>
      </c>
      <c r="O2025">
        <v>652</v>
      </c>
      <c r="P2025" s="1">
        <v>0.20624999999999999</v>
      </c>
      <c r="Q2025" s="5">
        <v>1812</v>
      </c>
      <c r="R2025" s="14">
        <v>10.199999999999999</v>
      </c>
      <c r="S2025">
        <v>179</v>
      </c>
      <c r="T2025" s="5">
        <v>6</v>
      </c>
      <c r="U2025" s="5">
        <v>653</v>
      </c>
      <c r="V2025" s="5">
        <v>1</v>
      </c>
      <c r="W2025" s="5"/>
      <c r="X2025" s="5"/>
      <c r="Y2025" s="5"/>
      <c r="Z2025" s="5"/>
      <c r="AA2025" s="5"/>
      <c r="AB2025" s="5"/>
      <c r="AC2025" s="5"/>
      <c r="AD2025" s="5"/>
      <c r="AE2025" s="5"/>
      <c r="AF2025" s="5"/>
      <c r="AG2025" s="5"/>
      <c r="AH2025" s="5"/>
      <c r="AI2025" s="5"/>
      <c r="AJ2025" s="5"/>
      <c r="AK2025" s="5"/>
    </row>
    <row r="2026" spans="1:37" x14ac:dyDescent="0.25">
      <c r="A2026" s="11" t="e">
        <f>Table1[[#This Row],[Milk Yield]]-J2022</f>
        <v>#VALUE!</v>
      </c>
      <c r="B2026" t="s">
        <v>0</v>
      </c>
      <c r="C2026" s="2" t="s">
        <v>1</v>
      </c>
      <c r="D2026" s="12" t="s">
        <v>2</v>
      </c>
      <c r="E2026" s="2" t="s">
        <v>3</v>
      </c>
      <c r="F2026" s="18" t="s">
        <v>4</v>
      </c>
      <c r="G2026" s="3" t="s">
        <v>5</v>
      </c>
      <c r="H2026" s="17" t="s">
        <v>6</v>
      </c>
      <c r="I2026" s="5" t="s">
        <v>8</v>
      </c>
      <c r="J2026" t="s">
        <v>9</v>
      </c>
      <c r="K2026" t="s">
        <v>10</v>
      </c>
      <c r="L2026" s="5" t="s">
        <v>11</v>
      </c>
      <c r="M2026" s="5" t="s">
        <v>12</v>
      </c>
      <c r="N2026" t="s">
        <v>13</v>
      </c>
      <c r="O2026" t="s">
        <v>20</v>
      </c>
      <c r="P2026" s="1" t="s">
        <v>7</v>
      </c>
      <c r="Q2026" s="5" t="s">
        <v>15</v>
      </c>
      <c r="R2026" s="14" t="s">
        <v>18</v>
      </c>
      <c r="S2026" t="s">
        <v>16</v>
      </c>
      <c r="T2026" s="5" t="s">
        <v>14</v>
      </c>
      <c r="U2026" s="5" t="s">
        <v>17</v>
      </c>
      <c r="V2026" s="5" t="s">
        <v>19</v>
      </c>
      <c r="W2026" s="5"/>
      <c r="X2026" s="5"/>
      <c r="Y2026" s="5"/>
      <c r="Z2026" s="5"/>
      <c r="AA2026" s="5"/>
      <c r="AB2026" s="5"/>
      <c r="AC2026" s="5"/>
      <c r="AD2026" s="5"/>
      <c r="AE2026" s="5"/>
      <c r="AF2026" s="5"/>
      <c r="AG2026" s="5"/>
      <c r="AH2026" s="5"/>
      <c r="AI2026" s="5"/>
      <c r="AJ2026" s="5"/>
      <c r="AK2026" s="5"/>
    </row>
    <row r="2027" spans="1:37" x14ac:dyDescent="0.25">
      <c r="A2027" s="11">
        <f>Table1[[#This Row],[Milk Yield]]-J2023</f>
        <v>291</v>
      </c>
      <c r="B2027" t="s">
        <v>24</v>
      </c>
      <c r="C2027" s="2">
        <v>1</v>
      </c>
      <c r="D2027" s="12">
        <v>46017</v>
      </c>
      <c r="E2027" s="2">
        <v>33</v>
      </c>
      <c r="F2027" s="18">
        <v>0.33709490740740738</v>
      </c>
      <c r="G2027" s="3">
        <v>0.54021990740740744</v>
      </c>
      <c r="H2027" s="17">
        <v>0.20277777777777778</v>
      </c>
      <c r="I2027" s="5">
        <v>661</v>
      </c>
      <c r="J2027">
        <v>7887</v>
      </c>
      <c r="K2027">
        <v>136</v>
      </c>
      <c r="L2027" s="5">
        <v>56</v>
      </c>
      <c r="M2027" s="5">
        <v>661</v>
      </c>
      <c r="N2027">
        <v>5</v>
      </c>
      <c r="O2027">
        <v>656</v>
      </c>
      <c r="P2027" s="1">
        <v>0.25416666666666665</v>
      </c>
      <c r="Q2027" s="5">
        <v>1618</v>
      </c>
      <c r="R2027" s="14">
        <v>12</v>
      </c>
      <c r="S2027">
        <v>136</v>
      </c>
      <c r="T2027" s="5">
        <v>5</v>
      </c>
      <c r="U2027" s="5">
        <v>657</v>
      </c>
      <c r="V2027" s="5">
        <v>1</v>
      </c>
      <c r="W2027" s="5"/>
      <c r="X2027" s="5"/>
      <c r="Y2027" s="5"/>
      <c r="Z2027" s="5"/>
      <c r="AA2027" s="5"/>
      <c r="AB2027" s="5"/>
      <c r="AC2027" s="5"/>
      <c r="AD2027" s="5"/>
      <c r="AE2027" s="5"/>
      <c r="AF2027" s="5"/>
      <c r="AG2027" s="5"/>
      <c r="AH2027" s="5"/>
      <c r="AI2027" s="5"/>
      <c r="AJ2027" s="5"/>
      <c r="AK2027" s="5"/>
    </row>
    <row r="2028" spans="1:37" x14ac:dyDescent="0.25">
      <c r="A2028" s="11">
        <f>Table1[[#This Row],[Milk Yield]]-J2024</f>
        <v>-561</v>
      </c>
      <c r="B2028" t="s">
        <v>24</v>
      </c>
      <c r="C2028" s="2">
        <v>2</v>
      </c>
      <c r="D2028" s="12">
        <v>46017</v>
      </c>
      <c r="E2028" s="2">
        <v>30</v>
      </c>
      <c r="F2028" s="18">
        <v>0.66695601851851849</v>
      </c>
      <c r="G2028" s="3">
        <v>0.84105324074074073</v>
      </c>
      <c r="H2028" s="17">
        <v>0.1736111111111111</v>
      </c>
      <c r="I2028" s="5">
        <v>619</v>
      </c>
      <c r="J2028">
        <v>7110</v>
      </c>
      <c r="K2028">
        <v>148</v>
      </c>
      <c r="L2028" s="5">
        <v>100</v>
      </c>
      <c r="M2028" s="5">
        <v>619</v>
      </c>
      <c r="N2028">
        <v>34</v>
      </c>
      <c r="O2028">
        <v>585</v>
      </c>
      <c r="P2028" s="1">
        <v>0.22916666666666666</v>
      </c>
      <c r="Q2028" s="5">
        <v>1702</v>
      </c>
      <c r="R2028" s="14">
        <v>11.5</v>
      </c>
      <c r="S2028">
        <v>148</v>
      </c>
      <c r="T2028" s="5">
        <v>34</v>
      </c>
      <c r="U2028" s="5">
        <v>586</v>
      </c>
      <c r="V2028" s="5">
        <v>1</v>
      </c>
      <c r="W2028" s="5"/>
      <c r="X2028" s="5"/>
      <c r="Y2028" s="5"/>
      <c r="Z2028" s="5"/>
      <c r="AA2028" s="5"/>
      <c r="AB2028" s="5"/>
      <c r="AC2028" s="5"/>
      <c r="AD2028" s="5"/>
      <c r="AE2028" s="5"/>
      <c r="AF2028" s="5"/>
      <c r="AG2028" s="5"/>
      <c r="AH2028" s="5"/>
      <c r="AI2028" s="5"/>
      <c r="AJ2028" s="5"/>
      <c r="AK2028" s="5"/>
    </row>
    <row r="2029" spans="1:37" x14ac:dyDescent="0.25">
      <c r="A2029" s="11">
        <f>Table1[[#This Row],[Milk Yield]]-J2025</f>
        <v>-197</v>
      </c>
      <c r="B2029" t="s">
        <v>24</v>
      </c>
      <c r="C2029" s="2">
        <v>3</v>
      </c>
      <c r="D2029" s="12">
        <v>46017</v>
      </c>
      <c r="E2029" s="2">
        <v>28</v>
      </c>
      <c r="F2029" s="18">
        <v>3.5879629629629629E-4</v>
      </c>
      <c r="G2029" s="3">
        <v>0.14292824074074073</v>
      </c>
      <c r="H2029" s="17">
        <v>0.1423611111111111</v>
      </c>
      <c r="I2029" s="5">
        <v>614</v>
      </c>
      <c r="J2029">
        <v>6475</v>
      </c>
      <c r="K2029">
        <v>179</v>
      </c>
      <c r="L2029" s="5">
        <v>78</v>
      </c>
      <c r="M2029" s="5">
        <v>613</v>
      </c>
      <c r="N2029">
        <v>8</v>
      </c>
      <c r="O2029">
        <v>605</v>
      </c>
      <c r="P2029" s="1">
        <v>0.20694444444444443</v>
      </c>
      <c r="Q2029" s="5">
        <v>1892</v>
      </c>
      <c r="R2029" s="14">
        <v>10.6</v>
      </c>
      <c r="S2029">
        <v>179</v>
      </c>
      <c r="T2029" s="5">
        <v>8</v>
      </c>
      <c r="U2029" s="5">
        <v>606</v>
      </c>
      <c r="V2029" s="5">
        <v>1</v>
      </c>
      <c r="W2029" s="5"/>
      <c r="X2029" s="5"/>
      <c r="Y2029" s="5"/>
      <c r="Z2029" s="5"/>
      <c r="AA2029" s="5"/>
      <c r="AB2029" s="5"/>
      <c r="AC2029" s="5"/>
      <c r="AD2029" s="5"/>
      <c r="AE2029" s="5"/>
      <c r="AF2029" s="5"/>
      <c r="AG2029" s="5"/>
      <c r="AH2029" s="5"/>
      <c r="AI2029" s="5"/>
      <c r="AJ2029" s="5"/>
      <c r="AK2029" s="5"/>
    </row>
    <row r="2030" spans="1:37" x14ac:dyDescent="0.25">
      <c r="A2030" s="11" t="e">
        <f>Table1[[#This Row],[Milk Yield]]-J2026</f>
        <v>#VALUE!</v>
      </c>
      <c r="B2030" t="s">
        <v>0</v>
      </c>
      <c r="C2030" s="2" t="s">
        <v>1</v>
      </c>
      <c r="D2030" s="12" t="s">
        <v>2</v>
      </c>
      <c r="E2030" s="2" t="s">
        <v>3</v>
      </c>
      <c r="F2030" s="18" t="s">
        <v>4</v>
      </c>
      <c r="G2030" s="3" t="s">
        <v>5</v>
      </c>
      <c r="H2030" s="17" t="s">
        <v>6</v>
      </c>
      <c r="I2030" s="5" t="s">
        <v>8</v>
      </c>
      <c r="J2030" t="s">
        <v>9</v>
      </c>
      <c r="K2030" t="s">
        <v>10</v>
      </c>
      <c r="L2030" s="5" t="s">
        <v>11</v>
      </c>
      <c r="M2030" s="5" t="s">
        <v>12</v>
      </c>
      <c r="N2030" t="s">
        <v>13</v>
      </c>
      <c r="O2030" t="s">
        <v>20</v>
      </c>
      <c r="P2030" s="1" t="s">
        <v>7</v>
      </c>
      <c r="Q2030" s="5" t="s">
        <v>15</v>
      </c>
      <c r="R2030" s="14" t="s">
        <v>18</v>
      </c>
      <c r="S2030" t="s">
        <v>16</v>
      </c>
      <c r="T2030" s="5" t="s">
        <v>14</v>
      </c>
      <c r="U2030" s="5" t="s">
        <v>17</v>
      </c>
      <c r="V2030" s="5" t="s">
        <v>19</v>
      </c>
      <c r="W2030" s="5"/>
      <c r="X2030" s="5"/>
      <c r="Y2030" s="5"/>
      <c r="Z2030" s="5"/>
      <c r="AA2030" s="5"/>
      <c r="AB2030" s="5"/>
      <c r="AC2030" s="5"/>
      <c r="AD2030" s="5"/>
      <c r="AE2030" s="5"/>
      <c r="AF2030" s="5"/>
      <c r="AG2030" s="5"/>
      <c r="AH2030" s="5"/>
      <c r="AI2030" s="5"/>
      <c r="AJ2030" s="5"/>
      <c r="AK2030" s="5"/>
    </row>
    <row r="2031" spans="1:37" x14ac:dyDescent="0.25">
      <c r="A2031" s="11">
        <f>Table1[[#This Row],[Milk Yield]]-J2027</f>
        <v>12</v>
      </c>
      <c r="B2031" t="s">
        <v>24</v>
      </c>
      <c r="C2031" s="2">
        <v>1</v>
      </c>
      <c r="D2031" s="12">
        <v>46018</v>
      </c>
      <c r="E2031" s="2">
        <v>29</v>
      </c>
      <c r="F2031" s="18">
        <v>0.33598379629629632</v>
      </c>
      <c r="G2031" s="3">
        <v>0.51927083333333335</v>
      </c>
      <c r="H2031" s="17">
        <v>0.18263888888888888</v>
      </c>
      <c r="I2031" s="5">
        <v>612</v>
      </c>
      <c r="J2031">
        <v>7899</v>
      </c>
      <c r="K2031">
        <v>139</v>
      </c>
      <c r="L2031" s="5">
        <v>139</v>
      </c>
      <c r="M2031" s="5">
        <v>611</v>
      </c>
      <c r="N2031">
        <v>10</v>
      </c>
      <c r="O2031">
        <v>601</v>
      </c>
      <c r="P2031" s="1">
        <v>0.23749999999999999</v>
      </c>
      <c r="Q2031" s="5">
        <v>1796</v>
      </c>
      <c r="R2031" s="14">
        <v>13</v>
      </c>
      <c r="S2031">
        <v>139</v>
      </c>
      <c r="T2031" s="5">
        <v>10</v>
      </c>
      <c r="U2031" s="5">
        <v>602</v>
      </c>
      <c r="V2031" s="5">
        <v>1</v>
      </c>
      <c r="W2031" s="5"/>
      <c r="X2031" s="5"/>
      <c r="Y2031" s="5"/>
      <c r="Z2031" s="5"/>
      <c r="AA2031" s="5"/>
      <c r="AB2031" s="5"/>
      <c r="AC2031" s="5"/>
      <c r="AD2031" s="5"/>
      <c r="AE2031" s="5"/>
      <c r="AF2031" s="5"/>
      <c r="AG2031" s="5"/>
      <c r="AH2031" s="5"/>
      <c r="AI2031" s="5"/>
      <c r="AJ2031" s="5"/>
      <c r="AK2031" s="5"/>
    </row>
    <row r="2032" spans="1:37" x14ac:dyDescent="0.25">
      <c r="A2032" s="11">
        <f>Table1[[#This Row],[Milk Yield]]-J2028</f>
        <v>149</v>
      </c>
      <c r="B2032" t="s">
        <v>24</v>
      </c>
      <c r="C2032" s="2">
        <v>2</v>
      </c>
      <c r="D2032" s="12">
        <v>46018</v>
      </c>
      <c r="E2032" s="2">
        <v>31</v>
      </c>
      <c r="F2032" s="18">
        <v>0.66850694444444447</v>
      </c>
      <c r="G2032" s="3">
        <v>0.84469907407407407</v>
      </c>
      <c r="H2032" s="17">
        <v>0.17569444444444443</v>
      </c>
      <c r="I2032" s="5">
        <v>620</v>
      </c>
      <c r="J2032">
        <v>7259</v>
      </c>
      <c r="K2032">
        <v>147</v>
      </c>
      <c r="L2032" s="5">
        <v>120</v>
      </c>
      <c r="M2032" s="5">
        <v>619</v>
      </c>
      <c r="N2032">
        <v>13</v>
      </c>
      <c r="O2032">
        <v>606</v>
      </c>
      <c r="P2032" s="1">
        <v>0.22291666666666668</v>
      </c>
      <c r="Q2032" s="5">
        <v>1717</v>
      </c>
      <c r="R2032" s="14">
        <v>11.8</v>
      </c>
      <c r="S2032">
        <v>146</v>
      </c>
      <c r="T2032" s="5">
        <v>13</v>
      </c>
      <c r="U2032" s="5">
        <v>607</v>
      </c>
      <c r="V2032" s="5">
        <v>1</v>
      </c>
      <c r="W2032" s="5"/>
      <c r="X2032" s="5"/>
      <c r="Y2032" s="5"/>
      <c r="Z2032" s="5"/>
      <c r="AA2032" s="5"/>
      <c r="AB2032" s="5"/>
      <c r="AC2032" s="5"/>
      <c r="AD2032" s="5"/>
      <c r="AE2032" s="5"/>
      <c r="AF2032" s="5"/>
      <c r="AG2032" s="5"/>
      <c r="AH2032" s="5"/>
      <c r="AI2032" s="5"/>
      <c r="AJ2032" s="5"/>
      <c r="AK2032" s="5"/>
    </row>
    <row r="2033" spans="1:37" x14ac:dyDescent="0.25">
      <c r="A2033" s="11">
        <f>Table1[[#This Row],[Milk Yield]]-J2029</f>
        <v>66</v>
      </c>
      <c r="B2033" t="s">
        <v>24</v>
      </c>
      <c r="C2033" s="2">
        <v>3</v>
      </c>
      <c r="D2033" s="12">
        <v>46018</v>
      </c>
      <c r="E2033" s="2">
        <v>28</v>
      </c>
      <c r="F2033" s="18">
        <v>4.2824074074074075E-4</v>
      </c>
      <c r="G2033" s="3">
        <v>0.14333333333333334</v>
      </c>
      <c r="H2033" s="17">
        <v>0.1423611111111111</v>
      </c>
      <c r="I2033" s="5">
        <v>617</v>
      </c>
      <c r="J2033">
        <v>6541</v>
      </c>
      <c r="K2033">
        <v>180</v>
      </c>
      <c r="L2033" s="5">
        <v>95</v>
      </c>
      <c r="M2033" s="5">
        <v>613</v>
      </c>
      <c r="N2033">
        <v>9</v>
      </c>
      <c r="O2033">
        <v>604</v>
      </c>
      <c r="P2033" s="1">
        <v>0.20833333333333334</v>
      </c>
      <c r="Q2033" s="5">
        <v>1907</v>
      </c>
      <c r="R2033" s="14">
        <v>10.7</v>
      </c>
      <c r="S2033">
        <v>179</v>
      </c>
      <c r="T2033" s="5">
        <v>9</v>
      </c>
      <c r="U2033" s="5">
        <v>605</v>
      </c>
      <c r="V2033" s="5">
        <v>1</v>
      </c>
      <c r="W2033" s="5"/>
      <c r="X2033" s="5"/>
      <c r="Y2033" s="5"/>
      <c r="Z2033" s="5"/>
      <c r="AA2033" s="5"/>
      <c r="AB2033" s="5"/>
      <c r="AC2033" s="5"/>
      <c r="AD2033" s="5"/>
      <c r="AE2033" s="5"/>
      <c r="AF2033" s="5"/>
      <c r="AG2033" s="5"/>
      <c r="AH2033" s="5"/>
      <c r="AI2033" s="5"/>
      <c r="AJ2033" s="5"/>
      <c r="AK2033" s="5"/>
    </row>
    <row r="2034" spans="1:37" x14ac:dyDescent="0.25">
      <c r="A2034" s="11" t="e">
        <f>Table1[[#This Row],[Milk Yield]]-J2030</f>
        <v>#VALUE!</v>
      </c>
      <c r="B2034" t="s">
        <v>0</v>
      </c>
      <c r="C2034" s="2" t="s">
        <v>1</v>
      </c>
      <c r="D2034" s="12" t="s">
        <v>2</v>
      </c>
      <c r="E2034" s="2" t="s">
        <v>3</v>
      </c>
      <c r="F2034" s="18" t="s">
        <v>4</v>
      </c>
      <c r="G2034" s="3" t="s">
        <v>5</v>
      </c>
      <c r="H2034" s="17" t="s">
        <v>6</v>
      </c>
      <c r="I2034" s="5" t="s">
        <v>8</v>
      </c>
      <c r="J2034" t="s">
        <v>9</v>
      </c>
      <c r="K2034" t="s">
        <v>10</v>
      </c>
      <c r="L2034" s="5" t="s">
        <v>11</v>
      </c>
      <c r="M2034" s="5" t="s">
        <v>12</v>
      </c>
      <c r="N2034" t="s">
        <v>13</v>
      </c>
      <c r="O2034" t="s">
        <v>20</v>
      </c>
      <c r="P2034" s="1" t="s">
        <v>7</v>
      </c>
      <c r="Q2034" s="5" t="s">
        <v>15</v>
      </c>
      <c r="R2034" s="14" t="s">
        <v>18</v>
      </c>
      <c r="S2034" t="s">
        <v>16</v>
      </c>
      <c r="T2034" s="5" t="s">
        <v>14</v>
      </c>
      <c r="U2034" s="5" t="s">
        <v>17</v>
      </c>
      <c r="V2034" s="5" t="s">
        <v>19</v>
      </c>
      <c r="W2034" s="5"/>
      <c r="X2034" s="5"/>
      <c r="Y2034" s="5"/>
      <c r="Z2034" s="5"/>
      <c r="AA2034" s="5"/>
      <c r="AB2034" s="5"/>
      <c r="AC2034" s="5"/>
      <c r="AD2034" s="5"/>
      <c r="AE2034" s="5"/>
      <c r="AF2034" s="5"/>
      <c r="AG2034" s="5"/>
      <c r="AH2034" s="5"/>
      <c r="AI2034" s="5"/>
      <c r="AJ2034" s="5"/>
      <c r="AK2034" s="5"/>
    </row>
    <row r="2035" spans="1:37" x14ac:dyDescent="0.25">
      <c r="A2035" s="11">
        <f>Table1[[#This Row],[Milk Yield]]-J2031</f>
        <v>-110</v>
      </c>
      <c r="B2035" t="s">
        <v>24</v>
      </c>
      <c r="C2035" s="2">
        <v>1</v>
      </c>
      <c r="D2035" s="12">
        <v>46019</v>
      </c>
      <c r="E2035" s="2">
        <v>28</v>
      </c>
      <c r="F2035" s="18">
        <v>0.33295138888888887</v>
      </c>
      <c r="G2035" s="3">
        <v>0.49650462962962966</v>
      </c>
      <c r="H2035" s="17">
        <v>0.16319444444444445</v>
      </c>
      <c r="I2035" s="5">
        <v>613</v>
      </c>
      <c r="J2035">
        <v>7789</v>
      </c>
      <c r="K2035">
        <v>156</v>
      </c>
      <c r="L2035" s="5">
        <v>32</v>
      </c>
      <c r="M2035" s="5">
        <v>613</v>
      </c>
      <c r="N2035">
        <v>3</v>
      </c>
      <c r="O2035">
        <v>610</v>
      </c>
      <c r="P2035" s="1">
        <v>0.23055555555555557</v>
      </c>
      <c r="Q2035" s="5">
        <v>1984</v>
      </c>
      <c r="R2035" s="14">
        <v>12.8</v>
      </c>
      <c r="S2035">
        <v>156</v>
      </c>
      <c r="T2035" s="5">
        <v>3</v>
      </c>
      <c r="U2035" s="5">
        <v>611</v>
      </c>
      <c r="V2035" s="5">
        <v>1</v>
      </c>
      <c r="W2035" s="5"/>
      <c r="X2035" s="5"/>
      <c r="Y2035" s="5"/>
      <c r="Z2035" s="5"/>
      <c r="AA2035" s="5"/>
      <c r="AB2035" s="5"/>
      <c r="AC2035" s="5"/>
      <c r="AD2035" s="5"/>
      <c r="AE2035" s="5"/>
      <c r="AF2035" s="5"/>
      <c r="AG2035" s="5"/>
      <c r="AH2035" s="5"/>
      <c r="AI2035" s="5"/>
      <c r="AJ2035" s="5"/>
      <c r="AK2035" s="5"/>
    </row>
    <row r="2036" spans="1:37" x14ac:dyDescent="0.25">
      <c r="A2036" s="11">
        <f>Table1[[#This Row],[Milk Yield]]-J2032</f>
        <v>182</v>
      </c>
      <c r="B2036" t="s">
        <v>24</v>
      </c>
      <c r="C2036" s="2">
        <v>2</v>
      </c>
      <c r="D2036" s="12">
        <v>46019</v>
      </c>
      <c r="E2036" s="2">
        <v>31</v>
      </c>
      <c r="F2036" s="18">
        <v>0.66813657407407412</v>
      </c>
      <c r="G2036" s="3">
        <v>0.83060185185185187</v>
      </c>
      <c r="H2036" s="17">
        <v>0.16180555555555556</v>
      </c>
      <c r="I2036" s="5">
        <v>625</v>
      </c>
      <c r="J2036">
        <v>7441</v>
      </c>
      <c r="K2036">
        <v>160</v>
      </c>
      <c r="L2036" s="5">
        <v>95</v>
      </c>
      <c r="M2036" s="5">
        <v>625</v>
      </c>
      <c r="N2036">
        <v>11</v>
      </c>
      <c r="O2036">
        <v>614</v>
      </c>
      <c r="P2036" s="1">
        <v>0.22708333333333333</v>
      </c>
      <c r="Q2036" s="5">
        <v>1908</v>
      </c>
      <c r="R2036" s="14">
        <v>12</v>
      </c>
      <c r="S2036">
        <v>160</v>
      </c>
      <c r="T2036" s="5">
        <v>11</v>
      </c>
      <c r="U2036" s="5">
        <v>615</v>
      </c>
      <c r="V2036" s="5">
        <v>1</v>
      </c>
      <c r="W2036" s="5"/>
      <c r="X2036" s="5"/>
      <c r="Y2036" s="5"/>
      <c r="Z2036" s="5"/>
      <c r="AA2036" s="5"/>
      <c r="AB2036" s="5"/>
      <c r="AC2036" s="5"/>
      <c r="AD2036" s="5"/>
      <c r="AE2036" s="5"/>
      <c r="AF2036" s="5"/>
      <c r="AG2036" s="5"/>
      <c r="AH2036" s="5"/>
      <c r="AI2036" s="5"/>
      <c r="AJ2036" s="5"/>
      <c r="AK2036" s="5"/>
    </row>
    <row r="2037" spans="1:37" x14ac:dyDescent="0.25">
      <c r="A2037" s="11">
        <f>Table1[[#This Row],[Milk Yield]]-J2033</f>
        <v>218</v>
      </c>
      <c r="B2037" t="s">
        <v>24</v>
      </c>
      <c r="C2037" s="2">
        <v>3</v>
      </c>
      <c r="D2037" s="12">
        <v>46019</v>
      </c>
      <c r="E2037" s="2">
        <v>28</v>
      </c>
      <c r="F2037" s="18">
        <v>1.7824074074074075E-3</v>
      </c>
      <c r="G2037" s="3">
        <v>0.1436574074074074</v>
      </c>
      <c r="H2037" s="17">
        <v>0.14166666666666666</v>
      </c>
      <c r="I2037" s="5">
        <v>621</v>
      </c>
      <c r="J2037">
        <v>6759</v>
      </c>
      <c r="K2037">
        <v>182</v>
      </c>
      <c r="L2037" s="5">
        <v>95</v>
      </c>
      <c r="M2037" s="5">
        <v>621</v>
      </c>
      <c r="N2037">
        <v>8</v>
      </c>
      <c r="O2037">
        <v>613</v>
      </c>
      <c r="P2037" s="1">
        <v>0.20972222222222223</v>
      </c>
      <c r="Q2037" s="5">
        <v>1985</v>
      </c>
      <c r="R2037" s="14">
        <v>10.9</v>
      </c>
      <c r="S2037">
        <v>182</v>
      </c>
      <c r="T2037" s="5">
        <v>8</v>
      </c>
      <c r="U2037" s="5">
        <v>614</v>
      </c>
      <c r="V2037" s="5">
        <v>1</v>
      </c>
      <c r="W2037" s="5"/>
      <c r="X2037" s="5"/>
      <c r="Y2037" s="5"/>
      <c r="Z2037" s="5"/>
      <c r="AA2037" s="5"/>
      <c r="AB2037" s="5"/>
      <c r="AC2037" s="5"/>
      <c r="AD2037" s="5"/>
      <c r="AE2037" s="5"/>
      <c r="AF2037" s="5"/>
      <c r="AG2037" s="5"/>
      <c r="AH2037" s="5"/>
      <c r="AI2037" s="5"/>
      <c r="AJ2037" s="5"/>
      <c r="AK2037" s="5"/>
    </row>
    <row r="2038" spans="1:37" x14ac:dyDescent="0.25">
      <c r="A2038" s="11" t="e">
        <f>Table1[[#This Row],[Milk Yield]]-J2034</f>
        <v>#VALUE!</v>
      </c>
      <c r="B2038" t="s">
        <v>0</v>
      </c>
      <c r="C2038" s="2" t="s">
        <v>1</v>
      </c>
      <c r="D2038" s="12" t="s">
        <v>2</v>
      </c>
      <c r="E2038" s="2" t="s">
        <v>3</v>
      </c>
      <c r="F2038" s="18" t="s">
        <v>4</v>
      </c>
      <c r="G2038" s="3" t="s">
        <v>5</v>
      </c>
      <c r="H2038" s="17" t="s">
        <v>6</v>
      </c>
      <c r="I2038" s="5" t="s">
        <v>8</v>
      </c>
      <c r="J2038" t="s">
        <v>9</v>
      </c>
      <c r="K2038" t="s">
        <v>10</v>
      </c>
      <c r="L2038" s="5" t="s">
        <v>11</v>
      </c>
      <c r="M2038" s="5" t="s">
        <v>12</v>
      </c>
      <c r="N2038" t="s">
        <v>13</v>
      </c>
      <c r="O2038" t="s">
        <v>20</v>
      </c>
      <c r="P2038" s="1" t="s">
        <v>7</v>
      </c>
      <c r="Q2038" s="5" t="s">
        <v>15</v>
      </c>
      <c r="R2038" s="14" t="s">
        <v>18</v>
      </c>
      <c r="S2038" t="s">
        <v>16</v>
      </c>
      <c r="T2038" s="5" t="s">
        <v>14</v>
      </c>
      <c r="U2038" s="5" t="s">
        <v>17</v>
      </c>
      <c r="V2038" s="5" t="s">
        <v>19</v>
      </c>
      <c r="W2038" s="5"/>
      <c r="X2038" s="5"/>
      <c r="Y2038" s="5"/>
      <c r="Z2038" s="5"/>
      <c r="AA2038" s="5"/>
      <c r="AB2038" s="5"/>
      <c r="AC2038" s="5"/>
      <c r="AD2038" s="5"/>
      <c r="AE2038" s="5"/>
      <c r="AF2038" s="5"/>
      <c r="AG2038" s="5"/>
      <c r="AH2038" s="5"/>
      <c r="AI2038" s="5"/>
      <c r="AJ2038" s="5"/>
      <c r="AK2038" s="5"/>
    </row>
    <row r="2039" spans="1:37" x14ac:dyDescent="0.25">
      <c r="A2039" s="11">
        <f>Table1[[#This Row],[Milk Yield]]-J2035</f>
        <v>345</v>
      </c>
      <c r="B2039" t="s">
        <v>24</v>
      </c>
      <c r="C2039" s="2">
        <v>1</v>
      </c>
      <c r="D2039" s="12">
        <v>46020</v>
      </c>
      <c r="E2039" s="2">
        <v>28</v>
      </c>
      <c r="F2039" s="18">
        <v>0.33500000000000002</v>
      </c>
      <c r="G2039" s="3">
        <v>0.50616898148148148</v>
      </c>
      <c r="H2039" s="17">
        <v>0.17083333333333334</v>
      </c>
      <c r="I2039" s="5">
        <v>621</v>
      </c>
      <c r="J2039">
        <v>8134</v>
      </c>
      <c r="K2039">
        <v>151</v>
      </c>
      <c r="L2039" s="5">
        <v>91</v>
      </c>
      <c r="M2039" s="5">
        <v>621</v>
      </c>
      <c r="N2039">
        <v>8</v>
      </c>
      <c r="O2039">
        <v>613</v>
      </c>
      <c r="P2039" s="1">
        <v>0.24444444444444444</v>
      </c>
      <c r="Q2039" s="5">
        <v>1980</v>
      </c>
      <c r="R2039" s="14">
        <v>13.1</v>
      </c>
      <c r="S2039">
        <v>151</v>
      </c>
      <c r="T2039" s="5">
        <v>8</v>
      </c>
      <c r="U2039" s="5">
        <v>614</v>
      </c>
      <c r="V2039" s="5">
        <v>1</v>
      </c>
      <c r="W2039" s="5"/>
      <c r="X2039" s="5"/>
      <c r="Y2039" s="5"/>
      <c r="Z2039" s="5"/>
      <c r="AA2039" s="5"/>
      <c r="AB2039" s="5"/>
      <c r="AC2039" s="5"/>
      <c r="AD2039" s="5"/>
      <c r="AE2039" s="5"/>
      <c r="AF2039" s="5"/>
      <c r="AG2039" s="5"/>
      <c r="AH2039" s="5"/>
      <c r="AI2039" s="5"/>
      <c r="AJ2039" s="5"/>
      <c r="AK2039" s="5"/>
    </row>
    <row r="2040" spans="1:37" x14ac:dyDescent="0.25">
      <c r="A2040" s="11">
        <f>Table1[[#This Row],[Milk Yield]]-J2036</f>
        <v>-397</v>
      </c>
      <c r="B2040" t="s">
        <v>24</v>
      </c>
      <c r="C2040" s="2">
        <v>2</v>
      </c>
      <c r="D2040" s="12">
        <v>46020</v>
      </c>
      <c r="E2040" s="2">
        <v>31</v>
      </c>
      <c r="F2040" s="18">
        <v>0.66793981481481479</v>
      </c>
      <c r="G2040" s="3">
        <v>0.82836805555555559</v>
      </c>
      <c r="H2040" s="17">
        <v>0.16041666666666668</v>
      </c>
      <c r="I2040" s="5">
        <v>627</v>
      </c>
      <c r="J2040">
        <v>7044</v>
      </c>
      <c r="K2040">
        <v>163</v>
      </c>
      <c r="L2040" s="5">
        <v>131</v>
      </c>
      <c r="M2040" s="5">
        <v>625</v>
      </c>
      <c r="N2040">
        <v>15</v>
      </c>
      <c r="O2040">
        <v>610</v>
      </c>
      <c r="P2040" s="1">
        <v>0.21805555555555556</v>
      </c>
      <c r="Q2040" s="5">
        <v>1829</v>
      </c>
      <c r="R2040" s="14">
        <v>11.3</v>
      </c>
      <c r="S2040">
        <v>162</v>
      </c>
      <c r="T2040" s="5">
        <v>15</v>
      </c>
      <c r="U2040" s="5">
        <v>611</v>
      </c>
      <c r="V2040" s="5">
        <v>1</v>
      </c>
      <c r="W2040" s="5"/>
      <c r="X2040" s="5"/>
      <c r="Y2040" s="5"/>
      <c r="Z2040" s="5"/>
      <c r="AA2040" s="5"/>
      <c r="AB2040" s="5"/>
      <c r="AC2040" s="5"/>
      <c r="AD2040" s="5"/>
      <c r="AE2040" s="5"/>
      <c r="AF2040" s="5"/>
      <c r="AG2040" s="5"/>
      <c r="AH2040" s="5"/>
      <c r="AI2040" s="5"/>
      <c r="AJ2040" s="5"/>
      <c r="AK2040" s="5"/>
    </row>
    <row r="2041" spans="1:37" x14ac:dyDescent="0.25">
      <c r="A2041" s="11">
        <f>Table1[[#This Row],[Milk Yield]]-J2037</f>
        <v>461</v>
      </c>
      <c r="B2041" t="s">
        <v>24</v>
      </c>
      <c r="C2041" s="2">
        <v>3</v>
      </c>
      <c r="D2041" s="12">
        <v>46020</v>
      </c>
      <c r="E2041" s="2">
        <v>28</v>
      </c>
      <c r="F2041" s="18">
        <v>0.99930555555555556</v>
      </c>
      <c r="G2041" s="3">
        <v>0.16622685185185185</v>
      </c>
      <c r="H2041" s="17">
        <v>0.16666666666666666</v>
      </c>
      <c r="I2041" s="5">
        <v>624</v>
      </c>
      <c r="J2041">
        <v>7220</v>
      </c>
      <c r="K2041">
        <v>156</v>
      </c>
      <c r="L2041" s="5">
        <v>95</v>
      </c>
      <c r="M2041" s="5">
        <v>623</v>
      </c>
      <c r="N2041">
        <v>12</v>
      </c>
      <c r="O2041">
        <v>611</v>
      </c>
      <c r="P2041" s="1">
        <v>0.21666666666666667</v>
      </c>
      <c r="Q2041" s="5">
        <v>1802</v>
      </c>
      <c r="R2041" s="14">
        <v>11.6</v>
      </c>
      <c r="S2041">
        <v>156</v>
      </c>
      <c r="T2041" s="5">
        <v>12</v>
      </c>
      <c r="U2041" s="5">
        <v>612</v>
      </c>
      <c r="V2041" s="5">
        <v>1</v>
      </c>
      <c r="W2041" s="5"/>
      <c r="X2041" s="5"/>
      <c r="Y2041" s="5"/>
      <c r="Z2041" s="5"/>
      <c r="AA2041" s="5"/>
      <c r="AB2041" s="5"/>
      <c r="AC2041" s="5"/>
      <c r="AD2041" s="5"/>
      <c r="AE2041" s="5"/>
      <c r="AF2041" s="5"/>
      <c r="AG2041" s="5"/>
      <c r="AH2041" s="5"/>
      <c r="AI2041" s="5"/>
      <c r="AJ2041" s="5"/>
      <c r="AK2041" s="5"/>
    </row>
    <row r="2042" spans="1:37" x14ac:dyDescent="0.25">
      <c r="A2042" s="11" t="e">
        <f>Table1[[#This Row],[Milk Yield]]-J2038</f>
        <v>#VALUE!</v>
      </c>
      <c r="B2042" t="s">
        <v>0</v>
      </c>
      <c r="C2042" s="2" t="s">
        <v>1</v>
      </c>
      <c r="D2042" s="12" t="s">
        <v>2</v>
      </c>
      <c r="E2042" s="2" t="s">
        <v>3</v>
      </c>
      <c r="F2042" s="18" t="s">
        <v>4</v>
      </c>
      <c r="G2042" s="3" t="s">
        <v>5</v>
      </c>
      <c r="H2042" s="17" t="s">
        <v>6</v>
      </c>
      <c r="I2042" s="5" t="s">
        <v>8</v>
      </c>
      <c r="J2042" t="s">
        <v>9</v>
      </c>
      <c r="K2042" t="s">
        <v>10</v>
      </c>
      <c r="L2042" s="5" t="s">
        <v>11</v>
      </c>
      <c r="M2042" s="5" t="s">
        <v>12</v>
      </c>
      <c r="N2042" t="s">
        <v>13</v>
      </c>
      <c r="O2042" t="s">
        <v>20</v>
      </c>
      <c r="P2042" s="1" t="s">
        <v>7</v>
      </c>
      <c r="Q2042" s="5" t="s">
        <v>15</v>
      </c>
      <c r="R2042" s="14" t="s">
        <v>18</v>
      </c>
      <c r="S2042" t="s">
        <v>16</v>
      </c>
      <c r="T2042" s="5" t="s">
        <v>14</v>
      </c>
      <c r="U2042" s="5" t="s">
        <v>17</v>
      </c>
      <c r="V2042" s="5" t="s">
        <v>19</v>
      </c>
      <c r="W2042" s="5"/>
      <c r="X2042" s="5"/>
      <c r="Y2042" s="5"/>
      <c r="Z2042" s="5"/>
      <c r="AA2042" s="5"/>
      <c r="AB2042" s="5"/>
      <c r="AC2042" s="5"/>
      <c r="AD2042" s="5"/>
      <c r="AE2042" s="5"/>
      <c r="AF2042" s="5"/>
      <c r="AG2042" s="5"/>
      <c r="AH2042" s="5"/>
      <c r="AI2042" s="5"/>
      <c r="AJ2042" s="5"/>
      <c r="AK2042" s="5"/>
    </row>
    <row r="2043" spans="1:37" x14ac:dyDescent="0.25">
      <c r="A2043" s="11">
        <f>Table1[[#This Row],[Milk Yield]]-J2039</f>
        <v>-221</v>
      </c>
      <c r="B2043" t="s">
        <v>24</v>
      </c>
      <c r="C2043" s="2">
        <v>1</v>
      </c>
      <c r="D2043" s="12">
        <v>46021</v>
      </c>
      <c r="E2043" s="2">
        <v>28</v>
      </c>
      <c r="F2043" s="18">
        <v>0.33653935185185185</v>
      </c>
      <c r="G2043" s="3">
        <v>0.50479166666666664</v>
      </c>
      <c r="H2043" s="17">
        <v>0.16805555555555557</v>
      </c>
      <c r="I2043" s="5">
        <v>620</v>
      </c>
      <c r="J2043">
        <v>7913</v>
      </c>
      <c r="K2043">
        <v>154</v>
      </c>
      <c r="L2043" s="5">
        <v>129</v>
      </c>
      <c r="M2043" s="5">
        <v>619</v>
      </c>
      <c r="N2043">
        <v>11</v>
      </c>
      <c r="O2043">
        <v>608</v>
      </c>
      <c r="P2043" s="1">
        <v>0.2361111111111111</v>
      </c>
      <c r="Q2043" s="5">
        <v>1960</v>
      </c>
      <c r="R2043" s="14">
        <v>12.8</v>
      </c>
      <c r="S2043">
        <v>153</v>
      </c>
      <c r="T2043" s="5">
        <v>11</v>
      </c>
      <c r="U2043" s="5">
        <v>609</v>
      </c>
      <c r="V2043" s="5">
        <v>1</v>
      </c>
      <c r="W2043" s="5"/>
      <c r="X2043" s="5"/>
      <c r="Y2043" s="5"/>
      <c r="Z2043" s="5"/>
      <c r="AA2043" s="5"/>
      <c r="AB2043" s="5"/>
      <c r="AC2043" s="5"/>
      <c r="AD2043" s="5"/>
      <c r="AE2043" s="5"/>
      <c r="AF2043" s="5"/>
      <c r="AG2043" s="5"/>
      <c r="AH2043" s="5"/>
      <c r="AI2043" s="5"/>
      <c r="AJ2043" s="5"/>
      <c r="AK2043" s="5"/>
    </row>
    <row r="2044" spans="1:37" x14ac:dyDescent="0.25">
      <c r="A2044" s="11">
        <f>Table1[[#This Row],[Milk Yield]]-J2040</f>
        <v>137</v>
      </c>
      <c r="B2044" t="s">
        <v>24</v>
      </c>
      <c r="C2044" s="2">
        <v>2</v>
      </c>
      <c r="D2044" s="12">
        <v>46021</v>
      </c>
      <c r="E2044" s="2">
        <v>32</v>
      </c>
      <c r="F2044" s="18">
        <v>0.66600694444444442</v>
      </c>
      <c r="G2044" s="3">
        <v>0.83380787037037041</v>
      </c>
      <c r="H2044" s="17">
        <v>0.1673611111111111</v>
      </c>
      <c r="I2044" s="5">
        <v>629</v>
      </c>
      <c r="J2044">
        <v>7181</v>
      </c>
      <c r="K2044">
        <v>156</v>
      </c>
      <c r="L2044" s="5">
        <v>273</v>
      </c>
      <c r="M2044" s="5">
        <v>628</v>
      </c>
      <c r="N2044">
        <v>29</v>
      </c>
      <c r="O2044">
        <v>599</v>
      </c>
      <c r="P2044" s="1">
        <v>0.22430555555555556</v>
      </c>
      <c r="Q2044" s="5">
        <v>1783</v>
      </c>
      <c r="R2044" s="14">
        <v>11.5</v>
      </c>
      <c r="S2044">
        <v>156</v>
      </c>
      <c r="T2044" s="5">
        <v>29</v>
      </c>
      <c r="U2044" s="5">
        <v>600</v>
      </c>
      <c r="V2044" s="5">
        <v>1</v>
      </c>
      <c r="W2044" s="5"/>
      <c r="X2044" s="5"/>
      <c r="Y2044" s="5"/>
      <c r="Z2044" s="5"/>
      <c r="AA2044" s="5"/>
      <c r="AB2044" s="5"/>
      <c r="AC2044" s="5"/>
      <c r="AD2044" s="5"/>
      <c r="AE2044" s="5"/>
      <c r="AF2044" s="5"/>
      <c r="AG2044" s="5"/>
      <c r="AH2044" s="5"/>
      <c r="AI2044" s="5"/>
      <c r="AJ2044" s="5"/>
      <c r="AK2044" s="5"/>
    </row>
    <row r="2045" spans="1:37" x14ac:dyDescent="0.25">
      <c r="A2045" s="11">
        <f>Table1[[#This Row],[Milk Yield]]-J2041</f>
        <v>-532</v>
      </c>
      <c r="B2045" t="s">
        <v>24</v>
      </c>
      <c r="C2045" s="2">
        <v>3</v>
      </c>
      <c r="D2045" s="12">
        <v>46021</v>
      </c>
      <c r="E2045" s="2">
        <v>27</v>
      </c>
      <c r="F2045" s="18">
        <v>0.99829861111111107</v>
      </c>
      <c r="G2045" s="3">
        <v>0.15268518518518517</v>
      </c>
      <c r="H2045" s="17">
        <v>0.15416666666666667</v>
      </c>
      <c r="I2045" s="5">
        <v>624</v>
      </c>
      <c r="J2045">
        <v>6688</v>
      </c>
      <c r="K2045">
        <v>168</v>
      </c>
      <c r="L2045" s="5">
        <v>357</v>
      </c>
      <c r="M2045" s="5">
        <v>622</v>
      </c>
      <c r="N2045">
        <v>28</v>
      </c>
      <c r="O2045">
        <v>594</v>
      </c>
      <c r="P2045" s="1">
        <v>0.21944444444444444</v>
      </c>
      <c r="Q2045" s="5">
        <v>1805</v>
      </c>
      <c r="R2045" s="14">
        <v>10.8</v>
      </c>
      <c r="S2045">
        <v>168</v>
      </c>
      <c r="T2045" s="5">
        <v>28</v>
      </c>
      <c r="U2045" s="5">
        <v>595</v>
      </c>
      <c r="V2045" s="5">
        <v>1</v>
      </c>
      <c r="W2045" s="5"/>
      <c r="X2045" s="5"/>
      <c r="Y2045" s="5"/>
      <c r="Z2045" s="5"/>
      <c r="AA2045" s="5"/>
      <c r="AB2045" s="5"/>
      <c r="AC2045" s="5"/>
      <c r="AD2045" s="5"/>
      <c r="AE2045" s="5"/>
      <c r="AF2045" s="5"/>
      <c r="AG2045" s="5"/>
      <c r="AH2045" s="5"/>
      <c r="AI2045" s="5"/>
      <c r="AJ2045" s="5"/>
      <c r="AK2045" s="5"/>
    </row>
    <row r="2046" spans="1:37" x14ac:dyDescent="0.25">
      <c r="A2046" s="11" t="e">
        <f>Table1[[#This Row],[Milk Yield]]-J2042</f>
        <v>#VALUE!</v>
      </c>
      <c r="B2046" t="s">
        <v>0</v>
      </c>
      <c r="C2046" s="2" t="s">
        <v>1</v>
      </c>
      <c r="D2046" s="12" t="s">
        <v>2</v>
      </c>
      <c r="E2046" s="2" t="s">
        <v>3</v>
      </c>
      <c r="F2046" s="18" t="s">
        <v>4</v>
      </c>
      <c r="G2046" s="3" t="s">
        <v>5</v>
      </c>
      <c r="H2046" s="17" t="s">
        <v>6</v>
      </c>
      <c r="I2046" s="5" t="s">
        <v>8</v>
      </c>
      <c r="J2046" t="s">
        <v>9</v>
      </c>
      <c r="K2046" t="s">
        <v>10</v>
      </c>
      <c r="L2046" s="5" t="s">
        <v>11</v>
      </c>
      <c r="M2046" s="5" t="s">
        <v>12</v>
      </c>
      <c r="N2046" t="s">
        <v>13</v>
      </c>
      <c r="O2046" t="s">
        <v>20</v>
      </c>
      <c r="P2046" s="1" t="s">
        <v>7</v>
      </c>
      <c r="Q2046" s="5" t="s">
        <v>15</v>
      </c>
      <c r="R2046" s="14" t="s">
        <v>18</v>
      </c>
      <c r="S2046" t="s">
        <v>16</v>
      </c>
      <c r="T2046" s="5" t="s">
        <v>14</v>
      </c>
      <c r="U2046" s="5" t="s">
        <v>17</v>
      </c>
      <c r="V2046" s="5" t="s">
        <v>19</v>
      </c>
      <c r="W2046" s="5"/>
      <c r="X2046" s="5"/>
      <c r="Y2046" s="5"/>
      <c r="Z2046" s="5"/>
      <c r="AA2046" s="5"/>
      <c r="AB2046" s="5"/>
      <c r="AC2046" s="5"/>
      <c r="AD2046" s="5"/>
      <c r="AE2046" s="5"/>
      <c r="AF2046" s="5"/>
      <c r="AG2046" s="5"/>
      <c r="AH2046" s="5"/>
      <c r="AI2046" s="5"/>
      <c r="AJ2046" s="5"/>
      <c r="AK2046" s="5"/>
    </row>
    <row r="2047" spans="1:37" x14ac:dyDescent="0.25">
      <c r="A2047" s="11">
        <f>Table1[[#This Row],[Milk Yield]]-J2043</f>
        <v>-84</v>
      </c>
      <c r="B2047" t="s">
        <v>24</v>
      </c>
      <c r="C2047" s="2">
        <v>1</v>
      </c>
      <c r="D2047" s="12">
        <v>46022</v>
      </c>
      <c r="E2047" s="2">
        <v>30</v>
      </c>
      <c r="F2047" s="18">
        <v>0.33381944444444445</v>
      </c>
      <c r="G2047" s="3">
        <v>0.5181944444444444</v>
      </c>
      <c r="H2047" s="17">
        <v>0.18402777777777779</v>
      </c>
      <c r="I2047" s="5">
        <v>623</v>
      </c>
      <c r="J2047">
        <v>7829</v>
      </c>
      <c r="K2047">
        <v>141</v>
      </c>
      <c r="L2047" s="5">
        <v>98</v>
      </c>
      <c r="M2047" s="5">
        <v>623</v>
      </c>
      <c r="N2047">
        <v>10</v>
      </c>
      <c r="O2047">
        <v>613</v>
      </c>
      <c r="P2047" s="1">
        <v>0.23819444444444443</v>
      </c>
      <c r="Q2047" s="5">
        <v>1769</v>
      </c>
      <c r="R2047" s="14">
        <v>12.6</v>
      </c>
      <c r="S2047">
        <v>141</v>
      </c>
      <c r="T2047" s="5">
        <v>10</v>
      </c>
      <c r="U2047" s="5">
        <v>614</v>
      </c>
      <c r="V2047" s="5">
        <v>1</v>
      </c>
      <c r="W2047" s="5"/>
      <c r="X2047" s="5"/>
      <c r="Y2047" s="5"/>
      <c r="Z2047" s="5"/>
      <c r="AA2047" s="5"/>
      <c r="AB2047" s="5"/>
      <c r="AC2047" s="5"/>
      <c r="AD2047" s="5"/>
      <c r="AE2047" s="5"/>
      <c r="AF2047" s="5"/>
      <c r="AG2047" s="5"/>
      <c r="AH2047" s="5"/>
      <c r="AI2047" s="5"/>
      <c r="AJ2047" s="5"/>
      <c r="AK2047" s="5"/>
    </row>
    <row r="2048" spans="1:37" x14ac:dyDescent="0.25">
      <c r="A2048" s="11">
        <f>Table1[[#This Row],[Milk Yield]]-J2044</f>
        <v>-69</v>
      </c>
      <c r="B2048" t="s">
        <v>24</v>
      </c>
      <c r="C2048" s="2">
        <v>2</v>
      </c>
      <c r="D2048" s="12">
        <v>46022</v>
      </c>
      <c r="E2048" s="2">
        <v>31</v>
      </c>
      <c r="F2048" s="18">
        <v>0.66630787037037043</v>
      </c>
      <c r="G2048" s="3">
        <v>0.83567129629629633</v>
      </c>
      <c r="H2048" s="17">
        <v>0.16875000000000001</v>
      </c>
      <c r="I2048" s="5">
        <v>629</v>
      </c>
      <c r="J2048">
        <v>7112</v>
      </c>
      <c r="K2048">
        <v>155</v>
      </c>
      <c r="L2048" s="5">
        <v>88</v>
      </c>
      <c r="M2048" s="5">
        <v>629</v>
      </c>
      <c r="N2048">
        <v>11</v>
      </c>
      <c r="O2048">
        <v>618</v>
      </c>
      <c r="P2048" s="1">
        <v>0.22569444444444445</v>
      </c>
      <c r="Q2048" s="5">
        <v>1750</v>
      </c>
      <c r="R2048" s="14">
        <v>11.4</v>
      </c>
      <c r="S2048">
        <v>155</v>
      </c>
      <c r="T2048" s="5">
        <v>11</v>
      </c>
      <c r="U2048" s="5">
        <v>619</v>
      </c>
      <c r="V2048" s="5">
        <v>1</v>
      </c>
      <c r="W2048" s="5"/>
      <c r="X2048" s="5"/>
      <c r="Y2048" s="5"/>
      <c r="Z2048" s="5"/>
      <c r="AA2048" s="5"/>
      <c r="AB2048" s="5"/>
      <c r="AC2048" s="5"/>
      <c r="AD2048" s="5"/>
      <c r="AE2048" s="5"/>
      <c r="AF2048" s="5"/>
      <c r="AG2048" s="5"/>
      <c r="AH2048" s="5"/>
      <c r="AI2048" s="5"/>
      <c r="AJ2048" s="5"/>
      <c r="AK2048" s="5"/>
    </row>
    <row r="2049" spans="1:37" x14ac:dyDescent="0.25">
      <c r="A2049" s="11">
        <f>Table1[[#This Row],[Milk Yield]]-J2045</f>
        <v>51</v>
      </c>
      <c r="B2049" t="s">
        <v>24</v>
      </c>
      <c r="C2049" s="2">
        <v>3</v>
      </c>
      <c r="D2049" s="12">
        <v>46022</v>
      </c>
      <c r="E2049" s="2">
        <v>27</v>
      </c>
      <c r="F2049" s="18">
        <v>4.9537037037037041E-3</v>
      </c>
      <c r="G2049" s="3">
        <v>0.14872685185185186</v>
      </c>
      <c r="H2049" s="17">
        <v>0.14374999999999999</v>
      </c>
      <c r="I2049" s="5">
        <v>625</v>
      </c>
      <c r="J2049">
        <v>6739</v>
      </c>
      <c r="K2049">
        <v>181</v>
      </c>
      <c r="L2049" s="5">
        <v>139</v>
      </c>
      <c r="M2049" s="5">
        <v>625</v>
      </c>
      <c r="N2049">
        <v>12</v>
      </c>
      <c r="O2049">
        <v>613</v>
      </c>
      <c r="P2049" s="1">
        <v>0.21041666666666667</v>
      </c>
      <c r="Q2049" s="5">
        <v>1953</v>
      </c>
      <c r="R2049" s="14">
        <v>10.8</v>
      </c>
      <c r="S2049">
        <v>181</v>
      </c>
      <c r="T2049" s="5">
        <v>12</v>
      </c>
      <c r="U2049" s="5">
        <v>614</v>
      </c>
      <c r="V2049" s="5">
        <v>1</v>
      </c>
      <c r="W2049" s="5"/>
      <c r="X2049" s="5"/>
      <c r="Y2049" s="5"/>
      <c r="Z2049" s="5"/>
      <c r="AA2049" s="5"/>
      <c r="AB2049" s="5"/>
      <c r="AC2049" s="5"/>
      <c r="AD2049" s="5"/>
      <c r="AE2049" s="5"/>
      <c r="AF2049" s="5"/>
      <c r="AG2049" s="5"/>
      <c r="AH2049" s="5"/>
      <c r="AI2049" s="5"/>
      <c r="AJ2049" s="5"/>
      <c r="AK2049" s="5"/>
    </row>
    <row r="2050" spans="1:37" x14ac:dyDescent="0.25">
      <c r="A2050" s="11" t="e">
        <f>Table1[[#This Row],[Milk Yield]]-J2046</f>
        <v>#VALUE!</v>
      </c>
      <c r="B2050" t="s">
        <v>0</v>
      </c>
      <c r="C2050" s="2" t="s">
        <v>1</v>
      </c>
      <c r="D2050" s="12" t="s">
        <v>2</v>
      </c>
      <c r="E2050" s="2" t="s">
        <v>3</v>
      </c>
      <c r="F2050" s="18" t="s">
        <v>4</v>
      </c>
      <c r="G2050" s="3" t="s">
        <v>5</v>
      </c>
      <c r="H2050" s="17" t="s">
        <v>6</v>
      </c>
      <c r="I2050" s="5" t="s">
        <v>8</v>
      </c>
      <c r="J2050" t="s">
        <v>9</v>
      </c>
      <c r="K2050" t="s">
        <v>10</v>
      </c>
      <c r="L2050" s="5" t="s">
        <v>11</v>
      </c>
      <c r="M2050" s="5" t="s">
        <v>12</v>
      </c>
      <c r="N2050" t="s">
        <v>13</v>
      </c>
      <c r="O2050" t="s">
        <v>20</v>
      </c>
      <c r="P2050" s="1" t="s">
        <v>7</v>
      </c>
      <c r="Q2050" s="5" t="s">
        <v>15</v>
      </c>
      <c r="R2050" s="14" t="s">
        <v>18</v>
      </c>
      <c r="S2050" t="s">
        <v>16</v>
      </c>
      <c r="T2050" s="5" t="s">
        <v>14</v>
      </c>
      <c r="U2050" s="5" t="s">
        <v>17</v>
      </c>
      <c r="V2050" s="5" t="s">
        <v>19</v>
      </c>
      <c r="W2050" s="5"/>
      <c r="X2050" s="5"/>
      <c r="Y2050" s="5"/>
      <c r="Z2050" s="5"/>
      <c r="AA2050" s="5"/>
      <c r="AB2050" s="5"/>
      <c r="AC2050" s="5"/>
      <c r="AD2050" s="5"/>
      <c r="AE2050" s="5"/>
      <c r="AF2050" s="5"/>
      <c r="AG2050" s="5"/>
      <c r="AH2050" s="5"/>
      <c r="AI2050" s="5"/>
      <c r="AJ2050" s="5"/>
      <c r="AK2050" s="5"/>
    </row>
    <row r="2051" spans="1:37" x14ac:dyDescent="0.25">
      <c r="A2051" s="11">
        <f>Table1[[#This Row],[Milk Yield]]-J2047</f>
        <v>-111</v>
      </c>
      <c r="B2051" t="s">
        <v>24</v>
      </c>
      <c r="C2051" s="2">
        <v>1</v>
      </c>
      <c r="D2051" s="12">
        <v>46023</v>
      </c>
      <c r="E2051" s="2">
        <v>28</v>
      </c>
      <c r="F2051" s="18">
        <v>0.33686342592592594</v>
      </c>
      <c r="G2051" s="3">
        <v>0.50743055555555561</v>
      </c>
      <c r="H2051" s="17">
        <v>0.1701388888888889</v>
      </c>
      <c r="I2051" s="5">
        <v>627</v>
      </c>
      <c r="J2051">
        <v>7718</v>
      </c>
      <c r="K2051">
        <v>153</v>
      </c>
      <c r="L2051" s="5">
        <v>165</v>
      </c>
      <c r="M2051" s="5">
        <v>626</v>
      </c>
      <c r="N2051">
        <v>16</v>
      </c>
      <c r="O2051">
        <v>610</v>
      </c>
      <c r="P2051" s="1">
        <v>0.23749999999999999</v>
      </c>
      <c r="Q2051" s="5">
        <v>1885</v>
      </c>
      <c r="R2051" s="14">
        <v>12.4</v>
      </c>
      <c r="S2051">
        <v>153</v>
      </c>
      <c r="T2051" s="5">
        <v>16</v>
      </c>
      <c r="U2051" s="5">
        <v>611</v>
      </c>
      <c r="V2051" s="5">
        <v>1</v>
      </c>
      <c r="W2051" s="5"/>
      <c r="X2051" s="5"/>
      <c r="Y2051" s="5"/>
      <c r="Z2051" s="5"/>
      <c r="AA2051" s="5"/>
      <c r="AB2051" s="5"/>
      <c r="AC2051" s="5"/>
      <c r="AD2051" s="5"/>
      <c r="AE2051" s="5"/>
      <c r="AF2051" s="5"/>
      <c r="AG2051" s="5"/>
      <c r="AH2051" s="5"/>
      <c r="AI2051" s="5"/>
      <c r="AJ2051" s="5"/>
      <c r="AK2051" s="5"/>
    </row>
    <row r="2052" spans="1:37" x14ac:dyDescent="0.25">
      <c r="A2052" s="11">
        <f>Table1[[#This Row],[Milk Yield]]-J2048</f>
        <v>267</v>
      </c>
      <c r="B2052" t="s">
        <v>24</v>
      </c>
      <c r="C2052" s="2">
        <v>2</v>
      </c>
      <c r="D2052" s="12">
        <v>46023</v>
      </c>
      <c r="E2052" s="2">
        <v>30</v>
      </c>
      <c r="F2052" s="18">
        <v>0.66749999999999998</v>
      </c>
      <c r="G2052" s="3">
        <v>0.85114583333333338</v>
      </c>
      <c r="H2052" s="17">
        <v>0.18333333333333332</v>
      </c>
      <c r="I2052" s="5">
        <v>628</v>
      </c>
      <c r="J2052">
        <v>7379</v>
      </c>
      <c r="K2052">
        <v>142</v>
      </c>
      <c r="L2052" s="5">
        <v>136</v>
      </c>
      <c r="M2052" s="5">
        <v>626</v>
      </c>
      <c r="N2052">
        <v>16</v>
      </c>
      <c r="O2052">
        <v>610</v>
      </c>
      <c r="P2052" s="1">
        <v>0.22777777777777777</v>
      </c>
      <c r="Q2052" s="5">
        <v>1674</v>
      </c>
      <c r="R2052" s="14">
        <v>11.8</v>
      </c>
      <c r="S2052">
        <v>142</v>
      </c>
      <c r="T2052" s="5">
        <v>16</v>
      </c>
      <c r="U2052" s="5">
        <v>611</v>
      </c>
      <c r="V2052" s="5">
        <v>1</v>
      </c>
      <c r="W2052" s="5"/>
      <c r="X2052" s="5"/>
      <c r="Y2052" s="5"/>
      <c r="Z2052" s="5"/>
      <c r="AA2052" s="5"/>
      <c r="AB2052" s="5"/>
      <c r="AC2052" s="5"/>
      <c r="AD2052" s="5"/>
      <c r="AE2052" s="5"/>
      <c r="AF2052" s="5"/>
      <c r="AG2052" s="5"/>
      <c r="AH2052" s="5"/>
      <c r="AI2052" s="5"/>
      <c r="AJ2052" s="5"/>
      <c r="AK2052" s="5"/>
    </row>
    <row r="2053" spans="1:37" x14ac:dyDescent="0.25">
      <c r="A2053" s="11">
        <f>Table1[[#This Row],[Milk Yield]]-J2049</f>
        <v>-151</v>
      </c>
      <c r="B2053" t="s">
        <v>24</v>
      </c>
      <c r="C2053" s="2">
        <v>3</v>
      </c>
      <c r="D2053" s="12">
        <v>46023</v>
      </c>
      <c r="E2053" s="2">
        <v>27</v>
      </c>
      <c r="F2053" s="18">
        <v>0.9997800925925926</v>
      </c>
      <c r="G2053" s="3">
        <v>0.16142361111111111</v>
      </c>
      <c r="H2053" s="17">
        <v>0.16111111111111112</v>
      </c>
      <c r="I2053" s="5">
        <v>624</v>
      </c>
      <c r="J2053">
        <v>6588</v>
      </c>
      <c r="K2053">
        <v>161</v>
      </c>
      <c r="L2053" s="5">
        <v>328</v>
      </c>
      <c r="M2053" s="5">
        <v>624</v>
      </c>
      <c r="N2053">
        <v>34</v>
      </c>
      <c r="O2053">
        <v>590</v>
      </c>
      <c r="P2053" s="1">
        <v>0.21527777777777779</v>
      </c>
      <c r="Q2053" s="5">
        <v>1698</v>
      </c>
      <c r="R2053" s="14">
        <v>10.6</v>
      </c>
      <c r="S2053">
        <v>161</v>
      </c>
      <c r="T2053" s="5">
        <v>34</v>
      </c>
      <c r="U2053" s="5">
        <v>591</v>
      </c>
      <c r="V2053" s="5">
        <v>1</v>
      </c>
      <c r="W2053" s="5"/>
      <c r="X2053" s="5"/>
      <c r="Y2053" s="5"/>
      <c r="Z2053" s="5"/>
      <c r="AA2053" s="5"/>
      <c r="AB2053" s="5"/>
      <c r="AC2053" s="5"/>
      <c r="AD2053" s="5"/>
      <c r="AE2053" s="5"/>
      <c r="AF2053" s="5"/>
      <c r="AG2053" s="5"/>
      <c r="AH2053" s="5"/>
      <c r="AI2053" s="5"/>
      <c r="AJ2053" s="5"/>
      <c r="AK2053" s="5"/>
    </row>
    <row r="2054" spans="1:37" x14ac:dyDescent="0.25">
      <c r="A2054" s="11" t="e">
        <f>Table1[[#This Row],[Milk Yield]]-J2050</f>
        <v>#VALUE!</v>
      </c>
      <c r="B2054" t="s">
        <v>0</v>
      </c>
      <c r="C2054" s="2" t="s">
        <v>1</v>
      </c>
      <c r="D2054" s="12" t="s">
        <v>2</v>
      </c>
      <c r="E2054" s="2" t="s">
        <v>3</v>
      </c>
      <c r="F2054" s="18" t="s">
        <v>4</v>
      </c>
      <c r="G2054" s="3" t="s">
        <v>5</v>
      </c>
      <c r="H2054" s="17" t="s">
        <v>6</v>
      </c>
      <c r="I2054" s="5" t="s">
        <v>8</v>
      </c>
      <c r="J2054" t="s">
        <v>9</v>
      </c>
      <c r="K2054" t="s">
        <v>10</v>
      </c>
      <c r="L2054" s="5" t="s">
        <v>11</v>
      </c>
      <c r="M2054" s="5" t="s">
        <v>12</v>
      </c>
      <c r="N2054" t="s">
        <v>13</v>
      </c>
      <c r="O2054" t="s">
        <v>20</v>
      </c>
      <c r="P2054" s="1" t="s">
        <v>7</v>
      </c>
      <c r="Q2054" s="5" t="s">
        <v>15</v>
      </c>
      <c r="R2054" s="14" t="s">
        <v>18</v>
      </c>
      <c r="S2054" t="s">
        <v>16</v>
      </c>
      <c r="T2054" s="5" t="s">
        <v>14</v>
      </c>
      <c r="U2054" s="5" t="s">
        <v>17</v>
      </c>
      <c r="V2054" s="5" t="s">
        <v>19</v>
      </c>
      <c r="W2054" s="5"/>
      <c r="X2054" s="5"/>
      <c r="Y2054" s="5"/>
      <c r="Z2054" s="5"/>
      <c r="AA2054" s="5"/>
      <c r="AB2054" s="5"/>
      <c r="AC2054" s="5"/>
      <c r="AD2054" s="5"/>
      <c r="AE2054" s="5"/>
      <c r="AF2054" s="5"/>
      <c r="AG2054" s="5"/>
      <c r="AH2054" s="5"/>
      <c r="AI2054" s="5"/>
      <c r="AJ2054" s="5"/>
      <c r="AK2054" s="5"/>
    </row>
    <row r="2055" spans="1:37" x14ac:dyDescent="0.25">
      <c r="A2055" s="11">
        <f>Table1[[#This Row],[Milk Yield]]-J2051</f>
        <v>186</v>
      </c>
      <c r="B2055" t="s">
        <v>24</v>
      </c>
      <c r="C2055" s="2">
        <v>1</v>
      </c>
      <c r="D2055" s="12">
        <v>46024</v>
      </c>
      <c r="E2055" s="2">
        <v>30</v>
      </c>
      <c r="F2055" s="18">
        <v>0.33165509259259257</v>
      </c>
      <c r="G2055" s="3">
        <v>0.52648148148148144</v>
      </c>
      <c r="H2055" s="17">
        <v>0.19444444444444445</v>
      </c>
      <c r="I2055" s="5">
        <v>623</v>
      </c>
      <c r="J2055">
        <v>7904</v>
      </c>
      <c r="K2055">
        <v>133</v>
      </c>
      <c r="L2055" s="5">
        <v>62</v>
      </c>
      <c r="M2055" s="5">
        <v>623</v>
      </c>
      <c r="N2055">
        <v>6</v>
      </c>
      <c r="O2055">
        <v>617</v>
      </c>
      <c r="P2055" s="1">
        <v>0.23749999999999999</v>
      </c>
      <c r="Q2055" s="5">
        <v>1690</v>
      </c>
      <c r="R2055" s="14">
        <v>12.7</v>
      </c>
      <c r="S2055">
        <v>133</v>
      </c>
      <c r="T2055" s="5">
        <v>6</v>
      </c>
      <c r="U2055" s="5">
        <v>618</v>
      </c>
      <c r="V2055" s="5">
        <v>1</v>
      </c>
      <c r="W2055" s="5"/>
      <c r="X2055" s="5"/>
      <c r="Y2055" s="5"/>
      <c r="Z2055" s="5"/>
      <c r="AA2055" s="5"/>
      <c r="AB2055" s="5"/>
      <c r="AC2055" s="5"/>
      <c r="AD2055" s="5"/>
      <c r="AE2055" s="5"/>
      <c r="AF2055" s="5"/>
      <c r="AG2055" s="5"/>
      <c r="AH2055" s="5"/>
      <c r="AI2055" s="5"/>
      <c r="AJ2055" s="5"/>
      <c r="AK2055" s="5"/>
    </row>
    <row r="2056" spans="1:37" x14ac:dyDescent="0.25">
      <c r="A2056" s="11">
        <f>Table1[[#This Row],[Milk Yield]]-J2052</f>
        <v>-213</v>
      </c>
      <c r="B2056" t="s">
        <v>24</v>
      </c>
      <c r="C2056" s="2">
        <v>2</v>
      </c>
      <c r="D2056" s="12">
        <v>46024</v>
      </c>
      <c r="E2056" s="2">
        <v>31</v>
      </c>
      <c r="F2056" s="18">
        <v>0.66894675925925928</v>
      </c>
      <c r="G2056" s="3">
        <v>0.83296296296296302</v>
      </c>
      <c r="H2056" s="17">
        <v>0.16388888888888889</v>
      </c>
      <c r="I2056" s="5">
        <v>606</v>
      </c>
      <c r="J2056">
        <v>7166</v>
      </c>
      <c r="K2056">
        <v>154</v>
      </c>
      <c r="L2056" s="5">
        <v>130</v>
      </c>
      <c r="M2056" s="5">
        <v>606</v>
      </c>
      <c r="N2056">
        <v>16</v>
      </c>
      <c r="O2056">
        <v>590</v>
      </c>
      <c r="P2056" s="1">
        <v>0.23055555555555557</v>
      </c>
      <c r="Q2056" s="5">
        <v>1820</v>
      </c>
      <c r="R2056" s="14">
        <v>11.9</v>
      </c>
      <c r="S2056">
        <v>154</v>
      </c>
      <c r="T2056" s="5">
        <v>16</v>
      </c>
      <c r="U2056" s="5">
        <v>591</v>
      </c>
      <c r="V2056" s="5">
        <v>1</v>
      </c>
      <c r="W2056" s="5"/>
      <c r="X2056" s="5"/>
      <c r="Y2056" s="5"/>
      <c r="Z2056" s="5"/>
      <c r="AA2056" s="5"/>
      <c r="AB2056" s="5"/>
      <c r="AC2056" s="5"/>
      <c r="AD2056" s="5"/>
      <c r="AE2056" s="5"/>
      <c r="AF2056" s="5"/>
      <c r="AG2056" s="5"/>
      <c r="AH2056" s="5"/>
      <c r="AI2056" s="5"/>
      <c r="AJ2056" s="5"/>
      <c r="AK2056" s="5"/>
    </row>
    <row r="2057" spans="1:37" x14ac:dyDescent="0.25">
      <c r="A2057" s="11">
        <f>Table1[[#This Row],[Milk Yield]]-J2053</f>
        <v>120</v>
      </c>
      <c r="B2057" t="s">
        <v>24</v>
      </c>
      <c r="C2057" s="2">
        <v>3</v>
      </c>
      <c r="D2057" s="12">
        <v>46024</v>
      </c>
      <c r="E2057" s="2">
        <v>27</v>
      </c>
      <c r="F2057" s="18">
        <v>1.8171296296296297E-3</v>
      </c>
      <c r="G2057" s="3">
        <v>0.15767361111111111</v>
      </c>
      <c r="H2057" s="17">
        <v>0.15555555555555556</v>
      </c>
      <c r="I2057" s="5">
        <v>602</v>
      </c>
      <c r="J2057">
        <v>6708</v>
      </c>
      <c r="K2057">
        <v>161</v>
      </c>
      <c r="L2057" s="5">
        <v>137</v>
      </c>
      <c r="M2057" s="5">
        <v>602</v>
      </c>
      <c r="N2057">
        <v>12</v>
      </c>
      <c r="O2057">
        <v>590</v>
      </c>
      <c r="P2057" s="1">
        <v>0.22222222222222221</v>
      </c>
      <c r="Q2057" s="5">
        <v>1793</v>
      </c>
      <c r="R2057" s="14">
        <v>11.2</v>
      </c>
      <c r="S2057">
        <v>161</v>
      </c>
      <c r="T2057" s="5">
        <v>12</v>
      </c>
      <c r="U2057" s="5">
        <v>591</v>
      </c>
      <c r="V2057" s="5">
        <v>1</v>
      </c>
      <c r="W2057" s="5"/>
      <c r="X2057" s="5"/>
      <c r="Y2057" s="5"/>
      <c r="Z2057" s="5"/>
      <c r="AA2057" s="5"/>
      <c r="AB2057" s="5"/>
      <c r="AC2057" s="5"/>
      <c r="AD2057" s="5"/>
      <c r="AE2057" s="5"/>
      <c r="AF2057" s="5"/>
      <c r="AG2057" s="5"/>
      <c r="AH2057" s="5"/>
      <c r="AI2057" s="5"/>
      <c r="AJ2057" s="5"/>
      <c r="AK2057" s="5"/>
    </row>
    <row r="2058" spans="1:37" x14ac:dyDescent="0.25">
      <c r="A2058" s="11" t="e">
        <f>Table1[[#This Row],[Milk Yield]]-J2054</f>
        <v>#VALUE!</v>
      </c>
      <c r="B2058" t="s">
        <v>0</v>
      </c>
      <c r="C2058" s="2" t="s">
        <v>1</v>
      </c>
      <c r="D2058" s="12" t="s">
        <v>2</v>
      </c>
      <c r="E2058" s="2" t="s">
        <v>3</v>
      </c>
      <c r="F2058" s="18" t="s">
        <v>4</v>
      </c>
      <c r="G2058" s="3" t="s">
        <v>5</v>
      </c>
      <c r="H2058" s="17" t="s">
        <v>6</v>
      </c>
      <c r="I2058" s="5" t="s">
        <v>8</v>
      </c>
      <c r="J2058" t="s">
        <v>9</v>
      </c>
      <c r="K2058" t="s">
        <v>10</v>
      </c>
      <c r="L2058" s="5" t="s">
        <v>11</v>
      </c>
      <c r="M2058" s="5" t="s">
        <v>12</v>
      </c>
      <c r="N2058" t="s">
        <v>13</v>
      </c>
      <c r="O2058" t="s">
        <v>20</v>
      </c>
      <c r="P2058" s="1" t="s">
        <v>7</v>
      </c>
      <c r="Q2058" s="5" t="s">
        <v>15</v>
      </c>
      <c r="R2058" s="14" t="s">
        <v>18</v>
      </c>
      <c r="S2058" t="s">
        <v>16</v>
      </c>
      <c r="T2058" s="5" t="s">
        <v>14</v>
      </c>
      <c r="U2058" s="5" t="s">
        <v>17</v>
      </c>
      <c r="V2058" s="5" t="s">
        <v>19</v>
      </c>
      <c r="W2058" s="5"/>
      <c r="X2058" s="5"/>
      <c r="Y2058" s="5"/>
      <c r="Z2058" s="5"/>
      <c r="AA2058" s="5"/>
      <c r="AB2058" s="5"/>
      <c r="AC2058" s="5"/>
      <c r="AD2058" s="5"/>
      <c r="AE2058" s="5"/>
      <c r="AF2058" s="5"/>
      <c r="AG2058" s="5"/>
      <c r="AH2058" s="5"/>
      <c r="AI2058" s="5"/>
      <c r="AJ2058" s="5"/>
      <c r="AK2058" s="5"/>
    </row>
    <row r="2059" spans="1:37" x14ac:dyDescent="0.25">
      <c r="A2059" s="11">
        <f>Table1[[#This Row],[Milk Yield]]-J2055</f>
        <v>646</v>
      </c>
      <c r="B2059" t="s">
        <v>24</v>
      </c>
      <c r="C2059" s="2">
        <v>1</v>
      </c>
      <c r="D2059" s="12">
        <v>46025</v>
      </c>
      <c r="E2059" s="2">
        <v>28</v>
      </c>
      <c r="F2059" s="18">
        <v>0.40277777777777779</v>
      </c>
      <c r="G2059" s="3">
        <v>0.56634259259259256</v>
      </c>
      <c r="H2059" s="17">
        <v>0.16319444444444445</v>
      </c>
      <c r="I2059" s="5">
        <v>603</v>
      </c>
      <c r="J2059">
        <v>8550</v>
      </c>
      <c r="K2059">
        <v>154</v>
      </c>
      <c r="L2059" s="5">
        <v>153</v>
      </c>
      <c r="M2059" s="5">
        <v>602</v>
      </c>
      <c r="N2059">
        <v>13</v>
      </c>
      <c r="O2059">
        <v>589</v>
      </c>
      <c r="P2059" s="1">
        <v>0.27986111111111112</v>
      </c>
      <c r="Q2059" s="5">
        <v>2178</v>
      </c>
      <c r="R2059" s="14">
        <v>14.3</v>
      </c>
      <c r="S2059">
        <v>153</v>
      </c>
      <c r="T2059" s="5">
        <v>13</v>
      </c>
      <c r="U2059" s="5">
        <v>590</v>
      </c>
      <c r="V2059" s="5">
        <v>1</v>
      </c>
      <c r="W2059" s="5"/>
      <c r="X2059" s="5"/>
      <c r="Y2059" s="5"/>
      <c r="Z2059" s="5"/>
      <c r="AA2059" s="5"/>
      <c r="AB2059" s="5"/>
      <c r="AC2059" s="5"/>
      <c r="AD2059" s="5"/>
      <c r="AE2059" s="5"/>
      <c r="AF2059" s="5"/>
      <c r="AG2059" s="5"/>
      <c r="AH2059" s="5"/>
      <c r="AI2059" s="5"/>
      <c r="AJ2059" s="5"/>
      <c r="AK2059" s="5"/>
    </row>
    <row r="2060" spans="1:37" x14ac:dyDescent="0.25">
      <c r="A2060" s="11">
        <f>Table1[[#This Row],[Milk Yield]]-J2056</f>
        <v>-978</v>
      </c>
      <c r="B2060" t="s">
        <v>24</v>
      </c>
      <c r="C2060" s="2">
        <v>2</v>
      </c>
      <c r="D2060" s="12">
        <v>46025</v>
      </c>
      <c r="E2060" s="2">
        <v>28</v>
      </c>
      <c r="F2060" s="18">
        <v>0.66774305555555558</v>
      </c>
      <c r="G2060" s="3">
        <v>0.91456018518518523</v>
      </c>
      <c r="H2060" s="17">
        <v>0.24652777777777779</v>
      </c>
      <c r="I2060" s="5">
        <v>621</v>
      </c>
      <c r="J2060">
        <v>6188</v>
      </c>
      <c r="K2060">
        <v>53</v>
      </c>
      <c r="L2060" s="5">
        <v>222</v>
      </c>
      <c r="M2060" s="5">
        <v>621</v>
      </c>
      <c r="N2060">
        <v>23</v>
      </c>
      <c r="O2060">
        <v>598</v>
      </c>
      <c r="P2060" s="1">
        <v>0.35</v>
      </c>
      <c r="Q2060" s="5">
        <v>1061</v>
      </c>
      <c r="R2060" s="14">
        <v>10</v>
      </c>
      <c r="S2060">
        <v>53</v>
      </c>
      <c r="T2060" s="5">
        <v>23</v>
      </c>
      <c r="U2060" s="5">
        <v>600</v>
      </c>
      <c r="V2060" s="5">
        <v>2</v>
      </c>
      <c r="W2060" s="5"/>
      <c r="X2060" s="5"/>
      <c r="Y2060" s="5"/>
      <c r="Z2060" s="5"/>
      <c r="AA2060" s="5"/>
      <c r="AB2060" s="5"/>
      <c r="AC2060" s="5"/>
      <c r="AD2060" s="5"/>
      <c r="AE2060" s="5"/>
      <c r="AF2060" s="5"/>
      <c r="AG2060" s="5"/>
      <c r="AH2060" s="5"/>
      <c r="AI2060" s="5"/>
      <c r="AJ2060" s="5"/>
      <c r="AK2060" s="5"/>
    </row>
    <row r="2061" spans="1:37" x14ac:dyDescent="0.25">
      <c r="A2061" s="11">
        <f>Table1[[#This Row],[Milk Yield]]-J2057</f>
        <v>-401</v>
      </c>
      <c r="B2061" t="s">
        <v>24</v>
      </c>
      <c r="C2061" s="2">
        <v>3</v>
      </c>
      <c r="D2061" s="12">
        <v>46025</v>
      </c>
      <c r="E2061" s="2">
        <v>28</v>
      </c>
      <c r="F2061" s="18">
        <v>0.50038194444444439</v>
      </c>
      <c r="G2061" s="3">
        <v>0.16594907407407408</v>
      </c>
      <c r="H2061" s="17">
        <v>0.16527777777777777</v>
      </c>
      <c r="I2061" s="5">
        <v>621</v>
      </c>
      <c r="J2061">
        <v>6307</v>
      </c>
      <c r="K2061">
        <v>53</v>
      </c>
      <c r="L2061" s="5">
        <v>222</v>
      </c>
      <c r="M2061" s="5">
        <v>621</v>
      </c>
      <c r="N2061">
        <v>23</v>
      </c>
      <c r="O2061">
        <v>598</v>
      </c>
      <c r="P2061" s="1">
        <v>0.35</v>
      </c>
      <c r="Q2061" s="5">
        <v>1061</v>
      </c>
      <c r="R2061" s="14">
        <v>10.15</v>
      </c>
      <c r="S2061">
        <v>53</v>
      </c>
      <c r="T2061" s="5">
        <v>23</v>
      </c>
      <c r="U2061" s="5">
        <v>600</v>
      </c>
      <c r="V2061" s="5">
        <v>2</v>
      </c>
      <c r="W2061" s="5"/>
      <c r="X2061" s="5"/>
      <c r="Y2061" s="5"/>
      <c r="Z2061" s="5"/>
      <c r="AA2061" s="5"/>
      <c r="AB2061" s="5"/>
      <c r="AC2061" s="5"/>
      <c r="AD2061" s="5"/>
      <c r="AE2061" s="5"/>
      <c r="AF2061" s="5"/>
      <c r="AG2061" s="5"/>
      <c r="AH2061" s="5"/>
      <c r="AI2061" s="5"/>
      <c r="AJ2061" s="5"/>
      <c r="AK2061" s="5"/>
    </row>
    <row r="2062" spans="1:37" x14ac:dyDescent="0.25">
      <c r="A2062" s="11" t="e">
        <f>Table1[[#This Row],[Milk Yield]]-J2058</f>
        <v>#VALUE!</v>
      </c>
      <c r="B2062" t="s">
        <v>0</v>
      </c>
      <c r="C2062" s="2" t="s">
        <v>1</v>
      </c>
      <c r="D2062" s="12" t="s">
        <v>2</v>
      </c>
      <c r="E2062" s="2" t="s">
        <v>3</v>
      </c>
      <c r="F2062" s="18" t="s">
        <v>4</v>
      </c>
      <c r="G2062" s="3" t="s">
        <v>5</v>
      </c>
      <c r="H2062" s="17" t="s">
        <v>6</v>
      </c>
      <c r="I2062" s="5" t="s">
        <v>8</v>
      </c>
      <c r="J2062" t="s">
        <v>9</v>
      </c>
      <c r="K2062" t="s">
        <v>10</v>
      </c>
      <c r="L2062" s="5" t="s">
        <v>11</v>
      </c>
      <c r="M2062" s="5" t="s">
        <v>12</v>
      </c>
      <c r="N2062" t="s">
        <v>13</v>
      </c>
      <c r="O2062" t="s">
        <v>20</v>
      </c>
      <c r="P2062" s="1" t="s">
        <v>7</v>
      </c>
      <c r="Q2062" s="5" t="s">
        <v>15</v>
      </c>
      <c r="R2062" s="14" t="s">
        <v>18</v>
      </c>
      <c r="S2062" t="s">
        <v>16</v>
      </c>
      <c r="T2062" s="5" t="s">
        <v>14</v>
      </c>
      <c r="U2062" s="5" t="s">
        <v>17</v>
      </c>
      <c r="V2062" s="5" t="s">
        <v>19</v>
      </c>
      <c r="W2062" s="5"/>
      <c r="X2062" s="5"/>
      <c r="Y2062" s="5"/>
      <c r="Z2062" s="5"/>
      <c r="AA2062" s="5"/>
      <c r="AB2062" s="5"/>
      <c r="AC2062" s="5"/>
      <c r="AD2062" s="5"/>
      <c r="AE2062" s="5"/>
      <c r="AF2062" s="5"/>
      <c r="AG2062" s="5"/>
      <c r="AH2062" s="5"/>
      <c r="AI2062" s="5"/>
      <c r="AJ2062" s="5"/>
      <c r="AK2062" s="5"/>
    </row>
    <row r="2063" spans="1:37" x14ac:dyDescent="0.25">
      <c r="A2063" s="11">
        <f>Table1[[#This Row],[Milk Yield]]-J2059</f>
        <v>-857</v>
      </c>
      <c r="B2063" t="s">
        <v>24</v>
      </c>
      <c r="C2063" s="2">
        <v>1</v>
      </c>
      <c r="D2063" s="12">
        <v>46026</v>
      </c>
      <c r="E2063" s="2">
        <v>28</v>
      </c>
      <c r="F2063" s="18">
        <v>0.34266203703703701</v>
      </c>
      <c r="G2063" s="3">
        <v>0.52565972222222224</v>
      </c>
      <c r="H2063" s="17">
        <v>0.18263888888888888</v>
      </c>
      <c r="I2063" s="5">
        <v>604</v>
      </c>
      <c r="J2063">
        <v>7693</v>
      </c>
      <c r="K2063">
        <v>138</v>
      </c>
      <c r="L2063" s="5">
        <v>110</v>
      </c>
      <c r="M2063" s="5">
        <v>604</v>
      </c>
      <c r="N2063">
        <v>10</v>
      </c>
      <c r="O2063">
        <v>594</v>
      </c>
      <c r="P2063" s="1">
        <v>0.23749999999999999</v>
      </c>
      <c r="Q2063" s="5">
        <v>1751</v>
      </c>
      <c r="R2063" s="14">
        <v>12.8</v>
      </c>
      <c r="S2063">
        <v>138</v>
      </c>
      <c r="T2063" s="5">
        <v>10</v>
      </c>
      <c r="U2063" s="5">
        <v>595</v>
      </c>
      <c r="V2063" s="5">
        <v>1</v>
      </c>
      <c r="W2063" s="5"/>
      <c r="X2063" s="5"/>
      <c r="Y2063" s="5"/>
      <c r="Z2063" s="5"/>
      <c r="AA2063" s="5"/>
      <c r="AB2063" s="5"/>
      <c r="AC2063" s="5"/>
      <c r="AD2063" s="5"/>
      <c r="AE2063" s="5"/>
      <c r="AF2063" s="5"/>
      <c r="AG2063" s="5"/>
      <c r="AH2063" s="5"/>
      <c r="AI2063" s="5"/>
      <c r="AJ2063" s="5"/>
      <c r="AK2063" s="5"/>
    </row>
    <row r="2064" spans="1:37" x14ac:dyDescent="0.25">
      <c r="A2064" s="11">
        <f>Table1[[#This Row],[Milk Yield]]-J2060</f>
        <v>576</v>
      </c>
      <c r="B2064" t="s">
        <v>24</v>
      </c>
      <c r="C2064" s="2">
        <v>2</v>
      </c>
      <c r="D2064" s="12">
        <v>46026</v>
      </c>
      <c r="E2064" s="2">
        <v>32</v>
      </c>
      <c r="F2064" s="18">
        <v>0.66799768518518521</v>
      </c>
      <c r="G2064" s="3">
        <v>0.83759259259259256</v>
      </c>
      <c r="H2064" s="17">
        <v>0.16944444444444445</v>
      </c>
      <c r="I2064" s="5">
        <v>605</v>
      </c>
      <c r="J2064">
        <v>6764</v>
      </c>
      <c r="K2064">
        <v>149</v>
      </c>
      <c r="L2064" s="5">
        <v>100</v>
      </c>
      <c r="M2064" s="5">
        <v>605</v>
      </c>
      <c r="N2064">
        <v>13</v>
      </c>
      <c r="O2064">
        <v>592</v>
      </c>
      <c r="P2064" s="1">
        <v>0.22013888888888888</v>
      </c>
      <c r="Q2064" s="5">
        <v>1662</v>
      </c>
      <c r="R2064" s="14">
        <v>11.2</v>
      </c>
      <c r="S2064">
        <v>149</v>
      </c>
      <c r="T2064" s="5">
        <v>13</v>
      </c>
      <c r="U2064" s="5">
        <v>593</v>
      </c>
      <c r="V2064" s="5">
        <v>1</v>
      </c>
      <c r="W2064" s="5"/>
      <c r="X2064" s="5"/>
      <c r="Y2064" s="5"/>
      <c r="Z2064" s="5"/>
      <c r="AA2064" s="5"/>
      <c r="AB2064" s="5"/>
      <c r="AC2064" s="5"/>
      <c r="AD2064" s="5"/>
      <c r="AE2064" s="5"/>
      <c r="AF2064" s="5"/>
      <c r="AG2064" s="5"/>
      <c r="AH2064" s="5"/>
      <c r="AI2064" s="5"/>
      <c r="AJ2064" s="5"/>
      <c r="AK2064" s="5"/>
    </row>
    <row r="2065" spans="1:37" x14ac:dyDescent="0.25">
      <c r="A2065" s="11">
        <f>Table1[[#This Row],[Milk Yield]]-J2061</f>
        <v>155</v>
      </c>
      <c r="B2065" t="s">
        <v>24</v>
      </c>
      <c r="C2065" s="2">
        <v>3</v>
      </c>
      <c r="D2065" s="12">
        <v>46026</v>
      </c>
      <c r="E2065" s="2">
        <v>28</v>
      </c>
      <c r="F2065" s="18">
        <v>0.99318287037037034</v>
      </c>
      <c r="G2065" s="3">
        <v>0.1514699074074074</v>
      </c>
      <c r="H2065" s="17">
        <v>0.15763888888888888</v>
      </c>
      <c r="I2065" s="5">
        <v>591</v>
      </c>
      <c r="J2065">
        <v>6462</v>
      </c>
      <c r="K2065">
        <v>156</v>
      </c>
      <c r="L2065" s="5">
        <v>120</v>
      </c>
      <c r="M2065" s="5">
        <v>591</v>
      </c>
      <c r="N2065">
        <v>13</v>
      </c>
      <c r="O2065">
        <v>578</v>
      </c>
      <c r="P2065" s="1">
        <v>0.22013888888888888</v>
      </c>
      <c r="Q2065" s="5">
        <v>1701</v>
      </c>
      <c r="R2065" s="14">
        <v>11</v>
      </c>
      <c r="S2065">
        <v>156</v>
      </c>
      <c r="T2065" s="5">
        <v>13</v>
      </c>
      <c r="U2065" s="5">
        <v>579</v>
      </c>
      <c r="V2065" s="5">
        <v>1</v>
      </c>
      <c r="W2065" s="5"/>
      <c r="X2065" s="5"/>
      <c r="Y2065" s="5"/>
      <c r="Z2065" s="5"/>
      <c r="AA2065" s="5"/>
      <c r="AB2065" s="5"/>
      <c r="AC2065" s="5"/>
      <c r="AD2065" s="5"/>
      <c r="AE2065" s="5"/>
      <c r="AF2065" s="5"/>
      <c r="AG2065" s="5"/>
      <c r="AH2065" s="5"/>
      <c r="AI2065" s="5"/>
      <c r="AJ2065" s="5"/>
      <c r="AK2065" s="5"/>
    </row>
    <row r="2066" spans="1:37" x14ac:dyDescent="0.25">
      <c r="A2066" s="11" t="e">
        <f>Table1[[#This Row],[Milk Yield]]-J2062</f>
        <v>#VALUE!</v>
      </c>
      <c r="B2066" t="s">
        <v>0</v>
      </c>
      <c r="C2066" s="2" t="s">
        <v>1</v>
      </c>
      <c r="D2066" s="12" t="s">
        <v>2</v>
      </c>
      <c r="E2066" s="2" t="s">
        <v>3</v>
      </c>
      <c r="F2066" s="18" t="s">
        <v>4</v>
      </c>
      <c r="G2066" s="3" t="s">
        <v>5</v>
      </c>
      <c r="H2066" s="17" t="s">
        <v>6</v>
      </c>
      <c r="I2066" s="5" t="s">
        <v>8</v>
      </c>
      <c r="J2066" t="s">
        <v>9</v>
      </c>
      <c r="K2066" t="s">
        <v>10</v>
      </c>
      <c r="L2066" s="5" t="s">
        <v>11</v>
      </c>
      <c r="M2066" s="5" t="s">
        <v>12</v>
      </c>
      <c r="N2066" t="s">
        <v>13</v>
      </c>
      <c r="O2066" t="s">
        <v>20</v>
      </c>
      <c r="P2066" s="1" t="s">
        <v>7</v>
      </c>
      <c r="Q2066" s="5" t="s">
        <v>15</v>
      </c>
      <c r="R2066" s="14" t="s">
        <v>18</v>
      </c>
      <c r="S2066" t="s">
        <v>16</v>
      </c>
      <c r="T2066" s="5" t="s">
        <v>14</v>
      </c>
      <c r="U2066" s="5" t="s">
        <v>17</v>
      </c>
      <c r="V2066" s="5" t="s">
        <v>19</v>
      </c>
      <c r="W2066" s="5"/>
      <c r="X2066" s="5"/>
      <c r="Y2066" s="5"/>
      <c r="Z2066" s="5"/>
      <c r="AA2066" s="5"/>
      <c r="AB2066" s="5"/>
      <c r="AC2066" s="5"/>
      <c r="AD2066" s="5"/>
      <c r="AE2066" s="5"/>
      <c r="AF2066" s="5"/>
      <c r="AG2066" s="5"/>
      <c r="AH2066" s="5"/>
      <c r="AI2066" s="5"/>
      <c r="AJ2066" s="5"/>
      <c r="AK2066" s="5"/>
    </row>
    <row r="2067" spans="1:37" x14ac:dyDescent="0.25">
      <c r="A2067" s="11">
        <f>Table1[[#This Row],[Milk Yield]]-J2063</f>
        <v>-151</v>
      </c>
      <c r="B2067" t="s">
        <v>24</v>
      </c>
      <c r="C2067" s="2">
        <v>1</v>
      </c>
      <c r="D2067" s="12">
        <v>46027</v>
      </c>
      <c r="E2067" s="2">
        <v>30</v>
      </c>
      <c r="F2067" s="18">
        <v>0.3369328703703704</v>
      </c>
      <c r="G2067" s="3">
        <v>0.5201041666666667</v>
      </c>
      <c r="H2067" s="17">
        <v>0.18263888888888888</v>
      </c>
      <c r="I2067" s="5">
        <v>602</v>
      </c>
      <c r="J2067">
        <v>7542</v>
      </c>
      <c r="K2067">
        <v>137</v>
      </c>
      <c r="L2067" s="5">
        <v>168</v>
      </c>
      <c r="M2067" s="5">
        <v>601</v>
      </c>
      <c r="N2067">
        <v>15</v>
      </c>
      <c r="O2067">
        <v>586</v>
      </c>
      <c r="P2067" s="1">
        <v>0.23680555555555555</v>
      </c>
      <c r="Q2067" s="5">
        <v>1716</v>
      </c>
      <c r="R2067" s="14">
        <v>12.6</v>
      </c>
      <c r="S2067">
        <v>137</v>
      </c>
      <c r="T2067" s="5">
        <v>15</v>
      </c>
      <c r="U2067" s="5">
        <v>587</v>
      </c>
      <c r="V2067" s="5">
        <v>1</v>
      </c>
      <c r="W2067" s="5"/>
      <c r="X2067" s="5"/>
      <c r="Y2067" s="5"/>
      <c r="Z2067" s="5"/>
      <c r="AA2067" s="5"/>
      <c r="AB2067" s="5"/>
      <c r="AC2067" s="5"/>
      <c r="AD2067" s="5"/>
      <c r="AE2067" s="5"/>
      <c r="AF2067" s="5"/>
      <c r="AG2067" s="5"/>
      <c r="AH2067" s="5"/>
      <c r="AI2067" s="5"/>
      <c r="AJ2067" s="5"/>
      <c r="AK2067" s="5"/>
    </row>
    <row r="2068" spans="1:37" x14ac:dyDescent="0.25">
      <c r="A2068" s="11">
        <f>Table1[[#This Row],[Milk Yield]]-J2064</f>
        <v>502</v>
      </c>
      <c r="B2068" t="s">
        <v>24</v>
      </c>
      <c r="C2068" s="2">
        <v>2</v>
      </c>
      <c r="D2068" s="12">
        <v>46027</v>
      </c>
      <c r="E2068" s="2">
        <v>31</v>
      </c>
      <c r="F2068" s="18">
        <v>0.65922453703703698</v>
      </c>
      <c r="G2068" s="3">
        <v>0.85501157407407402</v>
      </c>
      <c r="H2068" s="17">
        <v>0.19513888888888889</v>
      </c>
      <c r="I2068" s="5">
        <v>599</v>
      </c>
      <c r="J2068">
        <v>7266</v>
      </c>
      <c r="K2068">
        <v>127</v>
      </c>
      <c r="L2068" s="5">
        <v>119</v>
      </c>
      <c r="M2068" s="5">
        <v>599</v>
      </c>
      <c r="N2068">
        <v>12</v>
      </c>
      <c r="O2068">
        <v>587</v>
      </c>
      <c r="P2068" s="1">
        <v>0.23125000000000001</v>
      </c>
      <c r="Q2068" s="5">
        <v>1546</v>
      </c>
      <c r="R2068" s="14">
        <v>12.2</v>
      </c>
      <c r="S2068">
        <v>127</v>
      </c>
      <c r="T2068" s="5">
        <v>12</v>
      </c>
      <c r="U2068" s="5">
        <v>588</v>
      </c>
      <c r="V2068" s="5">
        <v>1</v>
      </c>
      <c r="W2068" s="5"/>
      <c r="X2068" s="5"/>
      <c r="Y2068" s="5"/>
      <c r="Z2068" s="5"/>
      <c r="AA2068" s="5"/>
      <c r="AB2068" s="5"/>
      <c r="AC2068" s="5"/>
      <c r="AD2068" s="5"/>
      <c r="AE2068" s="5"/>
      <c r="AF2068" s="5"/>
      <c r="AG2068" s="5"/>
      <c r="AH2068" s="5"/>
      <c r="AI2068" s="5"/>
      <c r="AJ2068" s="5"/>
      <c r="AK2068" s="5"/>
    </row>
    <row r="2069" spans="1:37" x14ac:dyDescent="0.25">
      <c r="A2069" s="11">
        <f>Table1[[#This Row],[Milk Yield]]-J2065</f>
        <v>-93</v>
      </c>
      <c r="B2069" t="s">
        <v>24</v>
      </c>
      <c r="C2069" s="2">
        <v>3</v>
      </c>
      <c r="D2069" s="12">
        <v>46027</v>
      </c>
      <c r="E2069" s="2">
        <v>27</v>
      </c>
      <c r="F2069" s="18">
        <v>3.6805555555555554E-3</v>
      </c>
      <c r="G2069" s="3">
        <v>0.16995370370370369</v>
      </c>
      <c r="H2069" s="17">
        <v>0.16597222222222222</v>
      </c>
      <c r="I2069" s="5">
        <v>595</v>
      </c>
      <c r="J2069">
        <v>6369</v>
      </c>
      <c r="K2069">
        <v>149</v>
      </c>
      <c r="L2069" s="5">
        <v>109</v>
      </c>
      <c r="M2069" s="5">
        <v>595</v>
      </c>
      <c r="N2069">
        <v>11</v>
      </c>
      <c r="O2069">
        <v>584</v>
      </c>
      <c r="P2069" s="1">
        <v>0.22430555555555556</v>
      </c>
      <c r="Q2069" s="5">
        <v>1596</v>
      </c>
      <c r="R2069" s="14">
        <v>10.8</v>
      </c>
      <c r="S2069">
        <v>149</v>
      </c>
      <c r="T2069" s="5">
        <v>11</v>
      </c>
      <c r="U2069" s="5">
        <v>585</v>
      </c>
      <c r="V2069" s="5">
        <v>1</v>
      </c>
      <c r="W2069" s="5"/>
      <c r="X2069" s="5"/>
      <c r="Y2069" s="5"/>
      <c r="Z2069" s="5"/>
      <c r="AA2069" s="5"/>
      <c r="AB2069" s="5"/>
      <c r="AC2069" s="5"/>
      <c r="AD2069" s="5"/>
      <c r="AE2069" s="5"/>
      <c r="AF2069" s="5"/>
      <c r="AG2069" s="5"/>
      <c r="AH2069" s="5"/>
      <c r="AI2069" s="5"/>
      <c r="AJ2069" s="5"/>
      <c r="AK2069" s="5"/>
    </row>
    <row r="2070" spans="1:37" x14ac:dyDescent="0.25">
      <c r="A2070" s="11" t="e">
        <f>Table1[[#This Row],[Milk Yield]]-J2066</f>
        <v>#VALUE!</v>
      </c>
      <c r="B2070" t="s">
        <v>0</v>
      </c>
      <c r="C2070" s="2" t="s">
        <v>1</v>
      </c>
      <c r="D2070" s="12" t="s">
        <v>2</v>
      </c>
      <c r="E2070" s="2" t="s">
        <v>3</v>
      </c>
      <c r="F2070" s="18" t="s">
        <v>4</v>
      </c>
      <c r="G2070" s="3" t="s">
        <v>5</v>
      </c>
      <c r="H2070" s="17" t="s">
        <v>6</v>
      </c>
      <c r="I2070" s="5" t="s">
        <v>8</v>
      </c>
      <c r="J2070" t="s">
        <v>9</v>
      </c>
      <c r="K2070" t="s">
        <v>10</v>
      </c>
      <c r="L2070" s="5" t="s">
        <v>11</v>
      </c>
      <c r="M2070" s="5" t="s">
        <v>12</v>
      </c>
      <c r="N2070" t="s">
        <v>13</v>
      </c>
      <c r="O2070" t="s">
        <v>20</v>
      </c>
      <c r="P2070" s="1" t="s">
        <v>7</v>
      </c>
      <c r="Q2070" s="5" t="s">
        <v>15</v>
      </c>
      <c r="R2070" s="14" t="s">
        <v>18</v>
      </c>
      <c r="S2070" t="s">
        <v>16</v>
      </c>
      <c r="T2070" s="5" t="s">
        <v>14</v>
      </c>
      <c r="U2070" s="5" t="s">
        <v>17</v>
      </c>
      <c r="V2070" s="5" t="s">
        <v>19</v>
      </c>
      <c r="W2070" s="5"/>
      <c r="X2070" s="5"/>
      <c r="Y2070" s="5"/>
      <c r="Z2070" s="5"/>
      <c r="AA2070" s="5"/>
      <c r="AB2070" s="5"/>
      <c r="AC2070" s="5"/>
      <c r="AD2070" s="5"/>
      <c r="AE2070" s="5"/>
      <c r="AF2070" s="5"/>
      <c r="AG2070" s="5"/>
      <c r="AH2070" s="5"/>
      <c r="AI2070" s="5"/>
      <c r="AJ2070" s="5"/>
      <c r="AK2070" s="5"/>
    </row>
    <row r="2071" spans="1:37" x14ac:dyDescent="0.25">
      <c r="A2071" s="11">
        <f>Table1[[#This Row],[Milk Yield]]-J2067</f>
        <v>-170</v>
      </c>
      <c r="B2071" t="s">
        <v>24</v>
      </c>
      <c r="C2071" s="2">
        <v>1</v>
      </c>
      <c r="D2071" s="12">
        <v>46028</v>
      </c>
      <c r="E2071" s="2">
        <v>29</v>
      </c>
      <c r="F2071" s="18">
        <v>0.33708333333333335</v>
      </c>
      <c r="G2071" s="3">
        <v>0.50311342592592589</v>
      </c>
      <c r="H2071" s="17">
        <v>0.16597222222222222</v>
      </c>
      <c r="I2071" s="5">
        <v>600</v>
      </c>
      <c r="J2071">
        <v>7372</v>
      </c>
      <c r="K2071">
        <v>151</v>
      </c>
      <c r="L2071" s="5">
        <v>146</v>
      </c>
      <c r="M2071" s="5">
        <v>600</v>
      </c>
      <c r="N2071">
        <v>15</v>
      </c>
      <c r="O2071">
        <v>585</v>
      </c>
      <c r="P2071" s="1">
        <v>0.23402777777777778</v>
      </c>
      <c r="Q2071" s="5">
        <v>1850</v>
      </c>
      <c r="R2071" s="14">
        <v>12.3</v>
      </c>
      <c r="S2071">
        <v>151</v>
      </c>
      <c r="T2071" s="5">
        <v>15</v>
      </c>
      <c r="U2071" s="5">
        <v>586</v>
      </c>
      <c r="V2071" s="5">
        <v>1</v>
      </c>
      <c r="W2071" s="5"/>
      <c r="X2071" s="5"/>
      <c r="Y2071" s="5"/>
      <c r="Z2071" s="5"/>
      <c r="AA2071" s="5"/>
      <c r="AB2071" s="5"/>
      <c r="AC2071" s="5"/>
      <c r="AD2071" s="5"/>
      <c r="AE2071" s="5"/>
      <c r="AF2071" s="5"/>
      <c r="AG2071" s="5"/>
      <c r="AH2071" s="5"/>
      <c r="AI2071" s="5"/>
      <c r="AJ2071" s="5"/>
      <c r="AK2071" s="5"/>
    </row>
    <row r="2072" spans="1:37" x14ac:dyDescent="0.25">
      <c r="A2072" s="11">
        <f>Table1[[#This Row],[Milk Yield]]-J2068</f>
        <v>907</v>
      </c>
      <c r="B2072" t="s">
        <v>24</v>
      </c>
      <c r="C2072" s="2">
        <v>2</v>
      </c>
      <c r="D2072" s="12">
        <v>46028</v>
      </c>
      <c r="E2072" s="2">
        <v>26</v>
      </c>
      <c r="F2072" s="18">
        <v>0.66659722222222217</v>
      </c>
      <c r="G2072" s="3">
        <v>0.86373842592592598</v>
      </c>
      <c r="H2072" s="17">
        <v>0.19652777777777777</v>
      </c>
      <c r="I2072" s="5">
        <v>565</v>
      </c>
      <c r="J2072">
        <v>8173</v>
      </c>
      <c r="K2072">
        <v>119</v>
      </c>
      <c r="L2072" s="5">
        <v>232</v>
      </c>
      <c r="M2072" s="5">
        <v>551</v>
      </c>
      <c r="N2072">
        <v>24</v>
      </c>
      <c r="O2072">
        <v>527</v>
      </c>
      <c r="P2072" s="1">
        <v>0.29236111111111113</v>
      </c>
      <c r="Q2072" s="5">
        <v>1727</v>
      </c>
      <c r="R2072" s="14">
        <v>14.9</v>
      </c>
      <c r="S2072">
        <v>116</v>
      </c>
      <c r="T2072" s="5">
        <v>24</v>
      </c>
      <c r="U2072" s="5">
        <v>528</v>
      </c>
      <c r="V2072" s="5">
        <v>1</v>
      </c>
      <c r="W2072" s="5"/>
      <c r="X2072" s="5"/>
      <c r="Y2072" s="5"/>
      <c r="Z2072" s="5"/>
      <c r="AA2072" s="5"/>
      <c r="AB2072" s="5"/>
      <c r="AC2072" s="5"/>
      <c r="AD2072" s="5"/>
      <c r="AE2072" s="5"/>
      <c r="AF2072" s="5"/>
      <c r="AG2072" s="5"/>
      <c r="AH2072" s="5"/>
      <c r="AI2072" s="5"/>
      <c r="AJ2072" s="5"/>
      <c r="AK2072" s="5"/>
    </row>
    <row r="2073" spans="1:37" x14ac:dyDescent="0.25">
      <c r="A2073" s="11">
        <f>Table1[[#This Row],[Milk Yield]]-J2069</f>
        <v>-89</v>
      </c>
      <c r="B2073" t="s">
        <v>24</v>
      </c>
      <c r="C2073" s="2">
        <v>3</v>
      </c>
      <c r="D2073" s="12">
        <v>46028</v>
      </c>
      <c r="E2073" s="2">
        <v>25</v>
      </c>
      <c r="F2073" s="18">
        <v>1.5277777777777779E-3</v>
      </c>
      <c r="G2073" s="3">
        <v>0.16119212962962962</v>
      </c>
      <c r="H2073" s="17">
        <v>0.15902777777777777</v>
      </c>
      <c r="I2073" s="5">
        <v>593</v>
      </c>
      <c r="J2073">
        <v>6280</v>
      </c>
      <c r="K2073">
        <v>155</v>
      </c>
      <c r="L2073" s="5">
        <v>130</v>
      </c>
      <c r="M2073" s="5">
        <v>592</v>
      </c>
      <c r="N2073">
        <v>21</v>
      </c>
      <c r="O2073">
        <v>571</v>
      </c>
      <c r="P2073" s="1">
        <v>0.21875</v>
      </c>
      <c r="Q2073" s="5">
        <v>1639</v>
      </c>
      <c r="R2073" s="14">
        <v>10.7</v>
      </c>
      <c r="S2073">
        <v>154</v>
      </c>
      <c r="T2073" s="5">
        <v>21</v>
      </c>
      <c r="U2073" s="5">
        <v>572</v>
      </c>
      <c r="V2073" s="5">
        <v>1</v>
      </c>
      <c r="W2073" s="5"/>
      <c r="X2073" s="5"/>
      <c r="Y2073" s="5"/>
      <c r="Z2073" s="5"/>
      <c r="AA2073" s="5"/>
      <c r="AB2073" s="5"/>
      <c r="AC2073" s="5"/>
      <c r="AD2073" s="5"/>
      <c r="AE2073" s="5"/>
      <c r="AF2073" s="5"/>
      <c r="AG2073" s="5"/>
      <c r="AH2073" s="5"/>
      <c r="AI2073" s="5"/>
      <c r="AJ2073" s="5"/>
      <c r="AK2073" s="5"/>
    </row>
    <row r="2074" spans="1:37" x14ac:dyDescent="0.25">
      <c r="A2074" s="11" t="e">
        <f>Table1[[#This Row],[Milk Yield]]-J2070</f>
        <v>#VALUE!</v>
      </c>
      <c r="B2074" t="s">
        <v>0</v>
      </c>
      <c r="C2074" s="2" t="s">
        <v>1</v>
      </c>
      <c r="D2074" s="12" t="s">
        <v>2</v>
      </c>
      <c r="E2074" s="2" t="s">
        <v>3</v>
      </c>
      <c r="F2074" s="18" t="s">
        <v>4</v>
      </c>
      <c r="G2074" s="3" t="s">
        <v>5</v>
      </c>
      <c r="H2074" s="17" t="s">
        <v>6</v>
      </c>
      <c r="I2074" s="5" t="s">
        <v>8</v>
      </c>
      <c r="J2074" t="s">
        <v>9</v>
      </c>
      <c r="K2074" t="s">
        <v>10</v>
      </c>
      <c r="L2074" s="5" t="s">
        <v>11</v>
      </c>
      <c r="M2074" s="5" t="s">
        <v>12</v>
      </c>
      <c r="N2074" t="s">
        <v>13</v>
      </c>
      <c r="O2074" t="s">
        <v>20</v>
      </c>
      <c r="P2074" s="1" t="s">
        <v>7</v>
      </c>
      <c r="Q2074" s="5" t="s">
        <v>15</v>
      </c>
      <c r="R2074" s="14" t="s">
        <v>18</v>
      </c>
      <c r="S2074" t="s">
        <v>16</v>
      </c>
      <c r="T2074" s="5" t="s">
        <v>14</v>
      </c>
      <c r="U2074" s="5" t="s">
        <v>17</v>
      </c>
      <c r="V2074" s="5" t="s">
        <v>19</v>
      </c>
      <c r="W2074" s="5"/>
      <c r="X2074" s="5"/>
      <c r="Y2074" s="5"/>
      <c r="Z2074" s="5"/>
      <c r="AA2074" s="5"/>
      <c r="AB2074" s="5"/>
      <c r="AC2074" s="5"/>
      <c r="AD2074" s="5"/>
      <c r="AE2074" s="5"/>
      <c r="AF2074" s="5"/>
      <c r="AG2074" s="5"/>
      <c r="AH2074" s="5"/>
      <c r="AI2074" s="5"/>
      <c r="AJ2074" s="5"/>
      <c r="AK2074" s="5"/>
    </row>
    <row r="2075" spans="1:37" x14ac:dyDescent="0.25">
      <c r="A2075" s="11">
        <f>Table1[[#This Row],[Milk Yield]]-J2071</f>
        <v>94</v>
      </c>
      <c r="B2075" t="s">
        <v>24</v>
      </c>
      <c r="C2075" s="2">
        <v>1</v>
      </c>
      <c r="D2075" s="12">
        <v>46029</v>
      </c>
      <c r="E2075" s="2">
        <v>30</v>
      </c>
      <c r="F2075" s="18">
        <v>0.3389699074074074</v>
      </c>
      <c r="G2075" s="3">
        <v>0.50363425925925931</v>
      </c>
      <c r="H2075" s="17">
        <v>0.16458333333333333</v>
      </c>
      <c r="I2075" s="5">
        <v>607</v>
      </c>
      <c r="J2075">
        <v>7466</v>
      </c>
      <c r="K2075">
        <v>154</v>
      </c>
      <c r="L2075" s="5">
        <v>140</v>
      </c>
      <c r="M2075" s="5">
        <v>607</v>
      </c>
      <c r="N2075">
        <v>16</v>
      </c>
      <c r="O2075">
        <v>591</v>
      </c>
      <c r="P2075" s="1">
        <v>0.23125000000000001</v>
      </c>
      <c r="Q2075" s="5">
        <v>1889</v>
      </c>
      <c r="R2075" s="14">
        <v>12.3</v>
      </c>
      <c r="S2075">
        <v>154</v>
      </c>
      <c r="T2075" s="5">
        <v>16</v>
      </c>
      <c r="U2075" s="5">
        <v>592</v>
      </c>
      <c r="V2075" s="5">
        <v>1</v>
      </c>
      <c r="W2075" s="5"/>
      <c r="X2075" s="5"/>
      <c r="Y2075" s="5"/>
      <c r="Z2075" s="5"/>
      <c r="AA2075" s="5"/>
      <c r="AB2075" s="5"/>
      <c r="AC2075" s="5"/>
      <c r="AD2075" s="5"/>
      <c r="AE2075" s="5"/>
      <c r="AF2075" s="5"/>
      <c r="AG2075" s="5"/>
      <c r="AH2075" s="5"/>
      <c r="AI2075" s="5"/>
      <c r="AJ2075" s="5"/>
      <c r="AK2075" s="5"/>
    </row>
    <row r="2076" spans="1:37" x14ac:dyDescent="0.25">
      <c r="A2076" s="11">
        <f>Table1[[#This Row],[Milk Yield]]-J2072</f>
        <v>-1156</v>
      </c>
      <c r="B2076" t="s">
        <v>24</v>
      </c>
      <c r="C2076" s="2">
        <v>2</v>
      </c>
      <c r="D2076" s="12">
        <v>46029</v>
      </c>
      <c r="E2076" s="2">
        <v>33</v>
      </c>
      <c r="F2076" s="18">
        <v>0.66523148148148148</v>
      </c>
      <c r="G2076" s="3">
        <v>0.83207175925925925</v>
      </c>
      <c r="H2076" s="17">
        <v>0.16666666666666666</v>
      </c>
      <c r="I2076" s="5">
        <v>610</v>
      </c>
      <c r="J2076">
        <v>7017</v>
      </c>
      <c r="K2076">
        <v>152</v>
      </c>
      <c r="L2076" s="5">
        <v>136</v>
      </c>
      <c r="M2076" s="5">
        <v>609</v>
      </c>
      <c r="N2076">
        <v>16</v>
      </c>
      <c r="O2076">
        <v>593</v>
      </c>
      <c r="P2076" s="1">
        <v>0.22430555555555556</v>
      </c>
      <c r="Q2076" s="5">
        <v>1753</v>
      </c>
      <c r="R2076" s="14">
        <v>11.6</v>
      </c>
      <c r="S2076">
        <v>152</v>
      </c>
      <c r="T2076" s="5">
        <v>16</v>
      </c>
      <c r="U2076" s="5">
        <v>594</v>
      </c>
      <c r="V2076" s="5">
        <v>1</v>
      </c>
      <c r="W2076" s="5"/>
      <c r="X2076" s="5"/>
      <c r="Y2076" s="5"/>
      <c r="Z2076" s="5"/>
      <c r="AA2076" s="5"/>
      <c r="AB2076" s="5"/>
      <c r="AC2076" s="5"/>
      <c r="AD2076" s="5"/>
      <c r="AE2076" s="5"/>
      <c r="AF2076" s="5"/>
      <c r="AG2076" s="5"/>
      <c r="AH2076" s="5"/>
      <c r="AI2076" s="5"/>
      <c r="AJ2076" s="5"/>
      <c r="AK2076" s="5"/>
    </row>
    <row r="2077" spans="1:37" x14ac:dyDescent="0.25">
      <c r="A2077" s="11">
        <f>Table1[[#This Row],[Milk Yield]]-J2073</f>
        <v>438</v>
      </c>
      <c r="B2077" t="s">
        <v>24</v>
      </c>
      <c r="C2077" s="2">
        <v>3</v>
      </c>
      <c r="D2077" s="12">
        <v>46029</v>
      </c>
      <c r="E2077" s="2">
        <v>28</v>
      </c>
      <c r="F2077" s="18">
        <v>1.4814814814814814E-3</v>
      </c>
      <c r="G2077" s="3">
        <v>0.15252314814814816</v>
      </c>
      <c r="H2077" s="17">
        <v>0.15069444444444444</v>
      </c>
      <c r="I2077" s="5">
        <v>604</v>
      </c>
      <c r="J2077">
        <v>6718</v>
      </c>
      <c r="K2077">
        <v>167</v>
      </c>
      <c r="L2077" s="5">
        <v>158</v>
      </c>
      <c r="M2077" s="5">
        <v>604</v>
      </c>
      <c r="N2077">
        <v>15</v>
      </c>
      <c r="O2077">
        <v>589</v>
      </c>
      <c r="P2077" s="1">
        <v>0.21875</v>
      </c>
      <c r="Q2077" s="5">
        <v>1853</v>
      </c>
      <c r="R2077" s="14">
        <v>11.2</v>
      </c>
      <c r="S2077">
        <v>167</v>
      </c>
      <c r="T2077" s="5">
        <v>15</v>
      </c>
      <c r="U2077" s="5">
        <v>590</v>
      </c>
      <c r="V2077" s="5">
        <v>1</v>
      </c>
      <c r="W2077" s="5"/>
      <c r="X2077" s="5"/>
      <c r="Y2077" s="5"/>
      <c r="Z2077" s="5"/>
      <c r="AA2077" s="5"/>
      <c r="AB2077" s="5"/>
      <c r="AC2077" s="5"/>
      <c r="AD2077" s="5"/>
      <c r="AE2077" s="5"/>
      <c r="AF2077" s="5"/>
      <c r="AG2077" s="5"/>
      <c r="AH2077" s="5"/>
      <c r="AI2077" s="5"/>
      <c r="AJ2077" s="5"/>
      <c r="AK2077" s="5"/>
    </row>
    <row r="2078" spans="1:37" x14ac:dyDescent="0.25">
      <c r="A2078" s="11" t="e">
        <f>Table1[[#This Row],[Milk Yield]]-J2074</f>
        <v>#VALUE!</v>
      </c>
      <c r="B2078" t="s">
        <v>0</v>
      </c>
      <c r="C2078" s="2" t="s">
        <v>1</v>
      </c>
      <c r="D2078" s="12" t="s">
        <v>2</v>
      </c>
      <c r="E2078" s="2" t="s">
        <v>3</v>
      </c>
      <c r="F2078" s="18" t="s">
        <v>4</v>
      </c>
      <c r="G2078" s="3" t="s">
        <v>5</v>
      </c>
      <c r="H2078" s="17" t="s">
        <v>6</v>
      </c>
      <c r="I2078" s="5" t="s">
        <v>8</v>
      </c>
      <c r="J2078" t="s">
        <v>9</v>
      </c>
      <c r="K2078" t="s">
        <v>10</v>
      </c>
      <c r="L2078" s="5" t="s">
        <v>11</v>
      </c>
      <c r="M2078" s="5" t="s">
        <v>12</v>
      </c>
      <c r="N2078" t="s">
        <v>13</v>
      </c>
      <c r="O2078" t="s">
        <v>20</v>
      </c>
      <c r="P2078" s="1" t="s">
        <v>7</v>
      </c>
      <c r="Q2078" s="5" t="s">
        <v>15</v>
      </c>
      <c r="R2078" s="14" t="s">
        <v>18</v>
      </c>
      <c r="S2078" t="s">
        <v>16</v>
      </c>
      <c r="T2078" s="5" t="s">
        <v>14</v>
      </c>
      <c r="U2078" s="5" t="s">
        <v>17</v>
      </c>
      <c r="V2078" s="5" t="s">
        <v>19</v>
      </c>
      <c r="W2078" s="5"/>
      <c r="X2078" s="5"/>
      <c r="Y2078" s="5"/>
      <c r="Z2078" s="5"/>
      <c r="AA2078" s="5"/>
      <c r="AB2078" s="5"/>
      <c r="AC2078" s="5"/>
      <c r="AD2078" s="5"/>
      <c r="AE2078" s="5"/>
      <c r="AF2078" s="5"/>
      <c r="AG2078" s="5"/>
      <c r="AH2078" s="5"/>
      <c r="AI2078" s="5"/>
      <c r="AJ2078" s="5"/>
      <c r="AK2078" s="5"/>
    </row>
    <row r="2079" spans="1:37" x14ac:dyDescent="0.25">
      <c r="A2079" s="11">
        <f>Table1[[#This Row],[Milk Yield]]-J2075</f>
        <v>335</v>
      </c>
      <c r="B2079" t="s">
        <v>24</v>
      </c>
      <c r="C2079" s="2">
        <v>1</v>
      </c>
      <c r="D2079" s="12">
        <v>46030</v>
      </c>
      <c r="E2079" s="2">
        <v>28</v>
      </c>
      <c r="F2079" s="18">
        <v>0.33491898148148147</v>
      </c>
      <c r="G2079" s="3">
        <v>0.50547453703703704</v>
      </c>
      <c r="H2079" s="17">
        <v>0.1701388888888889</v>
      </c>
      <c r="I2079" s="5">
        <v>601</v>
      </c>
      <c r="J2079">
        <v>7801</v>
      </c>
      <c r="K2079">
        <v>147</v>
      </c>
      <c r="L2079" s="5">
        <v>144</v>
      </c>
      <c r="M2079" s="5">
        <v>600</v>
      </c>
      <c r="N2079">
        <v>11</v>
      </c>
      <c r="O2079">
        <v>589</v>
      </c>
      <c r="P2079" s="1">
        <v>0.24166666666666667</v>
      </c>
      <c r="Q2079" s="5">
        <v>1906</v>
      </c>
      <c r="R2079" s="14">
        <v>13.1</v>
      </c>
      <c r="S2079">
        <v>147</v>
      </c>
      <c r="T2079" s="5">
        <v>11</v>
      </c>
      <c r="U2079" s="5">
        <v>590</v>
      </c>
      <c r="V2079" s="5">
        <v>1</v>
      </c>
      <c r="W2079" s="5"/>
      <c r="X2079" s="5"/>
      <c r="Y2079" s="5"/>
      <c r="Z2079" s="5"/>
      <c r="AA2079" s="5"/>
      <c r="AB2079" s="5"/>
      <c r="AC2079" s="5"/>
      <c r="AD2079" s="5"/>
      <c r="AE2079" s="5"/>
      <c r="AF2079" s="5"/>
      <c r="AG2079" s="5"/>
      <c r="AH2079" s="5"/>
      <c r="AI2079" s="5"/>
      <c r="AJ2079" s="5"/>
      <c r="AK2079" s="5"/>
    </row>
    <row r="2080" spans="1:37" x14ac:dyDescent="0.25">
      <c r="A2080" s="11">
        <f>Table1[[#This Row],[Milk Yield]]-J2076</f>
        <v>233</v>
      </c>
      <c r="B2080" t="s">
        <v>24</v>
      </c>
      <c r="C2080" s="2">
        <v>2</v>
      </c>
      <c r="D2080" s="12">
        <v>46030</v>
      </c>
      <c r="E2080" s="2">
        <v>33</v>
      </c>
      <c r="F2080" s="18">
        <v>0.66938657407407409</v>
      </c>
      <c r="G2080" s="3">
        <v>0.84377314814814819</v>
      </c>
      <c r="H2080" s="17">
        <v>0.17430555555555555</v>
      </c>
      <c r="I2080" s="5">
        <v>617</v>
      </c>
      <c r="J2080">
        <v>7250</v>
      </c>
      <c r="K2080">
        <v>147</v>
      </c>
      <c r="L2080" s="5">
        <v>147</v>
      </c>
      <c r="M2080" s="5">
        <v>617</v>
      </c>
      <c r="N2080">
        <v>19</v>
      </c>
      <c r="O2080">
        <v>598</v>
      </c>
      <c r="P2080" s="1">
        <v>0.23472222222222222</v>
      </c>
      <c r="Q2080" s="5">
        <v>1732</v>
      </c>
      <c r="R2080" s="14">
        <v>11.8</v>
      </c>
      <c r="S2080">
        <v>147</v>
      </c>
      <c r="T2080" s="5">
        <v>19</v>
      </c>
      <c r="U2080" s="5">
        <v>599</v>
      </c>
      <c r="V2080" s="5">
        <v>1</v>
      </c>
      <c r="W2080" s="5"/>
      <c r="X2080" s="5"/>
      <c r="Y2080" s="5"/>
      <c r="Z2080" s="5"/>
      <c r="AA2080" s="5"/>
      <c r="AB2080" s="5"/>
      <c r="AC2080" s="5"/>
      <c r="AD2080" s="5"/>
      <c r="AE2080" s="5"/>
      <c r="AF2080" s="5"/>
      <c r="AG2080" s="5"/>
      <c r="AH2080" s="5"/>
      <c r="AI2080" s="5"/>
      <c r="AJ2080" s="5"/>
      <c r="AK2080" s="5"/>
    </row>
    <row r="2081" spans="1:37" x14ac:dyDescent="0.25">
      <c r="A2081" s="11">
        <f>Table1[[#This Row],[Milk Yield]]-J2077</f>
        <v>296</v>
      </c>
      <c r="B2081" t="s">
        <v>24</v>
      </c>
      <c r="C2081" s="2">
        <v>3</v>
      </c>
      <c r="D2081" s="12">
        <v>46030</v>
      </c>
      <c r="E2081" s="2">
        <v>28</v>
      </c>
      <c r="F2081" s="18">
        <v>3.1481481481481482E-3</v>
      </c>
      <c r="G2081" s="3">
        <v>0.17003472222222221</v>
      </c>
      <c r="H2081" s="17">
        <v>0.16666666666666666</v>
      </c>
      <c r="I2081" s="5">
        <v>612</v>
      </c>
      <c r="J2081">
        <v>7014</v>
      </c>
      <c r="K2081">
        <v>153</v>
      </c>
      <c r="L2081" s="5">
        <v>322</v>
      </c>
      <c r="M2081" s="5">
        <v>609</v>
      </c>
      <c r="N2081">
        <v>26</v>
      </c>
      <c r="O2081">
        <v>583</v>
      </c>
      <c r="P2081" s="1">
        <v>0.23680555555555555</v>
      </c>
      <c r="Q2081" s="5">
        <v>1751</v>
      </c>
      <c r="R2081" s="14">
        <v>11.6</v>
      </c>
      <c r="S2081">
        <v>152</v>
      </c>
      <c r="T2081" s="5">
        <v>26</v>
      </c>
      <c r="U2081" s="5">
        <v>584</v>
      </c>
      <c r="V2081" s="5">
        <v>1</v>
      </c>
      <c r="W2081" s="5"/>
      <c r="X2081" s="5"/>
      <c r="Y2081" s="5"/>
      <c r="Z2081" s="5"/>
      <c r="AA2081" s="5"/>
      <c r="AB2081" s="5"/>
      <c r="AC2081" s="5"/>
      <c r="AD2081" s="5"/>
      <c r="AE2081" s="5"/>
      <c r="AF2081" s="5"/>
      <c r="AG2081" s="5"/>
      <c r="AH2081" s="5"/>
      <c r="AI2081" s="5"/>
      <c r="AJ2081" s="5"/>
      <c r="AK2081" s="5"/>
    </row>
    <row r="2082" spans="1:37" x14ac:dyDescent="0.25">
      <c r="A2082" s="11" t="e">
        <f>Table1[[#This Row],[Milk Yield]]-J2078</f>
        <v>#VALUE!</v>
      </c>
      <c r="B2082" t="s">
        <v>0</v>
      </c>
      <c r="C2082" s="2" t="s">
        <v>1</v>
      </c>
      <c r="D2082" s="12" t="s">
        <v>2</v>
      </c>
      <c r="E2082" s="2" t="s">
        <v>3</v>
      </c>
      <c r="F2082" s="18" t="s">
        <v>4</v>
      </c>
      <c r="G2082" s="3" t="s">
        <v>5</v>
      </c>
      <c r="H2082" s="17" t="s">
        <v>6</v>
      </c>
      <c r="I2082" s="5" t="s">
        <v>8</v>
      </c>
      <c r="J2082" t="s">
        <v>9</v>
      </c>
      <c r="K2082" t="s">
        <v>10</v>
      </c>
      <c r="L2082" s="5" t="s">
        <v>11</v>
      </c>
      <c r="M2082" s="5" t="s">
        <v>12</v>
      </c>
      <c r="N2082" t="s">
        <v>13</v>
      </c>
      <c r="O2082" t="s">
        <v>20</v>
      </c>
      <c r="P2082" s="1" t="s">
        <v>7</v>
      </c>
      <c r="Q2082" s="5" t="s">
        <v>15</v>
      </c>
      <c r="R2082" s="14" t="s">
        <v>18</v>
      </c>
      <c r="S2082" t="s">
        <v>16</v>
      </c>
      <c r="T2082" s="5" t="s">
        <v>14</v>
      </c>
      <c r="U2082" s="5" t="s">
        <v>17</v>
      </c>
      <c r="V2082" s="5" t="s">
        <v>19</v>
      </c>
      <c r="W2082" s="5"/>
      <c r="X2082" s="5"/>
      <c r="Y2082" s="5"/>
      <c r="Z2082" s="5"/>
      <c r="AA2082" s="5"/>
      <c r="AB2082" s="5"/>
      <c r="AC2082" s="5"/>
      <c r="AD2082" s="5"/>
      <c r="AE2082" s="5"/>
      <c r="AF2082" s="5"/>
      <c r="AG2082" s="5"/>
      <c r="AH2082" s="5"/>
      <c r="AI2082" s="5"/>
      <c r="AJ2082" s="5"/>
      <c r="AK2082" s="5"/>
    </row>
    <row r="2083" spans="1:37" x14ac:dyDescent="0.25">
      <c r="A2083" s="11">
        <f>Table1[[#This Row],[Milk Yield]]-J2079</f>
        <v>-331</v>
      </c>
      <c r="B2083" t="s">
        <v>24</v>
      </c>
      <c r="C2083" s="2">
        <v>1</v>
      </c>
      <c r="D2083" s="12">
        <v>46031</v>
      </c>
      <c r="E2083" s="2">
        <v>30</v>
      </c>
      <c r="F2083" s="18">
        <v>0.33626157407407409</v>
      </c>
      <c r="G2083" s="3">
        <v>0.51902777777777775</v>
      </c>
      <c r="H2083" s="17">
        <v>0.18263888888888888</v>
      </c>
      <c r="I2083" s="5">
        <v>606</v>
      </c>
      <c r="J2083">
        <v>7470</v>
      </c>
      <c r="K2083">
        <v>138</v>
      </c>
      <c r="L2083" s="5">
        <v>123</v>
      </c>
      <c r="M2083" s="5">
        <v>606</v>
      </c>
      <c r="N2083">
        <v>14</v>
      </c>
      <c r="O2083">
        <v>592</v>
      </c>
      <c r="P2083" s="1">
        <v>0.24166666666666667</v>
      </c>
      <c r="Q2083" s="5">
        <v>1703</v>
      </c>
      <c r="R2083" s="14">
        <v>12.4</v>
      </c>
      <c r="S2083">
        <v>138</v>
      </c>
      <c r="T2083" s="5">
        <v>14</v>
      </c>
      <c r="U2083" s="5">
        <v>593</v>
      </c>
      <c r="V2083" s="5">
        <v>1</v>
      </c>
      <c r="W2083" s="5"/>
      <c r="X2083" s="5"/>
      <c r="Y2083" s="5"/>
      <c r="Z2083" s="5"/>
      <c r="AA2083" s="5"/>
      <c r="AB2083" s="5"/>
      <c r="AC2083" s="5"/>
      <c r="AD2083" s="5"/>
      <c r="AE2083" s="5"/>
      <c r="AF2083" s="5"/>
      <c r="AG2083" s="5"/>
      <c r="AH2083" s="5"/>
      <c r="AI2083" s="5"/>
      <c r="AJ2083" s="5"/>
      <c r="AK2083" s="5"/>
    </row>
    <row r="2084" spans="1:37" x14ac:dyDescent="0.25">
      <c r="A2084" s="11">
        <f>Table1[[#This Row],[Milk Yield]]-J2080</f>
        <v>-50</v>
      </c>
      <c r="B2084" t="s">
        <v>24</v>
      </c>
      <c r="C2084" s="2">
        <v>2</v>
      </c>
      <c r="D2084" s="12">
        <v>46031</v>
      </c>
      <c r="E2084" s="2">
        <v>5</v>
      </c>
      <c r="F2084" s="18">
        <v>0.66618055555555555</v>
      </c>
      <c r="G2084" s="3">
        <v>0.70138888888888884</v>
      </c>
      <c r="H2084" s="17">
        <v>3.4722222222222224E-2</v>
      </c>
      <c r="I2084" s="5">
        <v>48</v>
      </c>
      <c r="J2084">
        <v>7200</v>
      </c>
      <c r="K2084">
        <v>57</v>
      </c>
      <c r="L2084" s="5">
        <v>232</v>
      </c>
      <c r="M2084" s="5">
        <v>48</v>
      </c>
      <c r="N2084">
        <v>20</v>
      </c>
      <c r="O2084">
        <v>28</v>
      </c>
      <c r="P2084" s="1">
        <v>0.31041666666666667</v>
      </c>
      <c r="Q2084" s="5">
        <v>631</v>
      </c>
      <c r="R2084" s="14">
        <v>11.2</v>
      </c>
      <c r="S2084">
        <v>57</v>
      </c>
      <c r="T2084" s="5">
        <v>20</v>
      </c>
      <c r="U2084" s="5">
        <v>29</v>
      </c>
      <c r="V2084" s="5">
        <v>1</v>
      </c>
      <c r="W2084" s="5"/>
      <c r="X2084" s="5"/>
      <c r="Y2084" s="5"/>
      <c r="Z2084" s="5"/>
      <c r="AA2084" s="5"/>
      <c r="AB2084" s="5"/>
      <c r="AC2084" s="5"/>
      <c r="AD2084" s="5"/>
      <c r="AE2084" s="5"/>
      <c r="AF2084" s="5"/>
      <c r="AG2084" s="5"/>
      <c r="AH2084" s="5"/>
      <c r="AI2084" s="5"/>
      <c r="AJ2084" s="5"/>
      <c r="AK2084" s="5"/>
    </row>
    <row r="2085" spans="1:37" x14ac:dyDescent="0.25">
      <c r="A2085" s="11">
        <f>Table1[[#This Row],[Milk Yield]]-J2081</f>
        <v>-389</v>
      </c>
      <c r="B2085" t="s">
        <v>24</v>
      </c>
      <c r="C2085" s="2">
        <v>3</v>
      </c>
      <c r="D2085" s="12">
        <v>46031</v>
      </c>
      <c r="E2085" s="2">
        <v>28</v>
      </c>
      <c r="F2085" s="18">
        <v>0.7072222222222222</v>
      </c>
      <c r="G2085" s="3">
        <v>0.15377314814814816</v>
      </c>
      <c r="H2085" s="17">
        <v>0.4465277777777778</v>
      </c>
      <c r="I2085" s="5">
        <v>1148</v>
      </c>
      <c r="J2085">
        <v>6625</v>
      </c>
      <c r="K2085">
        <v>107</v>
      </c>
      <c r="L2085" s="5">
        <v>400</v>
      </c>
      <c r="M2085" s="5">
        <v>1146</v>
      </c>
      <c r="N2085">
        <v>40</v>
      </c>
      <c r="O2085" s="5">
        <v>1106</v>
      </c>
      <c r="P2085" s="1">
        <v>0.22638888888888889</v>
      </c>
      <c r="Q2085" s="5">
        <v>1240</v>
      </c>
      <c r="R2085" s="14">
        <v>11.6</v>
      </c>
      <c r="S2085">
        <v>107</v>
      </c>
      <c r="T2085" s="5">
        <v>40</v>
      </c>
      <c r="U2085" s="5">
        <v>1107</v>
      </c>
      <c r="V2085" s="5">
        <v>1</v>
      </c>
      <c r="W2085" s="5"/>
      <c r="X2085" s="5"/>
      <c r="Y2085" s="5"/>
      <c r="Z2085" s="5"/>
      <c r="AA2085" s="5"/>
      <c r="AB2085" s="5"/>
      <c r="AC2085" s="5"/>
      <c r="AD2085" s="5"/>
      <c r="AE2085" s="5"/>
      <c r="AF2085" s="5"/>
      <c r="AG2085" s="5"/>
      <c r="AH2085" s="5"/>
      <c r="AI2085" s="5"/>
      <c r="AJ2085" s="5"/>
      <c r="AK2085" s="5"/>
    </row>
    <row r="2086" spans="1:37" x14ac:dyDescent="0.25">
      <c r="A2086" s="11" t="e">
        <f>Table1[[#This Row],[Milk Yield]]-J2082</f>
        <v>#VALUE!</v>
      </c>
      <c r="B2086" t="s">
        <v>0</v>
      </c>
      <c r="C2086" s="2" t="s">
        <v>1</v>
      </c>
      <c r="D2086" s="12" t="s">
        <v>2</v>
      </c>
      <c r="E2086" s="2" t="s">
        <v>3</v>
      </c>
      <c r="F2086" s="18" t="s">
        <v>4</v>
      </c>
      <c r="G2086" s="3" t="s">
        <v>5</v>
      </c>
      <c r="H2086" s="17" t="s">
        <v>6</v>
      </c>
      <c r="I2086" s="5" t="s">
        <v>8</v>
      </c>
      <c r="J2086" t="s">
        <v>9</v>
      </c>
      <c r="K2086" t="s">
        <v>10</v>
      </c>
      <c r="L2086" s="5" t="s">
        <v>11</v>
      </c>
      <c r="M2086" s="5" t="s">
        <v>12</v>
      </c>
      <c r="N2086" t="s">
        <v>13</v>
      </c>
      <c r="O2086" t="s">
        <v>20</v>
      </c>
      <c r="P2086" s="1" t="s">
        <v>7</v>
      </c>
      <c r="Q2086" s="5" t="s">
        <v>15</v>
      </c>
      <c r="R2086" s="14" t="s">
        <v>18</v>
      </c>
      <c r="S2086" t="s">
        <v>16</v>
      </c>
      <c r="T2086" s="5" t="s">
        <v>14</v>
      </c>
      <c r="U2086" s="5" t="s">
        <v>17</v>
      </c>
      <c r="V2086" s="5" t="s">
        <v>19</v>
      </c>
      <c r="W2086" s="5"/>
      <c r="X2086" s="5"/>
      <c r="Y2086" s="5"/>
      <c r="Z2086" s="5"/>
      <c r="AA2086" s="5"/>
      <c r="AB2086" s="5"/>
      <c r="AC2086" s="5"/>
      <c r="AD2086" s="5"/>
      <c r="AE2086" s="5"/>
      <c r="AF2086" s="5"/>
      <c r="AG2086" s="5"/>
      <c r="AH2086" s="5"/>
      <c r="AI2086" s="5"/>
      <c r="AJ2086" s="5"/>
      <c r="AK2086" s="5"/>
    </row>
    <row r="2087" spans="1:37" x14ac:dyDescent="0.25">
      <c r="A2087" s="11">
        <f>Table1[[#This Row],[Milk Yield]]-J2083</f>
        <v>201</v>
      </c>
      <c r="B2087" t="s">
        <v>24</v>
      </c>
      <c r="C2087" s="2">
        <v>1</v>
      </c>
      <c r="D2087" s="12">
        <v>46032</v>
      </c>
      <c r="E2087" s="2">
        <v>29</v>
      </c>
      <c r="F2087" s="18">
        <v>0.33473379629629629</v>
      </c>
      <c r="G2087" s="3">
        <v>0.51223379629629628</v>
      </c>
      <c r="H2087" s="17">
        <v>0.17708333333333334</v>
      </c>
      <c r="I2087" s="5">
        <v>603</v>
      </c>
      <c r="J2087">
        <v>7671</v>
      </c>
      <c r="K2087">
        <v>142</v>
      </c>
      <c r="L2087" s="5">
        <v>211</v>
      </c>
      <c r="M2087" s="5">
        <v>603</v>
      </c>
      <c r="N2087">
        <v>18</v>
      </c>
      <c r="O2087">
        <v>585</v>
      </c>
      <c r="P2087" s="1">
        <v>0.2388888888888889</v>
      </c>
      <c r="Q2087" s="5">
        <v>1801</v>
      </c>
      <c r="R2087" s="14">
        <v>12.8</v>
      </c>
      <c r="S2087">
        <v>142</v>
      </c>
      <c r="T2087" s="5">
        <v>18</v>
      </c>
      <c r="U2087" s="5">
        <v>585</v>
      </c>
      <c r="V2087" s="5">
        <v>1</v>
      </c>
      <c r="W2087" s="5"/>
      <c r="X2087" s="5"/>
      <c r="Y2087" s="5"/>
      <c r="Z2087" s="5"/>
      <c r="AA2087" s="5"/>
      <c r="AB2087" s="5"/>
      <c r="AC2087" s="5"/>
      <c r="AD2087" s="5"/>
      <c r="AE2087" s="5"/>
      <c r="AF2087" s="5"/>
      <c r="AG2087" s="5"/>
      <c r="AH2087" s="5"/>
      <c r="AI2087" s="5"/>
      <c r="AJ2087" s="5"/>
      <c r="AK2087" s="5"/>
    </row>
    <row r="2088" spans="1:37" x14ac:dyDescent="0.25">
      <c r="A2088" s="11">
        <f>Table1[[#This Row],[Milk Yield]]-J2084</f>
        <v>-44</v>
      </c>
      <c r="B2088" t="s">
        <v>24</v>
      </c>
      <c r="C2088" s="2">
        <v>2</v>
      </c>
      <c r="D2088" s="12">
        <v>46032</v>
      </c>
      <c r="E2088" s="2">
        <v>31</v>
      </c>
      <c r="F2088" s="18">
        <v>0.66748842592592594</v>
      </c>
      <c r="G2088" s="3">
        <v>0.84472222222222226</v>
      </c>
      <c r="H2088" s="17">
        <v>0.17708333333333334</v>
      </c>
      <c r="I2088" s="5">
        <v>608</v>
      </c>
      <c r="J2088">
        <v>7156</v>
      </c>
      <c r="K2088">
        <v>143</v>
      </c>
      <c r="L2088" s="5">
        <v>127</v>
      </c>
      <c r="M2088" s="5">
        <v>608</v>
      </c>
      <c r="N2088">
        <v>15</v>
      </c>
      <c r="O2088">
        <v>593</v>
      </c>
      <c r="P2088" s="1">
        <v>0.23194444444444445</v>
      </c>
      <c r="Q2088" s="5">
        <v>1682</v>
      </c>
      <c r="R2088" s="14">
        <v>11.8</v>
      </c>
      <c r="S2088">
        <v>143</v>
      </c>
      <c r="T2088" s="5">
        <v>15</v>
      </c>
      <c r="U2088" s="5">
        <v>594</v>
      </c>
      <c r="V2088" s="5">
        <v>1</v>
      </c>
      <c r="W2088" s="5"/>
      <c r="X2088" s="5"/>
      <c r="Y2088" s="5"/>
      <c r="Z2088" s="5"/>
      <c r="AA2088" s="5"/>
      <c r="AB2088" s="5"/>
      <c r="AC2088" s="5"/>
      <c r="AD2088" s="5"/>
      <c r="AE2088" s="5"/>
      <c r="AF2088" s="5"/>
      <c r="AG2088" s="5"/>
      <c r="AH2088" s="5"/>
      <c r="AI2088" s="5"/>
      <c r="AJ2088" s="5"/>
      <c r="AK2088" s="5"/>
    </row>
    <row r="2089" spans="1:37" x14ac:dyDescent="0.25">
      <c r="A2089" s="11">
        <f>Table1[[#This Row],[Milk Yield]]-J2085</f>
        <v>-123</v>
      </c>
      <c r="B2089" t="s">
        <v>24</v>
      </c>
      <c r="C2089" s="2">
        <v>3</v>
      </c>
      <c r="D2089" s="12">
        <v>46032</v>
      </c>
      <c r="E2089" s="2">
        <v>27</v>
      </c>
      <c r="F2089" s="18">
        <v>2.7893518518518519E-3</v>
      </c>
      <c r="G2089" s="3">
        <v>0.15053240740740742</v>
      </c>
      <c r="H2089" s="17">
        <v>0.14722222222222223</v>
      </c>
      <c r="I2089" s="5">
        <v>602</v>
      </c>
      <c r="J2089">
        <v>6502</v>
      </c>
      <c r="K2089">
        <v>170</v>
      </c>
      <c r="L2089" s="5">
        <v>137</v>
      </c>
      <c r="M2089" s="5">
        <v>602</v>
      </c>
      <c r="N2089">
        <v>13</v>
      </c>
      <c r="O2089">
        <v>589</v>
      </c>
      <c r="P2089" s="1">
        <v>0.22083333333333333</v>
      </c>
      <c r="Q2089" s="5">
        <v>1834</v>
      </c>
      <c r="R2089" s="14">
        <v>10.9</v>
      </c>
      <c r="S2089">
        <v>170</v>
      </c>
      <c r="T2089" s="5">
        <v>13</v>
      </c>
      <c r="U2089" s="5">
        <v>590</v>
      </c>
      <c r="V2089" s="5">
        <v>1</v>
      </c>
      <c r="W2089" s="5"/>
      <c r="X2089" s="5"/>
      <c r="Y2089" s="5"/>
      <c r="Z2089" s="5"/>
      <c r="AA2089" s="5"/>
      <c r="AB2089" s="5"/>
      <c r="AC2089" s="5"/>
      <c r="AD2089" s="5"/>
      <c r="AE2089" s="5"/>
      <c r="AF2089" s="5"/>
      <c r="AG2089" s="5"/>
      <c r="AH2089" s="5"/>
      <c r="AI2089" s="5"/>
      <c r="AJ2089" s="5"/>
      <c r="AK2089" s="5"/>
    </row>
    <row r="2090" spans="1:37" x14ac:dyDescent="0.25">
      <c r="A2090" s="11" t="e">
        <f>Table1[[#This Row],[Milk Yield]]-J2086</f>
        <v>#VALUE!</v>
      </c>
      <c r="B2090" t="s">
        <v>0</v>
      </c>
      <c r="C2090" s="2" t="s">
        <v>1</v>
      </c>
      <c r="D2090" s="12" t="s">
        <v>2</v>
      </c>
      <c r="E2090" s="2" t="s">
        <v>3</v>
      </c>
      <c r="F2090" s="18" t="s">
        <v>4</v>
      </c>
      <c r="G2090" s="3" t="s">
        <v>5</v>
      </c>
      <c r="H2090" s="17" t="s">
        <v>6</v>
      </c>
      <c r="I2090" s="5" t="s">
        <v>8</v>
      </c>
      <c r="J2090" t="s">
        <v>9</v>
      </c>
      <c r="K2090" t="s">
        <v>10</v>
      </c>
      <c r="L2090" s="5" t="s">
        <v>11</v>
      </c>
      <c r="M2090" s="5" t="s">
        <v>12</v>
      </c>
      <c r="N2090" t="s">
        <v>13</v>
      </c>
      <c r="O2090" t="s">
        <v>20</v>
      </c>
      <c r="P2090" s="1" t="s">
        <v>7</v>
      </c>
      <c r="Q2090" s="5" t="s">
        <v>15</v>
      </c>
      <c r="R2090" s="14" t="s">
        <v>18</v>
      </c>
      <c r="S2090" t="s">
        <v>16</v>
      </c>
      <c r="T2090" s="5" t="s">
        <v>14</v>
      </c>
      <c r="U2090" s="5" t="s">
        <v>17</v>
      </c>
      <c r="V2090" s="5" t="s">
        <v>19</v>
      </c>
      <c r="W2090" s="5"/>
      <c r="X2090" s="5"/>
      <c r="Y2090" s="5"/>
      <c r="Z2090" s="5"/>
      <c r="AA2090" s="5"/>
      <c r="AB2090" s="5"/>
      <c r="AC2090" s="5"/>
      <c r="AD2090" s="5"/>
      <c r="AE2090" s="5"/>
      <c r="AF2090" s="5"/>
      <c r="AG2090" s="5"/>
      <c r="AH2090" s="5"/>
      <c r="AI2090" s="5"/>
      <c r="AJ2090" s="5"/>
      <c r="AK2090" s="5"/>
    </row>
    <row r="2091" spans="1:37" x14ac:dyDescent="0.25">
      <c r="A2091" s="11">
        <f>Table1[[#This Row],[Milk Yield]]-J2087</f>
        <v>31</v>
      </c>
      <c r="B2091" t="s">
        <v>24</v>
      </c>
      <c r="C2091" s="2">
        <v>1</v>
      </c>
      <c r="D2091" s="12">
        <v>46033</v>
      </c>
      <c r="E2091" s="2">
        <v>28</v>
      </c>
      <c r="F2091" s="18">
        <v>0.33598379629629632</v>
      </c>
      <c r="G2091" s="3">
        <v>0.51290509259259254</v>
      </c>
      <c r="H2091" s="17">
        <v>0.1763888888888889</v>
      </c>
      <c r="I2091" s="5">
        <v>598</v>
      </c>
      <c r="J2091">
        <v>7702</v>
      </c>
      <c r="K2091">
        <v>141</v>
      </c>
      <c r="L2091" s="5">
        <v>92</v>
      </c>
      <c r="M2091" s="5">
        <v>598</v>
      </c>
      <c r="N2091">
        <v>9</v>
      </c>
      <c r="O2091">
        <v>589</v>
      </c>
      <c r="P2091" s="1">
        <v>0.24652777777777779</v>
      </c>
      <c r="Q2091" s="5">
        <v>1814</v>
      </c>
      <c r="R2091" s="14">
        <v>12.9</v>
      </c>
      <c r="S2091">
        <v>141</v>
      </c>
      <c r="T2091" s="5">
        <v>9</v>
      </c>
      <c r="U2091" s="5">
        <v>590</v>
      </c>
      <c r="V2091" s="5">
        <v>1</v>
      </c>
      <c r="W2091" s="5"/>
      <c r="X2091" s="5"/>
      <c r="Y2091" s="5"/>
      <c r="Z2091" s="5"/>
      <c r="AA2091" s="5"/>
      <c r="AB2091" s="5"/>
      <c r="AC2091" s="5"/>
      <c r="AD2091" s="5"/>
      <c r="AE2091" s="5"/>
      <c r="AF2091" s="5"/>
      <c r="AG2091" s="5"/>
      <c r="AH2091" s="5"/>
      <c r="AI2091" s="5"/>
      <c r="AJ2091" s="5"/>
      <c r="AK2091" s="5"/>
    </row>
    <row r="2092" spans="1:37" x14ac:dyDescent="0.25">
      <c r="A2092" s="11">
        <f>Table1[[#This Row],[Milk Yield]]-J2088</f>
        <v>-311</v>
      </c>
      <c r="B2092" t="s">
        <v>24</v>
      </c>
      <c r="C2092" s="2">
        <v>2</v>
      </c>
      <c r="D2092" s="12">
        <v>46033</v>
      </c>
      <c r="E2092" s="2">
        <v>33</v>
      </c>
      <c r="F2092" s="18">
        <v>0.66318287037037038</v>
      </c>
      <c r="G2092" s="3">
        <v>0.82973379629629629</v>
      </c>
      <c r="H2092" s="17">
        <v>0.16597222222222222</v>
      </c>
      <c r="I2092" s="5">
        <v>615</v>
      </c>
      <c r="J2092">
        <v>6845</v>
      </c>
      <c r="K2092">
        <v>154</v>
      </c>
      <c r="L2092" s="5">
        <v>164</v>
      </c>
      <c r="M2092" s="5">
        <v>615</v>
      </c>
      <c r="N2092">
        <v>21</v>
      </c>
      <c r="O2092">
        <v>594</v>
      </c>
      <c r="P2092" s="1">
        <v>0.22430555555555556</v>
      </c>
      <c r="Q2092" s="5">
        <v>1712</v>
      </c>
      <c r="R2092" s="14">
        <v>11.2</v>
      </c>
      <c r="S2092">
        <v>154</v>
      </c>
      <c r="T2092" s="5">
        <v>21</v>
      </c>
      <c r="U2092" s="5">
        <v>595</v>
      </c>
      <c r="V2092" s="5">
        <v>1</v>
      </c>
      <c r="W2092" s="5"/>
      <c r="X2092" s="5"/>
      <c r="Y2092" s="5"/>
      <c r="Z2092" s="5"/>
      <c r="AA2092" s="5"/>
      <c r="AB2092" s="5"/>
      <c r="AC2092" s="5"/>
      <c r="AD2092" s="5"/>
      <c r="AE2092" s="5"/>
      <c r="AF2092" s="5"/>
      <c r="AG2092" s="5"/>
      <c r="AH2092" s="5"/>
      <c r="AI2092" s="5"/>
      <c r="AJ2092" s="5"/>
      <c r="AK2092" s="5"/>
    </row>
    <row r="2093" spans="1:37" x14ac:dyDescent="0.25">
      <c r="A2093" s="11">
        <f>Table1[[#This Row],[Milk Yield]]-J2089</f>
        <v>290</v>
      </c>
      <c r="B2093" t="s">
        <v>24</v>
      </c>
      <c r="C2093" s="2">
        <v>3</v>
      </c>
      <c r="D2093" s="12">
        <v>46033</v>
      </c>
      <c r="E2093" s="2">
        <v>28</v>
      </c>
      <c r="F2093" s="18">
        <v>0.99981481481481482</v>
      </c>
      <c r="G2093" s="3">
        <v>0.14348379629629629</v>
      </c>
      <c r="H2093" s="17">
        <v>0.14305555555555555</v>
      </c>
      <c r="I2093" s="5">
        <v>604</v>
      </c>
      <c r="J2093">
        <v>6792</v>
      </c>
      <c r="K2093">
        <v>175</v>
      </c>
      <c r="L2093" s="5">
        <v>77</v>
      </c>
      <c r="M2093" s="5">
        <v>604</v>
      </c>
      <c r="N2093">
        <v>7</v>
      </c>
      <c r="O2093">
        <v>597</v>
      </c>
      <c r="P2093" s="1">
        <v>0.21666666666666667</v>
      </c>
      <c r="Q2093" s="5">
        <v>1970</v>
      </c>
      <c r="R2093" s="14">
        <v>11.3</v>
      </c>
      <c r="S2093">
        <v>175</v>
      </c>
      <c r="T2093" s="5">
        <v>7</v>
      </c>
      <c r="U2093" s="5">
        <v>598</v>
      </c>
      <c r="V2093" s="5">
        <v>1</v>
      </c>
      <c r="W2093" s="5"/>
      <c r="X2093" s="5"/>
      <c r="Y2093" s="5"/>
      <c r="Z2093" s="5"/>
      <c r="AA2093" s="5"/>
      <c r="AB2093" s="5"/>
      <c r="AC2093" s="5"/>
      <c r="AD2093" s="5"/>
      <c r="AE2093" s="5"/>
      <c r="AF2093" s="5"/>
      <c r="AG2093" s="5"/>
      <c r="AH2093" s="5"/>
      <c r="AI2093" s="5"/>
      <c r="AJ2093" s="5"/>
      <c r="AK2093" s="5"/>
    </row>
    <row r="2094" spans="1:37" x14ac:dyDescent="0.25">
      <c r="A2094" s="11" t="e">
        <f>Table1[[#This Row],[Milk Yield]]-J2090</f>
        <v>#VALUE!</v>
      </c>
      <c r="B2094" t="s">
        <v>0</v>
      </c>
      <c r="C2094" s="2" t="s">
        <v>1</v>
      </c>
      <c r="D2094" s="12" t="s">
        <v>2</v>
      </c>
      <c r="E2094" s="2" t="s">
        <v>3</v>
      </c>
      <c r="F2094" s="18" t="s">
        <v>4</v>
      </c>
      <c r="G2094" s="3" t="s">
        <v>5</v>
      </c>
      <c r="H2094" s="17" t="s">
        <v>6</v>
      </c>
      <c r="I2094" s="5" t="s">
        <v>8</v>
      </c>
      <c r="J2094" t="s">
        <v>9</v>
      </c>
      <c r="K2094" t="s">
        <v>10</v>
      </c>
      <c r="L2094" s="5" t="s">
        <v>11</v>
      </c>
      <c r="M2094" s="5" t="s">
        <v>12</v>
      </c>
      <c r="N2094" t="s">
        <v>13</v>
      </c>
      <c r="O2094" t="s">
        <v>20</v>
      </c>
      <c r="P2094" s="1" t="s">
        <v>7</v>
      </c>
      <c r="Q2094" s="5" t="s">
        <v>15</v>
      </c>
      <c r="R2094" s="14" t="s">
        <v>18</v>
      </c>
      <c r="S2094" t="s">
        <v>16</v>
      </c>
      <c r="T2094" s="5" t="s">
        <v>14</v>
      </c>
      <c r="U2094" s="5" t="s">
        <v>17</v>
      </c>
      <c r="V2094" s="5" t="s">
        <v>19</v>
      </c>
      <c r="W2094" s="5"/>
      <c r="X2094" s="5"/>
      <c r="Y2094" s="5"/>
      <c r="Z2094" s="5"/>
      <c r="AA2094" s="5"/>
      <c r="AB2094" s="5"/>
      <c r="AC2094" s="5"/>
      <c r="AD2094" s="5"/>
      <c r="AE2094" s="5"/>
      <c r="AF2094" s="5"/>
      <c r="AG2094" s="5"/>
      <c r="AH2094" s="5"/>
      <c r="AI2094" s="5"/>
      <c r="AJ2094" s="5"/>
      <c r="AK2094" s="5"/>
    </row>
    <row r="2095" spans="1:37" x14ac:dyDescent="0.25">
      <c r="A2095" s="11">
        <f>Table1[[#This Row],[Milk Yield]]-J2091</f>
        <v>41</v>
      </c>
      <c r="B2095" t="s">
        <v>24</v>
      </c>
      <c r="C2095" s="2">
        <v>1</v>
      </c>
      <c r="D2095" s="12">
        <v>46034</v>
      </c>
      <c r="E2095" s="2">
        <v>30</v>
      </c>
      <c r="F2095" s="18">
        <v>0.33476851851851852</v>
      </c>
      <c r="G2095" s="3">
        <v>0.50930555555555557</v>
      </c>
      <c r="H2095" s="17">
        <v>0.17430555555555555</v>
      </c>
      <c r="I2095" s="5">
        <v>610</v>
      </c>
      <c r="J2095">
        <v>7743</v>
      </c>
      <c r="K2095">
        <v>146</v>
      </c>
      <c r="L2095" s="5">
        <v>118</v>
      </c>
      <c r="M2095" s="5">
        <v>609</v>
      </c>
      <c r="N2095">
        <v>11</v>
      </c>
      <c r="O2095">
        <v>598</v>
      </c>
      <c r="P2095" s="1">
        <v>0.23472222222222222</v>
      </c>
      <c r="Q2095" s="5">
        <v>1848</v>
      </c>
      <c r="R2095" s="14">
        <v>12.8</v>
      </c>
      <c r="S2095">
        <v>145</v>
      </c>
      <c r="T2095" s="5">
        <v>11</v>
      </c>
      <c r="U2095" s="5">
        <v>599</v>
      </c>
      <c r="V2095" s="5">
        <v>1</v>
      </c>
      <c r="W2095" s="5"/>
      <c r="X2095" s="5"/>
      <c r="Y2095" s="5"/>
      <c r="Z2095" s="5"/>
      <c r="AA2095" s="5"/>
      <c r="AB2095" s="5"/>
      <c r="AC2095" s="5"/>
      <c r="AD2095" s="5"/>
      <c r="AE2095" s="5"/>
      <c r="AF2095" s="5"/>
      <c r="AG2095" s="5"/>
      <c r="AH2095" s="5"/>
      <c r="AI2095" s="5"/>
      <c r="AJ2095" s="5"/>
      <c r="AK2095" s="5"/>
    </row>
    <row r="2096" spans="1:37" x14ac:dyDescent="0.25">
      <c r="A2096" s="11">
        <f>Table1[[#This Row],[Milk Yield]]-J2092</f>
        <v>262</v>
      </c>
      <c r="B2096" t="s">
        <v>24</v>
      </c>
      <c r="C2096" s="2">
        <v>2</v>
      </c>
      <c r="D2096" s="12">
        <v>46034</v>
      </c>
      <c r="E2096" s="2">
        <v>31</v>
      </c>
      <c r="F2096" s="18">
        <v>0.66613425925925929</v>
      </c>
      <c r="G2096" s="3">
        <v>0.83266203703703701</v>
      </c>
      <c r="H2096" s="17">
        <v>0.16597222222222222</v>
      </c>
      <c r="I2096" s="5">
        <v>614</v>
      </c>
      <c r="J2096">
        <v>7107</v>
      </c>
      <c r="K2096">
        <v>154</v>
      </c>
      <c r="L2096" s="5">
        <v>72</v>
      </c>
      <c r="M2096" s="5">
        <v>614</v>
      </c>
      <c r="N2096">
        <v>8</v>
      </c>
      <c r="O2096">
        <v>606</v>
      </c>
      <c r="P2096" s="1">
        <v>0.22361111111111112</v>
      </c>
      <c r="Q2096" s="5">
        <v>1778</v>
      </c>
      <c r="R2096" s="14">
        <v>11.6</v>
      </c>
      <c r="S2096">
        <v>154</v>
      </c>
      <c r="T2096" s="5">
        <v>8</v>
      </c>
      <c r="U2096" s="5">
        <v>607</v>
      </c>
      <c r="V2096" s="5">
        <v>1</v>
      </c>
      <c r="W2096" s="5"/>
      <c r="X2096" s="5"/>
      <c r="Y2096" s="5"/>
      <c r="Z2096" s="5"/>
      <c r="AA2096" s="5"/>
      <c r="AB2096" s="5"/>
      <c r="AC2096" s="5"/>
      <c r="AD2096" s="5"/>
      <c r="AE2096" s="5"/>
      <c r="AF2096" s="5"/>
      <c r="AG2096" s="5"/>
      <c r="AH2096" s="5"/>
      <c r="AI2096" s="5"/>
      <c r="AJ2096" s="5"/>
      <c r="AK2096" s="5"/>
    </row>
    <row r="2097" spans="1:37" x14ac:dyDescent="0.25">
      <c r="A2097" s="11">
        <f>Table1[[#This Row],[Milk Yield]]-J2093</f>
        <v>-28</v>
      </c>
      <c r="B2097" t="s">
        <v>24</v>
      </c>
      <c r="C2097" s="2">
        <v>3</v>
      </c>
      <c r="D2097" s="12">
        <v>46034</v>
      </c>
      <c r="E2097" s="2">
        <v>28</v>
      </c>
      <c r="F2097" s="18">
        <v>1.4467592592592592E-3</v>
      </c>
      <c r="G2097" s="3">
        <v>0.15336805555555555</v>
      </c>
      <c r="H2097" s="17">
        <v>0.15138888888888888</v>
      </c>
      <c r="I2097" s="5">
        <v>609</v>
      </c>
      <c r="J2097">
        <v>6764</v>
      </c>
      <c r="K2097">
        <v>167</v>
      </c>
      <c r="L2097" s="5">
        <v>105</v>
      </c>
      <c r="M2097" s="5">
        <v>607</v>
      </c>
      <c r="N2097">
        <v>10</v>
      </c>
      <c r="O2097">
        <v>597</v>
      </c>
      <c r="P2097" s="1">
        <v>0.21875</v>
      </c>
      <c r="Q2097" s="5">
        <v>1855</v>
      </c>
      <c r="R2097" s="14">
        <v>11.2</v>
      </c>
      <c r="S2097">
        <v>166</v>
      </c>
      <c r="T2097" s="5">
        <v>10</v>
      </c>
      <c r="U2097" s="5">
        <v>598</v>
      </c>
      <c r="V2097" s="5">
        <v>1</v>
      </c>
      <c r="W2097" s="5"/>
      <c r="X2097" s="5"/>
      <c r="Y2097" s="5"/>
      <c r="Z2097" s="5"/>
      <c r="AA2097" s="5"/>
      <c r="AB2097" s="5"/>
      <c r="AC2097" s="5"/>
      <c r="AD2097" s="5"/>
      <c r="AE2097" s="5"/>
      <c r="AF2097" s="5"/>
      <c r="AG2097" s="5"/>
      <c r="AH2097" s="5"/>
      <c r="AI2097" s="5"/>
      <c r="AJ2097" s="5"/>
      <c r="AK2097" s="5"/>
    </row>
    <row r="2098" spans="1:37" x14ac:dyDescent="0.25">
      <c r="A2098" s="11" t="e">
        <f>Table1[[#This Row],[Milk Yield]]-J2094</f>
        <v>#VALUE!</v>
      </c>
      <c r="B2098" t="s">
        <v>0</v>
      </c>
      <c r="C2098" s="2" t="s">
        <v>1</v>
      </c>
      <c r="D2098" s="12" t="s">
        <v>2</v>
      </c>
      <c r="E2098" s="2" t="s">
        <v>3</v>
      </c>
      <c r="F2098" s="18" t="s">
        <v>4</v>
      </c>
      <c r="G2098" s="3" t="s">
        <v>5</v>
      </c>
      <c r="H2098" s="17" t="s">
        <v>6</v>
      </c>
      <c r="I2098" s="5" t="s">
        <v>8</v>
      </c>
      <c r="J2098" t="s">
        <v>9</v>
      </c>
      <c r="K2098" t="s">
        <v>10</v>
      </c>
      <c r="L2098" s="5" t="s">
        <v>11</v>
      </c>
      <c r="M2098" s="5" t="s">
        <v>12</v>
      </c>
      <c r="N2098" t="s">
        <v>13</v>
      </c>
      <c r="O2098" t="s">
        <v>20</v>
      </c>
      <c r="P2098" s="1" t="s">
        <v>7</v>
      </c>
      <c r="Q2098" s="5" t="s">
        <v>15</v>
      </c>
      <c r="R2098" s="14" t="s">
        <v>18</v>
      </c>
      <c r="S2098" t="s">
        <v>16</v>
      </c>
      <c r="T2098" s="5" t="s">
        <v>14</v>
      </c>
      <c r="U2098" s="5" t="s">
        <v>17</v>
      </c>
      <c r="V2098" s="5" t="s">
        <v>19</v>
      </c>
      <c r="W2098" s="5"/>
      <c r="X2098" s="5"/>
      <c r="Y2098" s="5"/>
      <c r="Z2098" s="5"/>
      <c r="AA2098" s="5"/>
      <c r="AB2098" s="5"/>
      <c r="AC2098" s="5"/>
      <c r="AD2098" s="5"/>
      <c r="AE2098" s="5"/>
      <c r="AF2098" s="5"/>
      <c r="AG2098" s="5"/>
      <c r="AH2098" s="5"/>
      <c r="AI2098" s="5"/>
      <c r="AJ2098" s="5"/>
      <c r="AK2098" s="5"/>
    </row>
    <row r="2099" spans="1:37" x14ac:dyDescent="0.25">
      <c r="A2099" s="11">
        <f>Table1[[#This Row],[Milk Yield]]-J2095</f>
        <v>-216</v>
      </c>
      <c r="B2099" t="s">
        <v>24</v>
      </c>
      <c r="C2099" s="2">
        <v>1</v>
      </c>
      <c r="D2099" s="12">
        <v>46035</v>
      </c>
      <c r="E2099" s="2">
        <v>29</v>
      </c>
      <c r="F2099" s="18">
        <v>0.33508101851851851</v>
      </c>
      <c r="G2099" s="3">
        <v>0.49879629629629629</v>
      </c>
      <c r="H2099" s="17">
        <v>0.16319444444444445</v>
      </c>
      <c r="I2099" s="5">
        <v>609</v>
      </c>
      <c r="J2099">
        <v>7527</v>
      </c>
      <c r="K2099">
        <v>155</v>
      </c>
      <c r="L2099" s="5">
        <v>64</v>
      </c>
      <c r="M2099" s="5">
        <v>609</v>
      </c>
      <c r="N2099">
        <v>7</v>
      </c>
      <c r="O2099">
        <v>602</v>
      </c>
      <c r="P2099" s="1">
        <v>0.23125000000000001</v>
      </c>
      <c r="Q2099" s="5">
        <v>1916</v>
      </c>
      <c r="R2099" s="14">
        <v>12.4</v>
      </c>
      <c r="S2099">
        <v>155</v>
      </c>
      <c r="T2099" s="5">
        <v>7</v>
      </c>
      <c r="U2099" s="5">
        <v>603</v>
      </c>
      <c r="V2099" s="5">
        <v>1</v>
      </c>
      <c r="W2099" s="5"/>
      <c r="X2099" s="5"/>
      <c r="Y2099" s="5"/>
      <c r="Z2099" s="5"/>
      <c r="AA2099" s="5"/>
      <c r="AB2099" s="5"/>
      <c r="AC2099" s="5"/>
      <c r="AD2099" s="5"/>
      <c r="AE2099" s="5"/>
      <c r="AF2099" s="5"/>
      <c r="AG2099" s="5"/>
      <c r="AH2099" s="5"/>
      <c r="AI2099" s="5"/>
      <c r="AJ2099" s="5"/>
      <c r="AK2099" s="5"/>
    </row>
    <row r="2100" spans="1:37" x14ac:dyDescent="0.25">
      <c r="A2100" s="11">
        <f>Table1[[#This Row],[Milk Yield]]-J2096</f>
        <v>233</v>
      </c>
      <c r="B2100" t="s">
        <v>24</v>
      </c>
      <c r="C2100" s="2">
        <v>2</v>
      </c>
      <c r="D2100" s="12">
        <v>46035</v>
      </c>
      <c r="E2100" s="2">
        <v>32</v>
      </c>
      <c r="F2100" s="18">
        <v>0.66723379629629631</v>
      </c>
      <c r="G2100" s="3">
        <v>0.86023148148148143</v>
      </c>
      <c r="H2100" s="17">
        <v>0.19236111111111112</v>
      </c>
      <c r="I2100" s="5">
        <v>614</v>
      </c>
      <c r="J2100">
        <v>7340</v>
      </c>
      <c r="K2100">
        <v>133</v>
      </c>
      <c r="L2100" s="5">
        <v>70</v>
      </c>
      <c r="M2100" s="5">
        <v>614</v>
      </c>
      <c r="N2100">
        <v>8</v>
      </c>
      <c r="O2100">
        <v>606</v>
      </c>
      <c r="P2100" s="1">
        <v>0.22916666666666666</v>
      </c>
      <c r="Q2100" s="5">
        <v>1585</v>
      </c>
      <c r="R2100" s="14">
        <v>12</v>
      </c>
      <c r="S2100">
        <v>133</v>
      </c>
      <c r="T2100" s="5">
        <v>8</v>
      </c>
      <c r="U2100" s="5">
        <v>607</v>
      </c>
      <c r="V2100" s="5">
        <v>1</v>
      </c>
      <c r="W2100" s="5"/>
      <c r="X2100" s="5"/>
      <c r="Y2100" s="5"/>
      <c r="Z2100" s="5"/>
      <c r="AA2100" s="5"/>
      <c r="AB2100" s="5"/>
      <c r="AC2100" s="5"/>
      <c r="AD2100" s="5"/>
      <c r="AE2100" s="5"/>
      <c r="AF2100" s="5"/>
      <c r="AG2100" s="5"/>
      <c r="AH2100" s="5"/>
      <c r="AI2100" s="5"/>
      <c r="AJ2100" s="5"/>
      <c r="AK2100" s="5"/>
    </row>
    <row r="2101" spans="1:37" x14ac:dyDescent="0.25">
      <c r="A2101" s="11">
        <f>Table1[[#This Row],[Milk Yield]]-J2097</f>
        <v>-209</v>
      </c>
      <c r="B2101" t="s">
        <v>24</v>
      </c>
      <c r="C2101" s="2">
        <v>3</v>
      </c>
      <c r="D2101" s="12">
        <v>46035</v>
      </c>
      <c r="E2101" s="2">
        <v>28</v>
      </c>
      <c r="F2101" s="18">
        <v>4.3981481481481481E-4</v>
      </c>
      <c r="G2101" s="3">
        <v>0.16909722222222223</v>
      </c>
      <c r="H2101" s="17">
        <v>0.16805555555555557</v>
      </c>
      <c r="I2101" s="5">
        <v>611</v>
      </c>
      <c r="J2101">
        <v>6555</v>
      </c>
      <c r="K2101">
        <v>151</v>
      </c>
      <c r="L2101" s="5">
        <v>47</v>
      </c>
      <c r="M2101" s="5">
        <v>611</v>
      </c>
      <c r="N2101">
        <v>5</v>
      </c>
      <c r="O2101">
        <v>606</v>
      </c>
      <c r="P2101" s="1">
        <v>0.21458333333333332</v>
      </c>
      <c r="Q2101" s="5">
        <v>1619</v>
      </c>
      <c r="R2101" s="14">
        <v>10.8</v>
      </c>
      <c r="S2101">
        <v>151</v>
      </c>
      <c r="T2101" s="5">
        <v>5</v>
      </c>
      <c r="U2101" s="5">
        <v>607</v>
      </c>
      <c r="V2101" s="5">
        <v>1</v>
      </c>
      <c r="W2101" s="5"/>
      <c r="X2101" s="5"/>
      <c r="Y2101" s="5"/>
      <c r="Z2101" s="5"/>
      <c r="AA2101" s="5"/>
      <c r="AB2101" s="5"/>
      <c r="AC2101" s="5"/>
      <c r="AD2101" s="5"/>
      <c r="AE2101" s="5"/>
      <c r="AF2101" s="5"/>
      <c r="AG2101" s="5"/>
      <c r="AH2101" s="5"/>
      <c r="AI2101" s="5"/>
      <c r="AJ2101" s="5"/>
      <c r="AK2101" s="5"/>
    </row>
    <row r="2102" spans="1:37" x14ac:dyDescent="0.25">
      <c r="A2102" s="11" t="e">
        <f>Table1[[#This Row],[Milk Yield]]-J2098</f>
        <v>#VALUE!</v>
      </c>
      <c r="B2102" t="s">
        <v>0</v>
      </c>
      <c r="C2102" s="2" t="s">
        <v>1</v>
      </c>
      <c r="D2102" s="12" t="s">
        <v>2</v>
      </c>
      <c r="E2102" s="2" t="s">
        <v>3</v>
      </c>
      <c r="F2102" s="18" t="s">
        <v>4</v>
      </c>
      <c r="G2102" s="3" t="s">
        <v>5</v>
      </c>
      <c r="H2102" s="17" t="s">
        <v>6</v>
      </c>
      <c r="I2102" s="5" t="s">
        <v>8</v>
      </c>
      <c r="J2102" t="s">
        <v>9</v>
      </c>
      <c r="K2102" t="s">
        <v>10</v>
      </c>
      <c r="L2102" s="5" t="s">
        <v>11</v>
      </c>
      <c r="M2102" s="5" t="s">
        <v>12</v>
      </c>
      <c r="N2102" t="s">
        <v>13</v>
      </c>
      <c r="O2102" t="s">
        <v>20</v>
      </c>
      <c r="P2102" s="1" t="s">
        <v>7</v>
      </c>
      <c r="Q2102" s="5" t="s">
        <v>15</v>
      </c>
      <c r="R2102" s="14" t="s">
        <v>18</v>
      </c>
      <c r="S2102" t="s">
        <v>16</v>
      </c>
      <c r="T2102" s="5" t="s">
        <v>14</v>
      </c>
      <c r="U2102" s="5" t="s">
        <v>17</v>
      </c>
      <c r="V2102" s="5" t="s">
        <v>19</v>
      </c>
      <c r="W2102" s="5"/>
      <c r="X2102" s="5"/>
      <c r="Y2102" s="5"/>
      <c r="Z2102" s="5"/>
      <c r="AA2102" s="5"/>
      <c r="AB2102" s="5"/>
      <c r="AC2102" s="5"/>
      <c r="AD2102" s="5"/>
      <c r="AE2102" s="5"/>
      <c r="AF2102" s="5"/>
      <c r="AG2102" s="5"/>
      <c r="AH2102" s="5"/>
      <c r="AI2102" s="5"/>
      <c r="AJ2102" s="5"/>
      <c r="AK2102" s="5"/>
    </row>
    <row r="2103" spans="1:37" x14ac:dyDescent="0.25">
      <c r="A2103" s="11">
        <f>Table1[[#This Row],[Milk Yield]]-J2099</f>
        <v>-287</v>
      </c>
      <c r="B2103" t="s">
        <v>24</v>
      </c>
      <c r="C2103" s="2">
        <v>1</v>
      </c>
      <c r="D2103" s="12">
        <v>46036</v>
      </c>
      <c r="E2103" s="2">
        <v>30</v>
      </c>
      <c r="F2103" s="18">
        <v>0.33041666666666669</v>
      </c>
      <c r="G2103" s="3">
        <v>0.49810185185185185</v>
      </c>
      <c r="H2103" s="17">
        <v>0.1673611111111111</v>
      </c>
      <c r="I2103" s="5">
        <v>611</v>
      </c>
      <c r="J2103">
        <v>7240</v>
      </c>
      <c r="K2103">
        <v>152</v>
      </c>
      <c r="L2103" s="5">
        <v>47</v>
      </c>
      <c r="M2103" s="5">
        <v>611</v>
      </c>
      <c r="N2103">
        <v>4</v>
      </c>
      <c r="O2103">
        <v>607</v>
      </c>
      <c r="P2103" s="1">
        <v>0.22569444444444445</v>
      </c>
      <c r="Q2103" s="5">
        <v>1799</v>
      </c>
      <c r="R2103" s="14">
        <v>11.9</v>
      </c>
      <c r="S2103">
        <v>152</v>
      </c>
      <c r="T2103" s="5">
        <v>4</v>
      </c>
      <c r="U2103" s="5">
        <v>608</v>
      </c>
      <c r="V2103" s="5">
        <v>1</v>
      </c>
      <c r="W2103" s="5"/>
      <c r="X2103" s="5"/>
      <c r="Y2103" s="5"/>
      <c r="Z2103" s="5"/>
      <c r="AA2103" s="5"/>
      <c r="AB2103" s="5"/>
      <c r="AC2103" s="5"/>
      <c r="AD2103" s="5"/>
      <c r="AE2103" s="5"/>
      <c r="AF2103" s="5"/>
      <c r="AG2103" s="5"/>
      <c r="AH2103" s="5"/>
      <c r="AI2103" s="5"/>
      <c r="AJ2103" s="5"/>
      <c r="AK2103" s="5"/>
    </row>
    <row r="2104" spans="1:37" x14ac:dyDescent="0.25">
      <c r="A2104" s="11">
        <f>Table1[[#This Row],[Milk Yield]]-J2100</f>
        <v>561</v>
      </c>
      <c r="B2104" t="s">
        <v>24</v>
      </c>
      <c r="C2104" s="2">
        <v>2</v>
      </c>
      <c r="D2104" s="12">
        <v>46036</v>
      </c>
      <c r="E2104" s="2">
        <v>31</v>
      </c>
      <c r="F2104" s="18">
        <v>0.68291666666666662</v>
      </c>
      <c r="G2104" s="3">
        <v>0.86299768518518516</v>
      </c>
      <c r="H2104" s="17">
        <v>0.17986111111111111</v>
      </c>
      <c r="I2104" s="5">
        <v>615</v>
      </c>
      <c r="J2104">
        <v>7901</v>
      </c>
      <c r="K2104">
        <v>142</v>
      </c>
      <c r="L2104" s="5">
        <v>112</v>
      </c>
      <c r="M2104" s="5">
        <v>615</v>
      </c>
      <c r="N2104">
        <v>11</v>
      </c>
      <c r="O2104">
        <v>604</v>
      </c>
      <c r="P2104" s="1">
        <v>0.23125000000000001</v>
      </c>
      <c r="Q2104" s="5">
        <v>1828</v>
      </c>
      <c r="R2104" s="14">
        <v>12.9</v>
      </c>
      <c r="S2104">
        <v>142</v>
      </c>
      <c r="T2104" s="5">
        <v>11</v>
      </c>
      <c r="U2104" s="5">
        <v>605</v>
      </c>
      <c r="V2104" s="5">
        <v>1</v>
      </c>
      <c r="W2104" s="5"/>
      <c r="X2104" s="5"/>
      <c r="Y2104" s="5"/>
      <c r="Z2104" s="5"/>
      <c r="AA2104" s="5"/>
      <c r="AB2104" s="5"/>
      <c r="AC2104" s="5"/>
      <c r="AD2104" s="5"/>
      <c r="AE2104" s="5"/>
      <c r="AF2104" s="5"/>
      <c r="AG2104" s="5"/>
      <c r="AH2104" s="5"/>
      <c r="AI2104" s="5"/>
      <c r="AJ2104" s="5"/>
      <c r="AK2104" s="5"/>
    </row>
    <row r="2105" spans="1:37" x14ac:dyDescent="0.25">
      <c r="A2105" s="11">
        <f>Table1[[#This Row],[Milk Yield]]-J2101</f>
        <v>-366</v>
      </c>
      <c r="B2105" t="s">
        <v>24</v>
      </c>
      <c r="C2105" s="2">
        <v>3</v>
      </c>
      <c r="D2105" s="12">
        <v>46036</v>
      </c>
      <c r="E2105" s="2">
        <v>28</v>
      </c>
      <c r="F2105" s="18">
        <v>0.99734953703703699</v>
      </c>
      <c r="G2105" s="3">
        <v>0.16101851851851851</v>
      </c>
      <c r="H2105" s="17">
        <v>0.16319444444444445</v>
      </c>
      <c r="I2105" s="5">
        <v>610</v>
      </c>
      <c r="J2105">
        <v>6189</v>
      </c>
      <c r="K2105">
        <v>155</v>
      </c>
      <c r="L2105" s="5">
        <v>87</v>
      </c>
      <c r="M2105" s="5">
        <v>610</v>
      </c>
      <c r="N2105">
        <v>8</v>
      </c>
      <c r="O2105">
        <v>602</v>
      </c>
      <c r="P2105" s="1">
        <v>0.20833333333333334</v>
      </c>
      <c r="Q2105" s="5">
        <v>1576</v>
      </c>
      <c r="R2105" s="14">
        <v>10.199999999999999</v>
      </c>
      <c r="S2105">
        <v>155</v>
      </c>
      <c r="T2105" s="5">
        <v>8</v>
      </c>
      <c r="U2105" s="5">
        <v>603</v>
      </c>
      <c r="V2105" s="5">
        <v>1</v>
      </c>
      <c r="W2105" s="5"/>
      <c r="X2105" s="5"/>
      <c r="Y2105" s="5"/>
      <c r="Z2105" s="5"/>
      <c r="AA2105" s="5"/>
      <c r="AB2105" s="5"/>
      <c r="AC2105" s="5"/>
      <c r="AD2105" s="5"/>
      <c r="AE2105" s="5"/>
      <c r="AF2105" s="5"/>
      <c r="AG2105" s="5"/>
      <c r="AH2105" s="5"/>
      <c r="AI2105" s="5"/>
      <c r="AJ2105" s="5"/>
      <c r="AK2105" s="5"/>
    </row>
    <row r="2106" spans="1:37" x14ac:dyDescent="0.25">
      <c r="A2106" s="11" t="e">
        <f>Table1[[#This Row],[Milk Yield]]-J2102</f>
        <v>#VALUE!</v>
      </c>
      <c r="B2106" t="s">
        <v>0</v>
      </c>
      <c r="C2106" s="2" t="s">
        <v>1</v>
      </c>
      <c r="D2106" s="12" t="s">
        <v>2</v>
      </c>
      <c r="E2106" s="2" t="s">
        <v>3</v>
      </c>
      <c r="F2106" s="18" t="s">
        <v>4</v>
      </c>
      <c r="G2106" s="3" t="s">
        <v>5</v>
      </c>
      <c r="H2106" s="17" t="s">
        <v>6</v>
      </c>
      <c r="I2106" s="5" t="s">
        <v>8</v>
      </c>
      <c r="J2106" t="s">
        <v>9</v>
      </c>
      <c r="K2106" t="s">
        <v>10</v>
      </c>
      <c r="L2106" s="5" t="s">
        <v>11</v>
      </c>
      <c r="M2106" s="5" t="s">
        <v>12</v>
      </c>
      <c r="N2106" t="s">
        <v>13</v>
      </c>
      <c r="O2106" t="s">
        <v>20</v>
      </c>
      <c r="P2106" s="1" t="s">
        <v>7</v>
      </c>
      <c r="Q2106" s="5" t="s">
        <v>15</v>
      </c>
      <c r="R2106" s="14" t="s">
        <v>18</v>
      </c>
      <c r="S2106" t="s">
        <v>16</v>
      </c>
      <c r="T2106" s="5" t="s">
        <v>14</v>
      </c>
      <c r="U2106" s="5" t="s">
        <v>17</v>
      </c>
      <c r="V2106" s="5" t="s">
        <v>19</v>
      </c>
      <c r="W2106" s="5"/>
      <c r="X2106" s="5"/>
      <c r="Y2106" s="5"/>
      <c r="Z2106" s="5"/>
      <c r="AA2106" s="5"/>
      <c r="AB2106" s="5"/>
      <c r="AC2106" s="5"/>
      <c r="AD2106" s="5"/>
      <c r="AE2106" s="5"/>
      <c r="AF2106" s="5"/>
      <c r="AG2106" s="5"/>
      <c r="AH2106" s="5"/>
      <c r="AI2106" s="5"/>
      <c r="AJ2106" s="5"/>
      <c r="AK2106" s="5"/>
    </row>
    <row r="2107" spans="1:37" x14ac:dyDescent="0.25">
      <c r="A2107" s="11">
        <f>Table1[[#This Row],[Milk Yield]]-J2103</f>
        <v>153</v>
      </c>
      <c r="B2107" t="s">
        <v>24</v>
      </c>
      <c r="C2107" s="2">
        <v>1</v>
      </c>
      <c r="D2107" s="12">
        <v>46037</v>
      </c>
      <c r="E2107" s="2">
        <v>29</v>
      </c>
      <c r="F2107" s="18">
        <v>0.33390046296296294</v>
      </c>
      <c r="G2107" s="3">
        <v>0.49012731481481481</v>
      </c>
      <c r="H2107" s="17">
        <v>0.15555555555555556</v>
      </c>
      <c r="I2107" s="5">
        <v>615</v>
      </c>
      <c r="J2107">
        <v>7393</v>
      </c>
      <c r="K2107">
        <v>164</v>
      </c>
      <c r="L2107" s="5">
        <v>103</v>
      </c>
      <c r="M2107" s="5">
        <v>615</v>
      </c>
      <c r="N2107">
        <v>9</v>
      </c>
      <c r="O2107">
        <v>606</v>
      </c>
      <c r="P2107" s="1">
        <v>0.22291666666666668</v>
      </c>
      <c r="Q2107" s="5">
        <v>1972</v>
      </c>
      <c r="R2107" s="14">
        <v>12.1</v>
      </c>
      <c r="S2107">
        <v>164</v>
      </c>
      <c r="T2107" s="5">
        <v>9</v>
      </c>
      <c r="U2107" s="5">
        <v>607</v>
      </c>
      <c r="V2107" s="5">
        <v>1</v>
      </c>
      <c r="W2107" s="5"/>
      <c r="X2107" s="5"/>
      <c r="Y2107" s="5"/>
      <c r="Z2107" s="5"/>
      <c r="AA2107" s="5"/>
      <c r="AB2107" s="5"/>
      <c r="AC2107" s="5"/>
      <c r="AD2107" s="5"/>
      <c r="AE2107" s="5"/>
      <c r="AF2107" s="5"/>
      <c r="AG2107" s="5"/>
      <c r="AH2107" s="5"/>
      <c r="AI2107" s="5"/>
      <c r="AJ2107" s="5"/>
      <c r="AK2107" s="5"/>
    </row>
    <row r="2108" spans="1:37" x14ac:dyDescent="0.25">
      <c r="A2108" s="11">
        <f>Table1[[#This Row],[Milk Yield]]-J2104</f>
        <v>-444</v>
      </c>
      <c r="B2108" t="s">
        <v>24</v>
      </c>
      <c r="C2108" s="2">
        <v>2</v>
      </c>
      <c r="D2108" s="12">
        <v>46037</v>
      </c>
      <c r="E2108" s="2">
        <v>33</v>
      </c>
      <c r="F2108" s="18">
        <v>0.67167824074074078</v>
      </c>
      <c r="G2108" s="3">
        <v>0.84650462962962958</v>
      </c>
      <c r="H2108" s="17">
        <v>0.17430555555555555</v>
      </c>
      <c r="I2108" s="5">
        <v>623</v>
      </c>
      <c r="J2108">
        <v>7457</v>
      </c>
      <c r="K2108">
        <v>148</v>
      </c>
      <c r="L2108" s="5">
        <v>146</v>
      </c>
      <c r="M2108" s="5">
        <v>620</v>
      </c>
      <c r="N2108">
        <v>15</v>
      </c>
      <c r="O2108">
        <v>605</v>
      </c>
      <c r="P2108" s="1">
        <v>0.22222222222222221</v>
      </c>
      <c r="Q2108" s="5">
        <v>1777</v>
      </c>
      <c r="R2108" s="14">
        <v>12.1</v>
      </c>
      <c r="S2108">
        <v>148</v>
      </c>
      <c r="T2108" s="5">
        <v>15</v>
      </c>
      <c r="U2108" s="5">
        <v>606</v>
      </c>
      <c r="V2108" s="5">
        <v>1</v>
      </c>
      <c r="W2108" s="5"/>
      <c r="X2108" s="5"/>
      <c r="Y2108" s="5"/>
      <c r="Z2108" s="5"/>
      <c r="AA2108" s="5"/>
      <c r="AB2108" s="5"/>
      <c r="AC2108" s="5"/>
      <c r="AD2108" s="5"/>
      <c r="AE2108" s="5"/>
      <c r="AF2108" s="5"/>
      <c r="AG2108" s="5"/>
      <c r="AH2108" s="5"/>
      <c r="AI2108" s="5"/>
      <c r="AJ2108" s="5"/>
      <c r="AK2108" s="5"/>
    </row>
    <row r="2109" spans="1:37" x14ac:dyDescent="0.25">
      <c r="A2109" s="11">
        <f>Table1[[#This Row],[Milk Yield]]-J2105</f>
        <v>193</v>
      </c>
      <c r="B2109" t="s">
        <v>24</v>
      </c>
      <c r="C2109" s="2">
        <v>3</v>
      </c>
      <c r="D2109" s="12">
        <v>46037</v>
      </c>
      <c r="E2109" s="2">
        <v>29</v>
      </c>
      <c r="F2109" s="18">
        <v>0.99868055555555557</v>
      </c>
      <c r="G2109" s="3">
        <v>0.14721064814814816</v>
      </c>
      <c r="H2109" s="17">
        <v>0.14791666666666667</v>
      </c>
      <c r="I2109" s="5">
        <v>614</v>
      </c>
      <c r="J2109">
        <v>6382</v>
      </c>
      <c r="K2109">
        <v>172</v>
      </c>
      <c r="L2109" s="5">
        <v>71</v>
      </c>
      <c r="M2109" s="5">
        <v>614</v>
      </c>
      <c r="N2109">
        <v>7</v>
      </c>
      <c r="O2109">
        <v>607</v>
      </c>
      <c r="P2109" s="1">
        <v>0.2076388888888889</v>
      </c>
      <c r="Q2109" s="5">
        <v>1790</v>
      </c>
      <c r="R2109" s="14">
        <v>10.4</v>
      </c>
      <c r="S2109">
        <v>172</v>
      </c>
      <c r="T2109" s="5">
        <v>7</v>
      </c>
      <c r="U2109" s="5">
        <v>608</v>
      </c>
      <c r="V2109" s="5">
        <v>1</v>
      </c>
      <c r="W2109" s="5"/>
      <c r="X2109" s="5"/>
      <c r="Y2109" s="5"/>
      <c r="Z2109" s="5"/>
      <c r="AA2109" s="5"/>
      <c r="AB2109" s="5"/>
      <c r="AC2109" s="5"/>
      <c r="AD2109" s="5"/>
      <c r="AE2109" s="5"/>
      <c r="AF2109" s="5"/>
      <c r="AG2109" s="5"/>
      <c r="AH2109" s="5"/>
      <c r="AI2109" s="5"/>
      <c r="AJ2109" s="5"/>
      <c r="AK2109" s="5"/>
    </row>
    <row r="2110" spans="1:37" x14ac:dyDescent="0.25">
      <c r="A2110" s="11" t="e">
        <f>Table1[[#This Row],[Milk Yield]]-J2106</f>
        <v>#VALUE!</v>
      </c>
      <c r="B2110" t="s">
        <v>0</v>
      </c>
      <c r="C2110" s="2" t="s">
        <v>1</v>
      </c>
      <c r="D2110" s="12" t="s">
        <v>2</v>
      </c>
      <c r="E2110" s="2" t="s">
        <v>3</v>
      </c>
      <c r="F2110" s="18" t="s">
        <v>4</v>
      </c>
      <c r="G2110" s="3" t="s">
        <v>5</v>
      </c>
      <c r="H2110" s="17" t="s">
        <v>6</v>
      </c>
      <c r="I2110" s="5" t="s">
        <v>8</v>
      </c>
      <c r="J2110" t="s">
        <v>9</v>
      </c>
      <c r="K2110" t="s">
        <v>10</v>
      </c>
      <c r="L2110" s="5" t="s">
        <v>11</v>
      </c>
      <c r="M2110" s="5" t="s">
        <v>12</v>
      </c>
      <c r="N2110" t="s">
        <v>13</v>
      </c>
      <c r="O2110" t="s">
        <v>20</v>
      </c>
      <c r="P2110" s="1" t="s">
        <v>7</v>
      </c>
      <c r="Q2110" s="5" t="s">
        <v>15</v>
      </c>
      <c r="R2110" s="14" t="s">
        <v>18</v>
      </c>
      <c r="S2110" t="s">
        <v>16</v>
      </c>
      <c r="T2110" s="5" t="s">
        <v>14</v>
      </c>
      <c r="U2110" s="5" t="s">
        <v>17</v>
      </c>
      <c r="V2110" s="5" t="s">
        <v>19</v>
      </c>
      <c r="W2110" s="5"/>
      <c r="X2110" s="5"/>
      <c r="Y2110" s="5"/>
      <c r="Z2110" s="5"/>
      <c r="AA2110" s="5"/>
      <c r="AB2110" s="5"/>
      <c r="AC2110" s="5"/>
      <c r="AD2110" s="5"/>
      <c r="AE2110" s="5"/>
      <c r="AF2110" s="5"/>
      <c r="AG2110" s="5"/>
      <c r="AH2110" s="5"/>
      <c r="AI2110" s="5"/>
      <c r="AJ2110" s="5"/>
      <c r="AK2110" s="5"/>
    </row>
    <row r="2111" spans="1:37" x14ac:dyDescent="0.25">
      <c r="A2111" s="11">
        <f>Table1[[#This Row],[Milk Yield]]-J2107</f>
        <v>100</v>
      </c>
      <c r="B2111" t="s">
        <v>24</v>
      </c>
      <c r="C2111" s="2">
        <v>1</v>
      </c>
      <c r="D2111" s="12">
        <v>46038</v>
      </c>
      <c r="E2111" s="2">
        <v>30</v>
      </c>
      <c r="F2111" s="18">
        <v>0.33756944444444442</v>
      </c>
      <c r="G2111" s="3">
        <v>0.5060069444444445</v>
      </c>
      <c r="H2111" s="17">
        <v>0.16805555555555557</v>
      </c>
      <c r="I2111" s="5">
        <v>612</v>
      </c>
      <c r="J2111">
        <v>7493</v>
      </c>
      <c r="K2111">
        <v>151</v>
      </c>
      <c r="L2111" s="5">
        <v>62</v>
      </c>
      <c r="M2111" s="5">
        <v>612</v>
      </c>
      <c r="N2111">
        <v>7</v>
      </c>
      <c r="O2111">
        <v>605</v>
      </c>
      <c r="P2111" s="1">
        <v>0.23194444444444445</v>
      </c>
      <c r="Q2111" s="5">
        <v>1854</v>
      </c>
      <c r="R2111" s="14">
        <v>12.3</v>
      </c>
      <c r="S2111">
        <v>151</v>
      </c>
      <c r="T2111" s="5">
        <v>7</v>
      </c>
      <c r="U2111" s="5">
        <v>606</v>
      </c>
      <c r="V2111" s="5">
        <v>1</v>
      </c>
      <c r="W2111" s="5"/>
      <c r="X2111" s="5"/>
      <c r="Y2111" s="5"/>
      <c r="Z2111" s="5"/>
      <c r="AA2111" s="5"/>
      <c r="AB2111" s="5"/>
      <c r="AC2111" s="5"/>
      <c r="AD2111" s="5"/>
      <c r="AE2111" s="5"/>
      <c r="AF2111" s="5"/>
      <c r="AG2111" s="5"/>
      <c r="AH2111" s="5"/>
      <c r="AI2111" s="5"/>
      <c r="AJ2111" s="5"/>
      <c r="AK2111" s="5"/>
    </row>
    <row r="2112" spans="1:37" x14ac:dyDescent="0.25">
      <c r="A2112" s="11">
        <f>Table1[[#This Row],[Milk Yield]]-J2108</f>
        <v>-317</v>
      </c>
      <c r="B2112" t="s">
        <v>24</v>
      </c>
      <c r="C2112" s="2">
        <v>2</v>
      </c>
      <c r="D2112" s="12">
        <v>46038</v>
      </c>
      <c r="E2112" s="2">
        <v>32</v>
      </c>
      <c r="F2112" s="18">
        <v>0.66891203703703705</v>
      </c>
      <c r="G2112" s="3">
        <v>0.82915509259259257</v>
      </c>
      <c r="H2112" s="17">
        <v>0.15972222222222221</v>
      </c>
      <c r="I2112" s="5">
        <v>620</v>
      </c>
      <c r="J2112">
        <v>7140</v>
      </c>
      <c r="K2112">
        <v>161</v>
      </c>
      <c r="L2112" s="5">
        <v>280</v>
      </c>
      <c r="M2112" s="5">
        <v>615</v>
      </c>
      <c r="N2112">
        <v>26</v>
      </c>
      <c r="O2112">
        <v>589</v>
      </c>
      <c r="P2112" s="1">
        <v>0.22777777777777777</v>
      </c>
      <c r="Q2112" s="5">
        <v>1857</v>
      </c>
      <c r="R2112" s="14">
        <v>11.7</v>
      </c>
      <c r="S2112">
        <v>160</v>
      </c>
      <c r="T2112" s="5">
        <v>26</v>
      </c>
      <c r="U2112" s="5">
        <v>589</v>
      </c>
      <c r="V2112" s="5">
        <v>0</v>
      </c>
      <c r="W2112" s="5"/>
      <c r="X2112" s="5"/>
      <c r="Y2112" s="5"/>
      <c r="Z2112" s="5"/>
      <c r="AA2112" s="5"/>
      <c r="AB2112" s="5"/>
      <c r="AC2112" s="5"/>
      <c r="AD2112" s="5"/>
      <c r="AE2112" s="5"/>
      <c r="AF2112" s="5"/>
      <c r="AG2112" s="5"/>
      <c r="AH2112" s="5"/>
      <c r="AI2112" s="5"/>
      <c r="AJ2112" s="5"/>
      <c r="AK2112" s="5"/>
    </row>
    <row r="2113" spans="1:37" x14ac:dyDescent="0.25">
      <c r="A2113" s="11">
        <f>Table1[[#This Row],[Milk Yield]]-J2109</f>
        <v>110</v>
      </c>
      <c r="B2113" t="s">
        <v>24</v>
      </c>
      <c r="C2113" s="2">
        <v>3</v>
      </c>
      <c r="D2113" s="12">
        <v>46038</v>
      </c>
      <c r="E2113" s="2">
        <v>28</v>
      </c>
      <c r="F2113" s="18">
        <v>0.99902777777777774</v>
      </c>
      <c r="G2113" s="3">
        <v>0.14321759259259259</v>
      </c>
      <c r="H2113" s="17">
        <v>0.14374999999999999</v>
      </c>
      <c r="I2113" s="5">
        <v>602</v>
      </c>
      <c r="J2113">
        <v>6492</v>
      </c>
      <c r="K2113">
        <v>174</v>
      </c>
      <c r="L2113" s="5">
        <v>73</v>
      </c>
      <c r="M2113" s="5">
        <v>597</v>
      </c>
      <c r="N2113">
        <v>7</v>
      </c>
      <c r="O2113">
        <v>590</v>
      </c>
      <c r="P2113" s="1">
        <v>0.21388888888888888</v>
      </c>
      <c r="Q2113" s="5">
        <v>1876</v>
      </c>
      <c r="R2113" s="14">
        <v>10.9</v>
      </c>
      <c r="S2113">
        <v>173</v>
      </c>
      <c r="T2113" s="5">
        <v>7</v>
      </c>
      <c r="U2113" s="5">
        <v>590</v>
      </c>
      <c r="V2113" s="5">
        <v>0</v>
      </c>
      <c r="W2113" s="5"/>
      <c r="X2113" s="5"/>
      <c r="Y2113" s="5"/>
      <c r="Z2113" s="5"/>
      <c r="AA2113" s="5"/>
      <c r="AB2113" s="5"/>
      <c r="AC2113" s="5"/>
      <c r="AD2113" s="5"/>
      <c r="AE2113" s="5"/>
      <c r="AF2113" s="5"/>
      <c r="AG2113" s="5"/>
      <c r="AH2113" s="5"/>
      <c r="AI2113" s="5"/>
      <c r="AJ2113" s="5"/>
      <c r="AK2113" s="5"/>
    </row>
    <row r="2114" spans="1:37" x14ac:dyDescent="0.25">
      <c r="A2114" s="11" t="e">
        <f>Table1[[#This Row],[Milk Yield]]-J2110</f>
        <v>#VALUE!</v>
      </c>
      <c r="B2114" t="s">
        <v>0</v>
      </c>
      <c r="C2114" s="2" t="s">
        <v>1</v>
      </c>
      <c r="D2114" s="12" t="s">
        <v>2</v>
      </c>
      <c r="E2114" s="2" t="s">
        <v>3</v>
      </c>
      <c r="F2114" s="18" t="s">
        <v>4</v>
      </c>
      <c r="G2114" s="3" t="s">
        <v>5</v>
      </c>
      <c r="H2114" s="17" t="s">
        <v>6</v>
      </c>
      <c r="I2114" s="5" t="s">
        <v>8</v>
      </c>
      <c r="J2114" t="s">
        <v>9</v>
      </c>
      <c r="K2114" t="s">
        <v>10</v>
      </c>
      <c r="L2114" s="5" t="s">
        <v>11</v>
      </c>
      <c r="M2114" s="5" t="s">
        <v>12</v>
      </c>
      <c r="N2114" t="s">
        <v>13</v>
      </c>
      <c r="O2114" t="s">
        <v>20</v>
      </c>
      <c r="P2114" s="1" t="s">
        <v>7</v>
      </c>
      <c r="Q2114" s="5" t="s">
        <v>15</v>
      </c>
      <c r="R2114" s="14" t="s">
        <v>18</v>
      </c>
      <c r="S2114" t="s">
        <v>16</v>
      </c>
      <c r="T2114" s="5" t="s">
        <v>14</v>
      </c>
      <c r="U2114" s="5" t="s">
        <v>17</v>
      </c>
      <c r="V2114" s="5" t="s">
        <v>19</v>
      </c>
      <c r="W2114" s="5"/>
      <c r="X2114" s="5"/>
      <c r="Y2114" s="5"/>
      <c r="Z2114" s="5"/>
      <c r="AA2114" s="5"/>
      <c r="AB2114" s="5"/>
      <c r="AC2114" s="5"/>
      <c r="AD2114" s="5"/>
      <c r="AE2114" s="5"/>
      <c r="AF2114" s="5"/>
      <c r="AG2114" s="5"/>
      <c r="AH2114" s="5"/>
      <c r="AI2114" s="5"/>
      <c r="AJ2114" s="5"/>
      <c r="AK2114" s="5"/>
    </row>
    <row r="2115" spans="1:37" x14ac:dyDescent="0.25">
      <c r="A2115" s="11">
        <f>Table1[[#This Row],[Milk Yield]]-J2111</f>
        <v>-69</v>
      </c>
      <c r="B2115" t="s">
        <v>24</v>
      </c>
      <c r="C2115" s="2">
        <v>1</v>
      </c>
      <c r="D2115" s="12">
        <v>46039</v>
      </c>
      <c r="E2115" s="2">
        <v>28</v>
      </c>
      <c r="F2115" s="18">
        <v>0.33368055555555554</v>
      </c>
      <c r="G2115" s="3">
        <v>0.48949074074074073</v>
      </c>
      <c r="H2115" s="17">
        <v>0.15555555555555556</v>
      </c>
      <c r="I2115" s="5">
        <v>599</v>
      </c>
      <c r="J2115">
        <v>7424</v>
      </c>
      <c r="K2115">
        <v>160</v>
      </c>
      <c r="L2115" s="5">
        <v>44</v>
      </c>
      <c r="M2115" s="5">
        <v>599</v>
      </c>
      <c r="N2115">
        <v>4</v>
      </c>
      <c r="O2115">
        <v>595</v>
      </c>
      <c r="P2115" s="1">
        <v>0.2326388888888889</v>
      </c>
      <c r="Q2115" s="5">
        <v>1985</v>
      </c>
      <c r="R2115" s="14">
        <v>12.4</v>
      </c>
      <c r="S2115">
        <v>160</v>
      </c>
      <c r="T2115" s="5">
        <v>4</v>
      </c>
      <c r="U2115" s="5">
        <v>595</v>
      </c>
      <c r="V2115" s="5">
        <v>0</v>
      </c>
      <c r="W2115" s="5"/>
      <c r="X2115" s="5"/>
      <c r="Y2115" s="5"/>
      <c r="Z2115" s="5"/>
      <c r="AA2115" s="5"/>
      <c r="AB2115" s="5"/>
      <c r="AC2115" s="5"/>
      <c r="AD2115" s="5"/>
      <c r="AE2115" s="5"/>
      <c r="AF2115" s="5"/>
      <c r="AG2115" s="5"/>
      <c r="AH2115" s="5"/>
      <c r="AI2115" s="5"/>
      <c r="AJ2115" s="5"/>
      <c r="AK2115" s="5"/>
    </row>
    <row r="2116" spans="1:37" x14ac:dyDescent="0.25">
      <c r="A2116" s="11">
        <f>Table1[[#This Row],[Milk Yield]]-J2112</f>
        <v>98</v>
      </c>
      <c r="B2116" t="s">
        <v>24</v>
      </c>
      <c r="C2116" s="2">
        <v>2</v>
      </c>
      <c r="D2116" s="12">
        <v>46039</v>
      </c>
      <c r="E2116" s="2">
        <v>29</v>
      </c>
      <c r="F2116" s="18">
        <v>0.66555555555555557</v>
      </c>
      <c r="G2116" s="3">
        <v>0.83694444444444449</v>
      </c>
      <c r="H2116" s="17">
        <v>0.17083333333333334</v>
      </c>
      <c r="I2116" s="5">
        <v>607</v>
      </c>
      <c r="J2116">
        <v>7238</v>
      </c>
      <c r="K2116">
        <v>148</v>
      </c>
      <c r="L2116" s="5">
        <v>108</v>
      </c>
      <c r="M2116" s="5">
        <v>607</v>
      </c>
      <c r="N2116">
        <v>14</v>
      </c>
      <c r="O2116">
        <v>593</v>
      </c>
      <c r="P2116" s="1">
        <v>0.22777777777777777</v>
      </c>
      <c r="Q2116" s="5">
        <v>1760</v>
      </c>
      <c r="R2116" s="14">
        <v>12</v>
      </c>
      <c r="S2116">
        <v>148</v>
      </c>
      <c r="T2116" s="5">
        <v>14</v>
      </c>
      <c r="U2116" s="5">
        <v>593</v>
      </c>
      <c r="V2116" s="5">
        <v>0</v>
      </c>
      <c r="W2116" s="5"/>
      <c r="X2116" s="5"/>
      <c r="Y2116" s="5"/>
      <c r="Z2116" s="5"/>
      <c r="AA2116" s="5"/>
      <c r="AB2116" s="5"/>
      <c r="AC2116" s="5"/>
      <c r="AD2116" s="5"/>
      <c r="AE2116" s="5"/>
      <c r="AF2116" s="5"/>
      <c r="AG2116" s="5"/>
      <c r="AH2116" s="5"/>
      <c r="AI2116" s="5"/>
      <c r="AJ2116" s="5"/>
      <c r="AK2116" s="5"/>
    </row>
    <row r="2117" spans="1:37" x14ac:dyDescent="0.25">
      <c r="A2117" s="11">
        <f>Table1[[#This Row],[Milk Yield]]-J2113</f>
        <v>-27</v>
      </c>
      <c r="B2117" t="s">
        <v>24</v>
      </c>
      <c r="C2117" s="2">
        <v>3</v>
      </c>
      <c r="D2117" s="12">
        <v>46039</v>
      </c>
      <c r="E2117" s="2">
        <v>27</v>
      </c>
      <c r="F2117" s="18">
        <v>0.99811342592592589</v>
      </c>
      <c r="G2117" s="3">
        <v>0.14859953703703704</v>
      </c>
      <c r="H2117" s="17">
        <v>0.15</v>
      </c>
      <c r="I2117" s="5">
        <v>601</v>
      </c>
      <c r="J2117">
        <v>6465</v>
      </c>
      <c r="K2117">
        <v>166</v>
      </c>
      <c r="L2117" s="5">
        <v>94</v>
      </c>
      <c r="M2117" s="5">
        <v>600</v>
      </c>
      <c r="N2117">
        <v>10</v>
      </c>
      <c r="O2117">
        <v>590</v>
      </c>
      <c r="P2117" s="1">
        <v>0.21249999999999999</v>
      </c>
      <c r="Q2117" s="5">
        <v>1790</v>
      </c>
      <c r="R2117" s="14">
        <v>10.8</v>
      </c>
      <c r="S2117">
        <v>166</v>
      </c>
      <c r="T2117" s="5">
        <v>10</v>
      </c>
      <c r="U2117" s="5">
        <v>590</v>
      </c>
      <c r="V2117" s="5">
        <v>0</v>
      </c>
      <c r="W2117" s="5"/>
      <c r="X2117" s="5"/>
      <c r="Y2117" s="5"/>
      <c r="Z2117" s="5"/>
      <c r="AA2117" s="5"/>
      <c r="AB2117" s="5"/>
      <c r="AC2117" s="5"/>
      <c r="AD2117" s="5"/>
      <c r="AE2117" s="5"/>
      <c r="AF2117" s="5"/>
      <c r="AG2117" s="5"/>
      <c r="AH2117" s="5"/>
      <c r="AI2117" s="5"/>
      <c r="AJ2117" s="5"/>
      <c r="AK2117" s="5"/>
    </row>
    <row r="2118" spans="1:37" x14ac:dyDescent="0.25">
      <c r="A2118" s="11" t="e">
        <f>Table1[[#This Row],[Milk Yield]]-J2114</f>
        <v>#VALUE!</v>
      </c>
      <c r="B2118" t="s">
        <v>0</v>
      </c>
      <c r="C2118" s="2" t="s">
        <v>1</v>
      </c>
      <c r="D2118" s="12" t="s">
        <v>2</v>
      </c>
      <c r="E2118" s="2" t="s">
        <v>3</v>
      </c>
      <c r="F2118" s="18" t="s">
        <v>4</v>
      </c>
      <c r="G2118" s="3" t="s">
        <v>5</v>
      </c>
      <c r="H2118" s="17" t="s">
        <v>6</v>
      </c>
      <c r="I2118" s="5" t="s">
        <v>8</v>
      </c>
      <c r="J2118" t="s">
        <v>9</v>
      </c>
      <c r="K2118" t="s">
        <v>10</v>
      </c>
      <c r="L2118" s="5" t="s">
        <v>11</v>
      </c>
      <c r="M2118" s="5" t="s">
        <v>12</v>
      </c>
      <c r="N2118" t="s">
        <v>13</v>
      </c>
      <c r="O2118" t="s">
        <v>20</v>
      </c>
      <c r="P2118" s="1" t="s">
        <v>7</v>
      </c>
      <c r="Q2118" s="5" t="s">
        <v>15</v>
      </c>
      <c r="R2118" s="14" t="s">
        <v>18</v>
      </c>
      <c r="S2118" t="s">
        <v>16</v>
      </c>
      <c r="T2118" s="5" t="s">
        <v>14</v>
      </c>
      <c r="U2118" s="5" t="s">
        <v>17</v>
      </c>
      <c r="V2118" s="5" t="s">
        <v>19</v>
      </c>
      <c r="W2118" s="5"/>
      <c r="X2118" s="5"/>
      <c r="Y2118" s="5"/>
      <c r="Z2118" s="5"/>
      <c r="AA2118" s="5"/>
      <c r="AB2118" s="5"/>
      <c r="AC2118" s="5"/>
      <c r="AD2118" s="5"/>
      <c r="AE2118" s="5"/>
      <c r="AF2118" s="5"/>
      <c r="AG2118" s="5"/>
      <c r="AH2118" s="5"/>
      <c r="AI2118" s="5"/>
      <c r="AJ2118" s="5"/>
      <c r="AK2118" s="5"/>
    </row>
    <row r="2119" spans="1:37" x14ac:dyDescent="0.25">
      <c r="A2119" s="11">
        <f>Table1[[#This Row],[Milk Yield]]-J2115</f>
        <v>365</v>
      </c>
      <c r="B2119" t="s">
        <v>24</v>
      </c>
      <c r="C2119" s="2">
        <v>1</v>
      </c>
      <c r="D2119" s="12">
        <v>46040</v>
      </c>
      <c r="E2119" s="2">
        <v>28</v>
      </c>
      <c r="F2119" s="18">
        <v>0.33071759259259259</v>
      </c>
      <c r="G2119" s="3">
        <v>0.49909722222222225</v>
      </c>
      <c r="H2119" s="17">
        <v>0.16805555555555557</v>
      </c>
      <c r="I2119" s="5">
        <v>623</v>
      </c>
      <c r="J2119">
        <v>7789</v>
      </c>
      <c r="K2119">
        <v>154</v>
      </c>
      <c r="L2119" s="5">
        <v>68</v>
      </c>
      <c r="M2119" s="5">
        <v>623</v>
      </c>
      <c r="N2119">
        <v>28</v>
      </c>
      <c r="O2119">
        <v>595</v>
      </c>
      <c r="P2119" s="1">
        <v>0.25416666666666665</v>
      </c>
      <c r="Q2119" s="5">
        <v>1927</v>
      </c>
      <c r="R2119" s="14">
        <v>12.6</v>
      </c>
      <c r="S2119">
        <v>154</v>
      </c>
      <c r="T2119" s="5">
        <v>28</v>
      </c>
      <c r="U2119" s="5">
        <v>595</v>
      </c>
      <c r="V2119" s="5">
        <v>0</v>
      </c>
      <c r="W2119" s="5"/>
      <c r="X2119" s="5"/>
      <c r="Y2119" s="5"/>
      <c r="Z2119" s="5"/>
      <c r="AA2119" s="5"/>
      <c r="AB2119" s="5"/>
      <c r="AC2119" s="5"/>
      <c r="AD2119" s="5"/>
      <c r="AE2119" s="5"/>
      <c r="AF2119" s="5"/>
      <c r="AG2119" s="5"/>
      <c r="AH2119" s="5"/>
      <c r="AI2119" s="5"/>
      <c r="AJ2119" s="5"/>
      <c r="AK2119" s="5"/>
    </row>
    <row r="2120" spans="1:37" x14ac:dyDescent="0.25">
      <c r="A2120" s="11">
        <f>Table1[[#This Row],[Milk Yield]]-J2116</f>
        <v>-88</v>
      </c>
      <c r="B2120" t="s">
        <v>24</v>
      </c>
      <c r="C2120" s="2">
        <v>2</v>
      </c>
      <c r="D2120" s="12">
        <v>46040</v>
      </c>
      <c r="E2120" s="2">
        <v>32</v>
      </c>
      <c r="F2120" s="18">
        <v>0.66606481481481483</v>
      </c>
      <c r="G2120" s="3">
        <v>0.83991898148148147</v>
      </c>
      <c r="H2120" s="17">
        <v>0.1736111111111111</v>
      </c>
      <c r="I2120" s="5">
        <v>610</v>
      </c>
      <c r="J2120">
        <v>7150</v>
      </c>
      <c r="K2120">
        <v>146</v>
      </c>
      <c r="L2120" s="5">
        <v>184</v>
      </c>
      <c r="M2120" s="5">
        <v>604</v>
      </c>
      <c r="N2120">
        <v>21</v>
      </c>
      <c r="O2120">
        <v>583</v>
      </c>
      <c r="P2120" s="1">
        <v>0.22916666666666666</v>
      </c>
      <c r="Q2120" s="5">
        <v>1714</v>
      </c>
      <c r="R2120" s="14">
        <v>11.9</v>
      </c>
      <c r="S2120">
        <v>145</v>
      </c>
      <c r="T2120" s="5">
        <v>21</v>
      </c>
      <c r="U2120" s="5">
        <v>583</v>
      </c>
      <c r="V2120" s="5">
        <v>0</v>
      </c>
      <c r="W2120" s="5"/>
      <c r="X2120" s="5"/>
      <c r="Y2120" s="5"/>
      <c r="Z2120" s="5"/>
      <c r="AA2120" s="5"/>
      <c r="AB2120" s="5"/>
      <c r="AC2120" s="5"/>
      <c r="AD2120" s="5"/>
      <c r="AE2120" s="5"/>
      <c r="AF2120" s="5"/>
      <c r="AG2120" s="5"/>
      <c r="AH2120" s="5"/>
      <c r="AI2120" s="5"/>
      <c r="AJ2120" s="5"/>
      <c r="AK2120" s="5"/>
    </row>
    <row r="2121" spans="1:37" x14ac:dyDescent="0.25">
      <c r="A2121" s="11">
        <f>Table1[[#This Row],[Milk Yield]]-J2117</f>
        <v>-85</v>
      </c>
      <c r="B2121" t="s">
        <v>24</v>
      </c>
      <c r="C2121" s="2">
        <v>3</v>
      </c>
      <c r="D2121" s="12">
        <v>46040</v>
      </c>
      <c r="E2121" s="2">
        <v>28</v>
      </c>
      <c r="F2121" s="18">
        <v>0.99895833333333328</v>
      </c>
      <c r="G2121" s="3">
        <v>0.13840277777777779</v>
      </c>
      <c r="H2121" s="17">
        <v>0.1388888888888889</v>
      </c>
      <c r="I2121" s="5">
        <v>599</v>
      </c>
      <c r="J2121">
        <v>6380</v>
      </c>
      <c r="K2121">
        <v>179</v>
      </c>
      <c r="L2121" s="5">
        <v>102</v>
      </c>
      <c r="M2121" s="5">
        <v>598</v>
      </c>
      <c r="N2121">
        <v>10</v>
      </c>
      <c r="O2121">
        <v>588</v>
      </c>
      <c r="P2121" s="1">
        <v>0.21041666666666667</v>
      </c>
      <c r="Q2121" s="5">
        <v>1906</v>
      </c>
      <c r="R2121" s="14">
        <v>10.7</v>
      </c>
      <c r="S2121">
        <v>179</v>
      </c>
      <c r="T2121" s="5">
        <v>10</v>
      </c>
      <c r="U2121" s="5">
        <v>588</v>
      </c>
      <c r="V2121" s="5">
        <v>0</v>
      </c>
      <c r="W2121" s="5"/>
      <c r="X2121" s="5"/>
      <c r="Y2121" s="5"/>
      <c r="Z2121" s="5"/>
      <c r="AA2121" s="5"/>
      <c r="AB2121" s="5"/>
      <c r="AC2121" s="5"/>
      <c r="AD2121" s="5"/>
      <c r="AE2121" s="5"/>
      <c r="AF2121" s="5"/>
      <c r="AG2121" s="5"/>
      <c r="AH2121" s="5"/>
      <c r="AI2121" s="5"/>
      <c r="AJ2121" s="5"/>
      <c r="AK2121" s="5"/>
    </row>
    <row r="2122" spans="1:37" x14ac:dyDescent="0.25">
      <c r="A2122" s="11" t="e">
        <f>Table1[[#This Row],[Milk Yield]]-J2118</f>
        <v>#VALUE!</v>
      </c>
      <c r="B2122" t="s">
        <v>0</v>
      </c>
      <c r="C2122" s="2" t="s">
        <v>1</v>
      </c>
      <c r="D2122" s="12" t="s">
        <v>2</v>
      </c>
      <c r="E2122" s="2" t="s">
        <v>3</v>
      </c>
      <c r="F2122" s="18" t="s">
        <v>4</v>
      </c>
      <c r="G2122" s="3" t="s">
        <v>5</v>
      </c>
      <c r="H2122" s="17" t="s">
        <v>6</v>
      </c>
      <c r="I2122" s="5" t="s">
        <v>8</v>
      </c>
      <c r="J2122" t="s">
        <v>9</v>
      </c>
      <c r="K2122" t="s">
        <v>10</v>
      </c>
      <c r="L2122" s="5" t="s">
        <v>11</v>
      </c>
      <c r="M2122" s="5" t="s">
        <v>12</v>
      </c>
      <c r="N2122" t="s">
        <v>13</v>
      </c>
      <c r="O2122" t="s">
        <v>20</v>
      </c>
      <c r="P2122" s="1" t="s">
        <v>7</v>
      </c>
      <c r="Q2122" s="5" t="s">
        <v>15</v>
      </c>
      <c r="R2122" s="14" t="s">
        <v>18</v>
      </c>
      <c r="S2122" t="s">
        <v>16</v>
      </c>
      <c r="T2122" s="5" t="s">
        <v>14</v>
      </c>
      <c r="U2122" s="5" t="s">
        <v>17</v>
      </c>
      <c r="V2122" s="5" t="s">
        <v>19</v>
      </c>
      <c r="W2122" s="5"/>
      <c r="X2122" s="5"/>
      <c r="Y2122" s="5"/>
      <c r="Z2122" s="5"/>
      <c r="AA2122" s="5"/>
      <c r="AB2122" s="5"/>
      <c r="AC2122" s="5"/>
      <c r="AD2122" s="5"/>
      <c r="AE2122" s="5"/>
      <c r="AF2122" s="5"/>
      <c r="AG2122" s="5"/>
      <c r="AH2122" s="5"/>
      <c r="AI2122" s="5"/>
      <c r="AJ2122" s="5"/>
      <c r="AK2122" s="5"/>
    </row>
    <row r="2123" spans="1:37" x14ac:dyDescent="0.25">
      <c r="A2123" s="11">
        <f>Table1[[#This Row],[Milk Yield]]-J2119</f>
        <v>62</v>
      </c>
      <c r="B2123" t="s">
        <v>24</v>
      </c>
      <c r="C2123" s="2">
        <v>1</v>
      </c>
      <c r="D2123" s="12">
        <v>46041</v>
      </c>
      <c r="E2123" s="2">
        <v>28</v>
      </c>
      <c r="F2123" s="18">
        <v>0.33334490740740741</v>
      </c>
      <c r="G2123" s="3">
        <v>0.50813657407407409</v>
      </c>
      <c r="H2123" s="17">
        <v>0.17430555555555555</v>
      </c>
      <c r="I2123" s="5">
        <v>599</v>
      </c>
      <c r="J2123">
        <v>7851</v>
      </c>
      <c r="K2123">
        <v>143</v>
      </c>
      <c r="L2123" s="5">
        <v>77</v>
      </c>
      <c r="M2123" s="5">
        <v>599</v>
      </c>
      <c r="N2123">
        <v>7</v>
      </c>
      <c r="O2123">
        <v>592</v>
      </c>
      <c r="P2123" s="1">
        <v>0.23819444444444443</v>
      </c>
      <c r="Q2123" s="5">
        <v>1871</v>
      </c>
      <c r="R2123" s="14">
        <v>13.2</v>
      </c>
      <c r="S2123">
        <v>143</v>
      </c>
      <c r="T2123" s="5">
        <v>7</v>
      </c>
      <c r="U2123" s="5">
        <v>592</v>
      </c>
      <c r="V2123" s="5">
        <v>0</v>
      </c>
      <c r="W2123" s="5"/>
      <c r="X2123" s="5"/>
      <c r="Y2123" s="5"/>
      <c r="Z2123" s="5"/>
      <c r="AA2123" s="5"/>
      <c r="AB2123" s="5"/>
      <c r="AC2123" s="5"/>
      <c r="AD2123" s="5"/>
      <c r="AE2123" s="5"/>
      <c r="AF2123" s="5"/>
      <c r="AG2123" s="5"/>
      <c r="AH2123" s="5"/>
      <c r="AI2123" s="5"/>
      <c r="AJ2123" s="5"/>
      <c r="AK2123" s="5"/>
    </row>
    <row r="2124" spans="1:37" x14ac:dyDescent="0.25">
      <c r="A2124" s="11">
        <f>Table1[[#This Row],[Milk Yield]]-J2120</f>
        <v>17</v>
      </c>
      <c r="B2124" t="s">
        <v>24</v>
      </c>
      <c r="C2124" s="2">
        <v>2</v>
      </c>
      <c r="D2124" s="12">
        <v>46041</v>
      </c>
      <c r="E2124" s="2">
        <v>29</v>
      </c>
      <c r="F2124" s="18">
        <v>0.66775462962962961</v>
      </c>
      <c r="G2124" s="3">
        <v>0.83530092592592597</v>
      </c>
      <c r="H2124" s="17">
        <v>0.1673611111111111</v>
      </c>
      <c r="I2124" s="5">
        <v>606</v>
      </c>
      <c r="J2124">
        <v>7167</v>
      </c>
      <c r="K2124">
        <v>151</v>
      </c>
      <c r="L2124" s="5">
        <v>88</v>
      </c>
      <c r="M2124" s="5">
        <v>606</v>
      </c>
      <c r="N2124">
        <v>10</v>
      </c>
      <c r="O2124">
        <v>596</v>
      </c>
      <c r="P2124" s="1">
        <v>0.21944444444444444</v>
      </c>
      <c r="Q2124" s="5">
        <v>1782</v>
      </c>
      <c r="R2124" s="14">
        <v>11.9</v>
      </c>
      <c r="S2124">
        <v>151</v>
      </c>
      <c r="T2124" s="5">
        <v>10</v>
      </c>
      <c r="U2124" s="5">
        <v>596</v>
      </c>
      <c r="V2124" s="5">
        <v>0</v>
      </c>
      <c r="W2124" s="5"/>
      <c r="X2124" s="5"/>
      <c r="Y2124" s="5"/>
      <c r="Z2124" s="5"/>
      <c r="AA2124" s="5"/>
      <c r="AB2124" s="5"/>
      <c r="AC2124" s="5"/>
      <c r="AD2124" s="5"/>
      <c r="AE2124" s="5"/>
      <c r="AF2124" s="5"/>
      <c r="AG2124" s="5"/>
      <c r="AH2124" s="5"/>
      <c r="AI2124" s="5"/>
      <c r="AJ2124" s="5"/>
      <c r="AK2124" s="5"/>
    </row>
    <row r="2125" spans="1:37" x14ac:dyDescent="0.25">
      <c r="A2125" s="11">
        <f>Table1[[#This Row],[Milk Yield]]-J2121</f>
        <v>179</v>
      </c>
      <c r="B2125" t="s">
        <v>24</v>
      </c>
      <c r="C2125" s="2">
        <v>3</v>
      </c>
      <c r="D2125" s="12">
        <v>46041</v>
      </c>
      <c r="E2125" s="2">
        <v>27</v>
      </c>
      <c r="F2125" s="18">
        <v>0.9987152777777778</v>
      </c>
      <c r="G2125" s="3">
        <v>0.14597222222222223</v>
      </c>
      <c r="H2125" s="17">
        <v>0.14722222222222223</v>
      </c>
      <c r="I2125" s="5">
        <v>599</v>
      </c>
      <c r="J2125">
        <v>6559</v>
      </c>
      <c r="K2125">
        <v>169</v>
      </c>
      <c r="L2125" s="5">
        <v>41</v>
      </c>
      <c r="M2125" s="5">
        <v>597</v>
      </c>
      <c r="N2125">
        <v>4</v>
      </c>
      <c r="O2125">
        <v>593</v>
      </c>
      <c r="P2125" s="1">
        <v>0.20694444444444443</v>
      </c>
      <c r="Q2125" s="5">
        <v>1856</v>
      </c>
      <c r="R2125" s="14">
        <v>11</v>
      </c>
      <c r="S2125">
        <v>169</v>
      </c>
      <c r="T2125" s="5">
        <v>4</v>
      </c>
      <c r="U2125" s="5">
        <v>593</v>
      </c>
      <c r="V2125" s="5">
        <v>0</v>
      </c>
      <c r="W2125" s="5"/>
      <c r="X2125" s="5"/>
      <c r="Y2125" s="5"/>
      <c r="Z2125" s="5"/>
      <c r="AA2125" s="5"/>
      <c r="AB2125" s="5"/>
      <c r="AC2125" s="5"/>
      <c r="AD2125" s="5"/>
      <c r="AE2125" s="5"/>
      <c r="AF2125" s="5"/>
      <c r="AG2125" s="5"/>
      <c r="AH2125" s="5"/>
      <c r="AI2125" s="5"/>
      <c r="AJ2125" s="5"/>
      <c r="AK2125" s="5"/>
    </row>
    <row r="2126" spans="1:37" x14ac:dyDescent="0.25">
      <c r="A2126" s="11" t="e">
        <f>Table1[[#This Row],[Milk Yield]]-J2122</f>
        <v>#VALUE!</v>
      </c>
      <c r="B2126" t="s">
        <v>0</v>
      </c>
      <c r="C2126" s="2" t="s">
        <v>1</v>
      </c>
      <c r="D2126" s="12" t="s">
        <v>2</v>
      </c>
      <c r="E2126" s="2" t="s">
        <v>3</v>
      </c>
      <c r="F2126" s="18" t="s">
        <v>4</v>
      </c>
      <c r="G2126" s="3" t="s">
        <v>5</v>
      </c>
      <c r="H2126" s="17" t="s">
        <v>6</v>
      </c>
      <c r="I2126" s="5" t="s">
        <v>8</v>
      </c>
      <c r="J2126" t="s">
        <v>9</v>
      </c>
      <c r="K2126" t="s">
        <v>10</v>
      </c>
      <c r="L2126" s="5" t="s">
        <v>11</v>
      </c>
      <c r="M2126" s="5" t="s">
        <v>12</v>
      </c>
      <c r="N2126" t="s">
        <v>13</v>
      </c>
      <c r="O2126" t="s">
        <v>20</v>
      </c>
      <c r="P2126" s="1" t="s">
        <v>7</v>
      </c>
      <c r="Q2126" s="5" t="s">
        <v>15</v>
      </c>
      <c r="R2126" s="14" t="s">
        <v>18</v>
      </c>
      <c r="S2126" t="s">
        <v>16</v>
      </c>
      <c r="T2126" s="5" t="s">
        <v>14</v>
      </c>
      <c r="U2126" s="5" t="s">
        <v>17</v>
      </c>
      <c r="V2126" s="5" t="s">
        <v>19</v>
      </c>
      <c r="W2126" s="5"/>
      <c r="X2126" s="5"/>
      <c r="Y2126" s="5"/>
      <c r="Z2126" s="5"/>
      <c r="AA2126" s="5"/>
      <c r="AB2126" s="5"/>
      <c r="AC2126" s="5"/>
      <c r="AD2126" s="5"/>
      <c r="AE2126" s="5"/>
      <c r="AF2126" s="5"/>
      <c r="AG2126" s="5"/>
      <c r="AH2126" s="5"/>
      <c r="AI2126" s="5"/>
      <c r="AJ2126" s="5"/>
      <c r="AK2126" s="5"/>
    </row>
    <row r="2127" spans="1:37" x14ac:dyDescent="0.25">
      <c r="A2127" s="11">
        <f>Table1[[#This Row],[Milk Yield]]-J2123</f>
        <v>342</v>
      </c>
      <c r="B2127" t="s">
        <v>24</v>
      </c>
      <c r="C2127" s="2">
        <v>1</v>
      </c>
      <c r="D2127" s="12">
        <v>46042</v>
      </c>
      <c r="E2127" s="2">
        <v>28</v>
      </c>
      <c r="F2127" s="18">
        <v>0.35068287037037038</v>
      </c>
      <c r="G2127" s="3">
        <v>0.51925925925925931</v>
      </c>
      <c r="H2127" s="17">
        <v>0.16805555555555557</v>
      </c>
      <c r="I2127" s="5">
        <v>600</v>
      </c>
      <c r="J2127">
        <v>8193</v>
      </c>
      <c r="K2127">
        <v>148</v>
      </c>
      <c r="L2127" s="5">
        <v>81</v>
      </c>
      <c r="M2127" s="5">
        <v>600</v>
      </c>
      <c r="N2127">
        <v>6</v>
      </c>
      <c r="O2127">
        <v>594</v>
      </c>
      <c r="P2127" s="1">
        <v>0.24374999999999999</v>
      </c>
      <c r="Q2127" s="5">
        <v>2025</v>
      </c>
      <c r="R2127" s="14">
        <v>13.7</v>
      </c>
      <c r="S2127">
        <v>148</v>
      </c>
      <c r="T2127" s="5">
        <v>6</v>
      </c>
      <c r="U2127" s="5">
        <v>594</v>
      </c>
      <c r="V2127" s="5">
        <v>0</v>
      </c>
      <c r="W2127" s="5"/>
      <c r="X2127" s="5"/>
      <c r="Y2127" s="5"/>
      <c r="Z2127" s="5"/>
      <c r="AA2127" s="5"/>
      <c r="AB2127" s="5"/>
      <c r="AC2127" s="5"/>
      <c r="AD2127" s="5"/>
      <c r="AE2127" s="5"/>
      <c r="AF2127" s="5"/>
      <c r="AG2127" s="5"/>
      <c r="AH2127" s="5"/>
      <c r="AI2127" s="5"/>
      <c r="AJ2127" s="5"/>
      <c r="AK2127" s="5"/>
    </row>
    <row r="2128" spans="1:37" x14ac:dyDescent="0.25">
      <c r="A2128" s="11">
        <f>Table1[[#This Row],[Milk Yield]]-J2124</f>
        <v>-218</v>
      </c>
      <c r="B2128" t="s">
        <v>24</v>
      </c>
      <c r="C2128" s="2">
        <v>2</v>
      </c>
      <c r="D2128" s="12">
        <v>46042</v>
      </c>
      <c r="E2128" s="2">
        <v>31</v>
      </c>
      <c r="F2128" s="18">
        <v>0.67755787037037041</v>
      </c>
      <c r="G2128" s="3">
        <v>0.85269675925925925</v>
      </c>
      <c r="H2128" s="17">
        <v>0.17499999999999999</v>
      </c>
      <c r="I2128" s="5">
        <v>597</v>
      </c>
      <c r="J2128">
        <v>6949</v>
      </c>
      <c r="K2128">
        <v>142</v>
      </c>
      <c r="L2128" s="5">
        <v>124</v>
      </c>
      <c r="M2128" s="5">
        <v>597</v>
      </c>
      <c r="N2128">
        <v>14</v>
      </c>
      <c r="O2128">
        <v>583</v>
      </c>
      <c r="P2128" s="1">
        <v>0.22430555555555556</v>
      </c>
      <c r="Q2128" s="5">
        <v>1653</v>
      </c>
      <c r="R2128" s="14">
        <v>11.7</v>
      </c>
      <c r="S2128">
        <v>142</v>
      </c>
      <c r="T2128" s="5">
        <v>14</v>
      </c>
      <c r="U2128" s="5">
        <v>583</v>
      </c>
      <c r="V2128" s="5">
        <v>0</v>
      </c>
      <c r="W2128" s="5"/>
      <c r="X2128" s="5"/>
      <c r="Y2128" s="5"/>
      <c r="Z2128" s="5"/>
      <c r="AA2128" s="5"/>
      <c r="AB2128" s="5"/>
      <c r="AC2128" s="5"/>
      <c r="AD2128" s="5"/>
      <c r="AE2128" s="5"/>
      <c r="AF2128" s="5"/>
      <c r="AG2128" s="5"/>
      <c r="AH2128" s="5"/>
      <c r="AI2128" s="5"/>
      <c r="AJ2128" s="5"/>
      <c r="AK2128" s="5"/>
    </row>
    <row r="2129" spans="1:37" x14ac:dyDescent="0.25">
      <c r="A2129" s="11">
        <f>Table1[[#This Row],[Milk Yield]]-J2125</f>
        <v>-546</v>
      </c>
      <c r="B2129" t="s">
        <v>24</v>
      </c>
      <c r="C2129" s="2">
        <v>3</v>
      </c>
      <c r="D2129" s="12">
        <v>46042</v>
      </c>
      <c r="E2129" s="2">
        <v>26</v>
      </c>
      <c r="F2129" s="18">
        <v>0.99747685185185186</v>
      </c>
      <c r="G2129" s="3">
        <v>0.14065972222222223</v>
      </c>
      <c r="H2129" s="17">
        <v>0.14305555555555555</v>
      </c>
      <c r="I2129" s="5">
        <v>588</v>
      </c>
      <c r="J2129">
        <v>6013</v>
      </c>
      <c r="K2129">
        <v>171</v>
      </c>
      <c r="L2129" s="5">
        <v>34</v>
      </c>
      <c r="M2129" s="5">
        <v>588</v>
      </c>
      <c r="N2129">
        <v>3</v>
      </c>
      <c r="O2129">
        <v>585</v>
      </c>
      <c r="P2129" s="1">
        <v>0.21388888888888888</v>
      </c>
      <c r="Q2129" s="5">
        <v>1750</v>
      </c>
      <c r="R2129" s="14">
        <v>10.3</v>
      </c>
      <c r="S2129">
        <v>171</v>
      </c>
      <c r="T2129" s="5">
        <v>3</v>
      </c>
      <c r="U2129" s="5">
        <v>585</v>
      </c>
      <c r="V2129" s="5">
        <v>0</v>
      </c>
      <c r="W2129" s="5"/>
      <c r="X2129" s="5"/>
      <c r="Y2129" s="5"/>
      <c r="Z2129" s="5"/>
      <c r="AA2129" s="5"/>
      <c r="AB2129" s="5"/>
      <c r="AC2129" s="5"/>
      <c r="AD2129" s="5"/>
      <c r="AE2129" s="5"/>
      <c r="AF2129" s="5"/>
      <c r="AG2129" s="5"/>
      <c r="AH2129" s="5"/>
      <c r="AI2129" s="5"/>
      <c r="AJ2129" s="5"/>
      <c r="AK2129" s="5"/>
    </row>
    <row r="2130" spans="1:37" x14ac:dyDescent="0.25">
      <c r="A2130" s="11" t="e">
        <f>Table1[[#This Row],[Milk Yield]]-J2126</f>
        <v>#VALUE!</v>
      </c>
      <c r="B2130" t="s">
        <v>0</v>
      </c>
      <c r="C2130" s="2" t="s">
        <v>1</v>
      </c>
      <c r="D2130" s="12" t="s">
        <v>2</v>
      </c>
      <c r="E2130" s="2" t="s">
        <v>3</v>
      </c>
      <c r="F2130" s="18" t="s">
        <v>4</v>
      </c>
      <c r="G2130" s="3" t="s">
        <v>5</v>
      </c>
      <c r="H2130" s="17" t="s">
        <v>6</v>
      </c>
      <c r="I2130" s="5" t="s">
        <v>8</v>
      </c>
      <c r="J2130" t="s">
        <v>9</v>
      </c>
      <c r="K2130" t="s">
        <v>10</v>
      </c>
      <c r="L2130" s="5" t="s">
        <v>11</v>
      </c>
      <c r="M2130" s="5" t="s">
        <v>12</v>
      </c>
      <c r="N2130" t="s">
        <v>13</v>
      </c>
      <c r="O2130" t="s">
        <v>20</v>
      </c>
      <c r="P2130" s="1" t="s">
        <v>7</v>
      </c>
      <c r="Q2130" s="5" t="s">
        <v>15</v>
      </c>
      <c r="R2130" s="14" t="s">
        <v>18</v>
      </c>
      <c r="S2130" t="s">
        <v>16</v>
      </c>
      <c r="T2130" s="5" t="s">
        <v>14</v>
      </c>
      <c r="U2130" s="5" t="s">
        <v>17</v>
      </c>
      <c r="V2130" s="5" t="s">
        <v>19</v>
      </c>
      <c r="W2130" s="5"/>
      <c r="X2130" s="5"/>
      <c r="Y2130" s="5"/>
      <c r="Z2130" s="5"/>
      <c r="AA2130" s="5"/>
      <c r="AB2130" s="5"/>
      <c r="AC2130" s="5"/>
      <c r="AD2130" s="5"/>
      <c r="AE2130" s="5"/>
      <c r="AF2130" s="5"/>
      <c r="AG2130" s="5"/>
      <c r="AH2130" s="5"/>
      <c r="AI2130" s="5"/>
      <c r="AJ2130" s="5"/>
      <c r="AK2130" s="5"/>
    </row>
    <row r="2131" spans="1:37" x14ac:dyDescent="0.25">
      <c r="A2131" s="11">
        <f>Table1[[#This Row],[Milk Yield]]-J2127</f>
        <v>-290</v>
      </c>
      <c r="B2131" t="s">
        <v>24</v>
      </c>
      <c r="C2131" s="2">
        <v>1</v>
      </c>
      <c r="D2131" s="12">
        <v>46043</v>
      </c>
      <c r="E2131" s="2">
        <v>26</v>
      </c>
      <c r="F2131" s="18">
        <v>0.33931712962962962</v>
      </c>
      <c r="G2131" s="3">
        <v>0.51428240740740738</v>
      </c>
      <c r="H2131" s="17">
        <v>0.17430555555555555</v>
      </c>
      <c r="I2131" s="5">
        <v>589</v>
      </c>
      <c r="J2131">
        <v>7903</v>
      </c>
      <c r="K2131">
        <v>140</v>
      </c>
      <c r="L2131" s="5">
        <v>76</v>
      </c>
      <c r="M2131" s="5">
        <v>588</v>
      </c>
      <c r="N2131">
        <v>6</v>
      </c>
      <c r="O2131">
        <v>582</v>
      </c>
      <c r="P2131" s="1">
        <v>0.25833333333333336</v>
      </c>
      <c r="Q2131" s="5">
        <v>1882</v>
      </c>
      <c r="R2131" s="14">
        <v>13.5</v>
      </c>
      <c r="S2131">
        <v>140</v>
      </c>
      <c r="T2131" s="5">
        <v>6</v>
      </c>
      <c r="U2131" s="5">
        <v>582</v>
      </c>
      <c r="V2131" s="5">
        <v>0</v>
      </c>
      <c r="W2131" s="5"/>
      <c r="X2131" s="5"/>
      <c r="Y2131" s="5"/>
      <c r="Z2131" s="5"/>
      <c r="AA2131" s="5"/>
      <c r="AB2131" s="5"/>
      <c r="AC2131" s="5"/>
      <c r="AD2131" s="5"/>
      <c r="AE2131" s="5"/>
      <c r="AF2131" s="5"/>
      <c r="AG2131" s="5"/>
      <c r="AH2131" s="5"/>
      <c r="AI2131" s="5"/>
      <c r="AJ2131" s="5"/>
      <c r="AK2131" s="5"/>
    </row>
    <row r="2132" spans="1:37" x14ac:dyDescent="0.25">
      <c r="A2132" s="11">
        <f>Table1[[#This Row],[Milk Yield]]-J2128</f>
        <v>250</v>
      </c>
      <c r="B2132" t="s">
        <v>24</v>
      </c>
      <c r="C2132" s="2">
        <v>2</v>
      </c>
      <c r="D2132" s="12">
        <v>46043</v>
      </c>
      <c r="E2132" s="2">
        <v>29</v>
      </c>
      <c r="F2132" s="18">
        <v>0.66754629629629625</v>
      </c>
      <c r="G2132" s="3">
        <v>0.85465277777777782</v>
      </c>
      <c r="H2132" s="17">
        <v>0.18680555555555556</v>
      </c>
      <c r="I2132" s="5">
        <v>598</v>
      </c>
      <c r="J2132">
        <v>7199</v>
      </c>
      <c r="K2132">
        <v>133</v>
      </c>
      <c r="L2132" s="5">
        <v>77</v>
      </c>
      <c r="M2132" s="5">
        <v>598</v>
      </c>
      <c r="N2132">
        <v>10</v>
      </c>
      <c r="O2132">
        <v>588</v>
      </c>
      <c r="P2132" s="1">
        <v>0.23541666666666666</v>
      </c>
      <c r="Q2132" s="5">
        <v>1603</v>
      </c>
      <c r="R2132" s="14">
        <v>12.1</v>
      </c>
      <c r="S2132">
        <v>133</v>
      </c>
      <c r="T2132" s="5">
        <v>10</v>
      </c>
      <c r="U2132" s="5">
        <v>588</v>
      </c>
      <c r="V2132" s="5">
        <v>0</v>
      </c>
      <c r="W2132" s="5"/>
      <c r="X2132" s="5"/>
      <c r="Y2132" s="5"/>
      <c r="Z2132" s="5"/>
      <c r="AA2132" s="5"/>
      <c r="AB2132" s="5"/>
      <c r="AC2132" s="5"/>
      <c r="AD2132" s="5"/>
      <c r="AE2132" s="5"/>
      <c r="AF2132" s="5"/>
      <c r="AG2132" s="5"/>
      <c r="AH2132" s="5"/>
      <c r="AI2132" s="5"/>
      <c r="AJ2132" s="5"/>
      <c r="AK2132" s="5"/>
    </row>
    <row r="2133" spans="1:37" x14ac:dyDescent="0.25">
      <c r="A2133" s="11">
        <f>Table1[[#This Row],[Milk Yield]]-J2129</f>
        <v>199</v>
      </c>
      <c r="B2133" t="s">
        <v>24</v>
      </c>
      <c r="C2133" s="2">
        <v>3</v>
      </c>
      <c r="D2133" s="12">
        <v>46043</v>
      </c>
      <c r="E2133" s="2">
        <v>26</v>
      </c>
      <c r="F2133" s="18">
        <v>1.3194444444444445E-3</v>
      </c>
      <c r="G2133" s="3">
        <v>0.14678240740740742</v>
      </c>
      <c r="H2133" s="17">
        <v>0.1451388888888889</v>
      </c>
      <c r="I2133" s="5">
        <v>592</v>
      </c>
      <c r="J2133">
        <v>6212</v>
      </c>
      <c r="K2133">
        <v>170</v>
      </c>
      <c r="L2133" s="5">
        <v>64</v>
      </c>
      <c r="M2133" s="5">
        <v>591</v>
      </c>
      <c r="N2133">
        <v>7</v>
      </c>
      <c r="O2133">
        <v>584</v>
      </c>
      <c r="P2133" s="1">
        <v>0.21458333333333332</v>
      </c>
      <c r="Q2133" s="5">
        <v>1779</v>
      </c>
      <c r="R2133" s="14">
        <v>10.6</v>
      </c>
      <c r="S2133">
        <v>169</v>
      </c>
      <c r="T2133" s="5">
        <v>7</v>
      </c>
      <c r="U2133" s="5">
        <v>584</v>
      </c>
      <c r="V2133" s="5">
        <v>0</v>
      </c>
      <c r="W2133" s="5"/>
      <c r="X2133" s="5"/>
      <c r="Y2133" s="5"/>
      <c r="Z2133" s="5"/>
      <c r="AA2133" s="5"/>
      <c r="AB2133" s="5"/>
      <c r="AC2133" s="5"/>
      <c r="AD2133" s="5"/>
      <c r="AE2133" s="5"/>
      <c r="AF2133" s="5"/>
      <c r="AG2133" s="5"/>
      <c r="AH2133" s="5"/>
      <c r="AI2133" s="5"/>
      <c r="AJ2133" s="5"/>
      <c r="AK2133" s="5"/>
    </row>
    <row r="2134" spans="1:37" x14ac:dyDescent="0.25">
      <c r="A2134" s="11" t="e">
        <f>Table1[[#This Row],[Milk Yield]]-J2130</f>
        <v>#VALUE!</v>
      </c>
      <c r="B2134" t="s">
        <v>0</v>
      </c>
      <c r="C2134" s="2" t="s">
        <v>1</v>
      </c>
      <c r="D2134" s="12" t="s">
        <v>2</v>
      </c>
      <c r="E2134" s="2" t="s">
        <v>3</v>
      </c>
      <c r="F2134" s="18" t="s">
        <v>4</v>
      </c>
      <c r="G2134" s="3" t="s">
        <v>5</v>
      </c>
      <c r="H2134" s="17" t="s">
        <v>6</v>
      </c>
      <c r="I2134" s="5" t="s">
        <v>8</v>
      </c>
      <c r="J2134" t="s">
        <v>9</v>
      </c>
      <c r="K2134" t="s">
        <v>10</v>
      </c>
      <c r="L2134" s="5" t="s">
        <v>11</v>
      </c>
      <c r="M2134" s="5" t="s">
        <v>12</v>
      </c>
      <c r="N2134" t="s">
        <v>13</v>
      </c>
      <c r="O2134" t="s">
        <v>20</v>
      </c>
      <c r="P2134" s="1" t="s">
        <v>7</v>
      </c>
      <c r="Q2134" s="5" t="s">
        <v>15</v>
      </c>
      <c r="R2134" s="14" t="s">
        <v>18</v>
      </c>
      <c r="S2134" t="s">
        <v>16</v>
      </c>
      <c r="T2134" s="5" t="s">
        <v>14</v>
      </c>
      <c r="U2134" s="5" t="s">
        <v>17</v>
      </c>
      <c r="V2134" s="5" t="s">
        <v>19</v>
      </c>
      <c r="W2134" s="5"/>
      <c r="X2134" s="5"/>
      <c r="Y2134" s="5"/>
      <c r="Z2134" s="5"/>
      <c r="AA2134" s="5"/>
      <c r="AB2134" s="5"/>
      <c r="AC2134" s="5"/>
      <c r="AD2134" s="5"/>
      <c r="AE2134" s="5"/>
      <c r="AF2134" s="5"/>
      <c r="AG2134" s="5"/>
      <c r="AH2134" s="5"/>
      <c r="AI2134" s="5"/>
      <c r="AJ2134" s="5"/>
      <c r="AK2134" s="5"/>
    </row>
    <row r="2135" spans="1:37" x14ac:dyDescent="0.25">
      <c r="A2135" s="11">
        <f>Table1[[#This Row],[Milk Yield]]-J2131</f>
        <v>-359</v>
      </c>
      <c r="B2135" t="s">
        <v>24</v>
      </c>
      <c r="C2135" s="2">
        <v>1</v>
      </c>
      <c r="D2135" s="12">
        <v>46044</v>
      </c>
      <c r="E2135" s="2">
        <v>26</v>
      </c>
      <c r="F2135" s="18">
        <v>0.33583333333333332</v>
      </c>
      <c r="G2135" s="3">
        <v>0.49414351851851851</v>
      </c>
      <c r="H2135" s="17">
        <v>0.15763888888888888</v>
      </c>
      <c r="I2135" s="5">
        <v>593</v>
      </c>
      <c r="J2135">
        <v>7544</v>
      </c>
      <c r="K2135">
        <v>156</v>
      </c>
      <c r="L2135" s="5">
        <v>71</v>
      </c>
      <c r="M2135" s="5">
        <v>592</v>
      </c>
      <c r="N2135">
        <v>7</v>
      </c>
      <c r="O2135">
        <v>585</v>
      </c>
      <c r="P2135" s="1">
        <v>0.23749999999999999</v>
      </c>
      <c r="Q2135" s="5">
        <v>1985</v>
      </c>
      <c r="R2135" s="14">
        <v>12.8</v>
      </c>
      <c r="S2135">
        <v>156</v>
      </c>
      <c r="T2135" s="5">
        <v>7</v>
      </c>
      <c r="U2135" s="5">
        <v>585</v>
      </c>
      <c r="V2135" s="5">
        <v>0</v>
      </c>
      <c r="W2135" s="5"/>
      <c r="X2135" s="5"/>
      <c r="Y2135" s="5"/>
      <c r="Z2135" s="5"/>
      <c r="AA2135" s="5"/>
      <c r="AB2135" s="5"/>
      <c r="AC2135" s="5"/>
      <c r="AD2135" s="5"/>
      <c r="AE2135" s="5"/>
      <c r="AF2135" s="5"/>
      <c r="AG2135" s="5"/>
      <c r="AH2135" s="5"/>
      <c r="AI2135" s="5"/>
      <c r="AJ2135" s="5"/>
      <c r="AK2135" s="5"/>
    </row>
    <row r="2136" spans="1:37" x14ac:dyDescent="0.25">
      <c r="A2136" s="11">
        <f>Table1[[#This Row],[Milk Yield]]-J2132</f>
        <v>-285</v>
      </c>
      <c r="B2136" t="s">
        <v>24</v>
      </c>
      <c r="C2136" s="2">
        <v>2</v>
      </c>
      <c r="D2136" s="12">
        <v>46044</v>
      </c>
      <c r="E2136" s="2">
        <v>30</v>
      </c>
      <c r="F2136" s="18">
        <v>0.66599537037037038</v>
      </c>
      <c r="G2136" s="3">
        <v>0.8271412037037037</v>
      </c>
      <c r="H2136" s="17">
        <v>0.16111111111111112</v>
      </c>
      <c r="I2136" s="5">
        <v>603</v>
      </c>
      <c r="J2136">
        <v>6914</v>
      </c>
      <c r="K2136">
        <v>156</v>
      </c>
      <c r="L2136" s="5">
        <v>121</v>
      </c>
      <c r="M2136" s="5">
        <v>602</v>
      </c>
      <c r="N2136">
        <v>13</v>
      </c>
      <c r="O2136">
        <v>589</v>
      </c>
      <c r="P2136" s="1">
        <v>0.22569444444444445</v>
      </c>
      <c r="Q2136" s="5">
        <v>1788</v>
      </c>
      <c r="R2136" s="14">
        <v>11.5</v>
      </c>
      <c r="S2136">
        <v>156</v>
      </c>
      <c r="T2136" s="5">
        <v>13</v>
      </c>
      <c r="U2136" s="5">
        <v>589</v>
      </c>
      <c r="V2136" s="5">
        <v>0</v>
      </c>
      <c r="W2136" s="5"/>
      <c r="X2136" s="5"/>
      <c r="Y2136" s="5"/>
      <c r="Z2136" s="5"/>
      <c r="AA2136" s="5"/>
      <c r="AB2136" s="5"/>
      <c r="AC2136" s="5"/>
      <c r="AD2136" s="5"/>
      <c r="AE2136" s="5"/>
      <c r="AF2136" s="5"/>
      <c r="AG2136" s="5"/>
      <c r="AH2136" s="5"/>
      <c r="AI2136" s="5"/>
      <c r="AJ2136" s="5"/>
      <c r="AK2136" s="5"/>
    </row>
    <row r="2137" spans="1:37" x14ac:dyDescent="0.25">
      <c r="A2137" s="11">
        <f>Table1[[#This Row],[Milk Yield]]-J2133</f>
        <v>240</v>
      </c>
      <c r="B2137" t="s">
        <v>24</v>
      </c>
      <c r="C2137" s="2">
        <v>3</v>
      </c>
      <c r="D2137" s="12">
        <v>46044</v>
      </c>
      <c r="E2137" s="2">
        <v>27</v>
      </c>
      <c r="F2137" s="18">
        <v>0.99959490740740742</v>
      </c>
      <c r="G2137" s="3">
        <v>0.15083333333333335</v>
      </c>
      <c r="H2137" s="17">
        <v>0.15069444444444444</v>
      </c>
      <c r="I2137" s="5">
        <v>576</v>
      </c>
      <c r="J2137">
        <v>6452</v>
      </c>
      <c r="K2137">
        <v>159</v>
      </c>
      <c r="L2137" s="5">
        <v>65</v>
      </c>
      <c r="M2137" s="5">
        <v>576</v>
      </c>
      <c r="N2137">
        <v>5</v>
      </c>
      <c r="O2137">
        <v>571</v>
      </c>
      <c r="P2137" s="1">
        <v>0.21805555555555556</v>
      </c>
      <c r="Q2137" s="5">
        <v>1777</v>
      </c>
      <c r="R2137" s="14">
        <v>11.3</v>
      </c>
      <c r="S2137">
        <v>159</v>
      </c>
      <c r="T2137" s="5">
        <v>5</v>
      </c>
      <c r="U2137" s="5">
        <v>571</v>
      </c>
      <c r="V2137" s="5">
        <v>0</v>
      </c>
      <c r="W2137" s="5"/>
      <c r="X2137" s="5"/>
      <c r="Y2137" s="5"/>
      <c r="Z2137" s="5"/>
      <c r="AA2137" s="5"/>
      <c r="AB2137" s="5"/>
      <c r="AC2137" s="5"/>
      <c r="AD2137" s="5"/>
      <c r="AE2137" s="5"/>
      <c r="AF2137" s="5"/>
      <c r="AG2137" s="5"/>
      <c r="AH2137" s="5"/>
      <c r="AI2137" s="5"/>
      <c r="AJ2137" s="5"/>
      <c r="AK2137" s="5"/>
    </row>
    <row r="2138" spans="1:37" x14ac:dyDescent="0.25">
      <c r="A2138" s="11" t="e">
        <f>Table1[[#This Row],[Milk Yield]]-J2134</f>
        <v>#VALUE!</v>
      </c>
      <c r="B2138" t="s">
        <v>0</v>
      </c>
      <c r="C2138" s="2" t="s">
        <v>1</v>
      </c>
      <c r="D2138" s="12" t="s">
        <v>2</v>
      </c>
      <c r="E2138" s="2" t="s">
        <v>3</v>
      </c>
      <c r="F2138" s="18" t="s">
        <v>4</v>
      </c>
      <c r="G2138" s="3" t="s">
        <v>5</v>
      </c>
      <c r="H2138" s="17" t="s">
        <v>6</v>
      </c>
      <c r="I2138" s="5" t="s">
        <v>8</v>
      </c>
      <c r="J2138" t="s">
        <v>9</v>
      </c>
      <c r="K2138" t="s">
        <v>10</v>
      </c>
      <c r="L2138" s="5" t="s">
        <v>11</v>
      </c>
      <c r="M2138" s="5" t="s">
        <v>12</v>
      </c>
      <c r="N2138" t="s">
        <v>13</v>
      </c>
      <c r="O2138" t="s">
        <v>20</v>
      </c>
      <c r="P2138" s="1" t="s">
        <v>7</v>
      </c>
      <c r="Q2138" s="5" t="s">
        <v>15</v>
      </c>
      <c r="R2138" s="14" t="s">
        <v>18</v>
      </c>
      <c r="S2138" t="s">
        <v>16</v>
      </c>
      <c r="T2138" s="5" t="s">
        <v>14</v>
      </c>
      <c r="U2138" s="5" t="s">
        <v>17</v>
      </c>
      <c r="V2138" s="5" t="s">
        <v>19</v>
      </c>
      <c r="W2138" s="5"/>
      <c r="X2138" s="5"/>
      <c r="Y2138" s="5"/>
      <c r="Z2138" s="5"/>
      <c r="AA2138" s="5"/>
      <c r="AB2138" s="5"/>
      <c r="AC2138" s="5"/>
      <c r="AD2138" s="5"/>
      <c r="AE2138" s="5"/>
      <c r="AF2138" s="5"/>
      <c r="AG2138" s="5"/>
      <c r="AH2138" s="5"/>
      <c r="AI2138" s="5"/>
      <c r="AJ2138" s="5"/>
      <c r="AK2138" s="5"/>
    </row>
    <row r="2139" spans="1:37" x14ac:dyDescent="0.25">
      <c r="A2139" s="11">
        <f>Table1[[#This Row],[Milk Yield]]-J2135</f>
        <v>367</v>
      </c>
      <c r="B2139" t="s">
        <v>24</v>
      </c>
      <c r="C2139" s="2">
        <v>1</v>
      </c>
      <c r="D2139" s="12">
        <v>46045</v>
      </c>
      <c r="E2139" s="2">
        <v>28</v>
      </c>
      <c r="F2139" s="18">
        <v>0.33927083333333335</v>
      </c>
      <c r="G2139" s="3">
        <v>0.52173611111111107</v>
      </c>
      <c r="H2139" s="17">
        <v>0.18194444444444444</v>
      </c>
      <c r="I2139" s="5">
        <v>597</v>
      </c>
      <c r="J2139">
        <v>7911</v>
      </c>
      <c r="K2139">
        <v>136</v>
      </c>
      <c r="L2139" s="5">
        <v>59</v>
      </c>
      <c r="M2139" s="5">
        <v>597</v>
      </c>
      <c r="N2139">
        <v>6</v>
      </c>
      <c r="O2139">
        <v>591</v>
      </c>
      <c r="P2139" s="1">
        <v>0.25763888888888886</v>
      </c>
      <c r="Q2139" s="5">
        <v>1806</v>
      </c>
      <c r="R2139" s="14">
        <v>13.3</v>
      </c>
      <c r="S2139">
        <v>136</v>
      </c>
      <c r="T2139" s="5">
        <v>6</v>
      </c>
      <c r="U2139" s="5">
        <v>591</v>
      </c>
      <c r="V2139" s="5">
        <v>0</v>
      </c>
      <c r="W2139" s="5"/>
      <c r="X2139" s="5"/>
      <c r="Y2139" s="5"/>
      <c r="Z2139" s="5"/>
      <c r="AA2139" s="5"/>
      <c r="AB2139" s="5"/>
      <c r="AC2139" s="5"/>
      <c r="AD2139" s="5"/>
      <c r="AE2139" s="5"/>
      <c r="AF2139" s="5"/>
      <c r="AG2139" s="5"/>
      <c r="AH2139" s="5"/>
      <c r="AI2139" s="5"/>
      <c r="AJ2139" s="5"/>
      <c r="AK2139" s="5"/>
    </row>
    <row r="2140" spans="1:37" x14ac:dyDescent="0.25">
      <c r="A2140" s="11">
        <f>Table1[[#This Row],[Milk Yield]]-J2136</f>
        <v>-276</v>
      </c>
      <c r="B2140" t="s">
        <v>24</v>
      </c>
      <c r="C2140" s="2">
        <v>2</v>
      </c>
      <c r="D2140" s="12">
        <v>46045</v>
      </c>
      <c r="E2140" s="2">
        <v>29</v>
      </c>
      <c r="F2140" s="18">
        <v>0.66876157407407411</v>
      </c>
      <c r="G2140" s="3">
        <v>0.82408564814814811</v>
      </c>
      <c r="H2140" s="17">
        <v>0.15486111111111112</v>
      </c>
      <c r="I2140" s="5">
        <v>584</v>
      </c>
      <c r="J2140">
        <v>6638</v>
      </c>
      <c r="K2140">
        <v>157</v>
      </c>
      <c r="L2140" s="5">
        <v>92</v>
      </c>
      <c r="M2140" s="5">
        <v>583</v>
      </c>
      <c r="N2140">
        <v>11</v>
      </c>
      <c r="O2140">
        <v>572</v>
      </c>
      <c r="P2140" s="1">
        <v>0.22291666666666668</v>
      </c>
      <c r="Q2140" s="5">
        <v>1781</v>
      </c>
      <c r="R2140" s="14">
        <v>11.4</v>
      </c>
      <c r="S2140">
        <v>156</v>
      </c>
      <c r="T2140" s="5">
        <v>11</v>
      </c>
      <c r="U2140" s="5">
        <v>572</v>
      </c>
      <c r="V2140" s="5">
        <v>0</v>
      </c>
      <c r="W2140" s="5"/>
      <c r="X2140" s="5"/>
      <c r="Y2140" s="5"/>
      <c r="Z2140" s="5"/>
      <c r="AA2140" s="5"/>
      <c r="AB2140" s="5"/>
      <c r="AC2140" s="5"/>
      <c r="AD2140" s="5"/>
      <c r="AE2140" s="5"/>
      <c r="AF2140" s="5"/>
      <c r="AG2140" s="5"/>
      <c r="AH2140" s="5"/>
      <c r="AI2140" s="5"/>
      <c r="AJ2140" s="5"/>
      <c r="AK2140" s="5"/>
    </row>
    <row r="2141" spans="1:37" x14ac:dyDescent="0.25">
      <c r="A2141" s="11">
        <f>Table1[[#This Row],[Milk Yield]]-J2137</f>
        <v>-7</v>
      </c>
      <c r="B2141" t="s">
        <v>24</v>
      </c>
      <c r="C2141" s="2">
        <v>3</v>
      </c>
      <c r="D2141" s="12">
        <v>46045</v>
      </c>
      <c r="E2141" s="2">
        <v>26</v>
      </c>
      <c r="F2141" s="18">
        <v>1.0763888888888889E-3</v>
      </c>
      <c r="G2141" s="3">
        <v>0.14527777777777778</v>
      </c>
      <c r="H2141" s="17">
        <v>0.14374999999999999</v>
      </c>
      <c r="I2141" s="5">
        <v>580</v>
      </c>
      <c r="J2141">
        <v>6445</v>
      </c>
      <c r="K2141">
        <v>168</v>
      </c>
      <c r="L2141" s="5">
        <v>56</v>
      </c>
      <c r="M2141" s="5">
        <v>580</v>
      </c>
      <c r="N2141">
        <v>6</v>
      </c>
      <c r="O2141">
        <v>574</v>
      </c>
      <c r="P2141" s="1">
        <v>0.22083333333333333</v>
      </c>
      <c r="Q2141" s="5">
        <v>1862</v>
      </c>
      <c r="R2141" s="14">
        <v>11.2</v>
      </c>
      <c r="S2141">
        <v>168</v>
      </c>
      <c r="T2141" s="5">
        <v>6</v>
      </c>
      <c r="U2141" s="5">
        <v>574</v>
      </c>
      <c r="V2141" s="5">
        <v>0</v>
      </c>
      <c r="W2141" s="5"/>
      <c r="X2141" s="5"/>
      <c r="Y2141" s="5"/>
      <c r="Z2141" s="5"/>
      <c r="AA2141" s="5"/>
      <c r="AB2141" s="5"/>
      <c r="AC2141" s="5"/>
      <c r="AD2141" s="5"/>
      <c r="AE2141" s="5"/>
      <c r="AF2141" s="5"/>
      <c r="AG2141" s="5"/>
      <c r="AH2141" s="5"/>
      <c r="AI2141" s="5"/>
      <c r="AJ2141" s="5"/>
      <c r="AK2141" s="5"/>
    </row>
  </sheetData>
  <phoneticPr fontId="1" type="noConversion"/>
  <pageMargins left="0.7" right="0.7" top="0.75" bottom="0.75" header="0.3" footer="0.3"/>
  <pageSetup paperSize="9" scale="84" orientation="landscape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Gaffari Genç</cp:lastModifiedBy>
  <cp:lastPrinted>2021-07-19T08:21:04Z</cp:lastPrinted>
  <dcterms:created xsi:type="dcterms:W3CDTF">2021-07-02T13:29:47Z</dcterms:created>
  <dcterms:modified xsi:type="dcterms:W3CDTF">2026-01-24T08:46:48Z</dcterms:modified>
</cp:coreProperties>
</file>